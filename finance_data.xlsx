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+M5vtNFb8hjfCBoU3D6cn3HqVdk9CtWsrgDhihwgmdY="/>
    </ext>
  </extLst>
</workbook>
</file>

<file path=xl/sharedStrings.xml><?xml version="1.0" encoding="utf-8"?>
<sst xmlns="http://schemas.openxmlformats.org/spreadsheetml/2006/main" count="609" uniqueCount="290">
  <si>
    <t xml:space="preserve"> </t>
  </si>
  <si>
    <t>ROSTER - Ultimate Frisbee Team</t>
  </si>
  <si>
    <t>ATTENDANCE TRACKER</t>
  </si>
  <si>
    <t>TRANSACTIONS â€” All Money In &amp; Out</t>
  </si>
  <si>
    <t>Full Name</t>
  </si>
  <si>
    <t>Dues Amount ($)</t>
  </si>
  <si>
    <t>Dues Paid?</t>
  </si>
  <si>
    <t>Role</t>
  </si>
  <si>
    <t>Status</t>
  </si>
  <si>
    <t>Notes</t>
  </si>
  <si>
    <t>Guest Of</t>
  </si>
  <si>
    <t>Total In</t>
  </si>
  <si>
    <t>Total Out</t>
  </si>
  <si>
    <t>Net Balance</t>
  </si>
  <si>
    <t>Avg Transaction</t>
  </si>
  <si>
    <t>Pending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</si>
  <si>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</si>
  <si>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</si>
  <si>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</si>
  <si>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</si>
  <si>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</si>
  <si>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</si>
  <si>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</si>
  <si>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</si>
  <si>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</si>
  <si>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</si>
  <si>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</si>
  <si>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</si>
  <si>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</si>
  <si>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Date</t>
  </si>
  <si>
    <t>Description</t>
  </si>
  <si>
    <t>Attendance</t>
  </si>
  <si>
    <t>Type</t>
  </si>
  <si>
    <t>Paid By</t>
  </si>
  <si>
    <t>In-Season 2026</t>
  </si>
  <si>
    <t>Amount ($)</t>
  </si>
  <si>
    <t>Linked Event</t>
  </si>
  <si>
    <t>Reimbursed To</t>
  </si>
  <si>
    <t>Cost per Attendee ($)</t>
  </si>
  <si>
    <t>PEC</t>
  </si>
  <si>
    <t>PEC Bid Fee</t>
  </si>
  <si>
    <t>Tournament Fee</t>
  </si>
  <si>
    <t>Tournament</t>
  </si>
  <si>
    <t>Expense</t>
  </si>
  <si>
    <t>Jake Murray</t>
  </si>
  <si>
    <t>Browns Summit</t>
  </si>
  <si>
    <t>Cleared</t>
  </si>
  <si>
    <t>SFI</t>
  </si>
  <si>
    <t>Holiday Inn Downtown</t>
  </si>
  <si>
    <t>Natties Watch Party</t>
  </si>
  <si>
    <t>Fundraiser</t>
  </si>
  <si>
    <t>Goodlander</t>
  </si>
  <si>
    <t>Paid $75</t>
  </si>
  <si>
    <t>Pre-Season 2026</t>
  </si>
  <si>
    <t>Fantapalooza</t>
  </si>
  <si>
    <t>SFI Bid Fee</t>
  </si>
  <si>
    <t>2025 Fundraising</t>
  </si>
  <si>
    <t>Mult.</t>
  </si>
  <si>
    <t>GHP Sessions</t>
  </si>
  <si>
    <t>Event</t>
  </si>
  <si>
    <t>GHP</t>
  </si>
  <si>
    <t>Fundraiser Income</t>
  </si>
  <si>
    <t>ESC</t>
  </si>
  <si>
    <t>Outstanding 2025 Funds</t>
  </si>
  <si>
    <t>Wednesday Tryout Field</t>
  </si>
  <si>
    <t>Field Fee</t>
  </si>
  <si>
    <t>Player Name</t>
  </si>
  <si>
    <t>tshirts and spray paint</t>
  </si>
  <si>
    <t>Equipment</t>
  </si>
  <si>
    <t>Jenna Nold</t>
  </si>
  <si>
    <t>gso airport minivan</t>
  </si>
  <si>
    <t>Travel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</si>
  <si>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</si>
  <si>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</si>
  <si>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</si>
  <si>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</si>
  <si>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</si>
  <si>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</si>
  <si>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</si>
  <si>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</si>
  <si>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</si>
  <si>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</si>
  <si>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</si>
  <si>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</si>
  <si>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</si>
  <si>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</si>
  <si>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</si>
  <si>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</si>
  <si>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</si>
  <si>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Cost per Person ($) [auto]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</si>
  <si>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</si>
  <si>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</si>
  <si>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</si>
  <si>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</si>
  <si>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</si>
  <si>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</si>
  <si>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</si>
  <si>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</si>
  <si>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</si>
  <si>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</si>
  <si>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</si>
  <si>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</si>
  <si>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</si>
  <si>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</si>
  <si>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</si>
  <si>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</si>
  <si>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</si>
  <si>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</si>
  <si>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</si>
  <si>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</si>
  <si>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</si>
  <si>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</si>
  <si>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Ryan Kindell</t>
  </si>
  <si>
    <t>Darra Reppermund</t>
  </si>
  <si>
    <t>Toll Credit</t>
  </si>
  <si>
    <t>Jake murray</t>
  </si>
  <si>
    <t>ESC Bid Fee</t>
  </si>
  <si>
    <t>Kindell Dues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</si>
  <si>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</si>
  <si>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</si>
  <si>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</si>
  <si>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</si>
  <si>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</si>
  <si>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</si>
  <si>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</si>
  <si>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Total Attendees</t>
  </si>
  <si>
    <t>Total Cost ($)</t>
  </si>
  <si>
    <t>X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</si>
  <si>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</si>
  <si>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</si>
  <si>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</si>
  <si>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</si>
  <si>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</si>
  <si>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</si>
  <si>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</si>
  <si>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</si>
  <si>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</si>
  <si>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</si>
  <si>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</si>
  <si>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</si>
  <si>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</si>
  <si>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</si>
  <si>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</si>
  <si>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</si>
  <si>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</si>
  <si>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</si>
  <si>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</si>
  <si>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</si>
  <si>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</si>
  <si>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</si>
  <si>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</si>
  <si>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</si>
  <si>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</si>
  <si>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</si>
  <si>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</si>
  <si>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</si>
  <si>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</si>
  <si>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</si>
  <si>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</si>
  <si>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</si>
  <si>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</si>
  <si>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</si>
  <si>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</si>
  <si>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</si>
  <si>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</si>
  <si>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</si>
  <si>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</si>
  <si>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</si>
  <si>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</si>
  <si>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</si>
  <si>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</si>
  <si>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</si>
  <si>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</si>
  <si>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</si>
  <si>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</si>
  <si>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</si>
  <si>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</si>
  <si>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</si>
  <si>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</si>
  <si>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</si>
  <si>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</si>
  <si>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</si>
  <si>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</si>
  <si>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</si>
  <si>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</si>
  <si>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</si>
  <si>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</si>
  <si>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</si>
  <si>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</si>
  <si>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</si>
  <si>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</si>
  <si>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</si>
  <si>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</si>
  <si>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</si>
  <si>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</si>
  <si>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</si>
  <si>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</si>
  <si>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</si>
  <si>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</si>
  <si>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</si>
  <si>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</si>
  <si>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</si>
  <si>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</si>
  <si>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</si>
  <si>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</si>
  <si>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</si>
  <si>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</si>
  <si>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</si>
  <si>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</si>
  <si>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</si>
  <si>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</si>
  <si>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</si>
  <si>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</si>
  <si>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</si>
  <si>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</si>
  <si>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</si>
  <si>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</si>
  <si>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</si>
  <si>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</si>
  <si>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</si>
  <si>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</si>
  <si>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</si>
  <si>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</si>
  <si>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</si>
  <si>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</si>
  <si>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</si>
  <si>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</si>
  <si>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</si>
  <si>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</si>
  <si>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</si>
  <si>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</si>
  <si>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</si>
  <si>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</si>
  <si>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DR</t>
  </si>
  <si>
    <t>Dylan Best</t>
  </si>
  <si>
    <t>DB</t>
  </si>
  <si>
    <t>Griffin O'Neal-Freeman</t>
  </si>
  <si>
    <t>GOF</t>
  </si>
  <si>
    <t>HY</t>
  </si>
  <si>
    <t>HP</t>
  </si>
  <si>
    <t>Ian Piper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</si>
  <si>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</si>
  <si>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</si>
  <si>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</si>
  <si>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</si>
  <si>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</si>
  <si>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</si>
  <si>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</si>
  <si>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</si>
  <si>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</si>
  <si>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</si>
  <si>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</si>
  <si>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</si>
  <si>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</si>
  <si>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</si>
  <si>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</si>
  <si>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</si>
  <si>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</si>
  <si>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</si>
  <si>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PM</t>
  </si>
  <si>
    <t>RG</t>
  </si>
  <si>
    <t>RK</t>
  </si>
  <si>
    <t>RW</t>
  </si>
  <si>
    <t>Sam Gombiner</t>
  </si>
  <si>
    <t>SG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</si>
  <si>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</si>
  <si>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</si>
  <si>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</si>
  <si>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</si>
  <si>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</si>
  <si>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</si>
  <si>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</si>
  <si>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</si>
  <si>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</si>
  <si>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</si>
  <si>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</si>
  <si>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</si>
  <si>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</si>
  <si>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</si>
  <si>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</si>
  <si>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</si>
  <si>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</si>
  <si>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</si>
  <si>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</si>
  <si>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</si>
  <si>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</si>
  <si>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</si>
  <si>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</si>
  <si>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</si>
  <si>
    <t>ðŸ’¡ Tip: Codes can be anything â€” e.g. initials + jersey # + year.  Make them easy to remember but hard to guess.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</si>
</sst>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0.0"/>
      <color rgb="FF1A3A5C"/>
      <name val="Arial"/>
    </font>
    <font>
      <sz val="10.0"/>
      <color rgb="FF000000"/>
      <name val="Arial"/>
    </font>
    <font>
      <sz val="10.0"/>
      <color rgb="FF008000"/>
      <name val="Arial"/>
    </font>
    <font>
      <b/>
      <sz val="11.0"/>
      <color rgb="FFFFFFFF"/>
      <name val="Arial"/>
    </font>
    <font>
      <sz val="10.0"/>
      <color rgb="FF0000FF"/>
      <name val="Arial"/>
    </font>
    <font>
      <sz val="10.0"/>
      <color rgb="FFCC0000"/>
      <name val="Arial"/>
    </font>
    <font>
      <b/>
      <sz val="10.0"/>
      <color rgb="FF000000"/>
      <name val="Arial"/>
    </font>
    <font>
      <i/>
      <sz val="9.0"/>
      <color rgb="FF0F766E"/>
      <name val="Arial"/>
    </font>
    <font>
      <sz val="11.0"/>
      <color rgb="FF1E293B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i/>
      <sz val="9.0"/>
      <color rgb="FF555555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CCFBF1"/>
        <bgColor rgb="FFCCFBF1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0" fillId="0" fontId="3" numFmtId="0" xfId="0" applyFont="1"/>
    <xf borderId="7" fillId="2" fontId="3" numFmtId="0" xfId="0" applyBorder="1" applyFont="1"/>
    <xf borderId="8" fillId="2" fontId="1" numFmtId="0" xfId="0" applyAlignment="1" applyBorder="1" applyFont="1">
      <alignment horizontal="center" vertical="center"/>
    </xf>
    <xf borderId="9" fillId="0" fontId="2" numFmtId="0" xfId="0" applyBorder="1" applyFont="1"/>
    <xf borderId="10" fillId="0" fontId="2" numFmtId="0" xfId="0" applyBorder="1" applyFont="1"/>
    <xf borderId="0" fillId="0" fontId="3" numFmtId="0" xfId="0" applyAlignment="1" applyFont="1">
      <alignment horizontal="right"/>
    </xf>
    <xf borderId="7" fillId="2" fontId="4" numFmtId="0" xfId="0" applyAlignment="1" applyBorder="1" applyFont="1">
      <alignment horizontal="center" vertical="center"/>
    </xf>
    <xf borderId="11" fillId="3" fontId="5" numFmtId="0" xfId="0" applyAlignment="1" applyBorder="1" applyFill="1" applyFont="1">
      <alignment horizontal="center" vertical="center"/>
    </xf>
    <xf borderId="11" fillId="3" fontId="5" numFmtId="0" xfId="0" applyAlignment="1" applyBorder="1" applyFont="1">
      <alignment horizontal="right" vertical="center"/>
    </xf>
    <xf borderId="7" fillId="0" fontId="6" numFmtId="0" xfId="0" applyAlignment="1" applyBorder="1" applyFont="1">
      <alignment horizontal="left" vertical="center"/>
    </xf>
    <xf borderId="11" fillId="0" fontId="7" numFmtId="164" xfId="0" applyAlignment="1" applyBorder="1" applyFont="1" applyNumberFormat="1">
      <alignment horizontal="right" vertical="center"/>
    </xf>
    <xf borderId="12" fillId="4" fontId="8" numFmtId="0" xfId="0" applyAlignment="1" applyBorder="1" applyFill="1" applyFont="1">
      <alignment horizontal="center" shrinkToFit="0" vertical="center" wrapText="1"/>
    </xf>
    <xf borderId="7" fillId="0" fontId="9" numFmtId="164" xfId="0" applyAlignment="1" applyBorder="1" applyFont="1" applyNumberFormat="1">
      <alignment horizontal="left" vertical="center"/>
    </xf>
    <xf borderId="11" fillId="0" fontId="10" numFmtId="164" xfId="0" applyAlignment="1" applyBorder="1" applyFont="1" applyNumberFormat="1">
      <alignment horizontal="right" vertical="center"/>
    </xf>
    <xf borderId="11" fillId="0" fontId="11" numFmtId="164" xfId="0" applyAlignment="1" applyBorder="1" applyFont="1" applyNumberFormat="1">
      <alignment horizontal="right" vertical="center"/>
    </xf>
    <xf borderId="7" fillId="0" fontId="6" numFmtId="165" xfId="0" applyAlignment="1" applyBorder="1" applyFont="1" applyNumberFormat="1">
      <alignment horizontal="left" vertical="center"/>
    </xf>
    <xf borderId="11" fillId="0" fontId="6" numFmtId="164" xfId="0" applyAlignment="1" applyBorder="1" applyFont="1" applyNumberFormat="1">
      <alignment horizontal="right" vertical="center"/>
    </xf>
    <xf borderId="0" fillId="5" fontId="12" numFmtId="0" xfId="0" applyAlignment="1" applyFill="1" applyFont="1">
      <alignment horizontal="center" shrinkToFit="0" vertical="center" wrapText="1"/>
    </xf>
    <xf borderId="11" fillId="0" fontId="6" numFmtId="1" xfId="0" applyAlignment="1" applyBorder="1" applyFont="1" applyNumberFormat="1">
      <alignment horizontal="right" vertical="center"/>
    </xf>
    <xf borderId="7" fillId="6" fontId="6" numFmtId="0" xfId="0" applyAlignment="1" applyBorder="1" applyFill="1" applyFont="1">
      <alignment horizontal="center" vertical="center"/>
    </xf>
    <xf borderId="7" fillId="0" fontId="7" numFmtId="164" xfId="0" applyAlignment="1" applyBorder="1" applyFont="1" applyNumberFormat="1">
      <alignment horizontal="right" vertical="center"/>
    </xf>
    <xf borderId="11" fillId="2" fontId="4" numFmtId="0" xfId="0" applyAlignment="1" applyBorder="1" applyFont="1">
      <alignment horizontal="center" vertical="center"/>
    </xf>
    <xf borderId="13" fillId="7" fontId="13" numFmtId="0" xfId="0" applyAlignment="1" applyBorder="1" applyFill="1" applyFont="1">
      <alignment horizontal="center" shrinkToFit="0" vertical="center" wrapText="1"/>
    </xf>
    <xf borderId="11" fillId="2" fontId="4" numFmtId="0" xfId="0" applyAlignment="1" applyBorder="1" applyFont="1">
      <alignment horizontal="right" vertical="center"/>
    </xf>
    <xf borderId="11" fillId="0" fontId="6" numFmtId="165" xfId="0" applyAlignment="1" applyBorder="1" applyFont="1" applyNumberFormat="1">
      <alignment horizontal="left" vertical="center"/>
    </xf>
    <xf borderId="11" fillId="0" fontId="6" numFmtId="0" xfId="0" applyAlignment="1" applyBorder="1" applyFont="1">
      <alignment horizontal="left" vertical="center"/>
    </xf>
    <xf borderId="11" fillId="0" fontId="9" numFmtId="164" xfId="0" applyAlignment="1" applyBorder="1" applyFont="1" applyNumberFormat="1">
      <alignment horizontal="right" vertical="center"/>
    </xf>
    <xf borderId="13" fillId="8" fontId="13" numFmtId="0" xfId="0" applyAlignment="1" applyBorder="1" applyFill="1" applyFont="1">
      <alignment horizontal="center" shrinkToFit="0" vertical="center" wrapText="1"/>
    </xf>
    <xf borderId="7" fillId="0" fontId="6" numFmtId="0" xfId="0" applyAlignment="1" applyBorder="1" applyFont="1">
      <alignment horizontal="center" vertical="center"/>
    </xf>
    <xf borderId="7" fillId="0" fontId="7" numFmtId="0" xfId="0" applyAlignment="1" applyBorder="1" applyFont="1">
      <alignment horizontal="right" vertical="center"/>
    </xf>
    <xf borderId="7" fillId="6" fontId="6" numFmtId="0" xfId="0" applyAlignment="1" applyBorder="1" applyFont="1">
      <alignment horizontal="left" readingOrder="0" vertical="center"/>
    </xf>
    <xf borderId="7" fillId="6" fontId="6" numFmtId="165" xfId="0" applyAlignment="1" applyBorder="1" applyFont="1" applyNumberFormat="1">
      <alignment horizontal="left" vertical="center"/>
    </xf>
    <xf borderId="7" fillId="6" fontId="6" numFmtId="0" xfId="0" applyAlignment="1" applyBorder="1" applyFont="1">
      <alignment horizontal="left" vertical="center"/>
    </xf>
    <xf borderId="7" fillId="6" fontId="6" numFmtId="164" xfId="0" applyAlignment="1" applyBorder="1" applyFont="1" applyNumberFormat="1">
      <alignment horizontal="left" vertical="center"/>
    </xf>
    <xf borderId="7" fillId="6" fontId="7" numFmtId="164" xfId="0" applyAlignment="1" applyBorder="1" applyFont="1" applyNumberFormat="1">
      <alignment horizontal="right" vertical="center"/>
    </xf>
    <xf borderId="11" fillId="6" fontId="6" numFmtId="165" xfId="0" applyBorder="1" applyFont="1" applyNumberFormat="1"/>
    <xf borderId="11" fillId="6" fontId="6" numFmtId="0" xfId="0" applyBorder="1" applyFont="1"/>
    <xf borderId="11" fillId="6" fontId="9" numFmtId="164" xfId="0" applyAlignment="1" applyBorder="1" applyFont="1" applyNumberFormat="1">
      <alignment horizontal="right"/>
    </xf>
    <xf borderId="11" fillId="0" fontId="6" numFmtId="165" xfId="0" applyBorder="1" applyFont="1" applyNumberFormat="1"/>
    <xf borderId="11" fillId="0" fontId="6" numFmtId="0" xfId="0" applyBorder="1" applyFont="1"/>
    <xf borderId="7" fillId="9" fontId="4" numFmtId="0" xfId="0" applyAlignment="1" applyBorder="1" applyFill="1" applyFont="1">
      <alignment horizontal="center" shrinkToFit="0" vertical="center" wrapText="1"/>
    </xf>
    <xf borderId="11" fillId="0" fontId="6" numFmtId="166" xfId="0" applyBorder="1" applyFont="1" applyNumberFormat="1"/>
    <xf borderId="11" fillId="0" fontId="6" numFmtId="0" xfId="0" applyAlignment="1" applyBorder="1" applyFont="1">
      <alignment readingOrder="0"/>
    </xf>
    <xf borderId="11" fillId="0" fontId="9" numFmtId="167" xfId="0" applyAlignment="1" applyBorder="1" applyFont="1" applyNumberFormat="1">
      <alignment horizontal="right"/>
    </xf>
    <xf borderId="11" fillId="6" fontId="6" numFmtId="166" xfId="0" applyBorder="1" applyFont="1" applyNumberFormat="1"/>
    <xf borderId="11" fillId="6" fontId="6" numFmtId="0" xfId="0" applyAlignment="1" applyBorder="1" applyFont="1">
      <alignment readingOrder="0"/>
    </xf>
    <xf borderId="11" fillId="6" fontId="9" numFmtId="167" xfId="0" applyAlignment="1" applyBorder="1" applyFont="1" applyNumberFormat="1">
      <alignment horizontal="right"/>
    </xf>
    <xf borderId="11" fillId="0" fontId="9" numFmtId="164" xfId="0" applyAlignment="1" applyBorder="1" applyFont="1" applyNumberFormat="1">
      <alignment horizontal="right"/>
    </xf>
    <xf borderId="0" fillId="0" fontId="14" numFmtId="0" xfId="0" applyFont="1"/>
    <xf borderId="0" fillId="9" fontId="4" numFmtId="0" xfId="0" applyAlignment="1" applyFont="1">
      <alignment horizontal="center" shrinkToFit="0" vertical="center" wrapText="1"/>
    </xf>
    <xf borderId="11" fillId="0" fontId="9" numFmtId="164" xfId="0" applyAlignment="1" applyBorder="1" applyFont="1" applyNumberFormat="1">
      <alignment horizontal="right" readingOrder="0"/>
    </xf>
    <xf borderId="11" fillId="6" fontId="6" numFmtId="168" xfId="0" applyBorder="1" applyFont="1" applyNumberFormat="1"/>
    <xf borderId="11" fillId="0" fontId="6" numFmtId="168" xfId="0" applyBorder="1" applyFont="1" applyNumberFormat="1"/>
    <xf borderId="7" fillId="3" fontId="5" numFmtId="0" xfId="0" applyAlignment="1" applyBorder="1" applyFont="1">
      <alignment horizontal="left" vertical="center"/>
    </xf>
    <xf borderId="7" fillId="10" fontId="15" numFmtId="0" xfId="0" applyAlignment="1" applyBorder="1" applyFill="1" applyFont="1">
      <alignment horizontal="center" shrinkToFit="0" vertical="center" wrapText="1"/>
    </xf>
    <xf borderId="11" fillId="6" fontId="6" numFmtId="166" xfId="0" applyAlignment="1" applyBorder="1" applyFont="1" applyNumberFormat="1">
      <alignment readingOrder="0"/>
    </xf>
    <xf borderId="11" fillId="6" fontId="9" numFmtId="164" xfId="0" applyAlignment="1" applyBorder="1" applyFont="1" applyNumberFormat="1">
      <alignment horizontal="right" readingOrder="0"/>
    </xf>
    <xf borderId="11" fillId="0" fontId="6" numFmtId="165" xfId="0" applyAlignment="1" applyBorder="1" applyFont="1" applyNumberFormat="1">
      <alignment readingOrder="0"/>
    </xf>
    <xf borderId="11" fillId="6" fontId="6" numFmtId="165" xfId="0" applyAlignment="1" applyBorder="1" applyFont="1" applyNumberFormat="1">
      <alignment readingOrder="0"/>
    </xf>
    <xf borderId="11" fillId="0" fontId="9" numFmtId="4" xfId="0" applyAlignment="1" applyBorder="1" applyFont="1" applyNumberFormat="1">
      <alignment horizontal="right"/>
    </xf>
    <xf borderId="0" fillId="10" fontId="15" numFmtId="0" xfId="0" applyAlignment="1" applyFont="1">
      <alignment horizontal="center" shrinkToFit="0" vertical="center" wrapText="1"/>
    </xf>
    <xf borderId="7" fillId="3" fontId="6" numFmtId="0" xfId="0" applyAlignment="1" applyBorder="1" applyFont="1">
      <alignment horizontal="right" vertical="center"/>
    </xf>
    <xf borderId="7" fillId="0" fontId="7" numFmtId="0" xfId="0" applyAlignment="1" applyBorder="1" applyFont="1">
      <alignment horizontal="left" vertical="center"/>
    </xf>
    <xf borderId="7" fillId="0" fontId="9" numFmtId="0" xfId="0" applyAlignment="1" applyBorder="1" applyFont="1">
      <alignment horizontal="center" vertical="center"/>
    </xf>
    <xf borderId="7" fillId="0" fontId="9" numFmtId="0" xfId="0" applyAlignment="1" applyBorder="1" applyFont="1">
      <alignment horizontal="center" readingOrder="0" vertical="center"/>
    </xf>
    <xf borderId="13" fillId="11" fontId="13" numFmtId="0" xfId="0" applyAlignment="1" applyBorder="1" applyFill="1" applyFont="1">
      <alignment horizontal="center" shrinkToFit="0" vertical="center" wrapText="1"/>
    </xf>
    <xf borderId="13" fillId="5" fontId="13" numFmtId="0" xfId="0" applyAlignment="1" applyBorder="1" applyFont="1">
      <alignment horizontal="center" shrinkToFit="0" vertical="center" wrapText="1"/>
    </xf>
    <xf borderId="0" fillId="0" fontId="16" numFmtId="0" xfId="0" applyFont="1"/>
    <xf borderId="7" fillId="3" fontId="5" numFmtId="0" xfId="0" applyAlignment="1" applyBorder="1" applyFont="1">
      <alignment horizontal="center" vertical="center"/>
    </xf>
    <xf borderId="7" fillId="0" fontId="6" numFmtId="164" xfId="0" applyAlignment="1" applyBorder="1" applyFont="1" applyNumberFormat="1">
      <alignment horizontal="right" vertical="center"/>
    </xf>
    <xf borderId="7" fillId="0" fontId="6" numFmtId="1" xfId="0" applyAlignment="1" applyBorder="1" applyFont="1" applyNumberFormat="1">
      <alignment horizontal="right" vertical="center"/>
    </xf>
    <xf borderId="7" fillId="0" fontId="7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7" fillId="6" fontId="7" numFmtId="0" xfId="0" applyAlignment="1" applyBorder="1" applyFont="1">
      <alignment horizontal="left" vertical="center"/>
    </xf>
    <xf borderId="7" fillId="6" fontId="7" numFmtId="164" xfId="0" applyAlignment="1" applyBorder="1" applyFont="1" applyNumberFormat="1">
      <alignment horizontal="left" vertical="center"/>
    </xf>
    <xf borderId="7" fillId="6" fontId="6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8" fontId="17" numFmtId="0" xfId="0" applyAlignment="1" applyBorder="1" applyFont="1">
      <alignment shrinkToFit="0" wrapText="1"/>
    </xf>
    <xf borderId="12" fillId="4" fontId="8" numFmtId="0" xfId="0" applyAlignment="1" applyBorder="1" applyFont="1">
      <alignment horizontal="center" shrinkToFit="0" wrapText="1"/>
    </xf>
    <xf borderId="13" fillId="8" fontId="18" numFmtId="166" xfId="0" applyAlignment="1" applyBorder="1" applyFont="1" applyNumberFormat="1">
      <alignment shrinkToFit="0" wrapText="1"/>
    </xf>
    <xf borderId="13" fillId="8" fontId="18" numFmtId="0" xfId="0" applyAlignment="1" applyBorder="1" applyFont="1">
      <alignment shrinkToFit="0" wrapText="1"/>
    </xf>
    <xf borderId="13" fillId="8" fontId="3" numFmtId="0" xfId="0" applyBorder="1" applyFont="1"/>
    <xf borderId="13" fillId="13" fontId="19" numFmtId="0" xfId="0" applyAlignment="1" applyBorder="1" applyFill="1" applyFont="1">
      <alignment horizontal="center" shrinkToFit="0" wrapText="1"/>
    </xf>
    <xf borderId="13" fillId="7" fontId="18" numFmtId="166" xfId="0" applyAlignment="1" applyBorder="1" applyFont="1" applyNumberFormat="1">
      <alignment shrinkToFit="0" wrapText="1"/>
    </xf>
    <xf borderId="13" fillId="7" fontId="18" numFmtId="0" xfId="0" applyAlignment="1" applyBorder="1" applyFont="1">
      <alignment shrinkToFit="0" wrapText="1"/>
    </xf>
    <xf borderId="13" fillId="7" fontId="3" numFmtId="0" xfId="0" applyBorder="1" applyFont="1"/>
    <xf borderId="13" fillId="13" fontId="3" numFmtId="0" xfId="0" applyBorder="1" applyFont="1"/>
    <xf borderId="13" fillId="7" fontId="3" numFmtId="166" xfId="0" applyBorder="1" applyFont="1" applyNumberFormat="1"/>
    <xf borderId="13" fillId="8" fontId="3" numFmtId="166" xfId="0" applyBorder="1" applyFont="1" applyNumberFormat="1"/>
    <xf borderId="8" fillId="2" fontId="20" numFmtId="0" xfId="0" applyAlignment="1" applyBorder="1" applyFont="1">
      <alignment horizontal="center" vertical="center"/>
    </xf>
    <xf borderId="8" fillId="3" fontId="5" numFmtId="0" xfId="0" applyAlignment="1" applyBorder="1" applyFont="1">
      <alignment horizontal="left" vertical="center"/>
    </xf>
    <xf borderId="11" fillId="0" fontId="21" numFmtId="1" xfId="0" applyAlignment="1" applyBorder="1" applyFont="1" applyNumberFormat="1">
      <alignment horizontal="right" vertical="center"/>
    </xf>
    <xf borderId="11" fillId="0" fontId="21" numFmtId="164" xfId="0" applyAlignment="1" applyBorder="1" applyFont="1" applyNumberFormat="1">
      <alignment horizontal="right" vertical="center"/>
    </xf>
    <xf borderId="11" fillId="3" fontId="5" numFmtId="0" xfId="0" applyBorder="1" applyFont="1"/>
    <xf borderId="11" fillId="3" fontId="16" numFmtId="0" xfId="0" applyAlignment="1" applyBorder="1" applyFont="1">
      <alignment horizontal="left" shrinkToFit="0" vertical="center" wrapText="1"/>
    </xf>
    <xf borderId="11" fillId="0" fontId="22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1" numFmtId="0" xfId="0" applyBorder="1" applyFont="1"/>
    <xf borderId="11" fillId="0" fontId="21" numFmtId="0" xfId="0" applyBorder="1" applyFont="1"/>
    <xf borderId="11" fillId="0" fontId="3" numFmtId="0" xfId="0" applyBorder="1" applyFont="1"/>
    <xf borderId="11" fillId="0" fontId="23" numFmtId="0" xfId="0" applyBorder="1" applyFont="1"/>
    <xf borderId="8" fillId="14" fontId="24" numFmtId="0" xfId="0" applyAlignment="1" applyBorder="1" applyFill="1" applyFont="1">
      <alignment horizontal="center" shrinkToFit="0" vertical="center" wrapText="1"/>
    </xf>
    <xf borderId="8" fillId="15" fontId="25" numFmtId="0" xfId="0" applyAlignment="1" applyBorder="1" applyFill="1" applyFont="1">
      <alignment horizontal="center" vertical="center"/>
    </xf>
    <xf borderId="8" fillId="16" fontId="26" numFmtId="0" xfId="0" applyAlignment="1" applyBorder="1" applyFill="1" applyFont="1">
      <alignment horizontal="center" vertical="center"/>
    </xf>
    <xf borderId="11" fillId="2" fontId="4" numFmtId="0" xfId="0" applyAlignment="1" applyBorder="1" applyFont="1">
      <alignment horizontal="center" shrinkToFit="0" vertical="center" wrapText="1"/>
    </xf>
    <xf borderId="11" fillId="6" fontId="6" numFmtId="0" xfId="0" applyAlignment="1" applyBorder="1" applyFont="1">
      <alignment horizontal="left" vertical="center"/>
    </xf>
    <xf borderId="11" fillId="6" fontId="22" numFmtId="0" xfId="0" applyAlignment="1" applyBorder="1" applyFont="1">
      <alignment horizontal="center" vertical="center"/>
    </xf>
    <xf borderId="11" fillId="6" fontId="6" numFmtId="0" xfId="0" applyAlignment="1" applyBorder="1" applyFont="1">
      <alignment horizontal="center" vertical="center"/>
    </xf>
    <xf borderId="11" fillId="0" fontId="22" numFmtId="0" xfId="0" applyAlignment="1" applyBorder="1" applyFont="1">
      <alignment horizontal="center" vertical="center"/>
    </xf>
    <xf borderId="11" fillId="0" fontId="6" numFmtId="0" xfId="0" applyAlignment="1" applyBorder="1" applyFont="1">
      <alignment horizontal="center" vertical="center"/>
    </xf>
    <xf borderId="11" fillId="17" fontId="6" numFmtId="0" xfId="0" applyAlignment="1" applyBorder="1" applyFill="1" applyFont="1">
      <alignment horizontal="left" vertical="center"/>
    </xf>
    <xf borderId="11" fillId="17" fontId="22" numFmtId="0" xfId="0" applyAlignment="1" applyBorder="1" applyFont="1">
      <alignment horizontal="center" vertical="center"/>
    </xf>
    <xf borderId="11" fillId="7" fontId="6" numFmtId="0" xfId="0" applyAlignment="1" applyBorder="1" applyFont="1">
      <alignment horizontal="left" vertical="center"/>
    </xf>
    <xf borderId="11" fillId="7" fontId="22" numFmtId="0" xfId="0" applyAlignment="1" applyBorder="1" applyFont="1">
      <alignment horizontal="center" vertical="center"/>
    </xf>
    <xf borderId="11" fillId="17" fontId="6" numFmtId="0" xfId="0" applyAlignment="1" applyBorder="1" applyFont="1">
      <alignment horizontal="center" vertical="center"/>
    </xf>
    <xf borderId="11" fillId="7" fontId="6" numFmtId="0" xfId="0" applyAlignment="1" applyBorder="1" applyFont="1">
      <alignment horizontal="center" vertical="center"/>
    </xf>
    <xf borderId="0" fillId="12" fontId="1" numFmtId="0" xfId="0" applyAlignment="1" applyFont="1">
      <alignment horizontal="center" shrinkToFit="0" vertical="center" wrapText="1"/>
    </xf>
    <xf borderId="0" fillId="8" fontId="27" numFmtId="0" xfId="0" applyAlignment="1" applyFont="1">
      <alignment horizontal="left" shrinkToFit="0" vertical="center" wrapText="1"/>
    </xf>
    <xf borderId="12" fillId="12" fontId="8" numFmtId="0" xfId="0" applyAlignment="1" applyBorder="1" applyFont="1">
      <alignment horizontal="center" shrinkToFit="0" vertical="center" wrapText="1"/>
    </xf>
    <xf borderId="0" fillId="7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7" fontId="30" numFmtId="0" xfId="0" applyAlignment="1" applyFont="1">
      <alignment horizontal="left" shrinkToFit="0" vertical="center" wrapText="1"/>
    </xf>
    <xf borderId="0" fillId="8" fontId="28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8" fontId="30" numFmtId="0" xfId="0" applyAlignment="1" applyFont="1">
      <alignment horizontal="left" shrinkToFit="0" vertical="center" wrapText="1"/>
    </xf>
    <xf borderId="13" fillId="7" fontId="13" numFmtId="0" xfId="0" applyAlignment="1" applyBorder="1" applyFont="1">
      <alignment horizontal="left" shrinkToFit="0" vertical="center" wrapText="1"/>
    </xf>
    <xf borderId="13" fillId="8" fontId="13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2" t="s">
        <v>1</v>
      </c>
      <c r="B1" s="4"/>
      <c r="C1" s="4"/>
      <c r="D1" s="4"/>
      <c r="E1" s="4"/>
      <c r="F1" s="4"/>
      <c r="G1" s="4"/>
      <c r="H1" s="4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3.5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13" t="s">
        <v>4</v>
      </c>
      <c r="B4" s="13" t="s">
        <v>5</v>
      </c>
      <c r="C4" s="13" t="s">
        <v>6</v>
      </c>
      <c r="D4" s="13" t="s">
        <v>7</v>
      </c>
      <c r="E4" s="13" t="s">
        <v>8</v>
      </c>
      <c r="F4" s="13" t="s">
        <v>9</v>
      </c>
      <c r="G4" s="13" t="s">
        <v>10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6.25" customHeight="1">
      <c r="A5" s="16" t="str">
        <f>'Access Codes'!A6</f>
        <v>At</v>
      </c>
      <c r="B5" s="19">
        <f t="array" ref="B5">IFERROR(INDEX('Player Balances'!$B$7:$B$206,MATCH(A5,'Player Balances'!$A$7:$A$206,0)),"")</f>
        <v>0</v>
      </c>
      <c r="C5" s="16" t="str">
        <f>IF(A5="","",IF(OR(D5="Coach",D5="Treasurer"),"Waived",IF(OR(B5="",B5=0),"",IF(SUMIFS(Transactions!$F$7:$F$991,Transactions!$D$7:$D$991,"Income",Transactions!$C$7:$C$991,"Dues",Transactions!$E$7:$E$991,A5)&gt;=B5,"Paid",IF(SUMIFS(Transactions!$F$7:$F$991,Transactions!$D$7:$D$991,"Income",Transactions!$C$7:$C$991,"Dues",Transactions!$E$7:$E$991,A5)&gt;0,"Partial","Unpaid")))))</f>
        <v/>
      </c>
      <c r="D5" s="26" t="str">
        <f>'Access Codes'!C6</f>
        <v>Captain</v>
      </c>
      <c r="E5" s="16" t="str">
        <f>'Access Codes'!D6</f>
        <v>Active</v>
      </c>
      <c r="F5" s="16"/>
      <c r="G5" s="16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16" t="str">
        <f>'Access Codes'!A7</f>
        <v>Alex Warrington</v>
      </c>
      <c r="B6" s="19">
        <f t="array" ref="B6">IFERROR(INDEX('Player Balances'!$B$7:$B$206,MATCH(A6,'Player Balances'!$A$7:$A$206,0)),"")</f>
        <v>0</v>
      </c>
      <c r="C6" s="16" t="str">
        <f>IF(A6="","",IF(OR(D6="Coach",D6="Treasurer"),"Waived",IF(OR(B6="",B6=0),"",IF(SUMIFS(Transactions!$F$7:$F$991,Transactions!$D$7:$D$991,"Income",Transactions!$C$7:$C$991,"Dues",Transactions!$E$7:$E$991,A6)&gt;=B6,"Paid",IF(SUMIFS(Transactions!$F$7:$F$991,Transactions!$D$7:$D$991,"Income",Transactions!$C$7:$C$991,"Dues",Transactions!$E$7:$E$991,A6)&gt;0,"Partial","Unpaid")))))</f>
        <v/>
      </c>
      <c r="D6" s="26" t="str">
        <f>'Access Codes'!C7</f>
        <v>Player</v>
      </c>
      <c r="E6" s="16" t="str">
        <f>'Access Codes'!D7</f>
        <v>Active</v>
      </c>
      <c r="F6" s="16"/>
      <c r="G6" s="16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9.5" customHeight="1">
      <c r="A7" s="16" t="str">
        <f>'Access Codes'!A8</f>
        <v>Chris Wohl</v>
      </c>
      <c r="B7" s="19">
        <f t="array" ref="B7">IFERROR(INDEX('Player Balances'!$B$7:$B$206,MATCH(A7,'Player Balances'!$A$7:$A$206,0)),"")</f>
        <v>0</v>
      </c>
      <c r="C7" s="16" t="str">
        <f>IF(A7="","",IF(OR(D7="Coach",D7="Treasurer"),"Waived",IF(OR(B7="",B7=0),"",IF(SUMIFS(Transactions!$F$7:$F$991,Transactions!$D$7:$D$991,"Income",Transactions!$C$7:$C$991,"Dues",Transactions!$E$7:$E$991,A7)&gt;=B7,"Paid",IF(SUMIFS(Transactions!$F$7:$F$991,Transactions!$D$7:$D$991,"Income",Transactions!$C$7:$C$991,"Dues",Transactions!$E$7:$E$991,A7)&gt;0,"Partial","Unpaid")))))</f>
        <v/>
      </c>
      <c r="D7" s="35" t="str">
        <f>'Access Codes'!C8</f>
        <v>Player</v>
      </c>
      <c r="E7" s="16" t="str">
        <f>'Access Codes'!D8</f>
        <v>Active</v>
      </c>
      <c r="F7" s="16" t="s">
        <v>52</v>
      </c>
      <c r="G7" s="16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9.5" customHeight="1">
      <c r="A8" s="16" t="str">
        <f>'Access Codes'!A9</f>
        <v>Darra Reppermund</v>
      </c>
      <c r="B8" s="19">
        <f t="array" ref="B8">IFERROR(INDEX('Player Balances'!$B$7:$B$206,MATCH(A8,'Player Balances'!$A$7:$A$206,0)),"")</f>
        <v>0</v>
      </c>
      <c r="C8" s="16" t="str">
        <f>IF(A8="","",IF(OR(D8="Coach",D8="Treasurer"),"Waived",IF(OR(B8="",B8=0),"",IF(SUMIFS(Transactions!$F$7:$F$991,Transactions!$D$7:$D$991,"Income",Transactions!$C$7:$C$991,"Dues",Transactions!$E$7:$E$991,A8)&gt;=B8,"Paid",IF(SUMIFS(Transactions!$F$7:$F$991,Transactions!$D$7:$D$991,"Income",Transactions!$C$7:$C$991,"Dues",Transactions!$E$7:$E$991,A8)&gt;0,"Partial","Unpaid")))))</f>
        <v/>
      </c>
      <c r="D8" s="35" t="str">
        <f>'Access Codes'!C9</f>
        <v>Player</v>
      </c>
      <c r="E8" s="16" t="str">
        <f>'Access Codes'!D9</f>
        <v>Active</v>
      </c>
      <c r="F8" s="16"/>
      <c r="G8" s="16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9.5" customHeight="1">
      <c r="A9" s="16" t="str">
        <f>'Access Codes'!A10</f>
        <v>Dylan Best</v>
      </c>
      <c r="B9" s="19">
        <f t="array" ref="B9">IFERROR(INDEX('Player Balances'!$B$7:$B$206,MATCH(A9,'Player Balances'!$A$7:$A$206,0)),"")</f>
        <v>0</v>
      </c>
      <c r="C9" s="16" t="str">
        <f>IF(A9="","",IF(OR(D9="Coach",D9="Treasurer"),"Waived",IF(OR(B9="",B9=0),"",IF(SUMIFS(Transactions!$F$7:$F$991,Transactions!$D$7:$D$991,"Income",Transactions!$C$7:$C$991,"Dues",Transactions!$E$7:$E$991,A9)&gt;=B9,"Paid",IF(SUMIFS(Transactions!$F$7:$F$991,Transactions!$D$7:$D$991,"Income",Transactions!$C$7:$C$991,"Dues",Transactions!$E$7:$E$991,A9)&gt;0,"Partial","Unpaid")))))</f>
        <v/>
      </c>
      <c r="D9" s="26" t="str">
        <f>'Access Codes'!C10</f>
        <v>Player</v>
      </c>
      <c r="E9" s="16" t="str">
        <f>'Access Codes'!D10</f>
        <v>Active</v>
      </c>
      <c r="F9" s="16"/>
      <c r="G9" s="16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9.5" customHeight="1">
      <c r="A10" s="39" t="str">
        <f>'Access Codes'!A11</f>
        <v>Griffin O'Neal-Freeman</v>
      </c>
      <c r="B10" s="40">
        <f t="array" ref="B10">IFERROR(INDEX('Player Balances'!$B$7:$B$206,MATCH(A10,'Player Balances'!$A$7:$A$206,0)),"")</f>
        <v>0</v>
      </c>
      <c r="C10" s="39" t="str">
        <f>IF(A10="","",IF(OR(D10="Coach",D10="Treasurer"),"Waived",IF(OR(B10="",B10=0),"",IF(SUMIFS(Transactions!$F$7:$F$991,Transactions!$D$7:$D$991,"Income",Transactions!$C$7:$C$991,"Dues",Transactions!$E$7:$E$991,A10)&gt;=B10,"Paid",IF(SUMIFS(Transactions!$F$7:$F$991,Transactions!$D$7:$D$991,"Income",Transactions!$C$7:$C$991,"Dues",Transactions!$E$7:$E$991,A10)&gt;0,"Partial","Unpaid")))))</f>
        <v/>
      </c>
      <c r="D10" s="26" t="str">
        <f>'Access Codes'!C11</f>
        <v>Player</v>
      </c>
      <c r="E10" s="39" t="str">
        <f>'Access Codes'!D11</f>
        <v>Active</v>
      </c>
      <c r="F10" s="39"/>
      <c r="G10" s="3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9.5" customHeight="1">
      <c r="A11" s="39" t="str">
        <f>'Access Codes'!A12</f>
        <v>Haley Young</v>
      </c>
      <c r="B11" s="40">
        <f t="array" ref="B11">IFERROR(INDEX('Player Balances'!$B$7:$B$206,MATCH(A11,'Player Balances'!$A$7:$A$206,0)),"")</f>
        <v>0</v>
      </c>
      <c r="C11" s="39" t="str">
        <f>IF(A11="","",IF(OR(D11="Coach",D11="Treasurer"),"Waived",IF(OR(B11="",B11=0),"",IF(SUMIFS(Transactions!$F$7:$F$991,Transactions!$D$7:$D$991,"Income",Transactions!$C$7:$C$991,"Dues",Transactions!$E$7:$E$991,A11)&gt;=B11,"Paid",IF(SUMIFS(Transactions!$F$7:$F$991,Transactions!$D$7:$D$991,"Income",Transactions!$C$7:$C$991,"Dues",Transactions!$E$7:$E$991,A11)&gt;0,"Partial","Unpaid")))))</f>
        <v/>
      </c>
      <c r="D11" s="26" t="str">
        <f>'Access Codes'!C12</f>
        <v>Player</v>
      </c>
      <c r="E11" s="39" t="str">
        <f>'Access Codes'!D12</f>
        <v>Active</v>
      </c>
      <c r="F11" s="39"/>
      <c r="G11" s="3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9.5" customHeight="1">
      <c r="A12" s="39" t="str">
        <f>'Access Codes'!A13</f>
        <v>Harry Park</v>
      </c>
      <c r="B12" s="40">
        <f t="array" ref="B12">IFERROR(INDEX('Player Balances'!$B$7:$B$206,MATCH(A12,'Player Balances'!$A$7:$A$206,0)),"")</f>
        <v>0</v>
      </c>
      <c r="C12" s="39" t="str">
        <f>IF(A12="","",IF(OR(D12="Coach",D12="Treasurer"),"Waived",IF(OR(B12="",B12=0),"",IF(SUMIFS(Transactions!$F$7:$F$991,Transactions!$D$7:$D$991,"Income",Transactions!$C$7:$C$991,"Dues",Transactions!$E$7:$E$991,A12)&gt;=B12,"Paid",IF(SUMIFS(Transactions!$F$7:$F$991,Transactions!$D$7:$D$991,"Income",Transactions!$C$7:$C$991,"Dues",Transactions!$E$7:$E$991,A12)&gt;0,"Partial","Unpaid")))))</f>
        <v/>
      </c>
      <c r="D12" s="26" t="str">
        <f>'Access Codes'!C13</f>
        <v>Player</v>
      </c>
      <c r="E12" s="39" t="str">
        <f>'Access Codes'!D13</f>
        <v>Active</v>
      </c>
      <c r="F12" s="39"/>
      <c r="G12" s="3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9.5" customHeight="1">
      <c r="A13" s="39" t="str">
        <f>'Access Codes'!A14</f>
        <v>Ian Piper</v>
      </c>
      <c r="B13" s="40">
        <f t="array" ref="B13">IFERROR(INDEX('Player Balances'!$B$7:$B$206,MATCH(A13,'Player Balances'!$A$7:$A$206,0)),"")</f>
        <v>0</v>
      </c>
      <c r="C13" s="39" t="str">
        <f>IF(A13="","",IF(OR(D13="Coach",D13="Treasurer"),"Waived",IF(OR(B13="",B13=0),"",IF(SUMIFS(Transactions!$F$7:$F$991,Transactions!$D$7:$D$991,"Income",Transactions!$C$7:$C$991,"Dues",Transactions!$E$7:$E$991,A13)&gt;=B13,"Paid",IF(SUMIFS(Transactions!$F$7:$F$991,Transactions!$D$7:$D$991,"Income",Transactions!$C$7:$C$991,"Dues",Transactions!$E$7:$E$991,A13)&gt;0,"Partial","Unpaid")))))</f>
        <v/>
      </c>
      <c r="D13" s="26" t="str">
        <f>'Access Codes'!C14</f>
        <v>Player</v>
      </c>
      <c r="E13" s="39" t="str">
        <f>'Access Codes'!D14</f>
        <v>Active</v>
      </c>
      <c r="F13" s="39"/>
      <c r="G13" s="39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9.5" customHeight="1">
      <c r="A14" s="39" t="str">
        <f>'Access Codes'!A15</f>
        <v>Jake Murray</v>
      </c>
      <c r="B14" s="40">
        <f t="array" ref="B14">IFERROR(INDEX('Player Balances'!$B$7:$B$206,MATCH(A14,'Player Balances'!$A$7:$A$206,0)),"")</f>
        <v>0</v>
      </c>
      <c r="C14" s="39" t="str">
        <f>IF(A14="","",IF(OR(D14="Coach",D14="Treasurer"),"Waived",IF(OR(B14="",B14=0),"",IF(SUMIFS(Transactions!$F$7:$F$991,Transactions!$D$7:$D$991,"Income",Transactions!$C$7:$C$991,"Dues",Transactions!$E$7:$E$991,A14)&gt;=B14,"Paid",IF(SUMIFS(Transactions!$F$7:$F$991,Transactions!$D$7:$D$991,"Income",Transactions!$C$7:$C$991,"Dues",Transactions!$E$7:$E$991,A14)&gt;0,"Partial","Unpaid")))))</f>
        <v>Waived</v>
      </c>
      <c r="D14" s="26" t="str">
        <f>'Access Codes'!C15</f>
        <v>Treasurer</v>
      </c>
      <c r="E14" s="39" t="str">
        <f>'Access Codes'!D15</f>
        <v>Active</v>
      </c>
      <c r="F14" s="39"/>
      <c r="G14" s="3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9.5" customHeight="1">
      <c r="A15" s="39" t="str">
        <f>'Access Codes'!A16</f>
        <v>Jenna Nold</v>
      </c>
      <c r="B15" s="40">
        <f t="array" ref="B15">IFERROR(INDEX('Player Balances'!$B$7:$B$206,MATCH(A15,'Player Balances'!$A$7:$A$206,0)),"")</f>
        <v>0</v>
      </c>
      <c r="C15" s="39" t="str">
        <f>IF(A15="","",IF(OR(D15="Coach",D15="Treasurer"),"Waived",IF(OR(B15="",B15=0),"",IF(SUMIFS(Transactions!$F$7:$F$991,Transactions!$D$7:$D$991,"Income",Transactions!$C$7:$C$991,"Dues",Transactions!$E$7:$E$991,A15)&gt;=B15,"Paid",IF(SUMIFS(Transactions!$F$7:$F$991,Transactions!$D$7:$D$991,"Income",Transactions!$C$7:$C$991,"Dues",Transactions!$E$7:$E$991,A15)&gt;0,"Partial","Unpaid")))))</f>
        <v/>
      </c>
      <c r="D15" s="26" t="str">
        <f>'Access Codes'!C16</f>
        <v>Captain</v>
      </c>
      <c r="E15" s="39" t="str">
        <f>'Access Codes'!D16</f>
        <v>Active</v>
      </c>
      <c r="F15" s="39"/>
      <c r="G15" s="3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9.5" customHeight="1">
      <c r="A16" s="39" t="str">
        <f>'Access Codes'!A17</f>
        <v>Jimmy Towle</v>
      </c>
      <c r="B16" s="40">
        <f t="array" ref="B16">IFERROR(INDEX('Player Balances'!$B$7:$B$206,MATCH(A16,'Player Balances'!$A$7:$A$206,0)),"")</f>
        <v>0</v>
      </c>
      <c r="C16" s="39" t="str">
        <f>IF(A16="","",IF(OR(D16="Coach",D16="Treasurer"),"Waived",IF(OR(B16="",B16=0),"",IF(SUMIFS(Transactions!$F$7:$F$991,Transactions!$D$7:$D$991,"Income",Transactions!$C$7:$C$991,"Dues",Transactions!$E$7:$E$991,A16)&gt;=B16,"Paid",IF(SUMIFS(Transactions!$F$7:$F$991,Transactions!$D$7:$D$991,"Income",Transactions!$C$7:$C$991,"Dues",Transactions!$E$7:$E$991,A16)&gt;0,"Partial","Unpaid")))))</f>
        <v/>
      </c>
      <c r="D16" s="26" t="str">
        <f>'Access Codes'!C17</f>
        <v>Player</v>
      </c>
      <c r="E16" s="39" t="str">
        <f>'Access Codes'!D17</f>
        <v>Active</v>
      </c>
      <c r="F16" s="39"/>
      <c r="G16" s="39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9.5" customHeight="1">
      <c r="A17" s="39" t="str">
        <f>'Access Codes'!A18</f>
        <v>Kailey Rugani</v>
      </c>
      <c r="B17" s="40">
        <f t="array" ref="B17">IFERROR(INDEX('Player Balances'!$B$7:$B$206,MATCH(A17,'Player Balances'!$A$7:$A$206,0)),"")</f>
        <v>0</v>
      </c>
      <c r="C17" s="39" t="str">
        <f>IF(A17="","",IF(OR(D17="Coach",D17="Treasurer"),"Waived",IF(OR(B17="",B17=0),"",IF(SUMIFS(Transactions!$F$7:$F$991,Transactions!$D$7:$D$991,"Income",Transactions!$C$7:$C$991,"Dues",Transactions!$E$7:$E$991,A17)&gt;=B17,"Paid",IF(SUMIFS(Transactions!$F$7:$F$991,Transactions!$D$7:$D$991,"Income",Transactions!$C$7:$C$991,"Dues",Transactions!$E$7:$E$991,A17)&gt;0,"Partial","Unpaid")))))</f>
        <v/>
      </c>
      <c r="D17" s="26" t="str">
        <f>'Access Codes'!C18</f>
        <v>Player</v>
      </c>
      <c r="E17" s="39" t="str">
        <f>'Access Codes'!D18</f>
        <v>Active</v>
      </c>
      <c r="F17" s="39"/>
      <c r="G17" s="39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9.5" customHeight="1">
      <c r="A18" s="39" t="str">
        <f>'Access Codes'!A19</f>
        <v>Kasey Schock</v>
      </c>
      <c r="B18" s="40">
        <f t="array" ref="B18">IFERROR(INDEX('Player Balances'!$B$7:$B$206,MATCH(A18,'Player Balances'!$A$7:$A$206,0)),"")</f>
        <v>0</v>
      </c>
      <c r="C18" s="39" t="str">
        <f>IF(A18="","",IF(OR(D18="Coach",D18="Treasurer"),"Waived",IF(OR(B18="",B18=0),"",IF(SUMIFS(Transactions!$F$7:$F$991,Transactions!$D$7:$D$991,"Income",Transactions!$C$7:$C$991,"Dues",Transactions!$E$7:$E$991,A18)&gt;=B18,"Paid",IF(SUMIFS(Transactions!$F$7:$F$991,Transactions!$D$7:$D$991,"Income",Transactions!$C$7:$C$991,"Dues",Transactions!$E$7:$E$991,A18)&gt;0,"Partial","Unpaid")))))</f>
        <v/>
      </c>
      <c r="D18" s="26" t="str">
        <f>'Access Codes'!C19</f>
        <v>Player</v>
      </c>
      <c r="E18" s="39" t="str">
        <f>'Access Codes'!D19</f>
        <v>Active</v>
      </c>
      <c r="F18" s="39"/>
      <c r="G18" s="39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9.5" customHeight="1">
      <c r="A19" s="39" t="str">
        <f>'Access Codes'!A20</f>
        <v>Kevin Nicholl</v>
      </c>
      <c r="B19" s="40">
        <f t="array" ref="B19">IFERROR(INDEX('Player Balances'!$B$7:$B$206,MATCH(A19,'Player Balances'!$A$7:$A$206,0)),"")</f>
        <v>0</v>
      </c>
      <c r="C19" s="39" t="str">
        <f>IF(A19="","",IF(OR(D19="Coach",D19="Treasurer"),"Waived",IF(OR(B19="",B19=0),"",IF(SUMIFS(Transactions!$F$7:$F$991,Transactions!$D$7:$D$991,"Income",Transactions!$C$7:$C$991,"Dues",Transactions!$E$7:$E$991,A19)&gt;=B19,"Paid",IF(SUMIFS(Transactions!$F$7:$F$991,Transactions!$D$7:$D$991,"Income",Transactions!$C$7:$C$991,"Dues",Transactions!$E$7:$E$991,A19)&gt;0,"Partial","Unpaid")))))</f>
        <v/>
      </c>
      <c r="D19" s="26" t="str">
        <f>'Access Codes'!C20</f>
        <v>Player</v>
      </c>
      <c r="E19" s="39" t="str">
        <f>'Access Codes'!D20</f>
        <v>Active</v>
      </c>
      <c r="F19" s="39"/>
      <c r="G19" s="39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9.5" customHeight="1">
      <c r="A20" s="39" t="str">
        <f>'Access Codes'!A21</f>
        <v>Kit Asterin</v>
      </c>
      <c r="B20" s="40">
        <f t="array" ref="B20">IFERROR(INDEX('Player Balances'!$B$7:$B$206,MATCH(A20,'Player Balances'!$A$7:$A$206,0)),"")</f>
        <v>0</v>
      </c>
      <c r="C20" s="39" t="str">
        <f>IF(A20="","",IF(OR(D20="Coach",D20="Treasurer"),"Waived",IF(OR(B20="",B20=0),"",IF(SUMIFS(Transactions!$F$7:$F$991,Transactions!$D$7:$D$991,"Income",Transactions!$C$7:$C$991,"Dues",Transactions!$E$7:$E$991,A20)&gt;=B20,"Paid",IF(SUMIFS(Transactions!$F$7:$F$991,Transactions!$D$7:$D$991,"Income",Transactions!$C$7:$C$991,"Dues",Transactions!$E$7:$E$991,A20)&gt;0,"Partial","Unpaid")))))</f>
        <v/>
      </c>
      <c r="D20" s="26" t="str">
        <f>'Access Codes'!C21</f>
        <v>Captain</v>
      </c>
      <c r="E20" s="39" t="str">
        <f>'Access Codes'!D21</f>
        <v>Active</v>
      </c>
      <c r="F20" s="39"/>
      <c r="G20" s="39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9.5" customHeight="1">
      <c r="A21" s="39" t="str">
        <f>'Access Codes'!A22</f>
        <v>Kristin Dudley</v>
      </c>
      <c r="B21" s="40">
        <f t="array" ref="B21">IFERROR(INDEX('Player Balances'!$B$7:$B$206,MATCH(A21,'Player Balances'!$A$7:$A$206,0)),"")</f>
        <v>0</v>
      </c>
      <c r="C21" s="39" t="str">
        <f>IF(A21="","",IF(OR(D21="Coach",D21="Treasurer"),"Waived",IF(OR(B21="",B21=0),"",IF(SUMIFS(Transactions!$F$7:$F$991,Transactions!$D$7:$D$991,"Income",Transactions!$C$7:$C$991,"Dues",Transactions!$E$7:$E$991,A21)&gt;=B21,"Paid",IF(SUMIFS(Transactions!$F$7:$F$991,Transactions!$D$7:$D$991,"Income",Transactions!$C$7:$C$991,"Dues",Transactions!$E$7:$E$991,A21)&gt;0,"Partial","Unpaid")))))</f>
        <v/>
      </c>
      <c r="D21" s="26" t="str">
        <f>'Access Codes'!C22</f>
        <v>Player</v>
      </c>
      <c r="E21" s="39" t="str">
        <f>'Access Codes'!D22</f>
        <v>Active</v>
      </c>
      <c r="F21" s="39"/>
      <c r="G21" s="39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9.5" customHeight="1">
      <c r="A22" s="39" t="str">
        <f>'Access Codes'!A23</f>
        <v>Lexie Thomas</v>
      </c>
      <c r="B22" s="40">
        <f t="array" ref="B22">IFERROR(INDEX('Player Balances'!$B$7:$B$206,MATCH(A22,'Player Balances'!$A$7:$A$206,0)),"")</f>
        <v>0</v>
      </c>
      <c r="C22" s="39" t="str">
        <f>IF(A22="","",IF(OR(D22="Coach",D22="Treasurer"),"Waived",IF(OR(B22="",B22=0),"",IF(SUMIFS(Transactions!$F$7:$F$991,Transactions!$D$7:$D$991,"Income",Transactions!$C$7:$C$991,"Dues",Transactions!$E$7:$E$991,A22)&gt;=B22,"Paid",IF(SUMIFS(Transactions!$F$7:$F$991,Transactions!$D$7:$D$991,"Income",Transactions!$C$7:$C$991,"Dues",Transactions!$E$7:$E$991,A22)&gt;0,"Partial","Unpaid")))))</f>
        <v/>
      </c>
      <c r="D22" s="26" t="str">
        <f>'Access Codes'!C23</f>
        <v>Player</v>
      </c>
      <c r="E22" s="39" t="str">
        <f>'Access Codes'!D23</f>
        <v>Active</v>
      </c>
      <c r="F22" s="39"/>
      <c r="G22" s="39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9.5" customHeight="1">
      <c r="A23" s="39" t="str">
        <f>'Access Codes'!A24</f>
        <v>Lucas Jones</v>
      </c>
      <c r="B23" s="40">
        <f t="array" ref="B23">IFERROR(INDEX('Player Balances'!$B$7:$B$206,MATCH(A23,'Player Balances'!$A$7:$A$206,0)),"")</f>
        <v>0</v>
      </c>
      <c r="C23" s="39" t="str">
        <f>IF(A23="","",IF(OR(D23="Coach",D23="Treasurer"),"Waived",IF(OR(B23="",B23=0),"",IF(SUMIFS(Transactions!$F$7:$F$991,Transactions!$D$7:$D$991,"Income",Transactions!$C$7:$C$991,"Dues",Transactions!$E$7:$E$991,A23)&gt;=B23,"Paid",IF(SUMIFS(Transactions!$F$7:$F$991,Transactions!$D$7:$D$991,"Income",Transactions!$C$7:$C$991,"Dues",Transactions!$E$7:$E$991,A23)&gt;0,"Partial","Unpaid")))))</f>
        <v/>
      </c>
      <c r="D23" s="26" t="str">
        <f>'Access Codes'!C24</f>
        <v>Player</v>
      </c>
      <c r="E23" s="39" t="str">
        <f>'Access Codes'!D24</f>
        <v>Active</v>
      </c>
      <c r="F23" s="39"/>
      <c r="G23" s="39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9.5" customHeight="1">
      <c r="A24" s="39" t="str">
        <f>'Access Codes'!A25</f>
        <v>Max Sheppard</v>
      </c>
      <c r="B24" s="40">
        <f t="array" ref="B24">IFERROR(INDEX('Player Balances'!$B$7:$B$206,MATCH(A24,'Player Balances'!$A$7:$A$206,0)),"")</f>
        <v>0</v>
      </c>
      <c r="C24" s="39" t="str">
        <f>IF(A24="","",IF(OR(D24="Coach",D24="Treasurer"),"Waived",IF(OR(B24="",B24=0),"",IF(SUMIFS(Transactions!$F$7:$F$991,Transactions!$D$7:$D$991,"Income",Transactions!$C$7:$C$991,"Dues",Transactions!$E$7:$E$991,A24)&gt;=B24,"Paid",IF(SUMIFS(Transactions!$F$7:$F$991,Transactions!$D$7:$D$991,"Income",Transactions!$C$7:$C$991,"Dues",Transactions!$E$7:$E$991,A24)&gt;0,"Partial","Unpaid")))))</f>
        <v/>
      </c>
      <c r="D24" s="26" t="str">
        <f>'Access Codes'!C25</f>
        <v>Player</v>
      </c>
      <c r="E24" s="39" t="str">
        <f>'Access Codes'!D25</f>
        <v>Active</v>
      </c>
      <c r="F24" s="39"/>
      <c r="G24" s="39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9.5" customHeight="1">
      <c r="A25" s="39" t="str">
        <f>'Access Codes'!A26</f>
        <v>Lucius Christie</v>
      </c>
      <c r="B25" s="40">
        <f t="array" ref="B25">IFERROR(INDEX('Player Balances'!$B$7:$B$206,MATCH(A25,'Player Balances'!$A$7:$A$206,0)),"")</f>
        <v>0</v>
      </c>
      <c r="C25" s="39" t="str">
        <f>IF(A25="","",IF(OR(D25="Coach",D25="Treasurer"),"Waived",IF(OR(B25="",B25=0),"",IF(SUMIFS(Transactions!$F$7:$F$991,Transactions!$D$7:$D$991,"Income",Transactions!$C$7:$C$991,"Dues",Transactions!$E$7:$E$991,A25)&gt;=B25,"Paid",IF(SUMIFS(Transactions!$F$7:$F$991,Transactions!$D$7:$D$991,"Income",Transactions!$C$7:$C$991,"Dues",Transactions!$E$7:$E$991,A25)&gt;0,"Partial","Unpaid")))))</f>
        <v/>
      </c>
      <c r="D25" s="26" t="str">
        <f>'Access Codes'!C26</f>
        <v>Player</v>
      </c>
      <c r="E25" s="39" t="str">
        <f>'Access Codes'!D26</f>
        <v>Active</v>
      </c>
      <c r="F25" s="39"/>
      <c r="G25" s="39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9.5" customHeight="1">
      <c r="A26" s="39" t="str">
        <f>'Access Codes'!A27</f>
        <v>Patrick McMullen</v>
      </c>
      <c r="B26" s="40">
        <f t="array" ref="B26">IFERROR(INDEX('Player Balances'!$B$7:$B$206,MATCH(A26,'Player Balances'!$A$7:$A$206,0)),"")</f>
        <v>0</v>
      </c>
      <c r="C26" s="39" t="str">
        <f>IF(A26="","",IF(OR(D26="Coach",D26="Treasurer"),"Waived",IF(OR(B26="",B26=0),"",IF(SUMIFS(Transactions!$F$7:$F$991,Transactions!$D$7:$D$991,"Income",Transactions!$C$7:$C$991,"Dues",Transactions!$E$7:$E$991,A26)&gt;=B26,"Paid",IF(SUMIFS(Transactions!$F$7:$F$991,Transactions!$D$7:$D$991,"Income",Transactions!$C$7:$C$991,"Dues",Transactions!$E$7:$E$991,A26)&gt;0,"Partial","Unpaid")))))</f>
        <v/>
      </c>
      <c r="D26" s="26" t="str">
        <f>'Access Codes'!C27</f>
        <v>Player</v>
      </c>
      <c r="E26" s="39" t="str">
        <f>'Access Codes'!D27</f>
        <v>Active</v>
      </c>
      <c r="F26" s="39"/>
      <c r="G26" s="39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9.5" customHeight="1">
      <c r="A27" s="39" t="str">
        <f>'Access Codes'!A28</f>
        <v>Rachel Graber</v>
      </c>
      <c r="B27" s="40">
        <f t="array" ref="B27">IFERROR(INDEX('Player Balances'!$B$7:$B$206,MATCH(A27,'Player Balances'!$A$7:$A$206,0)),"")</f>
        <v>0</v>
      </c>
      <c r="C27" s="39" t="str">
        <f>IF(A27="","",IF(OR(D27="Coach",D27="Treasurer"),"Waived",IF(OR(B27="",B27=0),"",IF(SUMIFS(Transactions!$F$7:$F$991,Transactions!$D$7:$D$991,"Income",Transactions!$C$7:$C$991,"Dues",Transactions!$E$7:$E$991,A27)&gt;=B27,"Paid",IF(SUMIFS(Transactions!$F$7:$F$991,Transactions!$D$7:$D$991,"Income",Transactions!$C$7:$C$991,"Dues",Transactions!$E$7:$E$991,A27)&gt;0,"Partial","Unpaid")))))</f>
        <v/>
      </c>
      <c r="D27" s="26" t="str">
        <f>'Access Codes'!C28</f>
        <v>Player</v>
      </c>
      <c r="E27" s="39" t="str">
        <f>'Access Codes'!D28</f>
        <v>Active</v>
      </c>
      <c r="F27" s="39"/>
      <c r="G27" s="39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9.5" customHeight="1">
      <c r="A28" s="39" t="str">
        <f>'Access Codes'!A29</f>
        <v>Ryan Kindell</v>
      </c>
      <c r="B28" s="40">
        <f t="array" ref="B28">IFERROR(INDEX('Player Balances'!$B$7:$B$206,MATCH(A28,'Player Balances'!$A$7:$A$206,0)),"")</f>
        <v>0</v>
      </c>
      <c r="C28" s="39" t="str">
        <f>IF(A28="","",IF(OR(D28="Coach",D28="Treasurer"),"Waived",IF(OR(B28="",B28=0),"",IF(SUMIFS(Transactions!$F$7:$F$991,Transactions!$D$7:$D$991,"Income",Transactions!$C$7:$C$991,"Dues",Transactions!$E$7:$E$991,A28)&gt;=B28,"Paid",IF(SUMIFS(Transactions!$F$7:$F$991,Transactions!$D$7:$D$991,"Income",Transactions!$C$7:$C$991,"Dues",Transactions!$E$7:$E$991,A28)&gt;0,"Partial","Unpaid")))))</f>
        <v/>
      </c>
      <c r="D28" s="26" t="str">
        <f>'Access Codes'!C29</f>
        <v>Player</v>
      </c>
      <c r="E28" s="39" t="str">
        <f>'Access Codes'!D29</f>
        <v>Active</v>
      </c>
      <c r="F28" s="39"/>
      <c r="G28" s="39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9.5" customHeight="1">
      <c r="A29" s="39" t="str">
        <f>'Access Codes'!A30</f>
        <v>Ryan Ward</v>
      </c>
      <c r="B29" s="40">
        <f t="array" ref="B29">IFERROR(INDEX('Player Balances'!$B$7:$B$206,MATCH(A29,'Player Balances'!$A$7:$A$206,0)),"")</f>
        <v>0</v>
      </c>
      <c r="C29" s="39" t="str">
        <f>IF(A29="","",IF(OR(D29="Coach",D29="Treasurer"),"Waived",IF(OR(B29="",B29=0),"",IF(SUMIFS(Transactions!$F$7:$F$991,Transactions!$D$7:$D$991,"Income",Transactions!$C$7:$C$991,"Dues",Transactions!$E$7:$E$991,A29)&gt;=B29,"Paid",IF(SUMIFS(Transactions!$F$7:$F$991,Transactions!$D$7:$D$991,"Income",Transactions!$C$7:$C$991,"Dues",Transactions!$E$7:$E$991,A29)&gt;0,"Partial","Unpaid")))))</f>
        <v/>
      </c>
      <c r="D29" s="26" t="str">
        <f>'Access Codes'!C30</f>
        <v>Player</v>
      </c>
      <c r="E29" s="39" t="str">
        <f>'Access Codes'!D30</f>
        <v>Active</v>
      </c>
      <c r="F29" s="39"/>
      <c r="G29" s="39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9.5" customHeight="1">
      <c r="A30" s="39" t="str">
        <f>'Access Codes'!A31</f>
        <v>Sam Gombiner</v>
      </c>
      <c r="B30" s="40">
        <f t="array" ref="B30">IFERROR(INDEX('Player Balances'!$B$7:$B$206,MATCH(A30,'Player Balances'!$A$7:$A$206,0)),"")</f>
        <v>0</v>
      </c>
      <c r="C30" s="39" t="str">
        <f>IF(A30="","",IF(OR(D30="Coach",D30="Treasurer"),"Waived",IF(OR(B30="",B30=0),"",IF(SUMIFS(Transactions!$F$7:$F$991,Transactions!$D$7:$D$991,"Income",Transactions!$C$7:$C$991,"Dues",Transactions!$E$7:$E$991,A30)&gt;=B30,"Paid",IF(SUMIFS(Transactions!$F$7:$F$991,Transactions!$D$7:$D$991,"Income",Transactions!$C$7:$C$991,"Dues",Transactions!$E$7:$E$991,A30)&gt;0,"Partial","Unpaid")))))</f>
        <v/>
      </c>
      <c r="D30" s="26" t="str">
        <f>'Access Codes'!C31</f>
        <v>Player</v>
      </c>
      <c r="E30" s="39" t="str">
        <f>'Access Codes'!D31</f>
        <v>Active</v>
      </c>
      <c r="F30" s="39"/>
      <c r="G30" s="39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9.5" customHeight="1">
      <c r="A31" s="39" t="str">
        <f>'Access Codes'!A32</f>
        <v>Sarah Kingsley-Hart</v>
      </c>
      <c r="B31" s="40">
        <f t="array" ref="B31">IFERROR(INDEX('Player Balances'!$B$7:$B$206,MATCH(A31,'Player Balances'!$A$7:$A$206,0)),"")</f>
        <v>0</v>
      </c>
      <c r="C31" s="39" t="str">
        <f>IF(A31="","",IF(OR(D31="Coach",D31="Treasurer"),"Waived",IF(OR(B31="",B31=0),"",IF(SUMIFS(Transactions!$F$7:$F$991,Transactions!$D$7:$D$991,"Income",Transactions!$C$7:$C$991,"Dues",Transactions!$E$7:$E$991,A31)&gt;=B31,"Paid",IF(SUMIFS(Transactions!$F$7:$F$991,Transactions!$D$7:$D$991,"Income",Transactions!$C$7:$C$991,"Dues",Transactions!$E$7:$E$991,A31)&gt;0,"Partial","Unpaid")))))</f>
        <v/>
      </c>
      <c r="D31" s="26" t="str">
        <f>'Access Codes'!C32</f>
        <v>Player</v>
      </c>
      <c r="E31" s="39" t="str">
        <f>'Access Codes'!D32</f>
        <v>Active</v>
      </c>
      <c r="F31" s="39"/>
      <c r="G31" s="39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9.5" customHeight="1">
      <c r="A32" s="39" t="str">
        <f>'Access Codes'!A33</f>
        <v>Sarah Lynch</v>
      </c>
      <c r="B32" s="40">
        <f t="array" ref="B32">IFERROR(INDEX('Player Balances'!$B$7:$B$206,MATCH(A32,'Player Balances'!$A$7:$A$206,0)),"")</f>
        <v>0</v>
      </c>
      <c r="C32" s="39" t="str">
        <f>IF(A32="","",IF(OR(D32="Coach",D32="Treasurer"),"Waived",IF(OR(B32="",B32=0),"",IF(SUMIFS(Transactions!$F$7:$F$991,Transactions!$D$7:$D$991,"Income",Transactions!$C$7:$C$991,"Dues",Transactions!$E$7:$E$991,A32)&gt;=B32,"Paid",IF(SUMIFS(Transactions!$F$7:$F$991,Transactions!$D$7:$D$991,"Income",Transactions!$C$7:$C$991,"Dues",Transactions!$E$7:$E$991,A32)&gt;0,"Partial","Unpaid")))))</f>
        <v/>
      </c>
      <c r="D32" s="26" t="str">
        <f>'Access Codes'!C33</f>
        <v>Player</v>
      </c>
      <c r="E32" s="39" t="str">
        <f>'Access Codes'!D33</f>
        <v>Active</v>
      </c>
      <c r="F32" s="39"/>
      <c r="G32" s="39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9.5" customHeight="1">
      <c r="A33" s="39" t="str">
        <f>'Access Codes'!A34</f>
        <v>Shani Rosenthal</v>
      </c>
      <c r="B33" s="40">
        <f t="array" ref="B33">IFERROR(INDEX('Player Balances'!$B$7:$B$206,MATCH(A33,'Player Balances'!$A$7:$A$206,0)),"")</f>
        <v>0</v>
      </c>
      <c r="C33" s="39" t="str">
        <f>IF(A33="","",IF(OR(D33="Coach",D33="Treasurer"),"Waived",IF(OR(B33="",B33=0),"",IF(SUMIFS(Transactions!$F$7:$F$991,Transactions!$D$7:$D$991,"Income",Transactions!$C$7:$C$991,"Dues",Transactions!$E$7:$E$991,A33)&gt;=B33,"Paid",IF(SUMIFS(Transactions!$F$7:$F$991,Transactions!$D$7:$D$991,"Income",Transactions!$C$7:$C$991,"Dues",Transactions!$E$7:$E$991,A33)&gt;0,"Partial","Unpaid")))))</f>
        <v/>
      </c>
      <c r="D33" s="26" t="str">
        <f>'Access Codes'!C34</f>
        <v>Player</v>
      </c>
      <c r="E33" s="39" t="str">
        <f>'Access Codes'!D34</f>
        <v>Active</v>
      </c>
      <c r="F33" s="39"/>
      <c r="G33" s="39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9.5" customHeight="1">
      <c r="A34" s="39" t="str">
        <f>'Access Codes'!A35</f>
        <v>Vivian Shen</v>
      </c>
      <c r="B34" s="40">
        <f t="array" ref="B34">IFERROR(INDEX('Player Balances'!$B$7:$B$206,MATCH(A34,'Player Balances'!$A$7:$A$206,0)),"")</f>
        <v>0</v>
      </c>
      <c r="C34" s="39" t="str">
        <f>IF(A34="","",IF(OR(D34="Coach",D34="Treasurer"),"Waived",IF(OR(B34="",B34=0),"",IF(SUMIFS(Transactions!$F$7:$F$991,Transactions!$D$7:$D$991,"Income",Transactions!$C$7:$C$991,"Dues",Transactions!$E$7:$E$991,A34)&gt;=B34,"Paid",IF(SUMIFS(Transactions!$F$7:$F$991,Transactions!$D$7:$D$991,"Income",Transactions!$C$7:$C$991,"Dues",Transactions!$E$7:$E$991,A34)&gt;0,"Partial","Unpaid")))))</f>
        <v/>
      </c>
      <c r="D34" s="26" t="str">
        <f>'Access Codes'!C35</f>
        <v>Player</v>
      </c>
      <c r="E34" s="39" t="str">
        <f>'Access Codes'!D35</f>
        <v>Active</v>
      </c>
      <c r="F34" s="39"/>
      <c r="G34" s="39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9.5" customHeight="1">
      <c r="A35" s="39" t="str">
        <f>'Access Codes'!A36</f>
        <v>Zach Esakof</v>
      </c>
      <c r="B35" s="40">
        <f t="array" ref="B35">IFERROR(INDEX('Player Balances'!$B$7:$B$206,MATCH(A35,'Player Balances'!$A$7:$A$206,0)),"")</f>
        <v>0</v>
      </c>
      <c r="C35" s="39" t="str">
        <f>IF(A35="","",IF(OR(D35="Coach",D35="Treasurer"),"Waived",IF(OR(B35="",B35=0),"",IF(SUMIFS(Transactions!$F$7:$F$991,Transactions!$D$7:$D$991,"Income",Transactions!$C$7:$C$991,"Dues",Transactions!$E$7:$E$991,A35)&gt;=B35,"Paid",IF(SUMIFS(Transactions!$F$7:$F$991,Transactions!$D$7:$D$991,"Income",Transactions!$C$7:$C$991,"Dues",Transactions!$E$7:$E$991,A35)&gt;0,"Partial","Unpaid")))))</f>
        <v/>
      </c>
      <c r="D35" s="26" t="str">
        <f>'Access Codes'!C36</f>
        <v>Player</v>
      </c>
      <c r="E35" s="39" t="str">
        <f>'Access Codes'!D36</f>
        <v>Active</v>
      </c>
      <c r="F35" s="39"/>
      <c r="G35" s="39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9.5" customHeight="1">
      <c r="A36" s="39" t="str">
        <f>'Access Codes'!A37</f>
        <v>Annette Kukunas-Piper</v>
      </c>
      <c r="B36" s="40">
        <f t="array" ref="B36">IFERROR(INDEX('Player Balances'!$B$7:$B$206,MATCH(A36,'Player Balances'!$A$7:$A$206,0)),"")</f>
        <v>0</v>
      </c>
      <c r="C36" s="39" t="str">
        <f>IF(A36="","",IF(OR(D36="Coach",D36="Treasurer"),"Waived",IF(OR(B36="",B36=0),"",IF(SUMIFS(Transactions!$F$7:$F$991,Transactions!$D$7:$D$991,"Income",Transactions!$C$7:$C$991,"Dues",Transactions!$E$7:$E$991,A36)&gt;=B36,"Paid",IF(SUMIFS(Transactions!$F$7:$F$991,Transactions!$D$7:$D$991,"Income",Transactions!$C$7:$C$991,"Dues",Transactions!$E$7:$E$991,A36)&gt;0,"Partial","Unpaid")))))</f>
        <v>Waived</v>
      </c>
      <c r="D36" s="26" t="str">
        <f>'Access Codes'!C37</f>
        <v>Coach</v>
      </c>
      <c r="E36" s="39" t="str">
        <f>'Access Codes'!D37</f>
        <v>Active</v>
      </c>
      <c r="F36" s="39"/>
      <c r="G36" s="39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9.5" customHeight="1">
      <c r="A37" s="39" t="str">
        <f>'Access Codes'!A38</f>
        <v>Matt Duffy</v>
      </c>
      <c r="B37" s="40">
        <f t="array" ref="B37">IFERROR(INDEX('Player Balances'!$B$7:$B$206,MATCH(A37,'Player Balances'!$A$7:$A$206,0)),"")</f>
        <v>0</v>
      </c>
      <c r="C37" s="39" t="str">
        <f>IF(A37="","",IF(OR(D37="Coach",D37="Treasurer"),"Waived",IF(OR(B37="",B37=0),"",IF(SUMIFS(Transactions!$F$7:$F$991,Transactions!$D$7:$D$991,"Income",Transactions!$C$7:$C$991,"Dues",Transactions!$E$7:$E$991,A37)&gt;=B37,"Paid",IF(SUMIFS(Transactions!$F$7:$F$991,Transactions!$D$7:$D$991,"Income",Transactions!$C$7:$C$991,"Dues",Transactions!$E$7:$E$991,A37)&gt;0,"Partial","Unpaid")))))</f>
        <v>Waived</v>
      </c>
      <c r="D37" s="26" t="str">
        <f>'Access Codes'!C38</f>
        <v>Coach</v>
      </c>
      <c r="E37" s="39" t="str">
        <f>'Access Codes'!D38</f>
        <v>Active</v>
      </c>
      <c r="F37" s="39"/>
      <c r="G37" s="39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9.5" customHeight="1">
      <c r="A38" s="39" t="str">
        <f>'Access Codes'!A39</f>
        <v>Ryan Birchard</v>
      </c>
      <c r="B38" s="40">
        <f t="array" ref="B38">IFERROR(INDEX('Player Balances'!$B$7:$B$206,MATCH(A38,'Player Balances'!$A$7:$A$206,0)),"")</f>
        <v>0</v>
      </c>
      <c r="C38" s="39" t="str">
        <f>IF(A38="","",IF(OR(D38="Coach",D38="Treasurer"),"Waived",IF(OR(B38="",B38=0),"",IF(SUMIFS(Transactions!$F$7:$F$991,Transactions!$D$7:$D$991,"Income",Transactions!$C$7:$C$991,"Dues",Transactions!$E$7:$E$991,A38)&gt;=B38,"Paid",IF(SUMIFS(Transactions!$F$7:$F$991,Transactions!$D$7:$D$991,"Income",Transactions!$C$7:$C$991,"Dues",Transactions!$E$7:$E$991,A38)&gt;0,"Partial","Unpaid")))))</f>
        <v>Waived</v>
      </c>
      <c r="D38" s="26" t="str">
        <f>'Access Codes'!C39</f>
        <v>Coach</v>
      </c>
      <c r="E38" s="39" t="str">
        <f>'Access Codes'!D39</f>
        <v>Active</v>
      </c>
      <c r="F38" s="39"/>
      <c r="G38" s="39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9.5" customHeight="1">
      <c r="A39" s="39" t="str">
        <f>'Access Codes'!A40</f>
        <v>Nick Blair</v>
      </c>
      <c r="B39" s="40"/>
      <c r="C39" s="39" t="str">
        <f>IF(A39="","",IF(OR(D39="Coach",D39="Treasurer"),"Waived",IF(OR(B39="",B39=0),"",IF(SUMIFS(Transactions!$F$7:$F$991,Transactions!$D$7:$D$991,"Income",Transactions!$C$7:$C$991,"Dues",Transactions!$E$7:$E$991,A39)&gt;=B39,"Paid",IF(SUMIFS(Transactions!$F$7:$F$991,Transactions!$D$7:$D$991,"Income",Transactions!$C$7:$C$991,"Dues",Transactions!$E$7:$E$991,A39)&gt;0,"Partial","Unpaid")))))</f>
        <v/>
      </c>
      <c r="D39" s="26" t="str">
        <f>'Access Codes'!C40</f>
        <v>Support</v>
      </c>
      <c r="E39" s="39" t="str">
        <f>'Access Codes'!D40</f>
        <v>Active</v>
      </c>
      <c r="F39" s="39"/>
      <c r="G39" s="39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9.5" customHeight="1">
      <c r="A40" s="39" t="str">
        <f>'Access Codes'!A41</f>
        <v>Lily Nguyen</v>
      </c>
      <c r="B40" s="40"/>
      <c r="C40" s="39"/>
      <c r="D40" s="39"/>
      <c r="E40" s="39" t="str">
        <f>'Access Codes'!D41</f>
        <v>Active</v>
      </c>
      <c r="F40" s="39"/>
      <c r="G40" s="39" t="s">
        <v>112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9.5" customHeight="1">
      <c r="A41" s="39"/>
      <c r="B41" s="40"/>
      <c r="C41" s="39"/>
      <c r="D41" s="39"/>
      <c r="E41" s="39"/>
      <c r="F41" s="39"/>
      <c r="G41" s="39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9.5" customHeight="1">
      <c r="A42" s="39"/>
      <c r="B42" s="40"/>
      <c r="C42" s="39"/>
      <c r="D42" s="39"/>
      <c r="E42" s="39"/>
      <c r="F42" s="39"/>
      <c r="G42" s="39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9.5" customHeight="1">
      <c r="A43" s="39"/>
      <c r="B43" s="40"/>
      <c r="C43" s="39"/>
      <c r="D43" s="39"/>
      <c r="E43" s="39"/>
      <c r="F43" s="39"/>
      <c r="G43" s="39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9.5" customHeight="1">
      <c r="A44" s="39"/>
      <c r="B44" s="40"/>
      <c r="C44" s="39"/>
      <c r="D44" s="39"/>
      <c r="E44" s="39"/>
      <c r="F44" s="39"/>
      <c r="G44" s="39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9.5" customHeight="1">
      <c r="A45" s="39"/>
      <c r="B45" s="40"/>
      <c r="C45" s="39"/>
      <c r="D45" s="39"/>
      <c r="E45" s="39"/>
      <c r="F45" s="39"/>
      <c r="G45" s="39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9.5" customHeight="1">
      <c r="A46" s="39"/>
      <c r="B46" s="40"/>
      <c r="C46" s="39"/>
      <c r="D46" s="39"/>
      <c r="E46" s="39"/>
      <c r="F46" s="39"/>
      <c r="G46" s="3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9.5" customHeight="1">
      <c r="A47" s="39"/>
      <c r="B47" s="40"/>
      <c r="C47" s="39"/>
      <c r="D47" s="39"/>
      <c r="E47" s="39"/>
      <c r="F47" s="39"/>
      <c r="G47" s="3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9.5" customHeight="1">
      <c r="A48" s="39"/>
      <c r="B48" s="40"/>
      <c r="C48" s="39"/>
      <c r="D48" s="39"/>
      <c r="E48" s="39"/>
      <c r="F48" s="39"/>
      <c r="G48" s="39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9.5" customHeight="1">
      <c r="A49" s="39"/>
      <c r="B49" s="40"/>
      <c r="C49" s="39"/>
      <c r="D49" s="39"/>
      <c r="E49" s="39"/>
      <c r="F49" s="39"/>
      <c r="G49" s="39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9.5" customHeight="1">
      <c r="A50" s="39"/>
      <c r="B50" s="40"/>
      <c r="C50" s="39"/>
      <c r="D50" s="39"/>
      <c r="E50" s="39"/>
      <c r="F50" s="39"/>
      <c r="G50" s="39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9.5" customHeight="1">
      <c r="A51" s="39"/>
      <c r="B51" s="40"/>
      <c r="C51" s="39"/>
      <c r="D51" s="39"/>
      <c r="E51" s="39"/>
      <c r="F51" s="39"/>
      <c r="G51" s="39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9.5" customHeight="1">
      <c r="A52" s="39"/>
      <c r="B52" s="40"/>
      <c r="C52" s="39"/>
      <c r="D52" s="39"/>
      <c r="E52" s="39"/>
      <c r="F52" s="39"/>
      <c r="G52" s="39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9.5" customHeight="1">
      <c r="A53" s="39"/>
      <c r="B53" s="40"/>
      <c r="C53" s="39"/>
      <c r="D53" s="39"/>
      <c r="E53" s="39"/>
      <c r="F53" s="39"/>
      <c r="G53" s="39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9.5" customHeight="1">
      <c r="A54" s="39"/>
      <c r="B54" s="40"/>
      <c r="C54" s="39"/>
      <c r="D54" s="39"/>
      <c r="E54" s="39"/>
      <c r="F54" s="39"/>
      <c r="G54" s="39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9.5" customHeight="1">
      <c r="A55" s="39"/>
      <c r="B55" s="40"/>
      <c r="C55" s="39"/>
      <c r="D55" s="39"/>
      <c r="E55" s="39"/>
      <c r="F55" s="39"/>
      <c r="G55" s="39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9.5" customHeight="1">
      <c r="A56" s="39"/>
      <c r="B56" s="40"/>
      <c r="C56" s="39"/>
      <c r="D56" s="39"/>
      <c r="E56" s="39"/>
      <c r="F56" s="39"/>
      <c r="G56" s="39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9.5" customHeight="1">
      <c r="A57" s="39"/>
      <c r="B57" s="40"/>
      <c r="C57" s="39"/>
      <c r="D57" s="39"/>
      <c r="E57" s="39"/>
      <c r="F57" s="39"/>
      <c r="G57" s="39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9.5" customHeight="1">
      <c r="A58" s="39"/>
      <c r="B58" s="40"/>
      <c r="C58" s="39"/>
      <c r="D58" s="39"/>
      <c r="E58" s="39"/>
      <c r="F58" s="39"/>
      <c r="G58" s="3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9.5" customHeight="1">
      <c r="A59" s="39"/>
      <c r="B59" s="40"/>
      <c r="C59" s="39"/>
      <c r="D59" s="39"/>
      <c r="E59" s="39"/>
      <c r="F59" s="39"/>
      <c r="G59" s="3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9.5" customHeight="1">
      <c r="A60" s="39"/>
      <c r="B60" s="40"/>
      <c r="C60" s="39"/>
      <c r="D60" s="39"/>
      <c r="E60" s="39"/>
      <c r="F60" s="39"/>
      <c r="G60" s="39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9.5" customHeight="1">
      <c r="A61" s="39"/>
      <c r="B61" s="40"/>
      <c r="C61" s="39"/>
      <c r="D61" s="39"/>
      <c r="E61" s="39"/>
      <c r="F61" s="39"/>
      <c r="G61" s="39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9.5" customHeight="1">
      <c r="A62" s="39"/>
      <c r="B62" s="40"/>
      <c r="C62" s="39"/>
      <c r="D62" s="39"/>
      <c r="E62" s="39"/>
      <c r="F62" s="39"/>
      <c r="G62" s="39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9.5" customHeight="1">
      <c r="A63" s="39"/>
      <c r="B63" s="40"/>
      <c r="C63" s="39"/>
      <c r="D63" s="39"/>
      <c r="E63" s="39"/>
      <c r="F63" s="39"/>
      <c r="G63" s="39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9.5" customHeight="1">
      <c r="A64" s="39"/>
      <c r="B64" s="40"/>
      <c r="C64" s="39"/>
      <c r="D64" s="39"/>
      <c r="E64" s="39"/>
      <c r="F64" s="39"/>
      <c r="G64" s="39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9.5" customHeight="1">
      <c r="A65" s="39"/>
      <c r="B65" s="40"/>
      <c r="C65" s="39"/>
      <c r="D65" s="39"/>
      <c r="E65" s="39"/>
      <c r="F65" s="39"/>
      <c r="G65" s="39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9.5" customHeight="1">
      <c r="A66" s="39"/>
      <c r="B66" s="40"/>
      <c r="C66" s="39"/>
      <c r="D66" s="39"/>
      <c r="E66" s="39"/>
      <c r="F66" s="39"/>
      <c r="G66" s="39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9.5" customHeight="1">
      <c r="A67" s="39"/>
      <c r="B67" s="40"/>
      <c r="C67" s="39"/>
      <c r="D67" s="39"/>
      <c r="E67" s="39"/>
      <c r="F67" s="39"/>
      <c r="G67" s="39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9.5" customHeight="1">
      <c r="A68" s="39"/>
      <c r="B68" s="40"/>
      <c r="C68" s="39"/>
      <c r="D68" s="39"/>
      <c r="E68" s="39"/>
      <c r="F68" s="39"/>
      <c r="G68" s="39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9.5" customHeight="1">
      <c r="A69" s="39"/>
      <c r="B69" s="40"/>
      <c r="C69" s="39"/>
      <c r="D69" s="39"/>
      <c r="E69" s="39"/>
      <c r="F69" s="39"/>
      <c r="G69" s="39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9.5" customHeight="1">
      <c r="A70" s="39"/>
      <c r="B70" s="40"/>
      <c r="C70" s="39"/>
      <c r="D70" s="39"/>
      <c r="E70" s="39"/>
      <c r="F70" s="39"/>
      <c r="G70" s="39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9.5" customHeight="1">
      <c r="A71" s="39"/>
      <c r="B71" s="40"/>
      <c r="C71" s="39"/>
      <c r="D71" s="39"/>
      <c r="E71" s="39"/>
      <c r="F71" s="39"/>
      <c r="G71" s="39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9.5" customHeight="1">
      <c r="A72" s="39"/>
      <c r="B72" s="40"/>
      <c r="C72" s="39"/>
      <c r="D72" s="39"/>
      <c r="E72" s="39"/>
      <c r="F72" s="39"/>
      <c r="G72" s="39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9.5" customHeight="1">
      <c r="A73" s="39"/>
      <c r="B73" s="40"/>
      <c r="C73" s="39"/>
      <c r="D73" s="39"/>
      <c r="E73" s="39"/>
      <c r="F73" s="39"/>
      <c r="G73" s="39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9.5" customHeight="1">
      <c r="A74" s="39"/>
      <c r="B74" s="40"/>
      <c r="C74" s="39"/>
      <c r="D74" s="39"/>
      <c r="E74" s="39"/>
      <c r="F74" s="39"/>
      <c r="G74" s="39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9.5" customHeight="1">
      <c r="A75" s="39"/>
      <c r="B75" s="40"/>
      <c r="C75" s="39"/>
      <c r="D75" s="39"/>
      <c r="E75" s="39"/>
      <c r="F75" s="39"/>
      <c r="G75" s="39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9.5" customHeight="1">
      <c r="A76" s="39"/>
      <c r="B76" s="40"/>
      <c r="C76" s="39"/>
      <c r="D76" s="39"/>
      <c r="E76" s="39"/>
      <c r="F76" s="39"/>
      <c r="G76" s="39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9.5" customHeight="1">
      <c r="A77" s="39"/>
      <c r="B77" s="40"/>
      <c r="C77" s="39"/>
      <c r="D77" s="39"/>
      <c r="E77" s="39"/>
      <c r="F77" s="39"/>
      <c r="G77" s="39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9.5" customHeight="1">
      <c r="A78" s="39"/>
      <c r="B78" s="40"/>
      <c r="C78" s="39"/>
      <c r="D78" s="39"/>
      <c r="E78" s="39"/>
      <c r="F78" s="39"/>
      <c r="G78" s="39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9.5" customHeight="1">
      <c r="A79" s="39"/>
      <c r="B79" s="40"/>
      <c r="C79" s="39"/>
      <c r="D79" s="39"/>
      <c r="E79" s="39"/>
      <c r="F79" s="39"/>
      <c r="G79" s="39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9.5" customHeight="1">
      <c r="A80" s="39"/>
      <c r="B80" s="40"/>
      <c r="C80" s="39"/>
      <c r="D80" s="39"/>
      <c r="E80" s="39"/>
      <c r="F80" s="39"/>
      <c r="G80" s="39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9.5" customHeight="1">
      <c r="A81" s="39"/>
      <c r="B81" s="40"/>
      <c r="C81" s="39"/>
      <c r="D81" s="39"/>
      <c r="E81" s="39"/>
      <c r="F81" s="39"/>
      <c r="G81" s="39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9.5" customHeight="1">
      <c r="A82" s="39"/>
      <c r="B82" s="40"/>
      <c r="C82" s="39"/>
      <c r="D82" s="39"/>
      <c r="E82" s="39"/>
      <c r="F82" s="39"/>
      <c r="G82" s="39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9.5" customHeight="1">
      <c r="A83" s="39"/>
      <c r="B83" s="40"/>
      <c r="C83" s="39"/>
      <c r="D83" s="39"/>
      <c r="E83" s="39"/>
      <c r="F83" s="39"/>
      <c r="G83" s="39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9.5" customHeight="1">
      <c r="A84" s="39"/>
      <c r="B84" s="40"/>
      <c r="C84" s="39"/>
      <c r="D84" s="39"/>
      <c r="E84" s="39"/>
      <c r="F84" s="39"/>
      <c r="G84" s="39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9.5" customHeight="1">
      <c r="A85" s="39"/>
      <c r="B85" s="40"/>
      <c r="C85" s="39"/>
      <c r="D85" s="39"/>
      <c r="E85" s="39"/>
      <c r="F85" s="39"/>
      <c r="G85" s="39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9.5" customHeight="1">
      <c r="A86" s="39"/>
      <c r="B86" s="40"/>
      <c r="C86" s="39"/>
      <c r="D86" s="39"/>
      <c r="E86" s="39"/>
      <c r="F86" s="39"/>
      <c r="G86" s="39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9.5" customHeight="1">
      <c r="A87" s="39"/>
      <c r="B87" s="40"/>
      <c r="C87" s="39"/>
      <c r="D87" s="39"/>
      <c r="E87" s="39"/>
      <c r="F87" s="39"/>
      <c r="G87" s="39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9.5" customHeight="1">
      <c r="A88" s="39"/>
      <c r="B88" s="40"/>
      <c r="C88" s="39"/>
      <c r="D88" s="39"/>
      <c r="E88" s="39"/>
      <c r="F88" s="39"/>
      <c r="G88" s="39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9.5" customHeight="1">
      <c r="A89" s="39"/>
      <c r="B89" s="40"/>
      <c r="C89" s="39"/>
      <c r="D89" s="39"/>
      <c r="E89" s="39"/>
      <c r="F89" s="39"/>
      <c r="G89" s="39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9.5" customHeight="1">
      <c r="A90" s="39"/>
      <c r="B90" s="40"/>
      <c r="C90" s="39"/>
      <c r="D90" s="39"/>
      <c r="E90" s="39"/>
      <c r="F90" s="39"/>
      <c r="G90" s="39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9.5" customHeight="1">
      <c r="A91" s="39"/>
      <c r="B91" s="40"/>
      <c r="C91" s="39"/>
      <c r="D91" s="39"/>
      <c r="E91" s="39"/>
      <c r="F91" s="39"/>
      <c r="G91" s="39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9.5" customHeight="1">
      <c r="A92" s="39"/>
      <c r="B92" s="40"/>
      <c r="C92" s="39"/>
      <c r="D92" s="39"/>
      <c r="E92" s="39"/>
      <c r="F92" s="39"/>
      <c r="G92" s="39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9.5" customHeight="1">
      <c r="A93" s="39"/>
      <c r="B93" s="40"/>
      <c r="C93" s="39"/>
      <c r="D93" s="39"/>
      <c r="E93" s="39"/>
      <c r="F93" s="39"/>
      <c r="G93" s="39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9.5" customHeight="1">
      <c r="A94" s="39"/>
      <c r="B94" s="40"/>
      <c r="C94" s="39"/>
      <c r="D94" s="39"/>
      <c r="E94" s="39"/>
      <c r="F94" s="39"/>
      <c r="G94" s="39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9.5" customHeight="1">
      <c r="A95" s="39"/>
      <c r="B95" s="40"/>
      <c r="C95" s="39"/>
      <c r="D95" s="39"/>
      <c r="E95" s="39"/>
      <c r="F95" s="39"/>
      <c r="G95" s="39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9.5" customHeight="1">
      <c r="A96" s="39"/>
      <c r="B96" s="40"/>
      <c r="C96" s="39"/>
      <c r="D96" s="39"/>
      <c r="E96" s="39"/>
      <c r="F96" s="39"/>
      <c r="G96" s="39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9.5" customHeight="1">
      <c r="A97" s="39"/>
      <c r="B97" s="40"/>
      <c r="C97" s="39"/>
      <c r="D97" s="39"/>
      <c r="E97" s="39"/>
      <c r="F97" s="39"/>
      <c r="G97" s="39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9.5" customHeight="1">
      <c r="A98" s="39"/>
      <c r="B98" s="40"/>
      <c r="C98" s="39"/>
      <c r="D98" s="39"/>
      <c r="E98" s="39"/>
      <c r="F98" s="39"/>
      <c r="G98" s="39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9.5" customHeight="1">
      <c r="A99" s="39"/>
      <c r="B99" s="40"/>
      <c r="C99" s="39"/>
      <c r="D99" s="39"/>
      <c r="E99" s="39"/>
      <c r="F99" s="39"/>
      <c r="G99" s="39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9.5" customHeight="1">
      <c r="A100" s="39"/>
      <c r="B100" s="40"/>
      <c r="C100" s="39"/>
      <c r="D100" s="39"/>
      <c r="E100" s="39"/>
      <c r="F100" s="39"/>
      <c r="G100" s="39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9.5" customHeight="1">
      <c r="A101" s="39"/>
      <c r="B101" s="40"/>
      <c r="C101" s="39"/>
      <c r="D101" s="39"/>
      <c r="E101" s="39"/>
      <c r="F101" s="39"/>
      <c r="G101" s="39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9.5" customHeight="1">
      <c r="A102" s="39"/>
      <c r="B102" s="40"/>
      <c r="C102" s="39"/>
      <c r="D102" s="39"/>
      <c r="E102" s="39"/>
      <c r="F102" s="39"/>
      <c r="G102" s="39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9.5" customHeight="1">
      <c r="A103" s="39"/>
      <c r="B103" s="40"/>
      <c r="C103" s="39"/>
      <c r="D103" s="39"/>
      <c r="E103" s="39"/>
      <c r="F103" s="39"/>
      <c r="G103" s="39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9.5" customHeight="1">
      <c r="A104" s="39"/>
      <c r="B104" s="40"/>
      <c r="C104" s="39"/>
      <c r="D104" s="39"/>
      <c r="E104" s="39"/>
      <c r="F104" s="39"/>
      <c r="G104" s="39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9.5" customHeight="1">
      <c r="A105" s="39"/>
      <c r="B105" s="40"/>
      <c r="C105" s="39"/>
      <c r="D105" s="39"/>
      <c r="E105" s="39"/>
      <c r="F105" s="39"/>
      <c r="G105" s="39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9.5" customHeight="1">
      <c r="A106" s="39"/>
      <c r="B106" s="40"/>
      <c r="C106" s="39"/>
      <c r="D106" s="39"/>
      <c r="E106" s="39"/>
      <c r="F106" s="39"/>
      <c r="G106" s="39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9.5" customHeight="1">
      <c r="A107" s="39"/>
      <c r="B107" s="40"/>
      <c r="C107" s="39"/>
      <c r="D107" s="39"/>
      <c r="E107" s="39"/>
      <c r="F107" s="39"/>
      <c r="G107" s="39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9.5" customHeight="1">
      <c r="A108" s="39"/>
      <c r="B108" s="40"/>
      <c r="C108" s="39"/>
      <c r="D108" s="39"/>
      <c r="E108" s="39"/>
      <c r="F108" s="39"/>
      <c r="G108" s="39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9.5" customHeight="1">
      <c r="A109" s="39"/>
      <c r="B109" s="40"/>
      <c r="C109" s="39"/>
      <c r="D109" s="39"/>
      <c r="E109" s="39"/>
      <c r="F109" s="39"/>
      <c r="G109" s="39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9.5" customHeight="1">
      <c r="A110" s="39"/>
      <c r="B110" s="40"/>
      <c r="C110" s="39"/>
      <c r="D110" s="39"/>
      <c r="E110" s="39"/>
      <c r="F110" s="39"/>
      <c r="G110" s="39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9.5" customHeight="1">
      <c r="A111" s="39"/>
      <c r="B111" s="40"/>
      <c r="C111" s="39"/>
      <c r="D111" s="39"/>
      <c r="E111" s="39"/>
      <c r="F111" s="39"/>
      <c r="G111" s="39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9.5" customHeight="1">
      <c r="A112" s="39"/>
      <c r="B112" s="40"/>
      <c r="C112" s="39"/>
      <c r="D112" s="39"/>
      <c r="E112" s="39"/>
      <c r="F112" s="39"/>
      <c r="G112" s="39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9.5" customHeight="1">
      <c r="A113" s="39"/>
      <c r="B113" s="40"/>
      <c r="C113" s="39"/>
      <c r="D113" s="39"/>
      <c r="E113" s="39"/>
      <c r="F113" s="39"/>
      <c r="G113" s="39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9.5" customHeight="1">
      <c r="A114" s="39"/>
      <c r="B114" s="40"/>
      <c r="C114" s="39"/>
      <c r="D114" s="39"/>
      <c r="E114" s="39"/>
      <c r="F114" s="39"/>
      <c r="G114" s="39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9.5" customHeight="1">
      <c r="A115" s="39"/>
      <c r="B115" s="40"/>
      <c r="C115" s="39"/>
      <c r="D115" s="39"/>
      <c r="E115" s="39"/>
      <c r="F115" s="39"/>
      <c r="G115" s="39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9.5" customHeight="1">
      <c r="A116" s="39"/>
      <c r="B116" s="40"/>
      <c r="C116" s="39"/>
      <c r="D116" s="39"/>
      <c r="E116" s="39"/>
      <c r="F116" s="39"/>
      <c r="G116" s="39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9.5" customHeight="1">
      <c r="A117" s="39"/>
      <c r="B117" s="40"/>
      <c r="C117" s="39"/>
      <c r="D117" s="39"/>
      <c r="E117" s="39"/>
      <c r="F117" s="39"/>
      <c r="G117" s="39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9.5" customHeight="1">
      <c r="A118" s="39"/>
      <c r="B118" s="40"/>
      <c r="C118" s="39"/>
      <c r="D118" s="39"/>
      <c r="E118" s="39"/>
      <c r="F118" s="39"/>
      <c r="G118" s="39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9.5" customHeight="1">
      <c r="A119" s="39"/>
      <c r="B119" s="40"/>
      <c r="C119" s="39"/>
      <c r="D119" s="39"/>
      <c r="E119" s="39"/>
      <c r="F119" s="39"/>
      <c r="G119" s="39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9.5" customHeight="1">
      <c r="A120" s="39"/>
      <c r="B120" s="40"/>
      <c r="C120" s="39"/>
      <c r="D120" s="39"/>
      <c r="E120" s="39"/>
      <c r="F120" s="39"/>
      <c r="G120" s="39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9.5" customHeight="1">
      <c r="A121" s="39"/>
      <c r="B121" s="40"/>
      <c r="C121" s="39"/>
      <c r="D121" s="39"/>
      <c r="E121" s="39"/>
      <c r="F121" s="39"/>
      <c r="G121" s="39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9.5" customHeight="1">
      <c r="A122" s="39"/>
      <c r="B122" s="40"/>
      <c r="C122" s="39"/>
      <c r="D122" s="39"/>
      <c r="E122" s="39"/>
      <c r="F122" s="39"/>
      <c r="G122" s="39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9.5" customHeight="1">
      <c r="A123" s="39"/>
      <c r="B123" s="40"/>
      <c r="C123" s="39"/>
      <c r="D123" s="39"/>
      <c r="E123" s="39"/>
      <c r="F123" s="39"/>
      <c r="G123" s="39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9.5" customHeight="1">
      <c r="A124" s="39"/>
      <c r="B124" s="40"/>
      <c r="C124" s="39"/>
      <c r="D124" s="39"/>
      <c r="E124" s="39"/>
      <c r="F124" s="39"/>
      <c r="G124" s="39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9.5" customHeight="1">
      <c r="A125" s="39"/>
      <c r="B125" s="40"/>
      <c r="C125" s="39"/>
      <c r="D125" s="39"/>
      <c r="E125" s="39"/>
      <c r="F125" s="39"/>
      <c r="G125" s="39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9.5" customHeight="1">
      <c r="A126" s="39"/>
      <c r="B126" s="40"/>
      <c r="C126" s="39"/>
      <c r="D126" s="39"/>
      <c r="E126" s="39"/>
      <c r="F126" s="39"/>
      <c r="G126" s="39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9.5" customHeight="1">
      <c r="A127" s="39"/>
      <c r="B127" s="40"/>
      <c r="C127" s="39"/>
      <c r="D127" s="39"/>
      <c r="E127" s="39"/>
      <c r="F127" s="39"/>
      <c r="G127" s="39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9.5" customHeight="1">
      <c r="A128" s="39"/>
      <c r="B128" s="40"/>
      <c r="C128" s="39"/>
      <c r="D128" s="39"/>
      <c r="E128" s="39"/>
      <c r="F128" s="39"/>
      <c r="G128" s="39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9.5" customHeight="1">
      <c r="A129" s="39"/>
      <c r="B129" s="40"/>
      <c r="C129" s="39"/>
      <c r="D129" s="39"/>
      <c r="E129" s="39"/>
      <c r="F129" s="39"/>
      <c r="G129" s="39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9.5" customHeight="1">
      <c r="A130" s="39"/>
      <c r="B130" s="40"/>
      <c r="C130" s="39"/>
      <c r="D130" s="39"/>
      <c r="E130" s="39"/>
      <c r="F130" s="39"/>
      <c r="G130" s="39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9.5" customHeight="1">
      <c r="A131" s="39"/>
      <c r="B131" s="40"/>
      <c r="C131" s="39"/>
      <c r="D131" s="39"/>
      <c r="E131" s="39"/>
      <c r="F131" s="39"/>
      <c r="G131" s="39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9.5" customHeight="1">
      <c r="A132" s="39"/>
      <c r="B132" s="40"/>
      <c r="C132" s="39"/>
      <c r="D132" s="39"/>
      <c r="E132" s="39"/>
      <c r="F132" s="39"/>
      <c r="G132" s="39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9.5" customHeight="1">
      <c r="A133" s="39"/>
      <c r="B133" s="40"/>
      <c r="C133" s="39"/>
      <c r="D133" s="39"/>
      <c r="E133" s="39"/>
      <c r="F133" s="39"/>
      <c r="G133" s="39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9.5" customHeight="1">
      <c r="A134" s="39"/>
      <c r="B134" s="40"/>
      <c r="C134" s="39"/>
      <c r="D134" s="39"/>
      <c r="E134" s="39"/>
      <c r="F134" s="39"/>
      <c r="G134" s="39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9.5" customHeight="1">
      <c r="A135" s="39"/>
      <c r="B135" s="40"/>
      <c r="C135" s="39"/>
      <c r="D135" s="39"/>
      <c r="E135" s="39"/>
      <c r="F135" s="39"/>
      <c r="G135" s="39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9.5" customHeight="1">
      <c r="A136" s="39"/>
      <c r="B136" s="40"/>
      <c r="C136" s="39"/>
      <c r="D136" s="39"/>
      <c r="E136" s="39"/>
      <c r="F136" s="39"/>
      <c r="G136" s="39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9.5" customHeight="1">
      <c r="A137" s="39"/>
      <c r="B137" s="40"/>
      <c r="C137" s="39"/>
      <c r="D137" s="39"/>
      <c r="E137" s="39"/>
      <c r="F137" s="39"/>
      <c r="G137" s="39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9.5" customHeight="1">
      <c r="A138" s="39"/>
      <c r="B138" s="40"/>
      <c r="C138" s="39"/>
      <c r="D138" s="39"/>
      <c r="E138" s="39"/>
      <c r="F138" s="39"/>
      <c r="G138" s="39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9.5" customHeight="1">
      <c r="A139" s="39"/>
      <c r="B139" s="40"/>
      <c r="C139" s="39"/>
      <c r="D139" s="39"/>
      <c r="E139" s="39"/>
      <c r="F139" s="39"/>
      <c r="G139" s="39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9.5" customHeight="1">
      <c r="A140" s="39"/>
      <c r="B140" s="40"/>
      <c r="C140" s="39"/>
      <c r="D140" s="39"/>
      <c r="E140" s="39"/>
      <c r="F140" s="39"/>
      <c r="G140" s="39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9.5" customHeight="1">
      <c r="A141" s="39"/>
      <c r="B141" s="40"/>
      <c r="C141" s="39"/>
      <c r="D141" s="39"/>
      <c r="E141" s="39"/>
      <c r="F141" s="39"/>
      <c r="G141" s="39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9.5" customHeight="1">
      <c r="A142" s="39"/>
      <c r="B142" s="40"/>
      <c r="C142" s="39"/>
      <c r="D142" s="39"/>
      <c r="E142" s="39"/>
      <c r="F142" s="39"/>
      <c r="G142" s="39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9.5" customHeight="1">
      <c r="A143" s="39"/>
      <c r="B143" s="40"/>
      <c r="C143" s="39"/>
      <c r="D143" s="39"/>
      <c r="E143" s="39"/>
      <c r="F143" s="39"/>
      <c r="G143" s="39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9.5" customHeight="1">
      <c r="A144" s="39"/>
      <c r="B144" s="40"/>
      <c r="C144" s="39"/>
      <c r="D144" s="39"/>
      <c r="E144" s="39"/>
      <c r="F144" s="39"/>
      <c r="G144" s="39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9.5" customHeight="1">
      <c r="A145" s="39"/>
      <c r="B145" s="40"/>
      <c r="C145" s="39"/>
      <c r="D145" s="39"/>
      <c r="E145" s="39"/>
      <c r="F145" s="39"/>
      <c r="G145" s="39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9.5" customHeight="1">
      <c r="A146" s="39"/>
      <c r="B146" s="40"/>
      <c r="C146" s="39"/>
      <c r="D146" s="39"/>
      <c r="E146" s="39"/>
      <c r="F146" s="39"/>
      <c r="G146" s="39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9.5" customHeight="1">
      <c r="A147" s="39"/>
      <c r="B147" s="40"/>
      <c r="C147" s="39"/>
      <c r="D147" s="39"/>
      <c r="E147" s="39"/>
      <c r="F147" s="39"/>
      <c r="G147" s="39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9.5" customHeight="1">
      <c r="A148" s="39"/>
      <c r="B148" s="40"/>
      <c r="C148" s="39"/>
      <c r="D148" s="39"/>
      <c r="E148" s="39"/>
      <c r="F148" s="39"/>
      <c r="G148" s="39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9.5" customHeight="1">
      <c r="A149" s="39"/>
      <c r="B149" s="40"/>
      <c r="C149" s="39"/>
      <c r="D149" s="39"/>
      <c r="E149" s="39"/>
      <c r="F149" s="39"/>
      <c r="G149" s="39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9.5" customHeight="1">
      <c r="A150" s="39"/>
      <c r="B150" s="40"/>
      <c r="C150" s="39"/>
      <c r="D150" s="39"/>
      <c r="E150" s="39"/>
      <c r="F150" s="39"/>
      <c r="G150" s="39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9.5" customHeight="1">
      <c r="A151" s="39"/>
      <c r="B151" s="40"/>
      <c r="C151" s="39"/>
      <c r="D151" s="39"/>
      <c r="E151" s="39"/>
      <c r="F151" s="39"/>
      <c r="G151" s="39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9.5" customHeight="1">
      <c r="A152" s="39"/>
      <c r="B152" s="40"/>
      <c r="C152" s="39"/>
      <c r="D152" s="39"/>
      <c r="E152" s="39"/>
      <c r="F152" s="39"/>
      <c r="G152" s="39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9.5" customHeight="1">
      <c r="A153" s="39"/>
      <c r="B153" s="40"/>
      <c r="C153" s="39"/>
      <c r="D153" s="39"/>
      <c r="E153" s="39"/>
      <c r="F153" s="39"/>
      <c r="G153" s="39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9.5" customHeight="1">
      <c r="A154" s="39"/>
      <c r="B154" s="40"/>
      <c r="C154" s="39"/>
      <c r="D154" s="39"/>
      <c r="E154" s="39"/>
      <c r="F154" s="39"/>
      <c r="G154" s="39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9.5" customHeight="1">
      <c r="A155" s="39"/>
      <c r="B155" s="40"/>
      <c r="C155" s="39"/>
      <c r="D155" s="39"/>
      <c r="E155" s="39"/>
      <c r="F155" s="39"/>
      <c r="G155" s="39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9.5" customHeight="1">
      <c r="A156" s="39"/>
      <c r="B156" s="40"/>
      <c r="C156" s="39"/>
      <c r="D156" s="39"/>
      <c r="E156" s="39"/>
      <c r="F156" s="39"/>
      <c r="G156" s="39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9.5" customHeight="1">
      <c r="A157" s="39"/>
      <c r="B157" s="40"/>
      <c r="C157" s="39"/>
      <c r="D157" s="39"/>
      <c r="E157" s="39"/>
      <c r="F157" s="39"/>
      <c r="G157" s="39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9.5" customHeight="1">
      <c r="A158" s="39"/>
      <c r="B158" s="40"/>
      <c r="C158" s="39"/>
      <c r="D158" s="39"/>
      <c r="E158" s="39"/>
      <c r="F158" s="39"/>
      <c r="G158" s="39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9.5" customHeight="1">
      <c r="A159" s="39"/>
      <c r="B159" s="40"/>
      <c r="C159" s="39"/>
      <c r="D159" s="39"/>
      <c r="E159" s="39"/>
      <c r="F159" s="39"/>
      <c r="G159" s="39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9.5" customHeight="1">
      <c r="A160" s="39"/>
      <c r="B160" s="40"/>
      <c r="C160" s="39"/>
      <c r="D160" s="39"/>
      <c r="E160" s="39"/>
      <c r="F160" s="39"/>
      <c r="G160" s="39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9.5" customHeight="1">
      <c r="A161" s="39"/>
      <c r="B161" s="40"/>
      <c r="C161" s="39"/>
      <c r="D161" s="39"/>
      <c r="E161" s="39"/>
      <c r="F161" s="39"/>
      <c r="G161" s="39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9.5" customHeight="1">
      <c r="A162" s="39"/>
      <c r="B162" s="40"/>
      <c r="C162" s="39"/>
      <c r="D162" s="39"/>
      <c r="E162" s="39"/>
      <c r="F162" s="39"/>
      <c r="G162" s="39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9.5" customHeight="1">
      <c r="A163" s="39"/>
      <c r="B163" s="40"/>
      <c r="C163" s="39"/>
      <c r="D163" s="39"/>
      <c r="E163" s="39"/>
      <c r="F163" s="39"/>
      <c r="G163" s="39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9.5" customHeight="1">
      <c r="A164" s="39"/>
      <c r="B164" s="40"/>
      <c r="C164" s="39"/>
      <c r="D164" s="39"/>
      <c r="E164" s="39"/>
      <c r="F164" s="39"/>
      <c r="G164" s="39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9.5" customHeight="1">
      <c r="A165" s="39"/>
      <c r="B165" s="40"/>
      <c r="C165" s="39"/>
      <c r="D165" s="39"/>
      <c r="E165" s="39"/>
      <c r="F165" s="39"/>
      <c r="G165" s="39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9.5" customHeight="1">
      <c r="A166" s="39"/>
      <c r="B166" s="40"/>
      <c r="C166" s="39"/>
      <c r="D166" s="39"/>
      <c r="E166" s="39"/>
      <c r="F166" s="39"/>
      <c r="G166" s="39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9.5" customHeight="1">
      <c r="A167" s="39"/>
      <c r="B167" s="40"/>
      <c r="C167" s="39"/>
      <c r="D167" s="39"/>
      <c r="E167" s="39"/>
      <c r="F167" s="39"/>
      <c r="G167" s="39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9.5" customHeight="1">
      <c r="A168" s="39"/>
      <c r="B168" s="40"/>
      <c r="C168" s="39"/>
      <c r="D168" s="39"/>
      <c r="E168" s="39"/>
      <c r="F168" s="39"/>
      <c r="G168" s="39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9.5" customHeight="1">
      <c r="A169" s="39"/>
      <c r="B169" s="40"/>
      <c r="C169" s="39"/>
      <c r="D169" s="39"/>
      <c r="E169" s="39"/>
      <c r="F169" s="39"/>
      <c r="G169" s="39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9.5" customHeight="1">
      <c r="A170" s="39"/>
      <c r="B170" s="40"/>
      <c r="C170" s="39"/>
      <c r="D170" s="39"/>
      <c r="E170" s="39"/>
      <c r="F170" s="39"/>
      <c r="G170" s="39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9.5" customHeight="1">
      <c r="A171" s="39"/>
      <c r="B171" s="40"/>
      <c r="C171" s="39"/>
      <c r="D171" s="39"/>
      <c r="E171" s="39"/>
      <c r="F171" s="39"/>
      <c r="G171" s="39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9.5" customHeight="1">
      <c r="A172" s="39"/>
      <c r="B172" s="40"/>
      <c r="C172" s="39"/>
      <c r="D172" s="39"/>
      <c r="E172" s="39"/>
      <c r="F172" s="39"/>
      <c r="G172" s="39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9.5" customHeight="1">
      <c r="A173" s="39"/>
      <c r="B173" s="40"/>
      <c r="C173" s="39"/>
      <c r="D173" s="39"/>
      <c r="E173" s="39"/>
      <c r="F173" s="39"/>
      <c r="G173" s="39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9.5" customHeight="1">
      <c r="A174" s="39"/>
      <c r="B174" s="40"/>
      <c r="C174" s="39"/>
      <c r="D174" s="39"/>
      <c r="E174" s="39"/>
      <c r="F174" s="39"/>
      <c r="G174" s="39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9.5" customHeight="1">
      <c r="A175" s="39"/>
      <c r="B175" s="40"/>
      <c r="C175" s="39"/>
      <c r="D175" s="39"/>
      <c r="E175" s="39"/>
      <c r="F175" s="39"/>
      <c r="G175" s="39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9.5" customHeight="1">
      <c r="A176" s="39"/>
      <c r="B176" s="40"/>
      <c r="C176" s="39"/>
      <c r="D176" s="39"/>
      <c r="E176" s="39"/>
      <c r="F176" s="39"/>
      <c r="G176" s="39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9.5" customHeight="1">
      <c r="A177" s="39"/>
      <c r="B177" s="40"/>
      <c r="C177" s="39"/>
      <c r="D177" s="39"/>
      <c r="E177" s="39"/>
      <c r="F177" s="39"/>
      <c r="G177" s="39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9.5" customHeight="1">
      <c r="A178" s="39"/>
      <c r="B178" s="40"/>
      <c r="C178" s="39"/>
      <c r="D178" s="39"/>
      <c r="E178" s="39"/>
      <c r="F178" s="39"/>
      <c r="G178" s="39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9.5" customHeight="1">
      <c r="A179" s="39"/>
      <c r="B179" s="40"/>
      <c r="C179" s="39"/>
      <c r="D179" s="39"/>
      <c r="E179" s="39"/>
      <c r="F179" s="39"/>
      <c r="G179" s="39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9.5" customHeight="1">
      <c r="A180" s="39"/>
      <c r="B180" s="40"/>
      <c r="C180" s="39"/>
      <c r="D180" s="39"/>
      <c r="E180" s="39"/>
      <c r="F180" s="39"/>
      <c r="G180" s="39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9.5" customHeight="1">
      <c r="A181" s="39"/>
      <c r="B181" s="40"/>
      <c r="C181" s="39"/>
      <c r="D181" s="39"/>
      <c r="E181" s="39"/>
      <c r="F181" s="39"/>
      <c r="G181" s="39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9.5" customHeight="1">
      <c r="A182" s="39"/>
      <c r="B182" s="40"/>
      <c r="C182" s="39"/>
      <c r="D182" s="39"/>
      <c r="E182" s="39"/>
      <c r="F182" s="39"/>
      <c r="G182" s="39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9.5" customHeight="1">
      <c r="A183" s="39"/>
      <c r="B183" s="40"/>
      <c r="C183" s="39"/>
      <c r="D183" s="39"/>
      <c r="E183" s="39"/>
      <c r="F183" s="39"/>
      <c r="G183" s="39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9.5" customHeight="1">
      <c r="A184" s="39"/>
      <c r="B184" s="40"/>
      <c r="C184" s="39"/>
      <c r="D184" s="39"/>
      <c r="E184" s="39"/>
      <c r="F184" s="39"/>
      <c r="G184" s="39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9.5" customHeight="1">
      <c r="A185" s="39"/>
      <c r="B185" s="40"/>
      <c r="C185" s="39"/>
      <c r="D185" s="39"/>
      <c r="E185" s="39"/>
      <c r="F185" s="39"/>
      <c r="G185" s="39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9.5" customHeight="1">
      <c r="A186" s="39"/>
      <c r="B186" s="40"/>
      <c r="C186" s="39"/>
      <c r="D186" s="39"/>
      <c r="E186" s="39"/>
      <c r="F186" s="39"/>
      <c r="G186" s="39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9.5" customHeight="1">
      <c r="A187" s="39"/>
      <c r="B187" s="40"/>
      <c r="C187" s="39"/>
      <c r="D187" s="39"/>
      <c r="E187" s="39"/>
      <c r="F187" s="39"/>
      <c r="G187" s="39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9.5" customHeight="1">
      <c r="A188" s="39"/>
      <c r="B188" s="40"/>
      <c r="C188" s="39"/>
      <c r="D188" s="39"/>
      <c r="E188" s="39"/>
      <c r="F188" s="39"/>
      <c r="G188" s="39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9.5" customHeight="1">
      <c r="A189" s="39"/>
      <c r="B189" s="40"/>
      <c r="C189" s="39"/>
      <c r="D189" s="39"/>
      <c r="E189" s="39"/>
      <c r="F189" s="39"/>
      <c r="G189" s="39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9.5" customHeight="1">
      <c r="A190" s="39"/>
      <c r="B190" s="40"/>
      <c r="C190" s="39"/>
      <c r="D190" s="39"/>
      <c r="E190" s="39"/>
      <c r="F190" s="39"/>
      <c r="G190" s="39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9.5" customHeight="1">
      <c r="A191" s="39"/>
      <c r="B191" s="40"/>
      <c r="C191" s="39"/>
      <c r="D191" s="39"/>
      <c r="E191" s="39"/>
      <c r="F191" s="39"/>
      <c r="G191" s="39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9.5" customHeight="1">
      <c r="A192" s="39"/>
      <c r="B192" s="40"/>
      <c r="C192" s="39"/>
      <c r="D192" s="39"/>
      <c r="E192" s="39"/>
      <c r="F192" s="39"/>
      <c r="G192" s="39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9.5" customHeight="1">
      <c r="A193" s="39"/>
      <c r="B193" s="40"/>
      <c r="C193" s="39"/>
      <c r="D193" s="39"/>
      <c r="E193" s="39"/>
      <c r="F193" s="39"/>
      <c r="G193" s="39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9.5" customHeight="1">
      <c r="A194" s="39"/>
      <c r="B194" s="40"/>
      <c r="C194" s="39"/>
      <c r="D194" s="39"/>
      <c r="E194" s="39"/>
      <c r="F194" s="39"/>
      <c r="G194" s="39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9.5" customHeight="1">
      <c r="A195" s="39"/>
      <c r="B195" s="40"/>
      <c r="C195" s="39"/>
      <c r="D195" s="39"/>
      <c r="E195" s="39"/>
      <c r="F195" s="39"/>
      <c r="G195" s="39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9.5" customHeight="1">
      <c r="A196" s="39"/>
      <c r="B196" s="40"/>
      <c r="C196" s="39"/>
      <c r="D196" s="39"/>
      <c r="E196" s="39"/>
      <c r="F196" s="39"/>
      <c r="G196" s="39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9.5" customHeight="1">
      <c r="A197" s="39"/>
      <c r="B197" s="40"/>
      <c r="C197" s="39"/>
      <c r="D197" s="39"/>
      <c r="E197" s="39"/>
      <c r="F197" s="39"/>
      <c r="G197" s="39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9.5" customHeight="1">
      <c r="A198" s="39"/>
      <c r="B198" s="40"/>
      <c r="C198" s="39"/>
      <c r="D198" s="39"/>
      <c r="E198" s="39"/>
      <c r="F198" s="39"/>
      <c r="G198" s="39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9.5" customHeight="1">
      <c r="A199" s="39"/>
      <c r="B199" s="40"/>
      <c r="C199" s="39"/>
      <c r="D199" s="39"/>
      <c r="E199" s="39"/>
      <c r="F199" s="39"/>
      <c r="G199" s="39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9.5" customHeight="1">
      <c r="A200" s="39"/>
      <c r="B200" s="40"/>
      <c r="C200" s="39"/>
      <c r="D200" s="39"/>
      <c r="E200" s="39"/>
      <c r="F200" s="39"/>
      <c r="G200" s="39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9.5" customHeight="1">
      <c r="A201" s="39"/>
      <c r="B201" s="40"/>
      <c r="C201" s="39"/>
      <c r="D201" s="39"/>
      <c r="E201" s="39"/>
      <c r="F201" s="39"/>
      <c r="G201" s="39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9.5" customHeight="1">
      <c r="A202" s="39"/>
      <c r="B202" s="40"/>
      <c r="C202" s="39"/>
      <c r="D202" s="39"/>
      <c r="E202" s="39"/>
      <c r="F202" s="39"/>
      <c r="G202" s="39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9.5" customHeight="1">
      <c r="A203" s="39"/>
      <c r="B203" s="40"/>
      <c r="C203" s="39"/>
      <c r="D203" s="39"/>
      <c r="E203" s="39"/>
      <c r="F203" s="39"/>
      <c r="G203" s="39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9.5" customHeight="1">
      <c r="A204" s="39"/>
      <c r="B204" s="40"/>
      <c r="C204" s="39"/>
      <c r="D204" s="39"/>
      <c r="E204" s="39"/>
      <c r="F204" s="39"/>
      <c r="G204" s="39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9.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9.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3.5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13" t="s">
        <v>16</v>
      </c>
      <c r="B4" s="13" t="s">
        <v>17</v>
      </c>
      <c r="C4" s="13" t="s">
        <v>18</v>
      </c>
      <c r="D4" s="13" t="s">
        <v>19</v>
      </c>
      <c r="E4" s="13" t="s">
        <v>20</v>
      </c>
      <c r="F4" s="13" t="s">
        <v>21</v>
      </c>
      <c r="G4" s="13" t="s">
        <v>22</v>
      </c>
      <c r="H4" s="13"/>
      <c r="I4" s="13" t="s">
        <v>23</v>
      </c>
      <c r="J4" s="18" t="s">
        <v>24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5.5" customHeight="1">
      <c r="A5" s="16" t="s">
        <v>25</v>
      </c>
      <c r="B5" s="22" t="s">
        <v>26</v>
      </c>
      <c r="C5" s="16"/>
      <c r="D5" s="16" t="s">
        <v>27</v>
      </c>
      <c r="E5" s="16" t="s">
        <v>28</v>
      </c>
      <c r="F5" s="19">
        <v>850.0</v>
      </c>
      <c r="G5" s="27">
        <f>IFERROR(SUMIFS(Transactions!$F$7:$F$991,Transactions!$G$7:$G$991,A5,Transactions!$D$7:$D$991,"Expense"),0)</f>
        <v>2326</v>
      </c>
      <c r="H5" s="16"/>
      <c r="I5" s="16" t="s">
        <v>31</v>
      </c>
      <c r="J5" s="29" t="s">
        <v>34</v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16" t="s">
        <v>39</v>
      </c>
      <c r="B6" s="22">
        <v>46199.0</v>
      </c>
      <c r="C6" s="16"/>
      <c r="D6" s="16" t="s">
        <v>42</v>
      </c>
      <c r="E6" s="16" t="s">
        <v>45</v>
      </c>
      <c r="F6" s="19">
        <v>1310.0</v>
      </c>
      <c r="G6" s="27">
        <v>1310.0</v>
      </c>
      <c r="H6" s="16"/>
      <c r="I6" s="16" t="s">
        <v>31</v>
      </c>
      <c r="J6" s="29" t="s">
        <v>34</v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9.5" customHeight="1">
      <c r="A7" s="16" t="s">
        <v>47</v>
      </c>
      <c r="B7" s="22">
        <v>46227.0</v>
      </c>
      <c r="C7" s="16"/>
      <c r="D7" s="16" t="s">
        <v>42</v>
      </c>
      <c r="E7" s="16" t="s">
        <v>48</v>
      </c>
      <c r="F7" s="19">
        <v>1050.0</v>
      </c>
      <c r="G7" s="27">
        <v>1050.0</v>
      </c>
      <c r="H7" s="16"/>
      <c r="I7" s="16" t="s">
        <v>31</v>
      </c>
      <c r="J7" s="34" t="s">
        <v>34</v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9.5" customHeight="1">
      <c r="A8" s="16" t="s">
        <v>49</v>
      </c>
      <c r="B8" s="22"/>
      <c r="C8" s="16"/>
      <c r="D8" s="16" t="s">
        <v>50</v>
      </c>
      <c r="E8" s="16" t="s">
        <v>51</v>
      </c>
      <c r="F8" s="19">
        <v>0.0</v>
      </c>
      <c r="G8" s="27">
        <v>-123.0</v>
      </c>
      <c r="H8" s="16"/>
      <c r="I8" s="16"/>
      <c r="J8" s="29" t="s">
        <v>53</v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9.5" customHeight="1">
      <c r="A9" s="16" t="s">
        <v>54</v>
      </c>
      <c r="B9" s="22">
        <v>45706.0</v>
      </c>
      <c r="C9" s="16"/>
      <c r="D9" s="16" t="s">
        <v>50</v>
      </c>
      <c r="E9" s="16" t="s">
        <v>51</v>
      </c>
      <c r="F9" s="19">
        <v>0.0</v>
      </c>
      <c r="G9" s="27">
        <v>-956.0</v>
      </c>
      <c r="H9" s="16"/>
      <c r="I9" s="16"/>
      <c r="J9" s="34" t="s">
        <v>53</v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9.5" customHeight="1">
      <c r="A10" s="16" t="s">
        <v>56</v>
      </c>
      <c r="B10" s="22">
        <v>45706.0</v>
      </c>
      <c r="C10" s="16"/>
      <c r="D10" s="16" t="s">
        <v>50</v>
      </c>
      <c r="E10" s="16" t="s">
        <v>57</v>
      </c>
      <c r="F10" s="19">
        <v>0.0</v>
      </c>
      <c r="G10" s="27">
        <v>1030.0</v>
      </c>
      <c r="H10" s="16"/>
      <c r="I10" s="16"/>
      <c r="J10" s="29" t="s">
        <v>53</v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9.5" customHeight="1">
      <c r="A11" s="16" t="s">
        <v>58</v>
      </c>
      <c r="B11" s="22"/>
      <c r="C11" s="16"/>
      <c r="D11" s="16" t="s">
        <v>59</v>
      </c>
      <c r="E11" s="16" t="s">
        <v>60</v>
      </c>
      <c r="F11" s="19">
        <v>600.0</v>
      </c>
      <c r="G11" s="27">
        <f>IFERROR(SUMIFS(Transactions!$F$7:$F$991,Transactions!$G$7:$G$991,A11,Transactions!$D$7:$D$991,"Expense"),0)</f>
        <v>0</v>
      </c>
      <c r="H11" s="16"/>
      <c r="I11" s="16" t="s">
        <v>31</v>
      </c>
      <c r="J11" s="34" t="s">
        <v>53</v>
      </c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9.5" customHeight="1">
      <c r="A12" s="37" t="s">
        <v>62</v>
      </c>
      <c r="B12" s="38"/>
      <c r="C12" s="39"/>
      <c r="D12" s="39"/>
      <c r="E12" s="39"/>
      <c r="F12" s="40"/>
      <c r="G12" s="41">
        <f>IFERROR(SUMIFS(Transactions!$F$7:$F$991,Transactions!$G$7:$G$991,A12,Transactions!$D$7:$D$991,"Expense"),0)</f>
        <v>1000</v>
      </c>
      <c r="H12" s="39"/>
      <c r="I12" s="39"/>
      <c r="J12" s="29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9.5" customHeight="1">
      <c r="A13" s="39"/>
      <c r="B13" s="38"/>
      <c r="C13" s="39"/>
      <c r="D13" s="39"/>
      <c r="E13" s="39"/>
      <c r="F13" s="40"/>
      <c r="G13" s="41">
        <f>IFERROR(SUMIFS(Transactions!$F$7:$F$991,Transactions!$G$7:$G$991,A13,Transactions!$D$7:$D$991,"Expense"),0)</f>
        <v>0</v>
      </c>
      <c r="H13" s="39"/>
      <c r="I13" s="39"/>
      <c r="J13" s="34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9.5" customHeight="1">
      <c r="A14" s="39"/>
      <c r="B14" s="38"/>
      <c r="C14" s="39"/>
      <c r="D14" s="39"/>
      <c r="E14" s="39"/>
      <c r="F14" s="40"/>
      <c r="G14" s="41">
        <f>IFERROR(SUMIFS(Transactions!$F$7:$F$991,Transactions!$G$7:$G$991,A14,Transactions!$D$7:$D$991,"Expense"),0)</f>
        <v>0</v>
      </c>
      <c r="H14" s="39"/>
      <c r="I14" s="39"/>
      <c r="J14" s="29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9.5" customHeight="1">
      <c r="A15" s="39"/>
      <c r="B15" s="38"/>
      <c r="C15" s="39"/>
      <c r="D15" s="39"/>
      <c r="E15" s="39"/>
      <c r="F15" s="40"/>
      <c r="G15" s="41">
        <f>IFERROR(SUMIFS(Transactions!$F$7:$F$991,Transactions!$G$7:$G$991,A15,Transactions!$D$7:$D$991,"Expense"),0)</f>
        <v>0</v>
      </c>
      <c r="H15" s="39"/>
      <c r="I15" s="39"/>
      <c r="J15" s="34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9.5" customHeight="1">
      <c r="A16" s="39"/>
      <c r="B16" s="38"/>
      <c r="C16" s="39"/>
      <c r="D16" s="39"/>
      <c r="E16" s="39"/>
      <c r="F16" s="40"/>
      <c r="G16" s="41">
        <f>IFERROR(SUMIFS(Transactions!$F$7:$F$991,Transactions!$G$7:$G$991,A16,Transactions!$D$7:$D$991,"Expense"),0)</f>
        <v>0</v>
      </c>
      <c r="H16" s="39"/>
      <c r="I16" s="39"/>
      <c r="J16" s="29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9.5" customHeight="1">
      <c r="A17" s="39"/>
      <c r="B17" s="38"/>
      <c r="C17" s="39"/>
      <c r="D17" s="39"/>
      <c r="E17" s="39"/>
      <c r="F17" s="40"/>
      <c r="G17" s="41">
        <f>IFERROR(SUMIFS(Transactions!$F$7:$F$991,Transactions!$G$7:$G$991,A17,Transactions!$D$7:$D$991,"Expense"),0)</f>
        <v>0</v>
      </c>
      <c r="H17" s="39"/>
      <c r="I17" s="39"/>
      <c r="J17" s="34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9.5" customHeight="1">
      <c r="A18" s="39"/>
      <c r="B18" s="38"/>
      <c r="C18" s="39"/>
      <c r="D18" s="39"/>
      <c r="E18" s="39"/>
      <c r="F18" s="40"/>
      <c r="G18" s="41">
        <f>IFERROR(SUMIFS(Transactions!$F$7:$F$991,Transactions!$G$7:$G$991,A18,Transactions!$D$7:$D$991,"Expense"),0)</f>
        <v>0</v>
      </c>
      <c r="H18" s="39"/>
      <c r="I18" s="39"/>
      <c r="J18" s="29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9.5" customHeight="1">
      <c r="A19" s="39"/>
      <c r="B19" s="38"/>
      <c r="C19" s="39"/>
      <c r="D19" s="39"/>
      <c r="E19" s="39"/>
      <c r="F19" s="40"/>
      <c r="G19" s="41">
        <f>IFERROR(SUMIFS(Transactions!$F$7:$F$991,Transactions!$G$7:$G$991,A19,Transactions!$D$7:$D$991,"Expense"),0)</f>
        <v>0</v>
      </c>
      <c r="H19" s="39"/>
      <c r="I19" s="39"/>
      <c r="J19" s="34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9.5" customHeight="1">
      <c r="A20" s="39"/>
      <c r="B20" s="38"/>
      <c r="C20" s="39"/>
      <c r="D20" s="39"/>
      <c r="E20" s="39"/>
      <c r="F20" s="40"/>
      <c r="G20" s="41">
        <f>IFERROR(SUMIFS(Transactions!$F$7:$F$991,Transactions!$G$7:$G$991,A20,Transactions!$D$7:$D$991,"Expense"),0)</f>
        <v>0</v>
      </c>
      <c r="H20" s="39"/>
      <c r="I20" s="39"/>
      <c r="J20" s="29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9.5" customHeight="1">
      <c r="A21" s="39"/>
      <c r="B21" s="38"/>
      <c r="C21" s="39"/>
      <c r="D21" s="39"/>
      <c r="E21" s="39"/>
      <c r="F21" s="40"/>
      <c r="G21" s="41">
        <f>IFERROR(SUMIFS(Transactions!$F$7:$F$991,Transactions!$G$7:$G$991,A21,Transactions!$D$7:$D$991,"Expense"),0)</f>
        <v>0</v>
      </c>
      <c r="H21" s="39"/>
      <c r="I21" s="39"/>
      <c r="J21" s="34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9.5" customHeight="1">
      <c r="A22" s="39"/>
      <c r="B22" s="38"/>
      <c r="C22" s="39"/>
      <c r="D22" s="39"/>
      <c r="E22" s="39"/>
      <c r="F22" s="40"/>
      <c r="G22" s="41">
        <f>IFERROR(SUMIFS(Transactions!$F$7:$F$991,Transactions!$G$7:$G$991,A22,Transactions!$D$7:$D$991,"Expense"),0)</f>
        <v>0</v>
      </c>
      <c r="H22" s="39"/>
      <c r="I22" s="39"/>
      <c r="J22" s="29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9.5" customHeight="1">
      <c r="A23" s="39"/>
      <c r="B23" s="38"/>
      <c r="C23" s="39"/>
      <c r="D23" s="39"/>
      <c r="E23" s="39"/>
      <c r="F23" s="40"/>
      <c r="G23" s="41">
        <f>IFERROR(SUMIFS(Transactions!$F$7:$F$991,Transactions!$G$7:$G$991,A23,Transactions!$D$7:$D$991,"Expense"),0)</f>
        <v>0</v>
      </c>
      <c r="H23" s="39"/>
      <c r="I23" s="39"/>
      <c r="J23" s="34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9.5" customHeight="1">
      <c r="A24" s="39"/>
      <c r="B24" s="38"/>
      <c r="C24" s="39"/>
      <c r="D24" s="39"/>
      <c r="E24" s="39"/>
      <c r="F24" s="40"/>
      <c r="G24" s="41">
        <f>IFERROR(SUMIFS(Transactions!$F$7:$F$991,Transactions!$G$7:$G$991,A24,Transactions!$D$7:$D$991,"Expense"),0)</f>
        <v>0</v>
      </c>
      <c r="H24" s="39"/>
      <c r="I24" s="39"/>
      <c r="J24" s="29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9.5" customHeight="1">
      <c r="A25" s="39"/>
      <c r="B25" s="38"/>
      <c r="C25" s="39"/>
      <c r="D25" s="39"/>
      <c r="E25" s="39"/>
      <c r="F25" s="40"/>
      <c r="G25" s="41">
        <f>IFERROR(SUMIFS(Transactions!$F$7:$F$991,Transactions!$G$7:$G$991,A25,Transactions!$D$7:$D$991,"Expense"),0)</f>
        <v>0</v>
      </c>
      <c r="H25" s="39"/>
      <c r="I25" s="39"/>
      <c r="J25" s="34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9.5" customHeight="1">
      <c r="A26" s="39"/>
      <c r="B26" s="38"/>
      <c r="C26" s="39"/>
      <c r="D26" s="39"/>
      <c r="E26" s="39"/>
      <c r="F26" s="40"/>
      <c r="G26" s="41">
        <f>IFERROR(SUMIFS(Transactions!$F$7:$F$991,Transactions!$G$7:$G$991,A26,Transactions!$D$7:$D$991,"Expense"),0)</f>
        <v>0</v>
      </c>
      <c r="H26" s="39"/>
      <c r="I26" s="39"/>
      <c r="J26" s="29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9.5" customHeight="1">
      <c r="A27" s="39"/>
      <c r="B27" s="38"/>
      <c r="C27" s="39"/>
      <c r="D27" s="39"/>
      <c r="E27" s="39"/>
      <c r="F27" s="40"/>
      <c r="G27" s="41">
        <f>IFERROR(SUMIFS(Transactions!$F$7:$F$991,Transactions!$G$7:$G$991,A27,Transactions!$D$7:$D$991,"Expense"),0)</f>
        <v>0</v>
      </c>
      <c r="H27" s="39"/>
      <c r="I27" s="39"/>
      <c r="J27" s="34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9.5" customHeight="1">
      <c r="A28" s="39"/>
      <c r="B28" s="38"/>
      <c r="C28" s="39"/>
      <c r="D28" s="39"/>
      <c r="E28" s="39"/>
      <c r="F28" s="40"/>
      <c r="G28" s="41">
        <f>IFERROR(SUMIFS(Transactions!$F$7:$F$991,Transactions!$G$7:$G$991,A28,Transactions!$D$7:$D$991,"Expense"),0)</f>
        <v>0</v>
      </c>
      <c r="H28" s="39"/>
      <c r="I28" s="39"/>
      <c r="J28" s="29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9.5" customHeight="1">
      <c r="A29" s="39"/>
      <c r="B29" s="38"/>
      <c r="C29" s="39"/>
      <c r="D29" s="39"/>
      <c r="E29" s="39"/>
      <c r="F29" s="40"/>
      <c r="G29" s="41">
        <f>IFERROR(SUMIFS(Transactions!$F$7:$F$991,Transactions!$G$7:$G$991,A29,Transactions!$D$7:$D$991,"Expense"),0)</f>
        <v>0</v>
      </c>
      <c r="H29" s="39"/>
      <c r="I29" s="39"/>
      <c r="J29" s="34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9.5" customHeight="1">
      <c r="A30" s="39"/>
      <c r="B30" s="38"/>
      <c r="C30" s="39"/>
      <c r="D30" s="39"/>
      <c r="E30" s="39"/>
      <c r="F30" s="40"/>
      <c r="G30" s="41">
        <f>IFERROR(SUMIFS(Transactions!$F$7:$F$991,Transactions!$G$7:$G$991,A30,Transactions!$D$7:$D$991,"Expense"),0)</f>
        <v>0</v>
      </c>
      <c r="H30" s="39"/>
      <c r="I30" s="39"/>
      <c r="J30" s="29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9.5" customHeight="1">
      <c r="A31" s="39"/>
      <c r="B31" s="38"/>
      <c r="C31" s="39"/>
      <c r="D31" s="39"/>
      <c r="E31" s="39"/>
      <c r="F31" s="40"/>
      <c r="G31" s="41">
        <f>IFERROR(SUMIFS(Transactions!$F$7:$F$991,Transactions!$G$7:$G$991,A31,Transactions!$D$7:$D$991,"Expense"),0)</f>
        <v>0</v>
      </c>
      <c r="H31" s="39"/>
      <c r="I31" s="39"/>
      <c r="J31" s="34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9.5" customHeight="1">
      <c r="A32" s="39"/>
      <c r="B32" s="38"/>
      <c r="C32" s="39"/>
      <c r="D32" s="39"/>
      <c r="E32" s="39"/>
      <c r="F32" s="40"/>
      <c r="G32" s="41">
        <f>IFERROR(SUMIFS(Transactions!$F$7:$F$991,Transactions!$G$7:$G$991,A32,Transactions!$D$7:$D$991,"Expense"),0)</f>
        <v>0</v>
      </c>
      <c r="H32" s="39"/>
      <c r="I32" s="39"/>
      <c r="J32" s="29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9.5" customHeight="1">
      <c r="A33" s="39"/>
      <c r="B33" s="38"/>
      <c r="C33" s="39"/>
      <c r="D33" s="39"/>
      <c r="E33" s="39"/>
      <c r="F33" s="40"/>
      <c r="G33" s="41">
        <f>IFERROR(SUMIFS(Transactions!$F$7:$F$991,Transactions!$G$7:$G$991,A33,Transactions!$D$7:$D$991,"Expense"),0)</f>
        <v>0</v>
      </c>
      <c r="H33" s="39"/>
      <c r="I33" s="39"/>
      <c r="J33" s="34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9.5" customHeight="1">
      <c r="A34" s="39"/>
      <c r="B34" s="38"/>
      <c r="C34" s="39"/>
      <c r="D34" s="39"/>
      <c r="E34" s="39"/>
      <c r="F34" s="40"/>
      <c r="G34" s="41">
        <f>IFERROR(SUMIFS(Transactions!$F$7:$F$991,Transactions!$G$7:$G$991,A34,Transactions!$D$7:$D$991,"Expense"),0)</f>
        <v>0</v>
      </c>
      <c r="H34" s="39"/>
      <c r="I34" s="39"/>
      <c r="J34" s="29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9.5" customHeight="1">
      <c r="A35" s="39"/>
      <c r="B35" s="38"/>
      <c r="C35" s="39"/>
      <c r="D35" s="39"/>
      <c r="E35" s="39"/>
      <c r="F35" s="40"/>
      <c r="G35" s="41">
        <f>IFERROR(SUMIFS(Transactions!$F$7:$F$991,Transactions!$G$7:$G$991,A35,Transactions!$D$7:$D$991,"Expense"),0)</f>
        <v>0</v>
      </c>
      <c r="H35" s="39"/>
      <c r="I35" s="39"/>
      <c r="J35" s="34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9.5" customHeight="1">
      <c r="A36" s="39"/>
      <c r="B36" s="38"/>
      <c r="C36" s="39"/>
      <c r="D36" s="39"/>
      <c r="E36" s="39"/>
      <c r="F36" s="40"/>
      <c r="G36" s="41">
        <f>IFERROR(SUMIFS(Transactions!$F$7:$F$991,Transactions!$G$7:$G$991,A36,Transactions!$D$7:$D$991,"Expense"),0)</f>
        <v>0</v>
      </c>
      <c r="H36" s="39"/>
      <c r="I36" s="39"/>
      <c r="J36" s="29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9.5" customHeight="1">
      <c r="A37" s="39"/>
      <c r="B37" s="38"/>
      <c r="C37" s="39"/>
      <c r="D37" s="39"/>
      <c r="E37" s="39"/>
      <c r="F37" s="40"/>
      <c r="G37" s="41">
        <f>IFERROR(SUMIFS(Transactions!$F$7:$F$991,Transactions!$G$7:$G$991,A37,Transactions!$D$7:$D$991,"Expense"),0)</f>
        <v>0</v>
      </c>
      <c r="H37" s="39"/>
      <c r="I37" s="39"/>
      <c r="J37" s="34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9.5" customHeight="1">
      <c r="A38" s="39"/>
      <c r="B38" s="38"/>
      <c r="C38" s="39"/>
      <c r="D38" s="39"/>
      <c r="E38" s="39"/>
      <c r="F38" s="40"/>
      <c r="G38" s="41">
        <f>IFERROR(SUMIFS(Transactions!$F$7:$F$991,Transactions!$G$7:$G$991,A38,Transactions!$D$7:$D$991,"Expense"),0)</f>
        <v>0</v>
      </c>
      <c r="H38" s="39"/>
      <c r="I38" s="39"/>
      <c r="J38" s="29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9.5" customHeight="1">
      <c r="A39" s="39"/>
      <c r="B39" s="38"/>
      <c r="C39" s="39"/>
      <c r="D39" s="39"/>
      <c r="E39" s="39"/>
      <c r="F39" s="40"/>
      <c r="G39" s="41">
        <f>IFERROR(SUMIFS(Transactions!$F$7:$F$991,Transactions!$G$7:$G$991,A39,Transactions!$D$7:$D$991,"Expense"),0)</f>
        <v>0</v>
      </c>
      <c r="H39" s="39"/>
      <c r="I39" s="39"/>
      <c r="J39" s="34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9.5" customHeight="1">
      <c r="A40" s="39"/>
      <c r="B40" s="38"/>
      <c r="C40" s="39"/>
      <c r="D40" s="39"/>
      <c r="E40" s="39"/>
      <c r="F40" s="40"/>
      <c r="G40" s="41">
        <f>IFERROR(SUMIFS(Transactions!$F$7:$F$991,Transactions!$G$7:$G$991,A40,Transactions!$D$7:$D$991,"Expense"),0)</f>
        <v>0</v>
      </c>
      <c r="H40" s="39"/>
      <c r="I40" s="39"/>
      <c r="J40" s="29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9.5" customHeight="1">
      <c r="A41" s="39"/>
      <c r="B41" s="38"/>
      <c r="C41" s="39"/>
      <c r="D41" s="39"/>
      <c r="E41" s="39"/>
      <c r="F41" s="40"/>
      <c r="G41" s="41">
        <f>IFERROR(SUMIFS(Transactions!$F$7:$F$991,Transactions!$G$7:$G$991,A41,Transactions!$D$7:$D$991,"Expense"),0)</f>
        <v>0</v>
      </c>
      <c r="H41" s="39"/>
      <c r="I41" s="39"/>
      <c r="J41" s="34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9.5" customHeight="1">
      <c r="A42" s="39"/>
      <c r="B42" s="38"/>
      <c r="C42" s="39"/>
      <c r="D42" s="39"/>
      <c r="E42" s="39"/>
      <c r="F42" s="40"/>
      <c r="G42" s="41">
        <f>IFERROR(SUMIFS(Transactions!$F$7:$F$991,Transactions!$G$7:$G$991,A42,Transactions!$D$7:$D$991,"Expense"),0)</f>
        <v>0</v>
      </c>
      <c r="H42" s="39"/>
      <c r="I42" s="39"/>
      <c r="J42" s="29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9.5" customHeight="1">
      <c r="A43" s="39"/>
      <c r="B43" s="38"/>
      <c r="C43" s="39"/>
      <c r="D43" s="39"/>
      <c r="E43" s="39"/>
      <c r="F43" s="40"/>
      <c r="G43" s="41">
        <f>IFERROR(SUMIFS(Transactions!$F$7:$F$991,Transactions!$G$7:$G$991,A43,Transactions!$D$7:$D$991,"Expense"),0)</f>
        <v>0</v>
      </c>
      <c r="H43" s="39"/>
      <c r="I43" s="39"/>
      <c r="J43" s="34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9.5" customHeight="1">
      <c r="A44" s="39"/>
      <c r="B44" s="38"/>
      <c r="C44" s="39"/>
      <c r="D44" s="39"/>
      <c r="E44" s="39"/>
      <c r="F44" s="40"/>
      <c r="G44" s="41">
        <f>IFERROR(SUMIFS(Transactions!$F$7:$F$991,Transactions!$G$7:$G$991,A44,Transactions!$D$7:$D$991,"Expense"),0)</f>
        <v>0</v>
      </c>
      <c r="H44" s="39"/>
      <c r="I44" s="39"/>
      <c r="J44" s="29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9.5" customHeight="1">
      <c r="A45" s="39"/>
      <c r="B45" s="38"/>
      <c r="C45" s="39"/>
      <c r="D45" s="39"/>
      <c r="E45" s="39"/>
      <c r="F45" s="40"/>
      <c r="G45" s="41">
        <f>IFERROR(SUMIFS(Transactions!$F$7:$F$991,Transactions!$G$7:$G$991,A45,Transactions!$D$7:$D$991,"Expense"),0)</f>
        <v>0</v>
      </c>
      <c r="H45" s="39"/>
      <c r="I45" s="39"/>
      <c r="J45" s="34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9.5" customHeight="1">
      <c r="A46" s="39"/>
      <c r="B46" s="38"/>
      <c r="C46" s="39"/>
      <c r="D46" s="39"/>
      <c r="E46" s="39"/>
      <c r="F46" s="40"/>
      <c r="G46" s="41">
        <f>IFERROR(SUMIFS(Transactions!$F$7:$F$991,Transactions!$G$7:$G$991,A46,Transactions!$D$7:$D$991,"Expense"),0)</f>
        <v>0</v>
      </c>
      <c r="H46" s="39"/>
      <c r="I46" s="39"/>
      <c r="J46" s="29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9.5" customHeight="1">
      <c r="A47" s="39"/>
      <c r="B47" s="38"/>
      <c r="C47" s="39"/>
      <c r="D47" s="39"/>
      <c r="E47" s="39"/>
      <c r="F47" s="40"/>
      <c r="G47" s="41">
        <f>IFERROR(SUMIFS(Transactions!$F$7:$F$991,Transactions!$G$7:$G$991,A47,Transactions!$D$7:$D$991,"Expense"),0)</f>
        <v>0</v>
      </c>
      <c r="H47" s="39"/>
      <c r="I47" s="39"/>
      <c r="J47" s="34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9.5" customHeight="1">
      <c r="A48" s="39"/>
      <c r="B48" s="38"/>
      <c r="C48" s="39"/>
      <c r="D48" s="39"/>
      <c r="E48" s="39"/>
      <c r="F48" s="40"/>
      <c r="G48" s="41">
        <f>IFERROR(SUMIFS(Transactions!$F$7:$F$991,Transactions!$G$7:$G$991,A48,Transactions!$D$7:$D$991,"Expense"),0)</f>
        <v>0</v>
      </c>
      <c r="H48" s="39"/>
      <c r="I48" s="39"/>
      <c r="J48" s="29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9.5" customHeight="1">
      <c r="A49" s="39"/>
      <c r="B49" s="38"/>
      <c r="C49" s="39"/>
      <c r="D49" s="39"/>
      <c r="E49" s="39"/>
      <c r="F49" s="40"/>
      <c r="G49" s="41">
        <f>IFERROR(SUMIFS(Transactions!$F$7:$F$991,Transactions!$G$7:$G$991,A49,Transactions!$D$7:$D$991,"Expense"),0)</f>
        <v>0</v>
      </c>
      <c r="H49" s="39"/>
      <c r="I49" s="39"/>
      <c r="J49" s="34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9.5" customHeight="1">
      <c r="A50" s="39"/>
      <c r="B50" s="38"/>
      <c r="C50" s="39"/>
      <c r="D50" s="39"/>
      <c r="E50" s="39"/>
      <c r="F50" s="40"/>
      <c r="G50" s="41">
        <f>IFERROR(SUMIFS(Transactions!$F$7:$F$991,Transactions!$G$7:$G$991,A50,Transactions!$D$7:$D$991,"Expense"),0)</f>
        <v>0</v>
      </c>
      <c r="H50" s="39"/>
      <c r="I50" s="39"/>
      <c r="J50" s="29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9.5" customHeight="1">
      <c r="A51" s="39"/>
      <c r="B51" s="38"/>
      <c r="C51" s="39"/>
      <c r="D51" s="39"/>
      <c r="E51" s="39"/>
      <c r="F51" s="40"/>
      <c r="G51" s="41">
        <f>IFERROR(SUMIFS(Transactions!$F$7:$F$991,Transactions!$G$7:$G$991,A51,Transactions!$D$7:$D$991,"Expense"),0)</f>
        <v>0</v>
      </c>
      <c r="H51" s="39"/>
      <c r="I51" s="39"/>
      <c r="J51" s="34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9.5" customHeight="1">
      <c r="A52" s="39"/>
      <c r="B52" s="38"/>
      <c r="C52" s="39"/>
      <c r="D52" s="39"/>
      <c r="E52" s="39"/>
      <c r="F52" s="40"/>
      <c r="G52" s="41">
        <f>IFERROR(SUMIFS(Transactions!$F$7:$F$991,Transactions!$G$7:$G$991,A52,Transactions!$D$7:$D$991,"Expense"),0)</f>
        <v>0</v>
      </c>
      <c r="H52" s="39"/>
      <c r="I52" s="39"/>
      <c r="J52" s="29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9.5" customHeight="1">
      <c r="A53" s="39"/>
      <c r="B53" s="38"/>
      <c r="C53" s="39"/>
      <c r="D53" s="39"/>
      <c r="E53" s="39"/>
      <c r="F53" s="40"/>
      <c r="G53" s="41">
        <f>IFERROR(SUMIFS(Transactions!$F$7:$F$991,Transactions!$G$7:$G$991,A53,Transactions!$D$7:$D$991,"Expense"),0)</f>
        <v>0</v>
      </c>
      <c r="H53" s="39"/>
      <c r="I53" s="39"/>
      <c r="J53" s="34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9.5" customHeight="1">
      <c r="A54" s="39"/>
      <c r="B54" s="38"/>
      <c r="C54" s="39"/>
      <c r="D54" s="39"/>
      <c r="E54" s="39"/>
      <c r="F54" s="40"/>
      <c r="G54" s="41">
        <f>IFERROR(SUMIFS(Transactions!$F$7:$F$991,Transactions!$G$7:$G$991,A54,Transactions!$D$7:$D$991,"Expense"),0)</f>
        <v>0</v>
      </c>
      <c r="H54" s="39"/>
      <c r="I54" s="39"/>
      <c r="J54" s="29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9.5" customHeight="1">
      <c r="A55" s="39"/>
      <c r="B55" s="38"/>
      <c r="C55" s="39"/>
      <c r="D55" s="39"/>
      <c r="E55" s="39"/>
      <c r="F55" s="40"/>
      <c r="G55" s="41">
        <f>IFERROR(SUMIFS(Transactions!$F$7:$F$991,Transactions!$G$7:$G$991,A55,Transactions!$D$7:$D$991,"Expense"),0)</f>
        <v>0</v>
      </c>
      <c r="H55" s="39"/>
      <c r="I55" s="39"/>
      <c r="J55" s="34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9.5" customHeight="1">
      <c r="A56" s="39"/>
      <c r="B56" s="38"/>
      <c r="C56" s="39"/>
      <c r="D56" s="39"/>
      <c r="E56" s="39"/>
      <c r="F56" s="40"/>
      <c r="G56" s="41">
        <f>IFERROR(SUMIFS(Transactions!$F$7:$F$991,Transactions!$G$7:$G$991,A56,Transactions!$D$7:$D$991,"Expense"),0)</f>
        <v>0</v>
      </c>
      <c r="H56" s="39"/>
      <c r="I56" s="39"/>
      <c r="J56" s="29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9.5" customHeight="1">
      <c r="A57" s="39"/>
      <c r="B57" s="38"/>
      <c r="C57" s="39"/>
      <c r="D57" s="39"/>
      <c r="E57" s="39"/>
      <c r="F57" s="40"/>
      <c r="G57" s="41">
        <f>IFERROR(SUMIFS(Transactions!$F$7:$F$991,Transactions!$G$7:$G$991,A57,Transactions!$D$7:$D$991,"Expense"),0)</f>
        <v>0</v>
      </c>
      <c r="H57" s="39"/>
      <c r="I57" s="39"/>
      <c r="J57" s="34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9.5" customHeight="1">
      <c r="A58" s="39"/>
      <c r="B58" s="38"/>
      <c r="C58" s="39"/>
      <c r="D58" s="39"/>
      <c r="E58" s="39"/>
      <c r="F58" s="40"/>
      <c r="G58" s="41">
        <f>IFERROR(SUMIFS(Transactions!$F$7:$F$991,Transactions!$G$7:$G$991,A58,Transactions!$D$7:$D$991,"Expense"),0)</f>
        <v>0</v>
      </c>
      <c r="H58" s="39"/>
      <c r="I58" s="39"/>
      <c r="J58" s="29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9.5" customHeight="1">
      <c r="A59" s="39"/>
      <c r="B59" s="38"/>
      <c r="C59" s="39"/>
      <c r="D59" s="39"/>
      <c r="E59" s="39"/>
      <c r="F59" s="40"/>
      <c r="G59" s="41">
        <f>IFERROR(SUMIFS(Transactions!$F$7:$F$991,Transactions!$G$7:$G$991,A59,Transactions!$D$7:$D$991,"Expense"),0)</f>
        <v>0</v>
      </c>
      <c r="H59" s="39"/>
      <c r="I59" s="39"/>
      <c r="J59" s="34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9.5" customHeight="1">
      <c r="A60" s="39"/>
      <c r="B60" s="38"/>
      <c r="C60" s="39"/>
      <c r="D60" s="39"/>
      <c r="E60" s="39"/>
      <c r="F60" s="40"/>
      <c r="G60" s="41">
        <f>IFERROR(SUMIFS(Transactions!$F$7:$F$991,Transactions!$G$7:$G$991,A60,Transactions!$D$7:$D$991,"Expense"),0)</f>
        <v>0</v>
      </c>
      <c r="H60" s="39"/>
      <c r="I60" s="39"/>
      <c r="J60" s="29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9.5" customHeight="1">
      <c r="A61" s="39"/>
      <c r="B61" s="38"/>
      <c r="C61" s="39"/>
      <c r="D61" s="39"/>
      <c r="E61" s="39"/>
      <c r="F61" s="40"/>
      <c r="G61" s="41">
        <f>IFERROR(SUMIFS(Transactions!$F$7:$F$991,Transactions!$G$7:$G$991,A61,Transactions!$D$7:$D$991,"Expense"),0)</f>
        <v>0</v>
      </c>
      <c r="H61" s="39"/>
      <c r="I61" s="39"/>
      <c r="J61" s="34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9.5" customHeight="1">
      <c r="A62" s="39"/>
      <c r="B62" s="38"/>
      <c r="C62" s="39"/>
      <c r="D62" s="39"/>
      <c r="E62" s="39"/>
      <c r="F62" s="40"/>
      <c r="G62" s="41">
        <f>IFERROR(SUMIFS(Transactions!$F$7:$F$991,Transactions!$G$7:$G$991,A62,Transactions!$D$7:$D$991,"Expense"),0)</f>
        <v>0</v>
      </c>
      <c r="H62" s="39"/>
      <c r="I62" s="39"/>
      <c r="J62" s="29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9.5" customHeight="1">
      <c r="A63" s="39"/>
      <c r="B63" s="38"/>
      <c r="C63" s="39"/>
      <c r="D63" s="39"/>
      <c r="E63" s="39"/>
      <c r="F63" s="40"/>
      <c r="G63" s="41">
        <f>IFERROR(SUMIFS(Transactions!$F$7:$F$991,Transactions!$G$7:$G$991,A63,Transactions!$D$7:$D$991,"Expense"),0)</f>
        <v>0</v>
      </c>
      <c r="H63" s="39"/>
      <c r="I63" s="39"/>
      <c r="J63" s="34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9.5" customHeight="1">
      <c r="A64" s="39"/>
      <c r="B64" s="38"/>
      <c r="C64" s="39"/>
      <c r="D64" s="39"/>
      <c r="E64" s="39"/>
      <c r="F64" s="40"/>
      <c r="G64" s="41">
        <f>IFERROR(SUMIFS(Transactions!$F$7:$F$991,Transactions!$G$7:$G$991,A64,Transactions!$D$7:$D$991,"Expense"),0)</f>
        <v>0</v>
      </c>
      <c r="H64" s="39"/>
      <c r="I64" s="39"/>
      <c r="J64" s="29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9.5" customHeight="1">
      <c r="A65" s="39"/>
      <c r="B65" s="38"/>
      <c r="C65" s="39"/>
      <c r="D65" s="39"/>
      <c r="E65" s="39"/>
      <c r="F65" s="40"/>
      <c r="G65" s="41">
        <f>IFERROR(SUMIFS(Transactions!$F$7:$F$991,Transactions!$G$7:$G$991,A65,Transactions!$D$7:$D$991,"Expense"),0)</f>
        <v>0</v>
      </c>
      <c r="H65" s="39"/>
      <c r="I65" s="39"/>
      <c r="J65" s="34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9.5" customHeight="1">
      <c r="A66" s="39"/>
      <c r="B66" s="38"/>
      <c r="C66" s="39"/>
      <c r="D66" s="39"/>
      <c r="E66" s="39"/>
      <c r="F66" s="40"/>
      <c r="G66" s="41">
        <f>IFERROR(SUMIFS(Transactions!$F$7:$F$991,Transactions!$G$7:$G$991,A66,Transactions!$D$7:$D$991,"Expense"),0)</f>
        <v>0</v>
      </c>
      <c r="H66" s="39"/>
      <c r="I66" s="39"/>
      <c r="J66" s="29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9.5" customHeight="1">
      <c r="A67" s="39"/>
      <c r="B67" s="38"/>
      <c r="C67" s="39"/>
      <c r="D67" s="39"/>
      <c r="E67" s="39"/>
      <c r="F67" s="40"/>
      <c r="G67" s="41">
        <f>IFERROR(SUMIFS(Transactions!$F$7:$F$991,Transactions!$G$7:$G$991,A67,Transactions!$D$7:$D$991,"Expense"),0)</f>
        <v>0</v>
      </c>
      <c r="H67" s="39"/>
      <c r="I67" s="39"/>
      <c r="J67" s="34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9.5" customHeight="1">
      <c r="A68" s="39"/>
      <c r="B68" s="38"/>
      <c r="C68" s="39"/>
      <c r="D68" s="39"/>
      <c r="E68" s="39"/>
      <c r="F68" s="40"/>
      <c r="G68" s="41">
        <f>IFERROR(SUMIFS(Transactions!$F$7:$F$991,Transactions!$G$7:$G$991,A68,Transactions!$D$7:$D$991,"Expense"),0)</f>
        <v>0</v>
      </c>
      <c r="H68" s="39"/>
      <c r="I68" s="39"/>
      <c r="J68" s="29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9.5" customHeight="1">
      <c r="A69" s="39"/>
      <c r="B69" s="38"/>
      <c r="C69" s="39"/>
      <c r="D69" s="39"/>
      <c r="E69" s="39"/>
      <c r="F69" s="40"/>
      <c r="G69" s="41">
        <f>IFERROR(SUMIFS(Transactions!$F$7:$F$991,Transactions!$G$7:$G$991,A69,Transactions!$D$7:$D$991,"Expense"),0)</f>
        <v>0</v>
      </c>
      <c r="H69" s="39"/>
      <c r="I69" s="39"/>
      <c r="J69" s="34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9.5" customHeight="1">
      <c r="A70" s="39"/>
      <c r="B70" s="38"/>
      <c r="C70" s="39"/>
      <c r="D70" s="39"/>
      <c r="E70" s="39"/>
      <c r="F70" s="40"/>
      <c r="G70" s="41">
        <f>IFERROR(SUMIFS(Transactions!$F$7:$F$991,Transactions!$G$7:$G$991,A70,Transactions!$D$7:$D$991,"Expense"),0)</f>
        <v>0</v>
      </c>
      <c r="H70" s="39"/>
      <c r="I70" s="39"/>
      <c r="J70" s="29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9.5" customHeight="1">
      <c r="A71" s="39"/>
      <c r="B71" s="38"/>
      <c r="C71" s="39"/>
      <c r="D71" s="39"/>
      <c r="E71" s="39"/>
      <c r="F71" s="40"/>
      <c r="G71" s="41">
        <f>IFERROR(SUMIFS(Transactions!$F$7:$F$991,Transactions!$G$7:$G$991,A71,Transactions!$D$7:$D$991,"Expense"),0)</f>
        <v>0</v>
      </c>
      <c r="H71" s="39"/>
      <c r="I71" s="39"/>
      <c r="J71" s="34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9.5" customHeight="1">
      <c r="A72" s="39"/>
      <c r="B72" s="38"/>
      <c r="C72" s="39"/>
      <c r="D72" s="39"/>
      <c r="E72" s="39"/>
      <c r="F72" s="40"/>
      <c r="G72" s="41">
        <f>IFERROR(SUMIFS(Transactions!$F$7:$F$991,Transactions!$G$7:$G$991,A72,Transactions!$D$7:$D$991,"Expense"),0)</f>
        <v>0</v>
      </c>
      <c r="H72" s="39"/>
      <c r="I72" s="39"/>
      <c r="J72" s="29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9.5" customHeight="1">
      <c r="A73" s="39"/>
      <c r="B73" s="38"/>
      <c r="C73" s="39"/>
      <c r="D73" s="39"/>
      <c r="E73" s="39"/>
      <c r="F73" s="40"/>
      <c r="G73" s="41">
        <f>IFERROR(SUMIFS(Transactions!$F$7:$F$991,Transactions!$G$7:$G$991,A73,Transactions!$D$7:$D$991,"Expense"),0)</f>
        <v>0</v>
      </c>
      <c r="H73" s="39"/>
      <c r="I73" s="39"/>
      <c r="J73" s="34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9.5" customHeight="1">
      <c r="A74" s="39"/>
      <c r="B74" s="38"/>
      <c r="C74" s="39"/>
      <c r="D74" s="39"/>
      <c r="E74" s="39"/>
      <c r="F74" s="40"/>
      <c r="G74" s="41">
        <f>IFERROR(SUMIFS(Transactions!$F$7:$F$991,Transactions!$G$7:$G$991,A74,Transactions!$D$7:$D$991,"Expense"),0)</f>
        <v>0</v>
      </c>
      <c r="H74" s="39"/>
      <c r="I74" s="39"/>
      <c r="J74" s="29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9.5" customHeight="1">
      <c r="A75" s="39"/>
      <c r="B75" s="38"/>
      <c r="C75" s="39"/>
      <c r="D75" s="39"/>
      <c r="E75" s="39"/>
      <c r="F75" s="40"/>
      <c r="G75" s="41">
        <f>IFERROR(SUMIFS(Transactions!$F$7:$F$991,Transactions!$G$7:$G$991,A75,Transactions!$D$7:$D$991,"Expense"),0)</f>
        <v>0</v>
      </c>
      <c r="H75" s="39"/>
      <c r="I75" s="39"/>
      <c r="J75" s="34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9.5" customHeight="1">
      <c r="A76" s="39"/>
      <c r="B76" s="38"/>
      <c r="C76" s="39"/>
      <c r="D76" s="39"/>
      <c r="E76" s="39"/>
      <c r="F76" s="40"/>
      <c r="G76" s="41">
        <f>IFERROR(SUMIFS(Transactions!$F$7:$F$991,Transactions!$G$7:$G$991,A76,Transactions!$D$7:$D$991,"Expense"),0)</f>
        <v>0</v>
      </c>
      <c r="H76" s="39"/>
      <c r="I76" s="39"/>
      <c r="J76" s="29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9.5" customHeight="1">
      <c r="A77" s="39"/>
      <c r="B77" s="38"/>
      <c r="C77" s="39"/>
      <c r="D77" s="39"/>
      <c r="E77" s="39"/>
      <c r="F77" s="40"/>
      <c r="G77" s="41">
        <f>IFERROR(SUMIFS(Transactions!$F$7:$F$991,Transactions!$G$7:$G$991,A77,Transactions!$D$7:$D$991,"Expense"),0)</f>
        <v>0</v>
      </c>
      <c r="H77" s="39"/>
      <c r="I77" s="39"/>
      <c r="J77" s="34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9.5" customHeight="1">
      <c r="A78" s="39"/>
      <c r="B78" s="38"/>
      <c r="C78" s="39"/>
      <c r="D78" s="39"/>
      <c r="E78" s="39"/>
      <c r="F78" s="40"/>
      <c r="G78" s="41">
        <f>IFERROR(SUMIFS(Transactions!$F$7:$F$991,Transactions!$G$7:$G$991,A78,Transactions!$D$7:$D$991,"Expense"),0)</f>
        <v>0</v>
      </c>
      <c r="H78" s="39"/>
      <c r="I78" s="39"/>
      <c r="J78" s="29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9.5" customHeight="1">
      <c r="A79" s="39"/>
      <c r="B79" s="38"/>
      <c r="C79" s="39"/>
      <c r="D79" s="39"/>
      <c r="E79" s="39"/>
      <c r="F79" s="40"/>
      <c r="G79" s="41">
        <f>IFERROR(SUMIFS(Transactions!$F$7:$F$991,Transactions!$G$7:$G$991,A79,Transactions!$D$7:$D$991,"Expense"),0)</f>
        <v>0</v>
      </c>
      <c r="H79" s="39"/>
      <c r="I79" s="39"/>
      <c r="J79" s="34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9.5" customHeight="1">
      <c r="A80" s="39"/>
      <c r="B80" s="38"/>
      <c r="C80" s="39"/>
      <c r="D80" s="39"/>
      <c r="E80" s="39"/>
      <c r="F80" s="40"/>
      <c r="G80" s="41">
        <f>IFERROR(SUMIFS(Transactions!$F$7:$F$991,Transactions!$G$7:$G$991,A80,Transactions!$D$7:$D$991,"Expense"),0)</f>
        <v>0</v>
      </c>
      <c r="H80" s="39"/>
      <c r="I80" s="39"/>
      <c r="J80" s="29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9.5" customHeight="1">
      <c r="A81" s="39"/>
      <c r="B81" s="38"/>
      <c r="C81" s="39"/>
      <c r="D81" s="39"/>
      <c r="E81" s="39"/>
      <c r="F81" s="40"/>
      <c r="G81" s="41">
        <f>IFERROR(SUMIFS(Transactions!$F$7:$F$991,Transactions!$G$7:$G$991,A81,Transactions!$D$7:$D$991,"Expense"),0)</f>
        <v>0</v>
      </c>
      <c r="H81" s="39"/>
      <c r="I81" s="39"/>
      <c r="J81" s="34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9.5" customHeight="1">
      <c r="A82" s="39"/>
      <c r="B82" s="38"/>
      <c r="C82" s="39"/>
      <c r="D82" s="39"/>
      <c r="E82" s="39"/>
      <c r="F82" s="40"/>
      <c r="G82" s="41">
        <f>IFERROR(SUMIFS(Transactions!$F$7:$F$991,Transactions!$G$7:$G$991,A82,Transactions!$D$7:$D$991,"Expense"),0)</f>
        <v>0</v>
      </c>
      <c r="H82" s="39"/>
      <c r="I82" s="39"/>
      <c r="J82" s="29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9.5" customHeight="1">
      <c r="A83" s="39"/>
      <c r="B83" s="38"/>
      <c r="C83" s="39"/>
      <c r="D83" s="39"/>
      <c r="E83" s="39"/>
      <c r="F83" s="40"/>
      <c r="G83" s="41">
        <f>IFERROR(SUMIFS(Transactions!$F$7:$F$991,Transactions!$G$7:$G$991,A83,Transactions!$D$7:$D$991,"Expense"),0)</f>
        <v>0</v>
      </c>
      <c r="H83" s="39"/>
      <c r="I83" s="39"/>
      <c r="J83" s="34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9.5" customHeight="1">
      <c r="A84" s="39"/>
      <c r="B84" s="38"/>
      <c r="C84" s="39"/>
      <c r="D84" s="39"/>
      <c r="E84" s="39"/>
      <c r="F84" s="40"/>
      <c r="G84" s="41">
        <f>IFERROR(SUMIFS(Transactions!$F$7:$F$991,Transactions!$G$7:$G$991,A84,Transactions!$D$7:$D$991,"Expense"),0)</f>
        <v>0</v>
      </c>
      <c r="H84" s="39"/>
      <c r="I84" s="39"/>
      <c r="J84" s="29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9.5" customHeight="1">
      <c r="A85" s="39"/>
      <c r="B85" s="38"/>
      <c r="C85" s="39"/>
      <c r="D85" s="39"/>
      <c r="E85" s="39"/>
      <c r="F85" s="40"/>
      <c r="G85" s="41">
        <f>IFERROR(SUMIFS(Transactions!$F$7:$F$991,Transactions!$G$7:$G$991,A85,Transactions!$D$7:$D$991,"Expense"),0)</f>
        <v>0</v>
      </c>
      <c r="H85" s="39"/>
      <c r="I85" s="39"/>
      <c r="J85" s="34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9.5" customHeight="1">
      <c r="A86" s="39"/>
      <c r="B86" s="38"/>
      <c r="C86" s="39"/>
      <c r="D86" s="39"/>
      <c r="E86" s="39"/>
      <c r="F86" s="40"/>
      <c r="G86" s="41">
        <f>IFERROR(SUMIFS(Transactions!$F$7:$F$991,Transactions!$G$7:$G$991,A86,Transactions!$D$7:$D$991,"Expense"),0)</f>
        <v>0</v>
      </c>
      <c r="H86" s="39"/>
      <c r="I86" s="39"/>
      <c r="J86" s="29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9.5" customHeight="1">
      <c r="A87" s="39"/>
      <c r="B87" s="38"/>
      <c r="C87" s="39"/>
      <c r="D87" s="39"/>
      <c r="E87" s="39"/>
      <c r="F87" s="40"/>
      <c r="G87" s="41">
        <f>IFERROR(SUMIFS(Transactions!$F$7:$F$991,Transactions!$G$7:$G$991,A87,Transactions!$D$7:$D$991,"Expense"),0)</f>
        <v>0</v>
      </c>
      <c r="H87" s="39"/>
      <c r="I87" s="39"/>
      <c r="J87" s="34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9.5" customHeight="1">
      <c r="A88" s="39"/>
      <c r="B88" s="38"/>
      <c r="C88" s="39"/>
      <c r="D88" s="39"/>
      <c r="E88" s="39"/>
      <c r="F88" s="40"/>
      <c r="G88" s="41">
        <f>IFERROR(SUMIFS(Transactions!$F$7:$F$991,Transactions!$G$7:$G$991,A88,Transactions!$D$7:$D$991,"Expense"),0)</f>
        <v>0</v>
      </c>
      <c r="H88" s="39"/>
      <c r="I88" s="39"/>
      <c r="J88" s="29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9.5" customHeight="1">
      <c r="A89" s="39"/>
      <c r="B89" s="38"/>
      <c r="C89" s="39"/>
      <c r="D89" s="39"/>
      <c r="E89" s="39"/>
      <c r="F89" s="40"/>
      <c r="G89" s="41">
        <f>IFERROR(SUMIFS(Transactions!$F$7:$F$991,Transactions!$G$7:$G$991,A89,Transactions!$D$7:$D$991,"Expense"),0)</f>
        <v>0</v>
      </c>
      <c r="H89" s="39"/>
      <c r="I89" s="39"/>
      <c r="J89" s="34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9.5" customHeight="1">
      <c r="A90" s="39"/>
      <c r="B90" s="38"/>
      <c r="C90" s="39"/>
      <c r="D90" s="39"/>
      <c r="E90" s="39"/>
      <c r="F90" s="40"/>
      <c r="G90" s="41">
        <f>IFERROR(SUMIFS(Transactions!$F$7:$F$991,Transactions!$G$7:$G$991,A90,Transactions!$D$7:$D$991,"Expense"),0)</f>
        <v>0</v>
      </c>
      <c r="H90" s="39"/>
      <c r="I90" s="39"/>
      <c r="J90" s="29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9.5" customHeight="1">
      <c r="A91" s="39"/>
      <c r="B91" s="38"/>
      <c r="C91" s="39"/>
      <c r="D91" s="39"/>
      <c r="E91" s="39"/>
      <c r="F91" s="40"/>
      <c r="G91" s="41">
        <f>IFERROR(SUMIFS(Transactions!$F$7:$F$991,Transactions!$G$7:$G$991,A91,Transactions!$D$7:$D$991,"Expense"),0)</f>
        <v>0</v>
      </c>
      <c r="H91" s="39"/>
      <c r="I91" s="39"/>
      <c r="J91" s="34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9.5" customHeight="1">
      <c r="A92" s="39"/>
      <c r="B92" s="38"/>
      <c r="C92" s="39"/>
      <c r="D92" s="39"/>
      <c r="E92" s="39"/>
      <c r="F92" s="40"/>
      <c r="G92" s="41">
        <f>IFERROR(SUMIFS(Transactions!$F$7:$F$991,Transactions!$G$7:$G$991,A92,Transactions!$D$7:$D$991,"Expense"),0)</f>
        <v>0</v>
      </c>
      <c r="H92" s="39"/>
      <c r="I92" s="39"/>
      <c r="J92" s="29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9.5" customHeight="1">
      <c r="A93" s="39"/>
      <c r="B93" s="38"/>
      <c r="C93" s="39"/>
      <c r="D93" s="39"/>
      <c r="E93" s="39"/>
      <c r="F93" s="40"/>
      <c r="G93" s="41">
        <f>IFERROR(SUMIFS(Transactions!$F$7:$F$991,Transactions!$G$7:$G$991,A93,Transactions!$D$7:$D$991,"Expense"),0)</f>
        <v>0</v>
      </c>
      <c r="H93" s="39"/>
      <c r="I93" s="39"/>
      <c r="J93" s="34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9.5" customHeight="1">
      <c r="A94" s="39"/>
      <c r="B94" s="38"/>
      <c r="C94" s="39"/>
      <c r="D94" s="39"/>
      <c r="E94" s="39"/>
      <c r="F94" s="40"/>
      <c r="G94" s="41">
        <f>IFERROR(SUMIFS(Transactions!$F$7:$F$991,Transactions!$G$7:$G$991,A94,Transactions!$D$7:$D$991,"Expense"),0)</f>
        <v>0</v>
      </c>
      <c r="H94" s="39"/>
      <c r="I94" s="39"/>
      <c r="J94" s="29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9.5" customHeight="1">
      <c r="A95" s="39"/>
      <c r="B95" s="38"/>
      <c r="C95" s="39"/>
      <c r="D95" s="39"/>
      <c r="E95" s="39"/>
      <c r="F95" s="40"/>
      <c r="G95" s="41">
        <f>IFERROR(SUMIFS(Transactions!$F$7:$F$991,Transactions!$G$7:$G$991,A95,Transactions!$D$7:$D$991,"Expense"),0)</f>
        <v>0</v>
      </c>
      <c r="H95" s="39"/>
      <c r="I95" s="39"/>
      <c r="J95" s="34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9.5" customHeight="1">
      <c r="A96" s="39"/>
      <c r="B96" s="38"/>
      <c r="C96" s="39"/>
      <c r="D96" s="39"/>
      <c r="E96" s="39"/>
      <c r="F96" s="40"/>
      <c r="G96" s="41">
        <f>IFERROR(SUMIFS(Transactions!$F$7:$F$991,Transactions!$G$7:$G$991,A96,Transactions!$D$7:$D$991,"Expense"),0)</f>
        <v>0</v>
      </c>
      <c r="H96" s="39"/>
      <c r="I96" s="39"/>
      <c r="J96" s="29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9.5" customHeight="1">
      <c r="A97" s="39"/>
      <c r="B97" s="38"/>
      <c r="C97" s="39"/>
      <c r="D97" s="39"/>
      <c r="E97" s="39"/>
      <c r="F97" s="40"/>
      <c r="G97" s="41">
        <f>IFERROR(SUMIFS(Transactions!$F$7:$F$991,Transactions!$G$7:$G$991,A97,Transactions!$D$7:$D$991,"Expense"),0)</f>
        <v>0</v>
      </c>
      <c r="H97" s="39"/>
      <c r="I97" s="39"/>
      <c r="J97" s="34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9.5" customHeight="1">
      <c r="A98" s="39"/>
      <c r="B98" s="38"/>
      <c r="C98" s="39"/>
      <c r="D98" s="39"/>
      <c r="E98" s="39"/>
      <c r="F98" s="40"/>
      <c r="G98" s="41">
        <f>IFERROR(SUMIFS(Transactions!$F$7:$F$991,Transactions!$G$7:$G$991,A98,Transactions!$D$7:$D$991,"Expense"),0)</f>
        <v>0</v>
      </c>
      <c r="H98" s="39"/>
      <c r="I98" s="39"/>
      <c r="J98" s="29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9.5" customHeight="1">
      <c r="A99" s="39"/>
      <c r="B99" s="38"/>
      <c r="C99" s="39"/>
      <c r="D99" s="39"/>
      <c r="E99" s="39"/>
      <c r="F99" s="40"/>
      <c r="G99" s="41">
        <f>IFERROR(SUMIFS(Transactions!$F$7:$F$991,Transactions!$G$7:$G$991,A99,Transactions!$D$7:$D$991,"Expense"),0)</f>
        <v>0</v>
      </c>
      <c r="H99" s="39"/>
      <c r="I99" s="39"/>
      <c r="J99" s="34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9.5" customHeight="1">
      <c r="A100" s="39"/>
      <c r="B100" s="38"/>
      <c r="C100" s="39"/>
      <c r="D100" s="39"/>
      <c r="E100" s="39"/>
      <c r="F100" s="40"/>
      <c r="G100" s="41">
        <f>IFERROR(SUMIFS(Transactions!$F$7:$F$991,Transactions!$G$7:$G$991,A100,Transactions!$D$7:$D$991,"Expense"),0)</f>
        <v>0</v>
      </c>
      <c r="H100" s="39"/>
      <c r="I100" s="39"/>
      <c r="J100" s="29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9.5" customHeight="1">
      <c r="A101" s="39"/>
      <c r="B101" s="38"/>
      <c r="C101" s="39"/>
      <c r="D101" s="39"/>
      <c r="E101" s="39"/>
      <c r="F101" s="40"/>
      <c r="G101" s="41">
        <f>IFERROR(SUMIFS(Transactions!$F$7:$F$991,Transactions!$G$7:$G$991,A101,Transactions!$D$7:$D$991,"Expense"),0)</f>
        <v>0</v>
      </c>
      <c r="H101" s="39"/>
      <c r="I101" s="39"/>
      <c r="J101" s="34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9.5" customHeight="1">
      <c r="A102" s="39"/>
      <c r="B102" s="38"/>
      <c r="C102" s="39"/>
      <c r="D102" s="39"/>
      <c r="E102" s="39"/>
      <c r="F102" s="40"/>
      <c r="G102" s="41">
        <f>IFERROR(SUMIFS(Transactions!$F$7:$F$991,Transactions!$G$7:$G$991,A102,Transactions!$D$7:$D$991,"Expense"),0)</f>
        <v>0</v>
      </c>
      <c r="H102" s="39"/>
      <c r="I102" s="39"/>
      <c r="J102" s="29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9.5" customHeight="1">
      <c r="A103" s="39"/>
      <c r="B103" s="38"/>
      <c r="C103" s="39"/>
      <c r="D103" s="39"/>
      <c r="E103" s="39"/>
      <c r="F103" s="40"/>
      <c r="G103" s="41">
        <f>IFERROR(SUMIFS(Transactions!$F$7:$F$991,Transactions!$G$7:$G$991,A103,Transactions!$D$7:$D$991,"Expense"),0)</f>
        <v>0</v>
      </c>
      <c r="H103" s="39"/>
      <c r="I103" s="39"/>
      <c r="J103" s="34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9.5" customHeight="1">
      <c r="A104" s="39"/>
      <c r="B104" s="38"/>
      <c r="C104" s="39"/>
      <c r="D104" s="39"/>
      <c r="E104" s="39"/>
      <c r="F104" s="40"/>
      <c r="G104" s="41">
        <f>IFERROR(SUMIFS(Transactions!$F$7:$F$991,Transactions!$G$7:$G$991,A104,Transactions!$D$7:$D$991,"Expense"),0)</f>
        <v>0</v>
      </c>
      <c r="H104" s="39"/>
      <c r="I104" s="39"/>
      <c r="J104" s="39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9.5" customHeight="1">
      <c r="A105" s="39"/>
      <c r="B105" s="38"/>
      <c r="C105" s="39"/>
      <c r="D105" s="39"/>
      <c r="E105" s="39"/>
      <c r="F105" s="40"/>
      <c r="G105" s="41">
        <f>IFERROR(SUMIFS(Transactions!$F$7:$F$991,Transactions!$G$7:$G$991,A105,Transactions!$D$7:$D$991,"Expense"),0)</f>
        <v>0</v>
      </c>
      <c r="H105" s="39"/>
      <c r="I105" s="39"/>
      <c r="J105" s="39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9.5" customHeight="1">
      <c r="A106" s="39"/>
      <c r="B106" s="38"/>
      <c r="C106" s="39"/>
      <c r="D106" s="39"/>
      <c r="E106" s="39"/>
      <c r="F106" s="40"/>
      <c r="G106" s="41">
        <f>IFERROR(SUMIFS(Transactions!$F$7:$F$991,Transactions!$G$7:$G$991,A106,Transactions!$D$7:$D$991,"Expense"),0)</f>
        <v>0</v>
      </c>
      <c r="H106" s="39"/>
      <c r="I106" s="39"/>
      <c r="J106" s="39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9.5" customHeight="1">
      <c r="A107" s="39"/>
      <c r="B107" s="38"/>
      <c r="C107" s="39"/>
      <c r="D107" s="39"/>
      <c r="E107" s="39"/>
      <c r="F107" s="40"/>
      <c r="G107" s="41">
        <f>IFERROR(SUMIFS(Transactions!$F$7:$F$991,Transactions!$G$7:$G$991,A107,Transactions!$D$7:$D$991,"Expense"),0)</f>
        <v>0</v>
      </c>
      <c r="H107" s="39"/>
      <c r="I107" s="39"/>
      <c r="J107" s="39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9.5" customHeight="1">
      <c r="A108" s="39"/>
      <c r="B108" s="38"/>
      <c r="C108" s="39"/>
      <c r="D108" s="39"/>
      <c r="E108" s="39"/>
      <c r="F108" s="40"/>
      <c r="G108" s="41">
        <f>IFERROR(SUMIFS(Transactions!$F$7:$F$991,Transactions!$G$7:$G$991,A108,Transactions!$D$7:$D$991,"Expense"),0)</f>
        <v>0</v>
      </c>
      <c r="H108" s="39"/>
      <c r="I108" s="39"/>
      <c r="J108" s="39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9.5" customHeight="1">
      <c r="A109" s="39"/>
      <c r="B109" s="38"/>
      <c r="C109" s="39"/>
      <c r="D109" s="39"/>
      <c r="E109" s="39"/>
      <c r="F109" s="40"/>
      <c r="G109" s="41">
        <f>IFERROR(SUMIFS(Transactions!$F$7:$F$991,Transactions!$G$7:$G$991,A109,Transactions!$D$7:$D$991,"Expense"),0)</f>
        <v>0</v>
      </c>
      <c r="H109" s="39"/>
      <c r="I109" s="39"/>
      <c r="J109" s="39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9.5" customHeight="1">
      <c r="A110" s="39"/>
      <c r="B110" s="38"/>
      <c r="C110" s="39"/>
      <c r="D110" s="39"/>
      <c r="E110" s="39"/>
      <c r="F110" s="40"/>
      <c r="G110" s="41">
        <f>IFERROR(SUMIFS(Transactions!$F$7:$F$991,Transactions!$G$7:$G$991,A110,Transactions!$D$7:$D$991,"Expense"),0)</f>
        <v>0</v>
      </c>
      <c r="H110" s="39"/>
      <c r="I110" s="39"/>
      <c r="J110" s="39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9.5" customHeight="1">
      <c r="A111" s="39"/>
      <c r="B111" s="38"/>
      <c r="C111" s="39"/>
      <c r="D111" s="39"/>
      <c r="E111" s="39"/>
      <c r="F111" s="40"/>
      <c r="G111" s="41">
        <f>IFERROR(SUMIFS(Transactions!$F$7:$F$991,Transactions!$G$7:$G$991,A111,Transactions!$D$7:$D$991,"Expense"),0)</f>
        <v>0</v>
      </c>
      <c r="H111" s="39"/>
      <c r="I111" s="39"/>
      <c r="J111" s="39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9.5" customHeight="1">
      <c r="A112" s="39"/>
      <c r="B112" s="38"/>
      <c r="C112" s="39"/>
      <c r="D112" s="39"/>
      <c r="E112" s="39"/>
      <c r="F112" s="40"/>
      <c r="G112" s="41">
        <f>IFERROR(SUMIFS(Transactions!$F$7:$F$991,Transactions!$G$7:$G$991,A112,Transactions!$D$7:$D$991,"Expense"),0)</f>
        <v>0</v>
      </c>
      <c r="H112" s="39"/>
      <c r="I112" s="39"/>
      <c r="J112" s="39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9.5" customHeight="1">
      <c r="A113" s="39"/>
      <c r="B113" s="38"/>
      <c r="C113" s="39"/>
      <c r="D113" s="39"/>
      <c r="E113" s="39"/>
      <c r="F113" s="40"/>
      <c r="G113" s="41">
        <f>IFERROR(SUMIFS(Transactions!$F$7:$F$991,Transactions!$G$7:$G$991,A113,Transactions!$D$7:$D$991,"Expense"),0)</f>
        <v>0</v>
      </c>
      <c r="H113" s="39"/>
      <c r="I113" s="39"/>
      <c r="J113" s="39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9.5" customHeight="1">
      <c r="A114" s="39"/>
      <c r="B114" s="38"/>
      <c r="C114" s="39"/>
      <c r="D114" s="39"/>
      <c r="E114" s="39"/>
      <c r="F114" s="40"/>
      <c r="G114" s="41">
        <f>IFERROR(SUMIFS(Transactions!$F$7:$F$991,Transactions!$G$7:$G$991,A114,Transactions!$D$7:$D$991,"Expense"),0)</f>
        <v>0</v>
      </c>
      <c r="H114" s="39"/>
      <c r="I114" s="39"/>
      <c r="J114" s="39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9.5" customHeight="1">
      <c r="A115" s="39"/>
      <c r="B115" s="38"/>
      <c r="C115" s="39"/>
      <c r="D115" s="39"/>
      <c r="E115" s="39"/>
      <c r="F115" s="40"/>
      <c r="G115" s="41">
        <f>IFERROR(SUMIFS(Transactions!$F$7:$F$991,Transactions!$G$7:$G$991,A115,Transactions!$D$7:$D$991,"Expense"),0)</f>
        <v>0</v>
      </c>
      <c r="H115" s="39"/>
      <c r="I115" s="39"/>
      <c r="J115" s="39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9.5" customHeight="1">
      <c r="A116" s="39"/>
      <c r="B116" s="38"/>
      <c r="C116" s="39"/>
      <c r="D116" s="39"/>
      <c r="E116" s="39"/>
      <c r="F116" s="40"/>
      <c r="G116" s="41">
        <f>IFERROR(SUMIFS(Transactions!$F$7:$F$991,Transactions!$G$7:$G$991,A116,Transactions!$D$7:$D$991,"Expense"),0)</f>
        <v>0</v>
      </c>
      <c r="H116" s="39"/>
      <c r="I116" s="39"/>
      <c r="J116" s="39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9.5" customHeight="1">
      <c r="A117" s="39"/>
      <c r="B117" s="38"/>
      <c r="C117" s="39"/>
      <c r="D117" s="39"/>
      <c r="E117" s="39"/>
      <c r="F117" s="40"/>
      <c r="G117" s="41">
        <f>IFERROR(SUMIFS(Transactions!$F$7:$F$991,Transactions!$G$7:$G$991,A117,Transactions!$D$7:$D$991,"Expense"),0)</f>
        <v>0</v>
      </c>
      <c r="H117" s="39"/>
      <c r="I117" s="39"/>
      <c r="J117" s="39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9.5" customHeight="1">
      <c r="A118" s="39"/>
      <c r="B118" s="38"/>
      <c r="C118" s="39"/>
      <c r="D118" s="39"/>
      <c r="E118" s="39"/>
      <c r="F118" s="40"/>
      <c r="G118" s="41">
        <f>IFERROR(SUMIFS(Transactions!$F$7:$F$991,Transactions!$G$7:$G$991,A118,Transactions!$D$7:$D$991,"Expense"),0)</f>
        <v>0</v>
      </c>
      <c r="H118" s="39"/>
      <c r="I118" s="39"/>
      <c r="J118" s="39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9.5" customHeight="1">
      <c r="A119" s="39"/>
      <c r="B119" s="38"/>
      <c r="C119" s="39"/>
      <c r="D119" s="39"/>
      <c r="E119" s="39"/>
      <c r="F119" s="40"/>
      <c r="G119" s="41">
        <f>IFERROR(SUMIFS(Transactions!$F$7:$F$991,Transactions!$G$7:$G$991,A119,Transactions!$D$7:$D$991,"Expense"),0)</f>
        <v>0</v>
      </c>
      <c r="H119" s="39"/>
      <c r="I119" s="39"/>
      <c r="J119" s="39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9.5" customHeight="1">
      <c r="A120" s="39"/>
      <c r="B120" s="38"/>
      <c r="C120" s="39"/>
      <c r="D120" s="39"/>
      <c r="E120" s="39"/>
      <c r="F120" s="40"/>
      <c r="G120" s="41">
        <f>IFERROR(SUMIFS(Transactions!$F$7:$F$991,Transactions!$G$7:$G$991,A120,Transactions!$D$7:$D$991,"Expense"),0)</f>
        <v>0</v>
      </c>
      <c r="H120" s="39"/>
      <c r="I120" s="39"/>
      <c r="J120" s="39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9.5" customHeight="1">
      <c r="A121" s="39"/>
      <c r="B121" s="38"/>
      <c r="C121" s="39"/>
      <c r="D121" s="39"/>
      <c r="E121" s="39"/>
      <c r="F121" s="40"/>
      <c r="G121" s="41">
        <f>IFERROR(SUMIFS(Transactions!$F$7:$F$991,Transactions!$G$7:$G$991,A121,Transactions!$D$7:$D$991,"Expense"),0)</f>
        <v>0</v>
      </c>
      <c r="H121" s="39"/>
      <c r="I121" s="39"/>
      <c r="J121" s="39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9.5" customHeight="1">
      <c r="A122" s="39"/>
      <c r="B122" s="38"/>
      <c r="C122" s="39"/>
      <c r="D122" s="39"/>
      <c r="E122" s="39"/>
      <c r="F122" s="40"/>
      <c r="G122" s="41">
        <f>IFERROR(SUMIFS(Transactions!$F$7:$F$991,Transactions!$G$7:$G$991,A122,Transactions!$D$7:$D$991,"Expense"),0)</f>
        <v>0</v>
      </c>
      <c r="H122" s="39"/>
      <c r="I122" s="39"/>
      <c r="J122" s="39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9.5" customHeight="1">
      <c r="A123" s="39"/>
      <c r="B123" s="38"/>
      <c r="C123" s="39"/>
      <c r="D123" s="39"/>
      <c r="E123" s="39"/>
      <c r="F123" s="40"/>
      <c r="G123" s="41">
        <f>IFERROR(SUMIFS(Transactions!$F$7:$F$991,Transactions!$G$7:$G$991,A123,Transactions!$D$7:$D$991,"Expense"),0)</f>
        <v>0</v>
      </c>
      <c r="H123" s="39"/>
      <c r="I123" s="39"/>
      <c r="J123" s="39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9.5" customHeight="1">
      <c r="A124" s="39"/>
      <c r="B124" s="38"/>
      <c r="C124" s="39"/>
      <c r="D124" s="39"/>
      <c r="E124" s="39"/>
      <c r="F124" s="40"/>
      <c r="G124" s="41">
        <f>IFERROR(SUMIFS(Transactions!$F$7:$F$991,Transactions!$G$7:$G$991,A124,Transactions!$D$7:$D$991,"Expense"),0)</f>
        <v>0</v>
      </c>
      <c r="H124" s="39"/>
      <c r="I124" s="39"/>
      <c r="J124" s="39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9.5" customHeight="1">
      <c r="A125" s="39"/>
      <c r="B125" s="38"/>
      <c r="C125" s="39"/>
      <c r="D125" s="39"/>
      <c r="E125" s="39"/>
      <c r="F125" s="40"/>
      <c r="G125" s="41">
        <f>IFERROR(SUMIFS(Transactions!$F$7:$F$991,Transactions!$G$7:$G$991,A125,Transactions!$D$7:$D$991,"Expense"),0)</f>
        <v>0</v>
      </c>
      <c r="H125" s="39"/>
      <c r="I125" s="39"/>
      <c r="J125" s="39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9.5" customHeight="1">
      <c r="A126" s="39"/>
      <c r="B126" s="38"/>
      <c r="C126" s="39"/>
      <c r="D126" s="39"/>
      <c r="E126" s="39"/>
      <c r="F126" s="40"/>
      <c r="G126" s="41">
        <f>IFERROR(SUMIFS(Transactions!$F$7:$F$991,Transactions!$G$7:$G$991,A126,Transactions!$D$7:$D$991,"Expense"),0)</f>
        <v>0</v>
      </c>
      <c r="H126" s="39"/>
      <c r="I126" s="39"/>
      <c r="J126" s="39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9.5" customHeight="1">
      <c r="A127" s="39"/>
      <c r="B127" s="38"/>
      <c r="C127" s="39"/>
      <c r="D127" s="39"/>
      <c r="E127" s="39"/>
      <c r="F127" s="40"/>
      <c r="G127" s="41">
        <f>IFERROR(SUMIFS(Transactions!$F$7:$F$991,Transactions!$G$7:$G$991,A127,Transactions!$D$7:$D$991,"Expense"),0)</f>
        <v>0</v>
      </c>
      <c r="H127" s="39"/>
      <c r="I127" s="39"/>
      <c r="J127" s="39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9.5" customHeight="1">
      <c r="A128" s="39"/>
      <c r="B128" s="38"/>
      <c r="C128" s="39"/>
      <c r="D128" s="39"/>
      <c r="E128" s="39"/>
      <c r="F128" s="40"/>
      <c r="G128" s="41">
        <f>IFERROR(SUMIFS(Transactions!$F$7:$F$991,Transactions!$G$7:$G$991,A128,Transactions!$D$7:$D$991,"Expense"),0)</f>
        <v>0</v>
      </c>
      <c r="H128" s="39"/>
      <c r="I128" s="39"/>
      <c r="J128" s="39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9.5" customHeight="1">
      <c r="A129" s="39"/>
      <c r="B129" s="38"/>
      <c r="C129" s="39"/>
      <c r="D129" s="39"/>
      <c r="E129" s="39"/>
      <c r="F129" s="40"/>
      <c r="G129" s="41">
        <f>IFERROR(SUMIFS(Transactions!$F$7:$F$991,Transactions!$G$7:$G$991,A129,Transactions!$D$7:$D$991,"Expense"),0)</f>
        <v>0</v>
      </c>
      <c r="H129" s="39"/>
      <c r="I129" s="39"/>
      <c r="J129" s="39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9.5" customHeight="1">
      <c r="A130" s="39"/>
      <c r="B130" s="38"/>
      <c r="C130" s="39"/>
      <c r="D130" s="39"/>
      <c r="E130" s="39"/>
      <c r="F130" s="40"/>
      <c r="G130" s="41">
        <f>IFERROR(SUMIFS(Transactions!$F$7:$F$991,Transactions!$G$7:$G$991,A130,Transactions!$D$7:$D$991,"Expense"),0)</f>
        <v>0</v>
      </c>
      <c r="H130" s="39"/>
      <c r="I130" s="39"/>
      <c r="J130" s="39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9.5" customHeight="1">
      <c r="A131" s="39"/>
      <c r="B131" s="38"/>
      <c r="C131" s="39"/>
      <c r="D131" s="39"/>
      <c r="E131" s="39"/>
      <c r="F131" s="40"/>
      <c r="G131" s="41">
        <f>IFERROR(SUMIFS(Transactions!$F$7:$F$991,Transactions!$G$7:$G$991,A131,Transactions!$D$7:$D$991,"Expense"),0)</f>
        <v>0</v>
      </c>
      <c r="H131" s="39"/>
      <c r="I131" s="39"/>
      <c r="J131" s="39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9.5" customHeight="1">
      <c r="A132" s="39"/>
      <c r="B132" s="38"/>
      <c r="C132" s="39"/>
      <c r="D132" s="39"/>
      <c r="E132" s="39"/>
      <c r="F132" s="40"/>
      <c r="G132" s="41">
        <f>IFERROR(SUMIFS(Transactions!$F$7:$F$991,Transactions!$G$7:$G$991,A132,Transactions!$D$7:$D$991,"Expense"),0)</f>
        <v>0</v>
      </c>
      <c r="H132" s="39"/>
      <c r="I132" s="39"/>
      <c r="J132" s="39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9.5" customHeight="1">
      <c r="A133" s="39"/>
      <c r="B133" s="38"/>
      <c r="C133" s="39"/>
      <c r="D133" s="39"/>
      <c r="E133" s="39"/>
      <c r="F133" s="40"/>
      <c r="G133" s="41">
        <f>IFERROR(SUMIFS(Transactions!$F$7:$F$991,Transactions!$G$7:$G$991,A133,Transactions!$D$7:$D$991,"Expense"),0)</f>
        <v>0</v>
      </c>
      <c r="H133" s="39"/>
      <c r="I133" s="39"/>
      <c r="J133" s="39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9.5" customHeight="1">
      <c r="A134" s="39"/>
      <c r="B134" s="38"/>
      <c r="C134" s="39"/>
      <c r="D134" s="39"/>
      <c r="E134" s="39"/>
      <c r="F134" s="40"/>
      <c r="G134" s="41">
        <f>IFERROR(SUMIFS(Transactions!$F$7:$F$991,Transactions!$G$7:$G$991,A134,Transactions!$D$7:$D$991,"Expense"),0)</f>
        <v>0</v>
      </c>
      <c r="H134" s="39"/>
      <c r="I134" s="39"/>
      <c r="J134" s="39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9.5" customHeight="1">
      <c r="A135" s="39"/>
      <c r="B135" s="38"/>
      <c r="C135" s="39"/>
      <c r="D135" s="39"/>
      <c r="E135" s="39"/>
      <c r="F135" s="40"/>
      <c r="G135" s="41">
        <f>IFERROR(SUMIFS(Transactions!$F$7:$F$991,Transactions!$G$7:$G$991,A135,Transactions!$D$7:$D$991,"Expense"),0)</f>
        <v>0</v>
      </c>
      <c r="H135" s="39"/>
      <c r="I135" s="39"/>
      <c r="J135" s="39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9.5" customHeight="1">
      <c r="A136" s="39"/>
      <c r="B136" s="38"/>
      <c r="C136" s="39"/>
      <c r="D136" s="39"/>
      <c r="E136" s="39"/>
      <c r="F136" s="40"/>
      <c r="G136" s="41">
        <f>IFERROR(SUMIFS(Transactions!$F$7:$F$991,Transactions!$G$7:$G$991,A136,Transactions!$D$7:$D$991,"Expense"),0)</f>
        <v>0</v>
      </c>
      <c r="H136" s="39"/>
      <c r="I136" s="39"/>
      <c r="J136" s="39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9.5" customHeight="1">
      <c r="A137" s="39"/>
      <c r="B137" s="38"/>
      <c r="C137" s="39"/>
      <c r="D137" s="39"/>
      <c r="E137" s="39"/>
      <c r="F137" s="40"/>
      <c r="G137" s="41">
        <f>IFERROR(SUMIFS(Transactions!$F$7:$F$991,Transactions!$G$7:$G$991,A137,Transactions!$D$7:$D$991,"Expense"),0)</f>
        <v>0</v>
      </c>
      <c r="H137" s="39"/>
      <c r="I137" s="39"/>
      <c r="J137" s="39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9.5" customHeight="1">
      <c r="A138" s="39"/>
      <c r="B138" s="38"/>
      <c r="C138" s="39"/>
      <c r="D138" s="39"/>
      <c r="E138" s="39"/>
      <c r="F138" s="40"/>
      <c r="G138" s="41">
        <f>IFERROR(SUMIFS(Transactions!$F$7:$F$991,Transactions!$G$7:$G$991,A138,Transactions!$D$7:$D$991,"Expense"),0)</f>
        <v>0</v>
      </c>
      <c r="H138" s="39"/>
      <c r="I138" s="39"/>
      <c r="J138" s="39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9.5" customHeight="1">
      <c r="A139" s="39"/>
      <c r="B139" s="38"/>
      <c r="C139" s="39"/>
      <c r="D139" s="39"/>
      <c r="E139" s="39"/>
      <c r="F139" s="40"/>
      <c r="G139" s="41">
        <f>IFERROR(SUMIFS(Transactions!$F$7:$F$991,Transactions!$G$7:$G$991,A139,Transactions!$D$7:$D$991,"Expense"),0)</f>
        <v>0</v>
      </c>
      <c r="H139" s="39"/>
      <c r="I139" s="39"/>
      <c r="J139" s="39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9.5" customHeight="1">
      <c r="A140" s="39"/>
      <c r="B140" s="38"/>
      <c r="C140" s="39"/>
      <c r="D140" s="39"/>
      <c r="E140" s="39"/>
      <c r="F140" s="40"/>
      <c r="G140" s="41">
        <f>IFERROR(SUMIFS(Transactions!$F$7:$F$991,Transactions!$G$7:$G$991,A140,Transactions!$D$7:$D$991,"Expense"),0)</f>
        <v>0</v>
      </c>
      <c r="H140" s="39"/>
      <c r="I140" s="39"/>
      <c r="J140" s="39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9.5" customHeight="1">
      <c r="A141" s="39"/>
      <c r="B141" s="38"/>
      <c r="C141" s="39"/>
      <c r="D141" s="39"/>
      <c r="E141" s="39"/>
      <c r="F141" s="40"/>
      <c r="G141" s="41">
        <f>IFERROR(SUMIFS(Transactions!$F$7:$F$991,Transactions!$G$7:$G$991,A141,Transactions!$D$7:$D$991,"Expense"),0)</f>
        <v>0</v>
      </c>
      <c r="H141" s="39"/>
      <c r="I141" s="39"/>
      <c r="J141" s="39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9.5" customHeight="1">
      <c r="A142" s="39"/>
      <c r="B142" s="38"/>
      <c r="C142" s="39"/>
      <c r="D142" s="39"/>
      <c r="E142" s="39"/>
      <c r="F142" s="40"/>
      <c r="G142" s="41">
        <f>IFERROR(SUMIFS(Transactions!$F$7:$F$991,Transactions!$G$7:$G$991,A142,Transactions!$D$7:$D$991,"Expense"),0)</f>
        <v>0</v>
      </c>
      <c r="H142" s="39"/>
      <c r="I142" s="39"/>
      <c r="J142" s="39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9.5" customHeight="1">
      <c r="A143" s="39"/>
      <c r="B143" s="38"/>
      <c r="C143" s="39"/>
      <c r="D143" s="39"/>
      <c r="E143" s="39"/>
      <c r="F143" s="40"/>
      <c r="G143" s="41">
        <f>IFERROR(SUMIFS(Transactions!$F$7:$F$991,Transactions!$G$7:$G$991,A143,Transactions!$D$7:$D$991,"Expense"),0)</f>
        <v>0</v>
      </c>
      <c r="H143" s="39"/>
      <c r="I143" s="39"/>
      <c r="J143" s="39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9.5" customHeight="1">
      <c r="A144" s="39"/>
      <c r="B144" s="38"/>
      <c r="C144" s="39"/>
      <c r="D144" s="39"/>
      <c r="E144" s="39"/>
      <c r="F144" s="40"/>
      <c r="G144" s="41">
        <f>IFERROR(SUMIFS(Transactions!$F$7:$F$991,Transactions!$G$7:$G$991,A144,Transactions!$D$7:$D$991,"Expense"),0)</f>
        <v>0</v>
      </c>
      <c r="H144" s="39"/>
      <c r="I144" s="39"/>
      <c r="J144" s="39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9.5" customHeight="1">
      <c r="A145" s="39"/>
      <c r="B145" s="38"/>
      <c r="C145" s="39"/>
      <c r="D145" s="39"/>
      <c r="E145" s="39"/>
      <c r="F145" s="40"/>
      <c r="G145" s="41">
        <f>IFERROR(SUMIFS(Transactions!$F$7:$F$991,Transactions!$G$7:$G$991,A145,Transactions!$D$7:$D$991,"Expense"),0)</f>
        <v>0</v>
      </c>
      <c r="H145" s="39"/>
      <c r="I145" s="39"/>
      <c r="J145" s="39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9.5" customHeight="1">
      <c r="A146" s="39"/>
      <c r="B146" s="38"/>
      <c r="C146" s="39"/>
      <c r="D146" s="39"/>
      <c r="E146" s="39"/>
      <c r="F146" s="40"/>
      <c r="G146" s="41">
        <f>IFERROR(SUMIFS(Transactions!$F$7:$F$991,Transactions!$G$7:$G$991,A146,Transactions!$D$7:$D$991,"Expense"),0)</f>
        <v>0</v>
      </c>
      <c r="H146" s="39"/>
      <c r="I146" s="39"/>
      <c r="J146" s="39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9.5" customHeight="1">
      <c r="A147" s="39"/>
      <c r="B147" s="38"/>
      <c r="C147" s="39"/>
      <c r="D147" s="39"/>
      <c r="E147" s="39"/>
      <c r="F147" s="40"/>
      <c r="G147" s="41">
        <f>IFERROR(SUMIFS(Transactions!$F$7:$F$991,Transactions!$G$7:$G$991,A147,Transactions!$D$7:$D$991,"Expense"),0)</f>
        <v>0</v>
      </c>
      <c r="H147" s="39"/>
      <c r="I147" s="39"/>
      <c r="J147" s="39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9.5" customHeight="1">
      <c r="A148" s="39"/>
      <c r="B148" s="38"/>
      <c r="C148" s="39"/>
      <c r="D148" s="39"/>
      <c r="E148" s="39"/>
      <c r="F148" s="40"/>
      <c r="G148" s="41">
        <f>IFERROR(SUMIFS(Transactions!$F$7:$F$991,Transactions!$G$7:$G$991,A148,Transactions!$D$7:$D$991,"Expense"),0)</f>
        <v>0</v>
      </c>
      <c r="H148" s="39"/>
      <c r="I148" s="39"/>
      <c r="J148" s="39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9.5" customHeight="1">
      <c r="A149" s="39"/>
      <c r="B149" s="38"/>
      <c r="C149" s="39"/>
      <c r="D149" s="39"/>
      <c r="E149" s="39"/>
      <c r="F149" s="40"/>
      <c r="G149" s="41">
        <f>IFERROR(SUMIFS(Transactions!$F$7:$F$991,Transactions!$G$7:$G$991,A149,Transactions!$D$7:$D$991,"Expense"),0)</f>
        <v>0</v>
      </c>
      <c r="H149" s="39"/>
      <c r="I149" s="39"/>
      <c r="J149" s="39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9.5" customHeight="1">
      <c r="A150" s="39"/>
      <c r="B150" s="38"/>
      <c r="C150" s="39"/>
      <c r="D150" s="39"/>
      <c r="E150" s="39"/>
      <c r="F150" s="40"/>
      <c r="G150" s="41">
        <f>IFERROR(SUMIFS(Transactions!$F$7:$F$991,Transactions!$G$7:$G$991,A150,Transactions!$D$7:$D$991,"Expense"),0)</f>
        <v>0</v>
      </c>
      <c r="H150" s="39"/>
      <c r="I150" s="39"/>
      <c r="J150" s="39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9.5" customHeight="1">
      <c r="A151" s="39"/>
      <c r="B151" s="38"/>
      <c r="C151" s="39"/>
      <c r="D151" s="39"/>
      <c r="E151" s="39"/>
      <c r="F151" s="40"/>
      <c r="G151" s="41">
        <f>IFERROR(SUMIFS(Transactions!$F$7:$F$991,Transactions!$G$7:$G$991,A151,Transactions!$D$7:$D$991,"Expense"),0)</f>
        <v>0</v>
      </c>
      <c r="H151" s="39"/>
      <c r="I151" s="39"/>
      <c r="J151" s="39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9.5" customHeight="1">
      <c r="A152" s="39"/>
      <c r="B152" s="38"/>
      <c r="C152" s="39"/>
      <c r="D152" s="39"/>
      <c r="E152" s="39"/>
      <c r="F152" s="40"/>
      <c r="G152" s="41">
        <f>IFERROR(SUMIFS(Transactions!$F$7:$F$991,Transactions!$G$7:$G$991,A152,Transactions!$D$7:$D$991,"Expense"),0)</f>
        <v>0</v>
      </c>
      <c r="H152" s="39"/>
      <c r="I152" s="39"/>
      <c r="J152" s="39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9.5" customHeight="1">
      <c r="A153" s="39"/>
      <c r="B153" s="38"/>
      <c r="C153" s="39"/>
      <c r="D153" s="39"/>
      <c r="E153" s="39"/>
      <c r="F153" s="40"/>
      <c r="G153" s="41">
        <f>IFERROR(SUMIFS(Transactions!$F$7:$F$991,Transactions!$G$7:$G$991,A153,Transactions!$D$7:$D$991,"Expense"),0)</f>
        <v>0</v>
      </c>
      <c r="H153" s="39"/>
      <c r="I153" s="39"/>
      <c r="J153" s="39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9.5" customHeight="1">
      <c r="A154" s="39"/>
      <c r="B154" s="38"/>
      <c r="C154" s="39"/>
      <c r="D154" s="39"/>
      <c r="E154" s="39"/>
      <c r="F154" s="40"/>
      <c r="G154" s="41">
        <f>IFERROR(SUMIFS(Transactions!$F$7:$F$991,Transactions!$G$7:$G$991,A154,Transactions!$D$7:$D$991,"Expense"),0)</f>
        <v>0</v>
      </c>
      <c r="H154" s="39"/>
      <c r="I154" s="39"/>
      <c r="J154" s="39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9.5" customHeight="1">
      <c r="A155" s="39"/>
      <c r="B155" s="38"/>
      <c r="C155" s="39"/>
      <c r="D155" s="39"/>
      <c r="E155" s="39"/>
      <c r="F155" s="40"/>
      <c r="G155" s="41">
        <f>IFERROR(SUMIFS(Transactions!$F$7:$F$991,Transactions!$G$7:$G$991,A155,Transactions!$D$7:$D$991,"Expense"),0)</f>
        <v>0</v>
      </c>
      <c r="H155" s="39"/>
      <c r="I155" s="39"/>
      <c r="J155" s="39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9.5" customHeight="1">
      <c r="A156" s="39"/>
      <c r="B156" s="38"/>
      <c r="C156" s="39"/>
      <c r="D156" s="39"/>
      <c r="E156" s="39"/>
      <c r="F156" s="40"/>
      <c r="G156" s="41">
        <f>IFERROR(SUMIFS(Transactions!$F$7:$F$991,Transactions!$G$7:$G$991,A156,Transactions!$D$7:$D$991,"Expense"),0)</f>
        <v>0</v>
      </c>
      <c r="H156" s="39"/>
      <c r="I156" s="39"/>
      <c r="J156" s="39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9.5" customHeight="1">
      <c r="A157" s="39"/>
      <c r="B157" s="38"/>
      <c r="C157" s="39"/>
      <c r="D157" s="39"/>
      <c r="E157" s="39"/>
      <c r="F157" s="40"/>
      <c r="G157" s="41">
        <f>IFERROR(SUMIFS(Transactions!$F$7:$F$991,Transactions!$G$7:$G$991,A157,Transactions!$D$7:$D$991,"Expense"),0)</f>
        <v>0</v>
      </c>
      <c r="H157" s="39"/>
      <c r="I157" s="39"/>
      <c r="J157" s="39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9.5" customHeight="1">
      <c r="A158" s="39"/>
      <c r="B158" s="38"/>
      <c r="C158" s="39"/>
      <c r="D158" s="39"/>
      <c r="E158" s="39"/>
      <c r="F158" s="40"/>
      <c r="G158" s="41">
        <f>IFERROR(SUMIFS(Transactions!$F$7:$F$991,Transactions!$G$7:$G$991,A158,Transactions!$D$7:$D$991,"Expense"),0)</f>
        <v>0</v>
      </c>
      <c r="H158" s="39"/>
      <c r="I158" s="39"/>
      <c r="J158" s="39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9.5" customHeight="1">
      <c r="A159" s="39"/>
      <c r="B159" s="38"/>
      <c r="C159" s="39"/>
      <c r="D159" s="39"/>
      <c r="E159" s="39"/>
      <c r="F159" s="40"/>
      <c r="G159" s="41">
        <f>IFERROR(SUMIFS(Transactions!$F$7:$F$991,Transactions!$G$7:$G$991,A159,Transactions!$D$7:$D$991,"Expense"),0)</f>
        <v>0</v>
      </c>
      <c r="H159" s="39"/>
      <c r="I159" s="39"/>
      <c r="J159" s="39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9.5" customHeight="1">
      <c r="A160" s="39"/>
      <c r="B160" s="38"/>
      <c r="C160" s="39"/>
      <c r="D160" s="39"/>
      <c r="E160" s="39"/>
      <c r="F160" s="40"/>
      <c r="G160" s="41">
        <f>IFERROR(SUMIFS(Transactions!$F$7:$F$991,Transactions!$G$7:$G$991,A160,Transactions!$D$7:$D$991,"Expense"),0)</f>
        <v>0</v>
      </c>
      <c r="H160" s="39"/>
      <c r="I160" s="39"/>
      <c r="J160" s="39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9.5" customHeight="1">
      <c r="A161" s="39"/>
      <c r="B161" s="38"/>
      <c r="C161" s="39"/>
      <c r="D161" s="39"/>
      <c r="E161" s="39"/>
      <c r="F161" s="40"/>
      <c r="G161" s="41">
        <f>IFERROR(SUMIFS(Transactions!$F$7:$F$991,Transactions!$G$7:$G$991,A161,Transactions!$D$7:$D$991,"Expense"),0)</f>
        <v>0</v>
      </c>
      <c r="H161" s="39"/>
      <c r="I161" s="39"/>
      <c r="J161" s="39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9.5" customHeight="1">
      <c r="A162" s="39"/>
      <c r="B162" s="38"/>
      <c r="C162" s="39"/>
      <c r="D162" s="39"/>
      <c r="E162" s="39"/>
      <c r="F162" s="40"/>
      <c r="G162" s="41">
        <f>IFERROR(SUMIFS(Transactions!$F$7:$F$991,Transactions!$G$7:$G$991,A162,Transactions!$D$7:$D$991,"Expense"),0)</f>
        <v>0</v>
      </c>
      <c r="H162" s="39"/>
      <c r="I162" s="39"/>
      <c r="J162" s="39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9.5" customHeight="1">
      <c r="A163" s="39"/>
      <c r="B163" s="38"/>
      <c r="C163" s="39"/>
      <c r="D163" s="39"/>
      <c r="E163" s="39"/>
      <c r="F163" s="40"/>
      <c r="G163" s="41">
        <f>IFERROR(SUMIFS(Transactions!$F$7:$F$991,Transactions!$G$7:$G$991,A163,Transactions!$D$7:$D$991,"Expense"),0)</f>
        <v>0</v>
      </c>
      <c r="H163" s="39"/>
      <c r="I163" s="39"/>
      <c r="J163" s="39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9.5" customHeight="1">
      <c r="A164" s="39"/>
      <c r="B164" s="38"/>
      <c r="C164" s="39"/>
      <c r="D164" s="39"/>
      <c r="E164" s="39"/>
      <c r="F164" s="40"/>
      <c r="G164" s="41">
        <f>IFERROR(SUMIFS(Transactions!$F$7:$F$991,Transactions!$G$7:$G$991,A164,Transactions!$D$7:$D$991,"Expense"),0)</f>
        <v>0</v>
      </c>
      <c r="H164" s="39"/>
      <c r="I164" s="39"/>
      <c r="J164" s="39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9.5" customHeight="1">
      <c r="A165" s="39"/>
      <c r="B165" s="38"/>
      <c r="C165" s="39"/>
      <c r="D165" s="39"/>
      <c r="E165" s="39"/>
      <c r="F165" s="40"/>
      <c r="G165" s="41">
        <f>IFERROR(SUMIFS(Transactions!$F$7:$F$991,Transactions!$G$7:$G$991,A165,Transactions!$D$7:$D$991,"Expense"),0)</f>
        <v>0</v>
      </c>
      <c r="H165" s="39"/>
      <c r="I165" s="39"/>
      <c r="J165" s="39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9.5" customHeight="1">
      <c r="A166" s="39"/>
      <c r="B166" s="38"/>
      <c r="C166" s="39"/>
      <c r="D166" s="39"/>
      <c r="E166" s="39"/>
      <c r="F166" s="40"/>
      <c r="G166" s="41">
        <f>IFERROR(SUMIFS(Transactions!$F$7:$F$991,Transactions!$G$7:$G$991,A166,Transactions!$D$7:$D$991,"Expense"),0)</f>
        <v>0</v>
      </c>
      <c r="H166" s="39"/>
      <c r="I166" s="39"/>
      <c r="J166" s="39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9.5" customHeight="1">
      <c r="A167" s="39"/>
      <c r="B167" s="38"/>
      <c r="C167" s="39"/>
      <c r="D167" s="39"/>
      <c r="E167" s="39"/>
      <c r="F167" s="40"/>
      <c r="G167" s="41">
        <f>IFERROR(SUMIFS(Transactions!$F$7:$F$991,Transactions!$G$7:$G$991,A167,Transactions!$D$7:$D$991,"Expense"),0)</f>
        <v>0</v>
      </c>
      <c r="H167" s="39"/>
      <c r="I167" s="39"/>
      <c r="J167" s="39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9.5" customHeight="1">
      <c r="A168" s="39"/>
      <c r="B168" s="38"/>
      <c r="C168" s="39"/>
      <c r="D168" s="39"/>
      <c r="E168" s="39"/>
      <c r="F168" s="40"/>
      <c r="G168" s="41">
        <f>IFERROR(SUMIFS(Transactions!$F$7:$F$991,Transactions!$G$7:$G$991,A168,Transactions!$D$7:$D$991,"Expense"),0)</f>
        <v>0</v>
      </c>
      <c r="H168" s="39"/>
      <c r="I168" s="39"/>
      <c r="J168" s="39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9.5" customHeight="1">
      <c r="A169" s="39"/>
      <c r="B169" s="38"/>
      <c r="C169" s="39"/>
      <c r="D169" s="39"/>
      <c r="E169" s="39"/>
      <c r="F169" s="40"/>
      <c r="G169" s="41">
        <f>IFERROR(SUMIFS(Transactions!$F$7:$F$991,Transactions!$G$7:$G$991,A169,Transactions!$D$7:$D$991,"Expense"),0)</f>
        <v>0</v>
      </c>
      <c r="H169" s="39"/>
      <c r="I169" s="39"/>
      <c r="J169" s="39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9.5" customHeight="1">
      <c r="A170" s="39"/>
      <c r="B170" s="38"/>
      <c r="C170" s="39"/>
      <c r="D170" s="39"/>
      <c r="E170" s="39"/>
      <c r="F170" s="40"/>
      <c r="G170" s="41">
        <f>IFERROR(SUMIFS(Transactions!$F$7:$F$991,Transactions!$G$7:$G$991,A170,Transactions!$D$7:$D$991,"Expense"),0)</f>
        <v>0</v>
      </c>
      <c r="H170" s="39"/>
      <c r="I170" s="39"/>
      <c r="J170" s="39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9.5" customHeight="1">
      <c r="A171" s="39"/>
      <c r="B171" s="38"/>
      <c r="C171" s="39"/>
      <c r="D171" s="39"/>
      <c r="E171" s="39"/>
      <c r="F171" s="40"/>
      <c r="G171" s="41">
        <f>IFERROR(SUMIFS(Transactions!$F$7:$F$991,Transactions!$G$7:$G$991,A171,Transactions!$D$7:$D$991,"Expense"),0)</f>
        <v>0</v>
      </c>
      <c r="H171" s="39"/>
      <c r="I171" s="39"/>
      <c r="J171" s="39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9.5" customHeight="1">
      <c r="A172" s="39"/>
      <c r="B172" s="38"/>
      <c r="C172" s="39"/>
      <c r="D172" s="39"/>
      <c r="E172" s="39"/>
      <c r="F172" s="40"/>
      <c r="G172" s="41">
        <f>IFERROR(SUMIFS(Transactions!$F$7:$F$991,Transactions!$G$7:$G$991,A172,Transactions!$D$7:$D$991,"Expense"),0)</f>
        <v>0</v>
      </c>
      <c r="H172" s="39"/>
      <c r="I172" s="39"/>
      <c r="J172" s="39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9.5" customHeight="1">
      <c r="A173" s="39"/>
      <c r="B173" s="38"/>
      <c r="C173" s="39"/>
      <c r="D173" s="39"/>
      <c r="E173" s="39"/>
      <c r="F173" s="40"/>
      <c r="G173" s="41">
        <f>IFERROR(SUMIFS(Transactions!$F$7:$F$991,Transactions!$G$7:$G$991,A173,Transactions!$D$7:$D$991,"Expense"),0)</f>
        <v>0</v>
      </c>
      <c r="H173" s="39"/>
      <c r="I173" s="39"/>
      <c r="J173" s="39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9.5" customHeight="1">
      <c r="A174" s="39"/>
      <c r="B174" s="38"/>
      <c r="C174" s="39"/>
      <c r="D174" s="39"/>
      <c r="E174" s="39"/>
      <c r="F174" s="40"/>
      <c r="G174" s="41">
        <f>IFERROR(SUMIFS(Transactions!$F$7:$F$991,Transactions!$G$7:$G$991,A174,Transactions!$D$7:$D$991,"Expense"),0)</f>
        <v>0</v>
      </c>
      <c r="H174" s="39"/>
      <c r="I174" s="39"/>
      <c r="J174" s="39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9.5" customHeight="1">
      <c r="A175" s="39"/>
      <c r="B175" s="38"/>
      <c r="C175" s="39"/>
      <c r="D175" s="39"/>
      <c r="E175" s="39"/>
      <c r="F175" s="40"/>
      <c r="G175" s="41">
        <f>IFERROR(SUMIFS(Transactions!$F$7:$F$991,Transactions!$G$7:$G$991,A175,Transactions!$D$7:$D$991,"Expense"),0)</f>
        <v>0</v>
      </c>
      <c r="H175" s="39"/>
      <c r="I175" s="39"/>
      <c r="J175" s="39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9.5" customHeight="1">
      <c r="A176" s="39"/>
      <c r="B176" s="38"/>
      <c r="C176" s="39"/>
      <c r="D176" s="39"/>
      <c r="E176" s="39"/>
      <c r="F176" s="40"/>
      <c r="G176" s="41">
        <f>IFERROR(SUMIFS(Transactions!$F$7:$F$991,Transactions!$G$7:$G$991,A176,Transactions!$D$7:$D$991,"Expense"),0)</f>
        <v>0</v>
      </c>
      <c r="H176" s="39"/>
      <c r="I176" s="39"/>
      <c r="J176" s="39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9.5" customHeight="1">
      <c r="A177" s="39"/>
      <c r="B177" s="38"/>
      <c r="C177" s="39"/>
      <c r="D177" s="39"/>
      <c r="E177" s="39"/>
      <c r="F177" s="40"/>
      <c r="G177" s="41">
        <f>IFERROR(SUMIFS(Transactions!$F$7:$F$991,Transactions!$G$7:$G$991,A177,Transactions!$D$7:$D$991,"Expense"),0)</f>
        <v>0</v>
      </c>
      <c r="H177" s="39"/>
      <c r="I177" s="39"/>
      <c r="J177" s="39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9.5" customHeight="1">
      <c r="A178" s="39"/>
      <c r="B178" s="38"/>
      <c r="C178" s="39"/>
      <c r="D178" s="39"/>
      <c r="E178" s="39"/>
      <c r="F178" s="40"/>
      <c r="G178" s="41">
        <f>IFERROR(SUMIFS(Transactions!$F$7:$F$991,Transactions!$G$7:$G$991,A178,Transactions!$D$7:$D$991,"Expense"),0)</f>
        <v>0</v>
      </c>
      <c r="H178" s="39"/>
      <c r="I178" s="39"/>
      <c r="J178" s="39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9.5" customHeight="1">
      <c r="A179" s="39"/>
      <c r="B179" s="38"/>
      <c r="C179" s="39"/>
      <c r="D179" s="39"/>
      <c r="E179" s="39"/>
      <c r="F179" s="40"/>
      <c r="G179" s="41">
        <f>IFERROR(SUMIFS(Transactions!$F$7:$F$991,Transactions!$G$7:$G$991,A179,Transactions!$D$7:$D$991,"Expense"),0)</f>
        <v>0</v>
      </c>
      <c r="H179" s="39"/>
      <c r="I179" s="39"/>
      <c r="J179" s="39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9.5" customHeight="1">
      <c r="A180" s="39"/>
      <c r="B180" s="38"/>
      <c r="C180" s="39"/>
      <c r="D180" s="39"/>
      <c r="E180" s="39"/>
      <c r="F180" s="40"/>
      <c r="G180" s="41">
        <f>IFERROR(SUMIFS(Transactions!$F$7:$F$991,Transactions!$G$7:$G$991,A180,Transactions!$D$7:$D$991,"Expense"),0)</f>
        <v>0</v>
      </c>
      <c r="H180" s="39"/>
      <c r="I180" s="39"/>
      <c r="J180" s="39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9.5" customHeight="1">
      <c r="A181" s="39"/>
      <c r="B181" s="38"/>
      <c r="C181" s="39"/>
      <c r="D181" s="39"/>
      <c r="E181" s="39"/>
      <c r="F181" s="40"/>
      <c r="G181" s="41">
        <f>IFERROR(SUMIFS(Transactions!$F$7:$F$991,Transactions!$G$7:$G$991,A181,Transactions!$D$7:$D$991,"Expense"),0)</f>
        <v>0</v>
      </c>
      <c r="H181" s="39"/>
      <c r="I181" s="39"/>
      <c r="J181" s="39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9.5" customHeight="1">
      <c r="A182" s="39"/>
      <c r="B182" s="38"/>
      <c r="C182" s="39"/>
      <c r="D182" s="39"/>
      <c r="E182" s="39"/>
      <c r="F182" s="40"/>
      <c r="G182" s="41">
        <f>IFERROR(SUMIFS(Transactions!$F$7:$F$991,Transactions!$G$7:$G$991,A182,Transactions!$D$7:$D$991,"Expense"),0)</f>
        <v>0</v>
      </c>
      <c r="H182" s="39"/>
      <c r="I182" s="39"/>
      <c r="J182" s="39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9.5" customHeight="1">
      <c r="A183" s="39"/>
      <c r="B183" s="38"/>
      <c r="C183" s="39"/>
      <c r="D183" s="39"/>
      <c r="E183" s="39"/>
      <c r="F183" s="40"/>
      <c r="G183" s="41">
        <f>IFERROR(SUMIFS(Transactions!$F$7:$F$991,Transactions!$G$7:$G$991,A183,Transactions!$D$7:$D$991,"Expense"),0)</f>
        <v>0</v>
      </c>
      <c r="H183" s="39"/>
      <c r="I183" s="39"/>
      <c r="J183" s="39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9.5" customHeight="1">
      <c r="A184" s="39"/>
      <c r="B184" s="38"/>
      <c r="C184" s="39"/>
      <c r="D184" s="39"/>
      <c r="E184" s="39"/>
      <c r="F184" s="40"/>
      <c r="G184" s="41">
        <f>IFERROR(SUMIFS(Transactions!$F$7:$F$991,Transactions!$G$7:$G$991,A184,Transactions!$D$7:$D$991,"Expense"),0)</f>
        <v>0</v>
      </c>
      <c r="H184" s="39"/>
      <c r="I184" s="39"/>
      <c r="J184" s="39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9.5" customHeight="1">
      <c r="A185" s="39"/>
      <c r="B185" s="38"/>
      <c r="C185" s="39"/>
      <c r="D185" s="39"/>
      <c r="E185" s="39"/>
      <c r="F185" s="40"/>
      <c r="G185" s="41">
        <f>IFERROR(SUMIFS(Transactions!$F$7:$F$991,Transactions!$G$7:$G$991,A185,Transactions!$D$7:$D$991,"Expense"),0)</f>
        <v>0</v>
      </c>
      <c r="H185" s="39"/>
      <c r="I185" s="39"/>
      <c r="J185" s="39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9.5" customHeight="1">
      <c r="A186" s="39"/>
      <c r="B186" s="38"/>
      <c r="C186" s="39"/>
      <c r="D186" s="39"/>
      <c r="E186" s="39"/>
      <c r="F186" s="40"/>
      <c r="G186" s="41">
        <f>IFERROR(SUMIFS(Transactions!$F$7:$F$991,Transactions!$G$7:$G$991,A186,Transactions!$D$7:$D$991,"Expense"),0)</f>
        <v>0</v>
      </c>
      <c r="H186" s="39"/>
      <c r="I186" s="39"/>
      <c r="J186" s="39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9.5" customHeight="1">
      <c r="A187" s="39"/>
      <c r="B187" s="38"/>
      <c r="C187" s="39"/>
      <c r="D187" s="39"/>
      <c r="E187" s="39"/>
      <c r="F187" s="40"/>
      <c r="G187" s="41">
        <f>IFERROR(SUMIFS(Transactions!$F$7:$F$991,Transactions!$G$7:$G$991,A187,Transactions!$D$7:$D$991,"Expense"),0)</f>
        <v>0</v>
      </c>
      <c r="H187" s="39"/>
      <c r="I187" s="39"/>
      <c r="J187" s="39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9.5" customHeight="1">
      <c r="A188" s="39"/>
      <c r="B188" s="38"/>
      <c r="C188" s="39"/>
      <c r="D188" s="39"/>
      <c r="E188" s="39"/>
      <c r="F188" s="40"/>
      <c r="G188" s="41">
        <f>IFERROR(SUMIFS(Transactions!$F$7:$F$991,Transactions!$G$7:$G$991,A188,Transactions!$D$7:$D$991,"Expense"),0)</f>
        <v>0</v>
      </c>
      <c r="H188" s="39"/>
      <c r="I188" s="39"/>
      <c r="J188" s="39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9.5" customHeight="1">
      <c r="A189" s="39"/>
      <c r="B189" s="38"/>
      <c r="C189" s="39"/>
      <c r="D189" s="39"/>
      <c r="E189" s="39"/>
      <c r="F189" s="40"/>
      <c r="G189" s="41">
        <f>IFERROR(SUMIFS(Transactions!$F$7:$F$991,Transactions!$G$7:$G$991,A189,Transactions!$D$7:$D$991,"Expense"),0)</f>
        <v>0</v>
      </c>
      <c r="H189" s="39"/>
      <c r="I189" s="39"/>
      <c r="J189" s="39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9.5" customHeight="1">
      <c r="A190" s="39"/>
      <c r="B190" s="38"/>
      <c r="C190" s="39"/>
      <c r="D190" s="39"/>
      <c r="E190" s="39"/>
      <c r="F190" s="40"/>
      <c r="G190" s="41">
        <f>IFERROR(SUMIFS(Transactions!$F$7:$F$991,Transactions!$G$7:$G$991,A190,Transactions!$D$7:$D$991,"Expense"),0)</f>
        <v>0</v>
      </c>
      <c r="H190" s="39"/>
      <c r="I190" s="39"/>
      <c r="J190" s="39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9.5" customHeight="1">
      <c r="A191" s="39"/>
      <c r="B191" s="38"/>
      <c r="C191" s="39"/>
      <c r="D191" s="39"/>
      <c r="E191" s="39"/>
      <c r="F191" s="40"/>
      <c r="G191" s="41">
        <f>IFERROR(SUMIFS(Transactions!$F$7:$F$991,Transactions!$G$7:$G$991,A191,Transactions!$D$7:$D$991,"Expense"),0)</f>
        <v>0</v>
      </c>
      <c r="H191" s="39"/>
      <c r="I191" s="39"/>
      <c r="J191" s="39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9.5" customHeight="1">
      <c r="A192" s="39"/>
      <c r="B192" s="38"/>
      <c r="C192" s="39"/>
      <c r="D192" s="39"/>
      <c r="E192" s="39"/>
      <c r="F192" s="40"/>
      <c r="G192" s="41">
        <f>IFERROR(SUMIFS(Transactions!$F$7:$F$991,Transactions!$G$7:$G$991,A192,Transactions!$D$7:$D$991,"Expense"),0)</f>
        <v>0</v>
      </c>
      <c r="H192" s="39"/>
      <c r="I192" s="39"/>
      <c r="J192" s="39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9.5" customHeight="1">
      <c r="A193" s="39"/>
      <c r="B193" s="38"/>
      <c r="C193" s="39"/>
      <c r="D193" s="39"/>
      <c r="E193" s="39"/>
      <c r="F193" s="40"/>
      <c r="G193" s="41">
        <f>IFERROR(SUMIFS(Transactions!$F$7:$F$991,Transactions!$G$7:$G$991,A193,Transactions!$D$7:$D$991,"Expense"),0)</f>
        <v>0</v>
      </c>
      <c r="H193" s="39"/>
      <c r="I193" s="39"/>
      <c r="J193" s="39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9.5" customHeight="1">
      <c r="A194" s="39"/>
      <c r="B194" s="38"/>
      <c r="C194" s="39"/>
      <c r="D194" s="39"/>
      <c r="E194" s="39"/>
      <c r="F194" s="40"/>
      <c r="G194" s="41">
        <f>IFERROR(SUMIFS(Transactions!$F$7:$F$991,Transactions!$G$7:$G$991,A194,Transactions!$D$7:$D$991,"Expense"),0)</f>
        <v>0</v>
      </c>
      <c r="H194" s="39"/>
      <c r="I194" s="39"/>
      <c r="J194" s="39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9.5" customHeight="1">
      <c r="A195" s="39"/>
      <c r="B195" s="38"/>
      <c r="C195" s="39"/>
      <c r="D195" s="39"/>
      <c r="E195" s="39"/>
      <c r="F195" s="40"/>
      <c r="G195" s="41">
        <f>IFERROR(SUMIFS(Transactions!$F$7:$F$991,Transactions!$G$7:$G$991,A195,Transactions!$D$7:$D$991,"Expense"),0)</f>
        <v>0</v>
      </c>
      <c r="H195" s="39"/>
      <c r="I195" s="39"/>
      <c r="J195" s="39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9.5" customHeight="1">
      <c r="A196" s="39"/>
      <c r="B196" s="38"/>
      <c r="C196" s="39"/>
      <c r="D196" s="39"/>
      <c r="E196" s="39"/>
      <c r="F196" s="40"/>
      <c r="G196" s="41">
        <f>IFERROR(SUMIFS(Transactions!$F$7:$F$991,Transactions!$G$7:$G$991,A196,Transactions!$D$7:$D$991,"Expense"),0)</f>
        <v>0</v>
      </c>
      <c r="H196" s="39"/>
      <c r="I196" s="39"/>
      <c r="J196" s="39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9.5" customHeight="1">
      <c r="A197" s="39"/>
      <c r="B197" s="38"/>
      <c r="C197" s="39"/>
      <c r="D197" s="39"/>
      <c r="E197" s="39"/>
      <c r="F197" s="40"/>
      <c r="G197" s="41">
        <f>IFERROR(SUMIFS(Transactions!$F$7:$F$991,Transactions!$G$7:$G$991,A197,Transactions!$D$7:$D$991,"Expense"),0)</f>
        <v>0</v>
      </c>
      <c r="H197" s="39"/>
      <c r="I197" s="39"/>
      <c r="J197" s="39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9.5" customHeight="1">
      <c r="A198" s="39"/>
      <c r="B198" s="38"/>
      <c r="C198" s="39"/>
      <c r="D198" s="39"/>
      <c r="E198" s="39"/>
      <c r="F198" s="40"/>
      <c r="G198" s="41">
        <f>IFERROR(SUMIFS(Transactions!$F$7:$F$991,Transactions!$G$7:$G$991,A198,Transactions!$D$7:$D$991,"Expense"),0)</f>
        <v>0</v>
      </c>
      <c r="H198" s="39"/>
      <c r="I198" s="39"/>
      <c r="J198" s="39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9.5" customHeight="1">
      <c r="A199" s="39"/>
      <c r="B199" s="38"/>
      <c r="C199" s="39"/>
      <c r="D199" s="39"/>
      <c r="E199" s="39"/>
      <c r="F199" s="40"/>
      <c r="G199" s="41">
        <f>IFERROR(SUMIFS(Transactions!$F$7:$F$991,Transactions!$G$7:$G$991,A199,Transactions!$D$7:$D$991,"Expense"),0)</f>
        <v>0</v>
      </c>
      <c r="H199" s="39"/>
      <c r="I199" s="39"/>
      <c r="J199" s="39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9.5" customHeight="1">
      <c r="A200" s="39"/>
      <c r="B200" s="38"/>
      <c r="C200" s="39"/>
      <c r="D200" s="39"/>
      <c r="E200" s="39"/>
      <c r="F200" s="40"/>
      <c r="G200" s="41">
        <f>IFERROR(SUMIFS(Transactions!$F$7:$F$991,Transactions!$G$7:$G$991,A200,Transactions!$D$7:$D$991,"Expense"),0)</f>
        <v>0</v>
      </c>
      <c r="H200" s="39"/>
      <c r="I200" s="39"/>
      <c r="J200" s="39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9.5" customHeight="1">
      <c r="A201" s="39"/>
      <c r="B201" s="38"/>
      <c r="C201" s="39"/>
      <c r="D201" s="39"/>
      <c r="E201" s="39"/>
      <c r="F201" s="40"/>
      <c r="G201" s="41">
        <f>IFERROR(SUMIFS(Transactions!$F$7:$F$991,Transactions!$G$7:$G$991,A201,Transactions!$D$7:$D$991,"Expense"),0)</f>
        <v>0</v>
      </c>
      <c r="H201" s="39"/>
      <c r="I201" s="39"/>
      <c r="J201" s="39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9.5" customHeight="1">
      <c r="A202" s="39"/>
      <c r="B202" s="38"/>
      <c r="C202" s="39"/>
      <c r="D202" s="39"/>
      <c r="E202" s="39"/>
      <c r="F202" s="40"/>
      <c r="G202" s="41">
        <f>IFERROR(SUMIFS(Transactions!$F$7:$F$991,Transactions!$G$7:$G$991,A202,Transactions!$D$7:$D$991,"Expense"),0)</f>
        <v>0</v>
      </c>
      <c r="H202" s="39"/>
      <c r="I202" s="39"/>
      <c r="J202" s="39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9.5" customHeight="1">
      <c r="A203" s="39"/>
      <c r="B203" s="38"/>
      <c r="C203" s="39"/>
      <c r="D203" s="39"/>
      <c r="E203" s="39"/>
      <c r="F203" s="40"/>
      <c r="G203" s="41">
        <f>IFERROR(SUMIFS(Transactions!$F$7:$F$991,Transactions!$G$7:$G$991,A203,Transactions!$D$7:$D$991,"Expense"),0)</f>
        <v>0</v>
      </c>
      <c r="H203" s="39"/>
      <c r="I203" s="39"/>
      <c r="J203" s="39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9.5" customHeight="1">
      <c r="A204" s="39"/>
      <c r="B204" s="38"/>
      <c r="C204" s="39"/>
      <c r="D204" s="39"/>
      <c r="E204" s="39"/>
      <c r="F204" s="40"/>
      <c r="G204" s="41">
        <f>IFERROR(SUMIFS(Transactions!$F$7:$F$991,Transactions!$G$7:$G$991,A204,Transactions!$D$7:$D$991,"Expense"),0)</f>
        <v>0</v>
      </c>
      <c r="H204" s="39"/>
      <c r="I204" s="39"/>
      <c r="J204" s="39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9.5" customHeight="1">
      <c r="A205" s="39"/>
      <c r="B205" s="38"/>
      <c r="C205" s="39"/>
      <c r="D205" s="39"/>
      <c r="E205" s="39"/>
      <c r="F205" s="40"/>
      <c r="G205" s="41">
        <f>IFERROR(SUMIFS(Transactions!$F$7:$F$991,Transactions!$G$7:$G$991,A205,Transactions!$D$7:$D$991,"Expense"),0)</f>
        <v>0</v>
      </c>
      <c r="H205" s="39"/>
      <c r="I205" s="39"/>
      <c r="J205" s="39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9.5" customHeight="1">
      <c r="A206" s="39"/>
      <c r="B206" s="38"/>
      <c r="C206" s="39"/>
      <c r="D206" s="39"/>
      <c r="E206" s="39"/>
      <c r="F206" s="40"/>
      <c r="G206" s="41">
        <f>IFERROR(SUMIFS(Transactions!$F$7:$F$991,Transactions!$G$7:$G$991,A206,Transactions!$D$7:$D$991,"Expense"),0)</f>
        <v>0</v>
      </c>
      <c r="H206" s="39"/>
      <c r="I206" s="39"/>
      <c r="J206" s="39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9.5" customHeight="1">
      <c r="A207" s="39"/>
      <c r="B207" s="38"/>
      <c r="C207" s="39"/>
      <c r="D207" s="39"/>
      <c r="E207" s="39"/>
      <c r="F207" s="40"/>
      <c r="G207" s="41">
        <f>IFERROR(SUMIFS(Transactions!$F$7:$F$991,Transactions!$G$7:$G$991,A207,Transactions!$D$7:$D$991,"Expense"),0)</f>
        <v>0</v>
      </c>
      <c r="H207" s="39"/>
      <c r="I207" s="39"/>
      <c r="J207" s="39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9.5" customHeight="1">
      <c r="A208" s="39"/>
      <c r="B208" s="38"/>
      <c r="C208" s="39"/>
      <c r="D208" s="39"/>
      <c r="E208" s="39"/>
      <c r="F208" s="40"/>
      <c r="G208" s="41">
        <f>IFERROR(SUMIFS(Transactions!$F$7:$F$991,Transactions!$G$7:$G$991,A208,Transactions!$D$7:$D$991,"Expense"),0)</f>
        <v>0</v>
      </c>
      <c r="H208" s="39"/>
      <c r="I208" s="39"/>
      <c r="J208" s="39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9.5" customHeight="1">
      <c r="A209" s="39"/>
      <c r="B209" s="38"/>
      <c r="C209" s="39"/>
      <c r="D209" s="39"/>
      <c r="E209" s="39"/>
      <c r="F209" s="40"/>
      <c r="G209" s="41">
        <f>IFERROR(SUMIFS(Transactions!$F$7:$F$991,Transactions!$G$7:$G$991,A209,Transactions!$D$7:$D$991,"Expense"),0)</f>
        <v>0</v>
      </c>
      <c r="H209" s="39"/>
      <c r="I209" s="39"/>
      <c r="J209" s="39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9.5" customHeight="1">
      <c r="A210" s="39"/>
      <c r="B210" s="38"/>
      <c r="C210" s="39"/>
      <c r="D210" s="39"/>
      <c r="E210" s="39"/>
      <c r="F210" s="40"/>
      <c r="G210" s="41">
        <f>IFERROR(SUMIFS(Transactions!$F$7:$F$991,Transactions!$G$7:$G$991,A210,Transactions!$D$7:$D$991,"Expense"),0)</f>
        <v>0</v>
      </c>
      <c r="H210" s="39"/>
      <c r="I210" s="39"/>
      <c r="J210" s="39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9.5" customHeight="1">
      <c r="A211" s="39"/>
      <c r="B211" s="38"/>
      <c r="C211" s="39"/>
      <c r="D211" s="39"/>
      <c r="E211" s="39"/>
      <c r="F211" s="40"/>
      <c r="G211" s="41">
        <f>IFERROR(SUMIFS(Transactions!$F$7:$F$991,Transactions!$G$7:$G$991,A211,Transactions!$D$7:$D$991,"Expense"),0)</f>
        <v>0</v>
      </c>
      <c r="H211" s="39"/>
      <c r="I211" s="39"/>
      <c r="J211" s="39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9.5" customHeight="1">
      <c r="A212" s="39"/>
      <c r="B212" s="38"/>
      <c r="C212" s="39"/>
      <c r="D212" s="39"/>
      <c r="E212" s="39"/>
      <c r="F212" s="40"/>
      <c r="G212" s="41">
        <f>IFERROR(SUMIFS(Transactions!$F$7:$F$991,Transactions!$G$7:$G$991,A212,Transactions!$D$7:$D$991,"Expense"),0)</f>
        <v>0</v>
      </c>
      <c r="H212" s="39"/>
      <c r="I212" s="39"/>
      <c r="J212" s="39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9.5" customHeight="1">
      <c r="A213" s="39"/>
      <c r="B213" s="38"/>
      <c r="C213" s="39"/>
      <c r="D213" s="39"/>
      <c r="E213" s="39"/>
      <c r="F213" s="40"/>
      <c r="G213" s="41">
        <f>IFERROR(SUMIFS(Transactions!$F$7:$F$991,Transactions!$G$7:$G$991,A213,Transactions!$D$7:$D$991,"Expense"),0)</f>
        <v>0</v>
      </c>
      <c r="H213" s="39"/>
      <c r="I213" s="39"/>
      <c r="J213" s="39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9.5" customHeight="1">
      <c r="A214" s="39"/>
      <c r="B214" s="38"/>
      <c r="C214" s="39"/>
      <c r="D214" s="39"/>
      <c r="E214" s="39"/>
      <c r="F214" s="40"/>
      <c r="G214" s="41">
        <f>IFERROR(SUMIFS(Transactions!$F$7:$F$991,Transactions!$G$7:$G$991,A214,Transactions!$D$7:$D$991,"Expense"),0)</f>
        <v>0</v>
      </c>
      <c r="H214" s="39"/>
      <c r="I214" s="39"/>
      <c r="J214" s="39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9.5" customHeight="1">
      <c r="A215" s="39"/>
      <c r="B215" s="38"/>
      <c r="C215" s="39"/>
      <c r="D215" s="39"/>
      <c r="E215" s="39"/>
      <c r="F215" s="40"/>
      <c r="G215" s="41">
        <f>IFERROR(SUMIFS(Transactions!$F$7:$F$991,Transactions!$G$7:$G$991,A215,Transactions!$D$7:$D$991,"Expense"),0)</f>
        <v>0</v>
      </c>
      <c r="H215" s="39"/>
      <c r="I215" s="39"/>
      <c r="J215" s="39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9.5" customHeight="1">
      <c r="A216" s="39"/>
      <c r="B216" s="38"/>
      <c r="C216" s="39"/>
      <c r="D216" s="39"/>
      <c r="E216" s="39"/>
      <c r="F216" s="40"/>
      <c r="G216" s="41">
        <f>IFERROR(SUMIFS(Transactions!$F$7:$F$991,Transactions!$G$7:$G$991,A216,Transactions!$D$7:$D$991,"Expense"),0)</f>
        <v>0</v>
      </c>
      <c r="H216" s="39"/>
      <c r="I216" s="39"/>
      <c r="J216" s="39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9.5" customHeight="1">
      <c r="A217" s="39"/>
      <c r="B217" s="38"/>
      <c r="C217" s="39"/>
      <c r="D217" s="39"/>
      <c r="E217" s="39"/>
      <c r="F217" s="40"/>
      <c r="G217" s="41">
        <f>IFERROR(SUMIFS(Transactions!$F$7:$F$991,Transactions!$G$7:$G$991,A217,Transactions!$D$7:$D$991,"Expense"),0)</f>
        <v>0</v>
      </c>
      <c r="H217" s="39"/>
      <c r="I217" s="39"/>
      <c r="J217" s="39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9.5" customHeight="1">
      <c r="A218" s="39"/>
      <c r="B218" s="38"/>
      <c r="C218" s="39"/>
      <c r="D218" s="39"/>
      <c r="E218" s="39"/>
      <c r="F218" s="40"/>
      <c r="G218" s="41">
        <f>IFERROR(SUMIFS(Transactions!$F$7:$F$991,Transactions!$G$7:$G$991,A218,Transactions!$D$7:$D$991,"Expense"),0)</f>
        <v>0</v>
      </c>
      <c r="H218" s="39"/>
      <c r="I218" s="39"/>
      <c r="J218" s="39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9.5" customHeight="1">
      <c r="A219" s="39"/>
      <c r="B219" s="38"/>
      <c r="C219" s="39"/>
      <c r="D219" s="39"/>
      <c r="E219" s="39"/>
      <c r="F219" s="40"/>
      <c r="G219" s="41">
        <f>IFERROR(SUMIFS(Transactions!$F$7:$F$991,Transactions!$G$7:$G$991,A219,Transactions!$D$7:$D$991,"Expense"),0)</f>
        <v>0</v>
      </c>
      <c r="H219" s="39"/>
      <c r="I219" s="39"/>
      <c r="J219" s="39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9.5" customHeight="1">
      <c r="A220" s="39"/>
      <c r="B220" s="38"/>
      <c r="C220" s="39"/>
      <c r="D220" s="39"/>
      <c r="E220" s="39"/>
      <c r="F220" s="40"/>
      <c r="G220" s="41">
        <f>IFERROR(SUMIFS(Transactions!$F$7:$F$991,Transactions!$G$7:$G$991,A220,Transactions!$D$7:$D$991,"Expense"),0)</f>
        <v>0</v>
      </c>
      <c r="H220" s="39"/>
      <c r="I220" s="39"/>
      <c r="J220" s="39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9.5" customHeight="1">
      <c r="A221" s="39"/>
      <c r="B221" s="38"/>
      <c r="C221" s="39"/>
      <c r="D221" s="39"/>
      <c r="E221" s="39"/>
      <c r="F221" s="40"/>
      <c r="G221" s="41">
        <f>IFERROR(SUMIFS(Transactions!$F$7:$F$991,Transactions!$G$7:$G$991,A221,Transactions!$D$7:$D$991,"Expense"),0)</f>
        <v>0</v>
      </c>
      <c r="H221" s="39"/>
      <c r="I221" s="39"/>
      <c r="J221" s="39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9.5" customHeight="1">
      <c r="A222" s="39"/>
      <c r="B222" s="38"/>
      <c r="C222" s="39"/>
      <c r="D222" s="39"/>
      <c r="E222" s="39"/>
      <c r="F222" s="40"/>
      <c r="G222" s="41">
        <f>IFERROR(SUMIFS(Transactions!$F$7:$F$991,Transactions!$G$7:$G$991,A222,Transactions!$D$7:$D$991,"Expense"),0)</f>
        <v>0</v>
      </c>
      <c r="H222" s="39"/>
      <c r="I222" s="39"/>
      <c r="J222" s="39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9.5" customHeight="1">
      <c r="A223" s="39"/>
      <c r="B223" s="38"/>
      <c r="C223" s="39"/>
      <c r="D223" s="39"/>
      <c r="E223" s="39"/>
      <c r="F223" s="40"/>
      <c r="G223" s="41">
        <f>IFERROR(SUMIFS(Transactions!$F$7:$F$991,Transactions!$G$7:$G$991,A223,Transactions!$D$7:$D$991,"Expense"),0)</f>
        <v>0</v>
      </c>
      <c r="H223" s="39"/>
      <c r="I223" s="39"/>
      <c r="J223" s="39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9.5" customHeight="1">
      <c r="A224" s="39"/>
      <c r="B224" s="38"/>
      <c r="C224" s="39"/>
      <c r="D224" s="39"/>
      <c r="E224" s="39"/>
      <c r="F224" s="40"/>
      <c r="G224" s="41">
        <f>IFERROR(SUMIFS(Transactions!$F$7:$F$991,Transactions!$G$7:$G$991,A224,Transactions!$D$7:$D$991,"Expense"),0)</f>
        <v>0</v>
      </c>
      <c r="H224" s="39"/>
      <c r="I224" s="39"/>
      <c r="J224" s="39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9.5" customHeight="1">
      <c r="A225" s="39"/>
      <c r="B225" s="38"/>
      <c r="C225" s="39"/>
      <c r="D225" s="39"/>
      <c r="E225" s="39"/>
      <c r="F225" s="40"/>
      <c r="G225" s="41">
        <f>IFERROR(SUMIFS(Transactions!$F$7:$F$991,Transactions!$G$7:$G$991,A225,Transactions!$D$7:$D$991,"Expense"),0)</f>
        <v>0</v>
      </c>
      <c r="H225" s="39"/>
      <c r="I225" s="39"/>
      <c r="J225" s="39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9.5" customHeight="1">
      <c r="A226" s="39"/>
      <c r="B226" s="38"/>
      <c r="C226" s="39"/>
      <c r="D226" s="39"/>
      <c r="E226" s="39"/>
      <c r="F226" s="40"/>
      <c r="G226" s="41">
        <f>IFERROR(SUMIFS(Transactions!$F$7:$F$991,Transactions!$G$7:$G$991,A226,Transactions!$D$7:$D$991,"Expense"),0)</f>
        <v>0</v>
      </c>
      <c r="H226" s="39"/>
      <c r="I226" s="39"/>
      <c r="J226" s="39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9.5" customHeight="1">
      <c r="A227" s="39"/>
      <c r="B227" s="38"/>
      <c r="C227" s="39"/>
      <c r="D227" s="39"/>
      <c r="E227" s="39"/>
      <c r="F227" s="40"/>
      <c r="G227" s="41">
        <f>IFERROR(SUMIFS(Transactions!$F$7:$F$991,Transactions!$G$7:$G$991,A227,Transactions!$D$7:$D$991,"Expense"),0)</f>
        <v>0</v>
      </c>
      <c r="H227" s="39"/>
      <c r="I227" s="39"/>
      <c r="J227" s="39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9.5" customHeight="1">
      <c r="A228" s="39"/>
      <c r="B228" s="38"/>
      <c r="C228" s="39"/>
      <c r="D228" s="39"/>
      <c r="E228" s="39"/>
      <c r="F228" s="40"/>
      <c r="G228" s="41">
        <f>IFERROR(SUMIFS(Transactions!$F$7:$F$991,Transactions!$G$7:$G$991,A228,Transactions!$D$7:$D$991,"Expense"),0)</f>
        <v>0</v>
      </c>
      <c r="H228" s="39"/>
      <c r="I228" s="39"/>
      <c r="J228" s="39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9.5" customHeight="1">
      <c r="A229" s="39"/>
      <c r="B229" s="38"/>
      <c r="C229" s="39"/>
      <c r="D229" s="39"/>
      <c r="E229" s="39"/>
      <c r="F229" s="40"/>
      <c r="G229" s="41">
        <f>IFERROR(SUMIFS(Transactions!$F$7:$F$991,Transactions!$G$7:$G$991,A229,Transactions!$D$7:$D$991,"Expense"),0)</f>
        <v>0</v>
      </c>
      <c r="H229" s="39"/>
      <c r="I229" s="39"/>
      <c r="J229" s="39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9.5" customHeight="1">
      <c r="A230" s="39"/>
      <c r="B230" s="38"/>
      <c r="C230" s="39"/>
      <c r="D230" s="39"/>
      <c r="E230" s="39"/>
      <c r="F230" s="40"/>
      <c r="G230" s="41">
        <f>IFERROR(SUMIFS(Transactions!$F$7:$F$991,Transactions!$G$7:$G$991,A230,Transactions!$D$7:$D$991,"Expense"),0)</f>
        <v>0</v>
      </c>
      <c r="H230" s="39"/>
      <c r="I230" s="39"/>
      <c r="J230" s="39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9.5" customHeight="1">
      <c r="A231" s="39"/>
      <c r="B231" s="38"/>
      <c r="C231" s="39"/>
      <c r="D231" s="39"/>
      <c r="E231" s="39"/>
      <c r="F231" s="40"/>
      <c r="G231" s="41">
        <f>IFERROR(SUMIFS(Transactions!$F$7:$F$991,Transactions!$G$7:$G$991,A231,Transactions!$D$7:$D$991,"Expense"),0)</f>
        <v>0</v>
      </c>
      <c r="H231" s="39"/>
      <c r="I231" s="39"/>
      <c r="J231" s="39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9.5" customHeight="1">
      <c r="A232" s="39"/>
      <c r="B232" s="38"/>
      <c r="C232" s="39"/>
      <c r="D232" s="39"/>
      <c r="E232" s="39"/>
      <c r="F232" s="40"/>
      <c r="G232" s="41">
        <f>IFERROR(SUMIFS(Transactions!$F$7:$F$991,Transactions!$G$7:$G$991,A232,Transactions!$D$7:$D$991,"Expense"),0)</f>
        <v>0</v>
      </c>
      <c r="H232" s="39"/>
      <c r="I232" s="39"/>
      <c r="J232" s="39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9.5" customHeight="1">
      <c r="A233" s="39"/>
      <c r="B233" s="38"/>
      <c r="C233" s="39"/>
      <c r="D233" s="39"/>
      <c r="E233" s="39"/>
      <c r="F233" s="40"/>
      <c r="G233" s="41">
        <f>IFERROR(SUMIFS(Transactions!$F$7:$F$991,Transactions!$G$7:$G$991,A233,Transactions!$D$7:$D$991,"Expense"),0)</f>
        <v>0</v>
      </c>
      <c r="H233" s="39"/>
      <c r="I233" s="39"/>
      <c r="J233" s="39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9.5" customHeight="1">
      <c r="A234" s="39"/>
      <c r="B234" s="38"/>
      <c r="C234" s="39"/>
      <c r="D234" s="39"/>
      <c r="E234" s="39"/>
      <c r="F234" s="40"/>
      <c r="G234" s="41">
        <f>IFERROR(SUMIFS(Transactions!$F$7:$F$991,Transactions!$G$7:$G$991,A234,Transactions!$D$7:$D$991,"Expense"),0)</f>
        <v>0</v>
      </c>
      <c r="H234" s="39"/>
      <c r="I234" s="39"/>
      <c r="J234" s="39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9.5" customHeight="1">
      <c r="A235" s="39"/>
      <c r="B235" s="38"/>
      <c r="C235" s="39"/>
      <c r="D235" s="39"/>
      <c r="E235" s="39"/>
      <c r="F235" s="40"/>
      <c r="G235" s="41">
        <f>IFERROR(SUMIFS(Transactions!$F$7:$F$991,Transactions!$G$7:$G$991,A235,Transactions!$D$7:$D$991,"Expense"),0)</f>
        <v>0</v>
      </c>
      <c r="H235" s="39"/>
      <c r="I235" s="39"/>
      <c r="J235" s="39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9.5" customHeight="1">
      <c r="A236" s="39"/>
      <c r="B236" s="38"/>
      <c r="C236" s="39"/>
      <c r="D236" s="39"/>
      <c r="E236" s="39"/>
      <c r="F236" s="40"/>
      <c r="G236" s="41">
        <f>IFERROR(SUMIFS(Transactions!$F$7:$F$991,Transactions!$G$7:$G$991,A236,Transactions!$D$7:$D$991,"Expense"),0)</f>
        <v>0</v>
      </c>
      <c r="H236" s="39"/>
      <c r="I236" s="39"/>
      <c r="J236" s="39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9.5" customHeight="1">
      <c r="A237" s="39"/>
      <c r="B237" s="38"/>
      <c r="C237" s="39"/>
      <c r="D237" s="39"/>
      <c r="E237" s="39"/>
      <c r="F237" s="40"/>
      <c r="G237" s="41">
        <f>IFERROR(SUMIFS(Transactions!$F$7:$F$991,Transactions!$G$7:$G$991,A237,Transactions!$D$7:$D$991,"Expense"),0)</f>
        <v>0</v>
      </c>
      <c r="H237" s="39"/>
      <c r="I237" s="39"/>
      <c r="J237" s="39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9.5" customHeight="1">
      <c r="A238" s="39"/>
      <c r="B238" s="38"/>
      <c r="C238" s="39"/>
      <c r="D238" s="39"/>
      <c r="E238" s="39"/>
      <c r="F238" s="40"/>
      <c r="G238" s="41">
        <f>IFERROR(SUMIFS(Transactions!$F$7:$F$991,Transactions!$G$7:$G$991,A238,Transactions!$D$7:$D$991,"Expense"),0)</f>
        <v>0</v>
      </c>
      <c r="H238" s="39"/>
      <c r="I238" s="39"/>
      <c r="J238" s="39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9.5" customHeight="1">
      <c r="A239" s="39"/>
      <c r="B239" s="38"/>
      <c r="C239" s="39"/>
      <c r="D239" s="39"/>
      <c r="E239" s="39"/>
      <c r="F239" s="40"/>
      <c r="G239" s="41">
        <f>IFERROR(SUMIFS(Transactions!$F$7:$F$991,Transactions!$G$7:$G$991,A239,Transactions!$D$7:$D$991,"Expense"),0)</f>
        <v>0</v>
      </c>
      <c r="H239" s="39"/>
      <c r="I239" s="39"/>
      <c r="J239" s="39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9.5" customHeight="1">
      <c r="A240" s="39"/>
      <c r="B240" s="38"/>
      <c r="C240" s="39"/>
      <c r="D240" s="39"/>
      <c r="E240" s="39"/>
      <c r="F240" s="40"/>
      <c r="G240" s="41">
        <f>IFERROR(SUMIFS(Transactions!$F$7:$F$991,Transactions!$G$7:$G$991,A240,Transactions!$D$7:$D$991,"Expense"),0)</f>
        <v>0</v>
      </c>
      <c r="H240" s="39"/>
      <c r="I240" s="39"/>
      <c r="J240" s="39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9.5" customHeight="1">
      <c r="A241" s="39"/>
      <c r="B241" s="38"/>
      <c r="C241" s="39"/>
      <c r="D241" s="39"/>
      <c r="E241" s="39"/>
      <c r="F241" s="40"/>
      <c r="G241" s="41">
        <f>IFERROR(SUMIFS(Transactions!$F$7:$F$991,Transactions!$G$7:$G$991,A241,Transactions!$D$7:$D$991,"Expense"),0)</f>
        <v>0</v>
      </c>
      <c r="H241" s="39"/>
      <c r="I241" s="39"/>
      <c r="J241" s="39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9.5" customHeight="1">
      <c r="A242" s="39"/>
      <c r="B242" s="38"/>
      <c r="C242" s="39"/>
      <c r="D242" s="39"/>
      <c r="E242" s="39"/>
      <c r="F242" s="40"/>
      <c r="G242" s="41">
        <f>IFERROR(SUMIFS(Transactions!$F$7:$F$991,Transactions!$G$7:$G$991,A242,Transactions!$D$7:$D$991,"Expense"),0)</f>
        <v>0</v>
      </c>
      <c r="H242" s="39"/>
      <c r="I242" s="39"/>
      <c r="J242" s="39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9.5" customHeight="1">
      <c r="A243" s="39"/>
      <c r="B243" s="38"/>
      <c r="C243" s="39"/>
      <c r="D243" s="39"/>
      <c r="E243" s="39"/>
      <c r="F243" s="40"/>
      <c r="G243" s="41">
        <f>IFERROR(SUMIFS(Transactions!$F$7:$F$991,Transactions!$G$7:$G$991,A243,Transactions!$D$7:$D$991,"Expense"),0)</f>
        <v>0</v>
      </c>
      <c r="H243" s="39"/>
      <c r="I243" s="39"/>
      <c r="J243" s="39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9.5" customHeight="1">
      <c r="A244" s="39"/>
      <c r="B244" s="38"/>
      <c r="C244" s="39"/>
      <c r="D244" s="39"/>
      <c r="E244" s="39"/>
      <c r="F244" s="40"/>
      <c r="G244" s="41">
        <f>IFERROR(SUMIFS(Transactions!$F$7:$F$991,Transactions!$G$7:$G$991,A244,Transactions!$D$7:$D$991,"Expense"),0)</f>
        <v>0</v>
      </c>
      <c r="H244" s="39"/>
      <c r="I244" s="39"/>
      <c r="J244" s="39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9.5" customHeight="1">
      <c r="A245" s="39"/>
      <c r="B245" s="38"/>
      <c r="C245" s="39"/>
      <c r="D245" s="39"/>
      <c r="E245" s="39"/>
      <c r="F245" s="40"/>
      <c r="G245" s="41">
        <f>IFERROR(SUMIFS(Transactions!$F$7:$F$991,Transactions!$G$7:$G$991,A245,Transactions!$D$7:$D$991,"Expense"),0)</f>
        <v>0</v>
      </c>
      <c r="H245" s="39"/>
      <c r="I245" s="39"/>
      <c r="J245" s="39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9.5" customHeight="1">
      <c r="A246" s="39"/>
      <c r="B246" s="38"/>
      <c r="C246" s="39"/>
      <c r="D246" s="39"/>
      <c r="E246" s="39"/>
      <c r="F246" s="40"/>
      <c r="G246" s="41">
        <f>IFERROR(SUMIFS(Transactions!$F$7:$F$991,Transactions!$G$7:$G$991,A246,Transactions!$D$7:$D$991,"Expense"),0)</f>
        <v>0</v>
      </c>
      <c r="H246" s="39"/>
      <c r="I246" s="39"/>
      <c r="J246" s="39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9.5" customHeight="1">
      <c r="A247" s="39"/>
      <c r="B247" s="38"/>
      <c r="C247" s="39"/>
      <c r="D247" s="39"/>
      <c r="E247" s="39"/>
      <c r="F247" s="40"/>
      <c r="G247" s="41">
        <f>IFERROR(SUMIFS(Transactions!$F$7:$F$991,Transactions!$G$7:$G$991,A247,Transactions!$D$7:$D$991,"Expense"),0)</f>
        <v>0</v>
      </c>
      <c r="H247" s="39"/>
      <c r="I247" s="39"/>
      <c r="J247" s="39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9.5" customHeight="1">
      <c r="A248" s="39"/>
      <c r="B248" s="38"/>
      <c r="C248" s="39"/>
      <c r="D248" s="39"/>
      <c r="E248" s="39"/>
      <c r="F248" s="40"/>
      <c r="G248" s="41">
        <f>IFERROR(SUMIFS(Transactions!$F$7:$F$991,Transactions!$G$7:$G$991,A248,Transactions!$D$7:$D$991,"Expense"),0)</f>
        <v>0</v>
      </c>
      <c r="H248" s="39"/>
      <c r="I248" s="39"/>
      <c r="J248" s="39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9.5" customHeight="1">
      <c r="A249" s="39"/>
      <c r="B249" s="38"/>
      <c r="C249" s="39"/>
      <c r="D249" s="39"/>
      <c r="E249" s="39"/>
      <c r="F249" s="40"/>
      <c r="G249" s="41">
        <f>IFERROR(SUMIFS(Transactions!$F$7:$F$991,Transactions!$G$7:$G$991,A249,Transactions!$D$7:$D$991,"Expense"),0)</f>
        <v>0</v>
      </c>
      <c r="H249" s="39"/>
      <c r="I249" s="39"/>
      <c r="J249" s="39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9.5" customHeight="1">
      <c r="A250" s="39"/>
      <c r="B250" s="38"/>
      <c r="C250" s="39"/>
      <c r="D250" s="39"/>
      <c r="E250" s="39"/>
      <c r="F250" s="40"/>
      <c r="G250" s="41">
        <f>IFERROR(SUMIFS(Transactions!$F$7:$F$991,Transactions!$G$7:$G$991,A250,Transactions!$D$7:$D$991,"Expense"),0)</f>
        <v>0</v>
      </c>
      <c r="H250" s="39"/>
      <c r="I250" s="39"/>
      <c r="J250" s="39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9.5" customHeight="1">
      <c r="A251" s="39"/>
      <c r="B251" s="38"/>
      <c r="C251" s="39"/>
      <c r="D251" s="39"/>
      <c r="E251" s="39"/>
      <c r="F251" s="40"/>
      <c r="G251" s="41">
        <f>IFERROR(SUMIFS(Transactions!$F$7:$F$991,Transactions!$G$7:$G$991,A251,Transactions!$D$7:$D$991,"Expense"),0)</f>
        <v>0</v>
      </c>
      <c r="H251" s="39"/>
      <c r="I251" s="39"/>
      <c r="J251" s="39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9.5" customHeight="1">
      <c r="A252" s="39"/>
      <c r="B252" s="38"/>
      <c r="C252" s="39"/>
      <c r="D252" s="39"/>
      <c r="E252" s="39"/>
      <c r="F252" s="40"/>
      <c r="G252" s="41">
        <f>IFERROR(SUMIFS(Transactions!$F$7:$F$991,Transactions!$G$7:$G$991,A252,Transactions!$D$7:$D$991,"Expense"),0)</f>
        <v>0</v>
      </c>
      <c r="H252" s="39"/>
      <c r="I252" s="39"/>
      <c r="J252" s="39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9.5" customHeight="1">
      <c r="A253" s="39"/>
      <c r="B253" s="38"/>
      <c r="C253" s="39"/>
      <c r="D253" s="39"/>
      <c r="E253" s="39"/>
      <c r="F253" s="40"/>
      <c r="G253" s="41">
        <f>IFERROR(SUMIFS(Transactions!$F$7:$F$991,Transactions!$G$7:$G$991,A253,Transactions!$D$7:$D$991,"Expense"),0)</f>
        <v>0</v>
      </c>
      <c r="H253" s="39"/>
      <c r="I253" s="39"/>
      <c r="J253" s="39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9.5" customHeight="1">
      <c r="A254" s="39"/>
      <c r="B254" s="38"/>
      <c r="C254" s="39"/>
      <c r="D254" s="39"/>
      <c r="E254" s="39"/>
      <c r="F254" s="40"/>
      <c r="G254" s="41">
        <f>IFERROR(SUMIFS(Transactions!$F$7:$F$991,Transactions!$G$7:$G$991,A254,Transactions!$D$7:$D$991,"Expense"),0)</f>
        <v>0</v>
      </c>
      <c r="H254" s="39"/>
      <c r="I254" s="39"/>
      <c r="J254" s="39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9.5" customHeight="1">
      <c r="A255" s="39"/>
      <c r="B255" s="38"/>
      <c r="C255" s="39"/>
      <c r="D255" s="39"/>
      <c r="E255" s="39"/>
      <c r="F255" s="40"/>
      <c r="G255" s="41">
        <f>IFERROR(SUMIFS(Transactions!$F$7:$F$991,Transactions!$G$7:$G$991,A255,Transactions!$D$7:$D$991,"Expense"),0)</f>
        <v>0</v>
      </c>
      <c r="H255" s="39"/>
      <c r="I255" s="39"/>
      <c r="J255" s="39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9.5" customHeight="1">
      <c r="A256" s="39"/>
      <c r="B256" s="38"/>
      <c r="C256" s="39"/>
      <c r="D256" s="39"/>
      <c r="E256" s="39"/>
      <c r="F256" s="40"/>
      <c r="G256" s="41">
        <f>IFERROR(SUMIFS(Transactions!$F$7:$F$991,Transactions!$G$7:$G$991,A256,Transactions!$D$7:$D$991,"Expense"),0)</f>
        <v>0</v>
      </c>
      <c r="H256" s="39"/>
      <c r="I256" s="39"/>
      <c r="J256" s="39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9.5" customHeight="1">
      <c r="A257" s="39"/>
      <c r="B257" s="38"/>
      <c r="C257" s="39"/>
      <c r="D257" s="39"/>
      <c r="E257" s="39"/>
      <c r="F257" s="40"/>
      <c r="G257" s="41">
        <f>IFERROR(SUMIFS(Transactions!$F$7:$F$991,Transactions!$G$7:$G$991,A257,Transactions!$D$7:$D$991,"Expense"),0)</f>
        <v>0</v>
      </c>
      <c r="H257" s="39"/>
      <c r="I257" s="39"/>
      <c r="J257" s="39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9.5" customHeight="1">
      <c r="A258" s="39"/>
      <c r="B258" s="38"/>
      <c r="C258" s="39"/>
      <c r="D258" s="39"/>
      <c r="E258" s="39"/>
      <c r="F258" s="40"/>
      <c r="G258" s="41">
        <f>IFERROR(SUMIFS(Transactions!$F$7:$F$991,Transactions!$G$7:$G$991,A258,Transactions!$D$7:$D$991,"Expense"),0)</f>
        <v>0</v>
      </c>
      <c r="H258" s="39"/>
      <c r="I258" s="39"/>
      <c r="J258" s="39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9.5" customHeight="1">
      <c r="A259" s="39"/>
      <c r="B259" s="38"/>
      <c r="C259" s="39"/>
      <c r="D259" s="39"/>
      <c r="E259" s="39"/>
      <c r="F259" s="40"/>
      <c r="G259" s="41">
        <f>IFERROR(SUMIFS(Transactions!$F$7:$F$991,Transactions!$G$7:$G$991,A259,Transactions!$D$7:$D$991,"Expense"),0)</f>
        <v>0</v>
      </c>
      <c r="H259" s="39"/>
      <c r="I259" s="39"/>
      <c r="J259" s="39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9.5" customHeight="1">
      <c r="A260" s="39"/>
      <c r="B260" s="38"/>
      <c r="C260" s="39"/>
      <c r="D260" s="39"/>
      <c r="E260" s="39"/>
      <c r="F260" s="40"/>
      <c r="G260" s="41">
        <f>IFERROR(SUMIFS(Transactions!$F$7:$F$991,Transactions!$G$7:$G$991,A260,Transactions!$D$7:$D$991,"Expense"),0)</f>
        <v>0</v>
      </c>
      <c r="H260" s="39"/>
      <c r="I260" s="39"/>
      <c r="J260" s="39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9.5" customHeight="1">
      <c r="A261" s="39"/>
      <c r="B261" s="38"/>
      <c r="C261" s="39"/>
      <c r="D261" s="39"/>
      <c r="E261" s="39"/>
      <c r="F261" s="40"/>
      <c r="G261" s="41">
        <f>IFERROR(SUMIFS(Transactions!$F$7:$F$991,Transactions!$G$7:$G$991,A261,Transactions!$D$7:$D$991,"Expense"),0)</f>
        <v>0</v>
      </c>
      <c r="H261" s="39"/>
      <c r="I261" s="39"/>
      <c r="J261" s="39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9.5" customHeight="1">
      <c r="A262" s="39"/>
      <c r="B262" s="38"/>
      <c r="C262" s="39"/>
      <c r="D262" s="39"/>
      <c r="E262" s="39"/>
      <c r="F262" s="40"/>
      <c r="G262" s="41">
        <f>IFERROR(SUMIFS(Transactions!$F$7:$F$991,Transactions!$G$7:$G$991,A262,Transactions!$D$7:$D$991,"Expense"),0)</f>
        <v>0</v>
      </c>
      <c r="H262" s="39"/>
      <c r="I262" s="39"/>
      <c r="J262" s="39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9.5" customHeight="1">
      <c r="A263" s="39"/>
      <c r="B263" s="38"/>
      <c r="C263" s="39"/>
      <c r="D263" s="39"/>
      <c r="E263" s="39"/>
      <c r="F263" s="40"/>
      <c r="G263" s="41">
        <f>IFERROR(SUMIFS(Transactions!$F$7:$F$991,Transactions!$G$7:$G$991,A263,Transactions!$D$7:$D$991,"Expense"),0)</f>
        <v>0</v>
      </c>
      <c r="H263" s="39"/>
      <c r="I263" s="39"/>
      <c r="J263" s="39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9.5" customHeight="1">
      <c r="A264" s="39"/>
      <c r="B264" s="38"/>
      <c r="C264" s="39"/>
      <c r="D264" s="39"/>
      <c r="E264" s="39"/>
      <c r="F264" s="40"/>
      <c r="G264" s="41">
        <f>IFERROR(SUMIFS(Transactions!$F$7:$F$991,Transactions!$G$7:$G$991,A264,Transactions!$D$7:$D$991,"Expense"),0)</f>
        <v>0</v>
      </c>
      <c r="H264" s="39"/>
      <c r="I264" s="39"/>
      <c r="J264" s="39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9.5" customHeight="1">
      <c r="A265" s="39"/>
      <c r="B265" s="38"/>
      <c r="C265" s="39"/>
      <c r="D265" s="39"/>
      <c r="E265" s="39"/>
      <c r="F265" s="40"/>
      <c r="G265" s="41">
        <f>IFERROR(SUMIFS(Transactions!$F$7:$F$991,Transactions!$G$7:$G$991,A265,Transactions!$D$7:$D$991,"Expense"),0)</f>
        <v>0</v>
      </c>
      <c r="H265" s="39"/>
      <c r="I265" s="39"/>
      <c r="J265" s="39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9.5" customHeight="1">
      <c r="A266" s="39"/>
      <c r="B266" s="38"/>
      <c r="C266" s="39"/>
      <c r="D266" s="39"/>
      <c r="E266" s="39"/>
      <c r="F266" s="40"/>
      <c r="G266" s="41">
        <f>IFERROR(SUMIFS(Transactions!$F$7:$F$991,Transactions!$G$7:$G$991,A266,Transactions!$D$7:$D$991,"Expense"),0)</f>
        <v>0</v>
      </c>
      <c r="H266" s="39"/>
      <c r="I266" s="39"/>
      <c r="J266" s="39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9.5" customHeight="1">
      <c r="A267" s="39"/>
      <c r="B267" s="38"/>
      <c r="C267" s="39"/>
      <c r="D267" s="39"/>
      <c r="E267" s="39"/>
      <c r="F267" s="40"/>
      <c r="G267" s="41">
        <f>IFERROR(SUMIFS(Transactions!$F$7:$F$991,Transactions!$G$7:$G$991,A267,Transactions!$D$7:$D$991,"Expense"),0)</f>
        <v>0</v>
      </c>
      <c r="H267" s="39"/>
      <c r="I267" s="39"/>
      <c r="J267" s="39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9.5" customHeight="1">
      <c r="A268" s="39"/>
      <c r="B268" s="38"/>
      <c r="C268" s="39"/>
      <c r="D268" s="39"/>
      <c r="E268" s="39"/>
      <c r="F268" s="40"/>
      <c r="G268" s="41">
        <f>IFERROR(SUMIFS(Transactions!$F$7:$F$991,Transactions!$G$7:$G$991,A268,Transactions!$D$7:$D$991,"Expense"),0)</f>
        <v>0</v>
      </c>
      <c r="H268" s="39"/>
      <c r="I268" s="39"/>
      <c r="J268" s="39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9.5" customHeight="1">
      <c r="A269" s="39"/>
      <c r="B269" s="38"/>
      <c r="C269" s="39"/>
      <c r="D269" s="39"/>
      <c r="E269" s="39"/>
      <c r="F269" s="40"/>
      <c r="G269" s="41">
        <f>IFERROR(SUMIFS(Transactions!$F$7:$F$991,Transactions!$G$7:$G$991,A269,Transactions!$D$7:$D$991,"Expense"),0)</f>
        <v>0</v>
      </c>
      <c r="H269" s="39"/>
      <c r="I269" s="39"/>
      <c r="J269" s="39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9.5" customHeight="1">
      <c r="A270" s="39"/>
      <c r="B270" s="38"/>
      <c r="C270" s="39"/>
      <c r="D270" s="39"/>
      <c r="E270" s="39"/>
      <c r="F270" s="40"/>
      <c r="G270" s="41">
        <f>IFERROR(SUMIFS(Transactions!$F$7:$F$991,Transactions!$G$7:$G$991,A270,Transactions!$D$7:$D$991,"Expense"),0)</f>
        <v>0</v>
      </c>
      <c r="H270" s="39"/>
      <c r="I270" s="39"/>
      <c r="J270" s="39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9.5" customHeight="1">
      <c r="A271" s="39"/>
      <c r="B271" s="38"/>
      <c r="C271" s="39"/>
      <c r="D271" s="39"/>
      <c r="E271" s="39"/>
      <c r="F271" s="40"/>
      <c r="G271" s="41">
        <f>IFERROR(SUMIFS(Transactions!$F$7:$F$991,Transactions!$G$7:$G$991,A271,Transactions!$D$7:$D$991,"Expense"),0)</f>
        <v>0</v>
      </c>
      <c r="H271" s="39"/>
      <c r="I271" s="39"/>
      <c r="J271" s="39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9.5" customHeight="1">
      <c r="A272" s="39"/>
      <c r="B272" s="38"/>
      <c r="C272" s="39"/>
      <c r="D272" s="39"/>
      <c r="E272" s="39"/>
      <c r="F272" s="40"/>
      <c r="G272" s="41">
        <f>IFERROR(SUMIFS(Transactions!$F$7:$F$991,Transactions!$G$7:$G$991,A272,Transactions!$D$7:$D$991,"Expense"),0)</f>
        <v>0</v>
      </c>
      <c r="H272" s="39"/>
      <c r="I272" s="39"/>
      <c r="J272" s="39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9.5" customHeight="1">
      <c r="A273" s="39"/>
      <c r="B273" s="38"/>
      <c r="C273" s="39"/>
      <c r="D273" s="39"/>
      <c r="E273" s="39"/>
      <c r="F273" s="40"/>
      <c r="G273" s="41">
        <f>IFERROR(SUMIFS(Transactions!$F$7:$F$991,Transactions!$G$7:$G$991,A273,Transactions!$D$7:$D$991,"Expense"),0)</f>
        <v>0</v>
      </c>
      <c r="H273" s="39"/>
      <c r="I273" s="39"/>
      <c r="J273" s="39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9.5" customHeight="1">
      <c r="A274" s="39"/>
      <c r="B274" s="38"/>
      <c r="C274" s="39"/>
      <c r="D274" s="39"/>
      <c r="E274" s="39"/>
      <c r="F274" s="40"/>
      <c r="G274" s="41">
        <f>IFERROR(SUMIFS(Transactions!$F$7:$F$991,Transactions!$G$7:$G$991,A274,Transactions!$D$7:$D$991,"Expense"),0)</f>
        <v>0</v>
      </c>
      <c r="H274" s="39"/>
      <c r="I274" s="39"/>
      <c r="J274" s="39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9.5" customHeight="1">
      <c r="A275" s="39"/>
      <c r="B275" s="38"/>
      <c r="C275" s="39"/>
      <c r="D275" s="39"/>
      <c r="E275" s="39"/>
      <c r="F275" s="40"/>
      <c r="G275" s="41">
        <f>IFERROR(SUMIFS(Transactions!$F$7:$F$991,Transactions!$G$7:$G$991,A275,Transactions!$D$7:$D$991,"Expense"),0)</f>
        <v>0</v>
      </c>
      <c r="H275" s="39"/>
      <c r="I275" s="39"/>
      <c r="J275" s="39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9.5" customHeight="1">
      <c r="A276" s="39"/>
      <c r="B276" s="38"/>
      <c r="C276" s="39"/>
      <c r="D276" s="39"/>
      <c r="E276" s="39"/>
      <c r="F276" s="40"/>
      <c r="G276" s="41">
        <f>IFERROR(SUMIFS(Transactions!$F$7:$F$991,Transactions!$G$7:$G$991,A276,Transactions!$D$7:$D$991,"Expense"),0)</f>
        <v>0</v>
      </c>
      <c r="H276" s="39"/>
      <c r="I276" s="39"/>
      <c r="J276" s="39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9.5" customHeight="1">
      <c r="A277" s="39"/>
      <c r="B277" s="38"/>
      <c r="C277" s="39"/>
      <c r="D277" s="39"/>
      <c r="E277" s="39"/>
      <c r="F277" s="40"/>
      <c r="G277" s="41">
        <f>IFERROR(SUMIFS(Transactions!$F$7:$F$991,Transactions!$G$7:$G$991,A277,Transactions!$D$7:$D$991,"Expense"),0)</f>
        <v>0</v>
      </c>
      <c r="H277" s="39"/>
      <c r="I277" s="39"/>
      <c r="J277" s="39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9.5" customHeight="1">
      <c r="A278" s="39"/>
      <c r="B278" s="38"/>
      <c r="C278" s="39"/>
      <c r="D278" s="39"/>
      <c r="E278" s="39"/>
      <c r="F278" s="40"/>
      <c r="G278" s="41">
        <f>IFERROR(SUMIFS(Transactions!$F$7:$F$991,Transactions!$G$7:$G$991,A278,Transactions!$D$7:$D$991,"Expense"),0)</f>
        <v>0</v>
      </c>
      <c r="H278" s="39"/>
      <c r="I278" s="39"/>
      <c r="J278" s="39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9.5" customHeight="1">
      <c r="A279" s="39"/>
      <c r="B279" s="38"/>
      <c r="C279" s="39"/>
      <c r="D279" s="39"/>
      <c r="E279" s="39"/>
      <c r="F279" s="40"/>
      <c r="G279" s="41">
        <f>IFERROR(SUMIFS(Transactions!$F$7:$F$991,Transactions!$G$7:$G$991,A279,Transactions!$D$7:$D$991,"Expense"),0)</f>
        <v>0</v>
      </c>
      <c r="H279" s="39"/>
      <c r="I279" s="39"/>
      <c r="J279" s="39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9.5" customHeight="1">
      <c r="A280" s="39"/>
      <c r="B280" s="38"/>
      <c r="C280" s="39"/>
      <c r="D280" s="39"/>
      <c r="E280" s="39"/>
      <c r="F280" s="40"/>
      <c r="G280" s="41">
        <f>IFERROR(SUMIFS(Transactions!$F$7:$F$991,Transactions!$G$7:$G$991,A280,Transactions!$D$7:$D$991,"Expense"),0)</f>
        <v>0</v>
      </c>
      <c r="H280" s="39"/>
      <c r="I280" s="39"/>
      <c r="J280" s="39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9.5" customHeight="1">
      <c r="A281" s="39"/>
      <c r="B281" s="38"/>
      <c r="C281" s="39"/>
      <c r="D281" s="39"/>
      <c r="E281" s="39"/>
      <c r="F281" s="40"/>
      <c r="G281" s="41">
        <f>IFERROR(SUMIFS(Transactions!$F$7:$F$991,Transactions!$G$7:$G$991,A281,Transactions!$D$7:$D$991,"Expense"),0)</f>
        <v>0</v>
      </c>
      <c r="H281" s="39"/>
      <c r="I281" s="39"/>
      <c r="J281" s="39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9.5" customHeight="1">
      <c r="A282" s="39"/>
      <c r="B282" s="38"/>
      <c r="C282" s="39"/>
      <c r="D282" s="39"/>
      <c r="E282" s="39"/>
      <c r="F282" s="40"/>
      <c r="G282" s="41">
        <f>IFERROR(SUMIFS(Transactions!$F$7:$F$991,Transactions!$G$7:$G$991,A282,Transactions!$D$7:$D$991,"Expense"),0)</f>
        <v>0</v>
      </c>
      <c r="H282" s="39"/>
      <c r="I282" s="39"/>
      <c r="J282" s="39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9.5" customHeight="1">
      <c r="A283" s="39"/>
      <c r="B283" s="38"/>
      <c r="C283" s="39"/>
      <c r="D283" s="39"/>
      <c r="E283" s="39"/>
      <c r="F283" s="40"/>
      <c r="G283" s="41">
        <f>IFERROR(SUMIFS(Transactions!$F$7:$F$991,Transactions!$G$7:$G$991,A283,Transactions!$D$7:$D$991,"Expense"),0)</f>
        <v>0</v>
      </c>
      <c r="H283" s="39"/>
      <c r="I283" s="39"/>
      <c r="J283" s="39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9.5" customHeight="1">
      <c r="A284" s="39"/>
      <c r="B284" s="38"/>
      <c r="C284" s="39"/>
      <c r="D284" s="39"/>
      <c r="E284" s="39"/>
      <c r="F284" s="40"/>
      <c r="G284" s="41">
        <f>IFERROR(SUMIFS(Transactions!$F$7:$F$991,Transactions!$G$7:$G$991,A284,Transactions!$D$7:$D$991,"Expense"),0)</f>
        <v>0</v>
      </c>
      <c r="H284" s="39"/>
      <c r="I284" s="39"/>
      <c r="J284" s="39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9.5" customHeight="1">
      <c r="A285" s="39"/>
      <c r="B285" s="38"/>
      <c r="C285" s="39"/>
      <c r="D285" s="39"/>
      <c r="E285" s="39"/>
      <c r="F285" s="40"/>
      <c r="G285" s="41">
        <f>IFERROR(SUMIFS(Transactions!$F$7:$F$991,Transactions!$G$7:$G$991,A285,Transactions!$D$7:$D$991,"Expense"),0)</f>
        <v>0</v>
      </c>
      <c r="H285" s="39"/>
      <c r="I285" s="39"/>
      <c r="J285" s="39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9.5" customHeight="1">
      <c r="A286" s="39"/>
      <c r="B286" s="38"/>
      <c r="C286" s="39"/>
      <c r="D286" s="39"/>
      <c r="E286" s="39"/>
      <c r="F286" s="40"/>
      <c r="G286" s="41">
        <f>IFERROR(SUMIFS(Transactions!$F$7:$F$991,Transactions!$G$7:$G$991,A286,Transactions!$D$7:$D$991,"Expense"),0)</f>
        <v>0</v>
      </c>
      <c r="H286" s="39"/>
      <c r="I286" s="39"/>
      <c r="J286" s="39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9.5" customHeight="1">
      <c r="A287" s="39"/>
      <c r="B287" s="38"/>
      <c r="C287" s="39"/>
      <c r="D287" s="39"/>
      <c r="E287" s="39"/>
      <c r="F287" s="40"/>
      <c r="G287" s="41">
        <f>IFERROR(SUMIFS(Transactions!$F$7:$F$991,Transactions!$G$7:$G$991,A287,Transactions!$D$7:$D$991,"Expense"),0)</f>
        <v>0</v>
      </c>
      <c r="H287" s="39"/>
      <c r="I287" s="39"/>
      <c r="J287" s="39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9.5" customHeight="1">
      <c r="A288" s="39"/>
      <c r="B288" s="38"/>
      <c r="C288" s="39"/>
      <c r="D288" s="39"/>
      <c r="E288" s="39"/>
      <c r="F288" s="40"/>
      <c r="G288" s="41">
        <f>IFERROR(SUMIFS(Transactions!$F$7:$F$991,Transactions!$G$7:$G$991,A288,Transactions!$D$7:$D$991,"Expense"),0)</f>
        <v>0</v>
      </c>
      <c r="H288" s="39"/>
      <c r="I288" s="39"/>
      <c r="J288" s="39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9.5" customHeight="1">
      <c r="A289" s="39"/>
      <c r="B289" s="38"/>
      <c r="C289" s="39"/>
      <c r="D289" s="39"/>
      <c r="E289" s="39"/>
      <c r="F289" s="40"/>
      <c r="G289" s="41">
        <f>IFERROR(SUMIFS(Transactions!$F$7:$F$991,Transactions!$G$7:$G$991,A289,Transactions!$D$7:$D$991,"Expense"),0)</f>
        <v>0</v>
      </c>
      <c r="H289" s="39"/>
      <c r="I289" s="39"/>
      <c r="J289" s="39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9.5" customHeight="1">
      <c r="A290" s="39"/>
      <c r="B290" s="38"/>
      <c r="C290" s="39"/>
      <c r="D290" s="39"/>
      <c r="E290" s="39"/>
      <c r="F290" s="40"/>
      <c r="G290" s="41">
        <f>IFERROR(SUMIFS(Transactions!$F$7:$F$991,Transactions!$G$7:$G$991,A290,Transactions!$D$7:$D$991,"Expense"),0)</f>
        <v>0</v>
      </c>
      <c r="H290" s="39"/>
      <c r="I290" s="39"/>
      <c r="J290" s="39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9.5" customHeight="1">
      <c r="A291" s="39"/>
      <c r="B291" s="38"/>
      <c r="C291" s="39"/>
      <c r="D291" s="39"/>
      <c r="E291" s="39"/>
      <c r="F291" s="40"/>
      <c r="G291" s="41">
        <f>IFERROR(SUMIFS(Transactions!$F$7:$F$991,Transactions!$G$7:$G$991,A291,Transactions!$D$7:$D$991,"Expense"),0)</f>
        <v>0</v>
      </c>
      <c r="H291" s="39"/>
      <c r="I291" s="39"/>
      <c r="J291" s="39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9.5" customHeight="1">
      <c r="A292" s="39"/>
      <c r="B292" s="38"/>
      <c r="C292" s="39"/>
      <c r="D292" s="39"/>
      <c r="E292" s="39"/>
      <c r="F292" s="40"/>
      <c r="G292" s="41">
        <f>IFERROR(SUMIFS(Transactions!$F$7:$F$991,Transactions!$G$7:$G$991,A292,Transactions!$D$7:$D$991,"Expense"),0)</f>
        <v>0</v>
      </c>
      <c r="H292" s="39"/>
      <c r="I292" s="39"/>
      <c r="J292" s="39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9.5" customHeight="1">
      <c r="A293" s="39"/>
      <c r="B293" s="38"/>
      <c r="C293" s="39"/>
      <c r="D293" s="39"/>
      <c r="E293" s="39"/>
      <c r="F293" s="40"/>
      <c r="G293" s="41">
        <f>IFERROR(SUMIFS(Transactions!$F$7:$F$991,Transactions!$G$7:$G$991,A293,Transactions!$D$7:$D$991,"Expense"),0)</f>
        <v>0</v>
      </c>
      <c r="H293" s="39"/>
      <c r="I293" s="39"/>
      <c r="J293" s="39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9.5" customHeight="1">
      <c r="A294" s="39"/>
      <c r="B294" s="38"/>
      <c r="C294" s="39"/>
      <c r="D294" s="39"/>
      <c r="E294" s="39"/>
      <c r="F294" s="40"/>
      <c r="G294" s="41">
        <f>IFERROR(SUMIFS(Transactions!$F$7:$F$991,Transactions!$G$7:$G$991,A294,Transactions!$D$7:$D$991,"Expense"),0)</f>
        <v>0</v>
      </c>
      <c r="H294" s="39"/>
      <c r="I294" s="39"/>
      <c r="J294" s="39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9.5" customHeight="1">
      <c r="A295" s="39"/>
      <c r="B295" s="38"/>
      <c r="C295" s="39"/>
      <c r="D295" s="39"/>
      <c r="E295" s="39"/>
      <c r="F295" s="40"/>
      <c r="G295" s="41">
        <f>IFERROR(SUMIFS(Transactions!$F$7:$F$991,Transactions!$G$7:$G$991,A295,Transactions!$D$7:$D$991,"Expense"),0)</f>
        <v>0</v>
      </c>
      <c r="H295" s="39"/>
      <c r="I295" s="39"/>
      <c r="J295" s="39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9.5" customHeight="1">
      <c r="A296" s="39"/>
      <c r="B296" s="38"/>
      <c r="C296" s="39"/>
      <c r="D296" s="39"/>
      <c r="E296" s="39"/>
      <c r="F296" s="40"/>
      <c r="G296" s="41">
        <f>IFERROR(SUMIFS(Transactions!$F$7:$F$991,Transactions!$G$7:$G$991,A296,Transactions!$D$7:$D$991,"Expense"),0)</f>
        <v>0</v>
      </c>
      <c r="H296" s="39"/>
      <c r="I296" s="39"/>
      <c r="J296" s="39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9.5" customHeight="1">
      <c r="A297" s="39"/>
      <c r="B297" s="38"/>
      <c r="C297" s="39"/>
      <c r="D297" s="39"/>
      <c r="E297" s="39"/>
      <c r="F297" s="40"/>
      <c r="G297" s="41">
        <f>IFERROR(SUMIFS(Transactions!$F$7:$F$991,Transactions!$G$7:$G$991,A297,Transactions!$D$7:$D$991,"Expense"),0)</f>
        <v>0</v>
      </c>
      <c r="H297" s="39"/>
      <c r="I297" s="39"/>
      <c r="J297" s="39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9.5" customHeight="1">
      <c r="A298" s="39"/>
      <c r="B298" s="38"/>
      <c r="C298" s="39"/>
      <c r="D298" s="39"/>
      <c r="E298" s="39"/>
      <c r="F298" s="40"/>
      <c r="G298" s="41">
        <f>IFERROR(SUMIFS(Transactions!$F$7:$F$991,Transactions!$G$7:$G$991,A298,Transactions!$D$7:$D$991,"Expense"),0)</f>
        <v>0</v>
      </c>
      <c r="H298" s="39"/>
      <c r="I298" s="39"/>
      <c r="J298" s="39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9.5" customHeight="1">
      <c r="A299" s="39"/>
      <c r="B299" s="38"/>
      <c r="C299" s="39"/>
      <c r="D299" s="39"/>
      <c r="E299" s="39"/>
      <c r="F299" s="40"/>
      <c r="G299" s="41">
        <f>IFERROR(SUMIFS(Transactions!$F$7:$F$991,Transactions!$G$7:$G$991,A299,Transactions!$D$7:$D$991,"Expense"),0)</f>
        <v>0</v>
      </c>
      <c r="H299" s="39"/>
      <c r="I299" s="39"/>
      <c r="J299" s="39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9.5" customHeight="1">
      <c r="A300" s="39"/>
      <c r="B300" s="38"/>
      <c r="C300" s="39"/>
      <c r="D300" s="39"/>
      <c r="E300" s="39"/>
      <c r="F300" s="40"/>
      <c r="G300" s="41">
        <f>IFERROR(SUMIFS(Transactions!$F$7:$F$991,Transactions!$G$7:$G$991,A300,Transactions!$D$7:$D$991,"Expense"),0)</f>
        <v>0</v>
      </c>
      <c r="H300" s="39"/>
      <c r="I300" s="39"/>
      <c r="J300" s="39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9.5" customHeight="1">
      <c r="A301" s="39"/>
      <c r="B301" s="38"/>
      <c r="C301" s="39"/>
      <c r="D301" s="39"/>
      <c r="E301" s="39"/>
      <c r="F301" s="40"/>
      <c r="G301" s="41">
        <f>IFERROR(SUMIFS(Transactions!$F$7:$F$991,Transactions!$G$7:$G$991,A301,Transactions!$D$7:$D$991,"Expense"),0)</f>
        <v>0</v>
      </c>
      <c r="H301" s="39"/>
      <c r="I301" s="39"/>
      <c r="J301" s="39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9.5" customHeight="1">
      <c r="A302" s="39"/>
      <c r="B302" s="38"/>
      <c r="C302" s="39"/>
      <c r="D302" s="39"/>
      <c r="E302" s="39"/>
      <c r="F302" s="40"/>
      <c r="G302" s="41">
        <f>IFERROR(SUMIFS(Transactions!$F$7:$F$991,Transactions!$G$7:$G$991,A302,Transactions!$D$7:$D$991,"Expense"),0)</f>
        <v>0</v>
      </c>
      <c r="H302" s="39"/>
      <c r="I302" s="39"/>
      <c r="J302" s="39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9.5" customHeight="1">
      <c r="A303" s="39"/>
      <c r="B303" s="38"/>
      <c r="C303" s="39"/>
      <c r="D303" s="39"/>
      <c r="E303" s="39"/>
      <c r="F303" s="40"/>
      <c r="G303" s="41">
        <f>IFERROR(SUMIFS(Transactions!$F$7:$F$991,Transactions!$G$7:$G$991,A303,Transactions!$D$7:$D$991,"Expense"),0)</f>
        <v>0</v>
      </c>
      <c r="H303" s="39"/>
      <c r="I303" s="39"/>
      <c r="J303" s="39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9.5" customHeight="1">
      <c r="A304" s="39"/>
      <c r="B304" s="38"/>
      <c r="C304" s="39"/>
      <c r="D304" s="39"/>
      <c r="E304" s="39"/>
      <c r="F304" s="40"/>
      <c r="G304" s="41">
        <f>IFERROR(SUMIFS(Transactions!$F$7:$F$991,Transactions!$G$7:$G$991,A304,Transactions!$D$7:$D$991,"Expense"),0)</f>
        <v>0</v>
      </c>
      <c r="H304" s="39"/>
      <c r="I304" s="39"/>
      <c r="J304" s="39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9.5" customHeight="1">
      <c r="A305" s="39"/>
      <c r="B305" s="38"/>
      <c r="C305" s="39"/>
      <c r="D305" s="39"/>
      <c r="E305" s="39"/>
      <c r="F305" s="40"/>
      <c r="G305" s="41">
        <f>IFERROR(SUMIFS(Transactions!$F$7:$F$991,Transactions!$G$7:$G$991,A305,Transactions!$D$7:$D$991,"Expense"),0)</f>
        <v>0</v>
      </c>
      <c r="H305" s="39"/>
      <c r="I305" s="39"/>
      <c r="J305" s="39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9.5" customHeight="1">
      <c r="A306" s="39"/>
      <c r="B306" s="38"/>
      <c r="C306" s="39"/>
      <c r="D306" s="39"/>
      <c r="E306" s="39"/>
      <c r="F306" s="40"/>
      <c r="G306" s="41">
        <f>IFERROR(SUMIFS(Transactions!$F$7:$F$991,Transactions!$G$7:$G$991,A306,Transactions!$D$7:$D$991,"Expense"),0)</f>
        <v>0</v>
      </c>
      <c r="H306" s="39"/>
      <c r="I306" s="39"/>
      <c r="J306" s="39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9.5" customHeight="1">
      <c r="A307" s="39"/>
      <c r="B307" s="38"/>
      <c r="C307" s="39"/>
      <c r="D307" s="39"/>
      <c r="E307" s="39"/>
      <c r="F307" s="40"/>
      <c r="G307" s="41">
        <f>IFERROR(SUMIFS(Transactions!$F$7:$F$991,Transactions!$G$7:$G$991,A307,Transactions!$D$7:$D$991,"Expense"),0)</f>
        <v>0</v>
      </c>
      <c r="H307" s="39"/>
      <c r="I307" s="39"/>
      <c r="J307" s="39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9.5" customHeight="1">
      <c r="A308" s="39"/>
      <c r="B308" s="38"/>
      <c r="C308" s="39"/>
      <c r="D308" s="39"/>
      <c r="E308" s="39"/>
      <c r="F308" s="40"/>
      <c r="G308" s="41">
        <f>IFERROR(SUMIFS(Transactions!$F$7:$F$991,Transactions!$G$7:$G$991,A308,Transactions!$D$7:$D$991,"Expense"),0)</f>
        <v>0</v>
      </c>
      <c r="H308" s="39"/>
      <c r="I308" s="39"/>
      <c r="J308" s="39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9.5" customHeight="1">
      <c r="A309" s="39"/>
      <c r="B309" s="38"/>
      <c r="C309" s="39"/>
      <c r="D309" s="39"/>
      <c r="E309" s="39"/>
      <c r="F309" s="40"/>
      <c r="G309" s="41">
        <f>IFERROR(SUMIFS(Transactions!$F$7:$F$991,Transactions!$G$7:$G$991,A309,Transactions!$D$7:$D$991,"Expense"),0)</f>
        <v>0</v>
      </c>
      <c r="H309" s="39"/>
      <c r="I309" s="39"/>
      <c r="J309" s="39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9.5" customHeight="1">
      <c r="A310" s="39"/>
      <c r="B310" s="38"/>
      <c r="C310" s="39"/>
      <c r="D310" s="39"/>
      <c r="E310" s="39"/>
      <c r="F310" s="40"/>
      <c r="G310" s="41">
        <f>IFERROR(SUMIFS(Transactions!$F$7:$F$991,Transactions!$G$7:$G$991,A310,Transactions!$D$7:$D$991,"Expense"),0)</f>
        <v>0</v>
      </c>
      <c r="H310" s="39"/>
      <c r="I310" s="39"/>
      <c r="J310" s="39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9.5" customHeight="1">
      <c r="A311" s="39"/>
      <c r="B311" s="38"/>
      <c r="C311" s="39"/>
      <c r="D311" s="39"/>
      <c r="E311" s="39"/>
      <c r="F311" s="40"/>
      <c r="G311" s="41">
        <f>IFERROR(SUMIFS(Transactions!$F$7:$F$991,Transactions!$G$7:$G$991,A311,Transactions!$D$7:$D$991,"Expense"),0)</f>
        <v>0</v>
      </c>
      <c r="H311" s="39"/>
      <c r="I311" s="39"/>
      <c r="J311" s="39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9.5" customHeight="1">
      <c r="A312" s="39"/>
      <c r="B312" s="38"/>
      <c r="C312" s="39"/>
      <c r="D312" s="39"/>
      <c r="E312" s="39"/>
      <c r="F312" s="40"/>
      <c r="G312" s="41">
        <f>IFERROR(SUMIFS(Transactions!$F$7:$F$991,Transactions!$G$7:$G$991,A312,Transactions!$D$7:$D$991,"Expense"),0)</f>
        <v>0</v>
      </c>
      <c r="H312" s="39"/>
      <c r="I312" s="39"/>
      <c r="J312" s="39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9.5" customHeight="1">
      <c r="A313" s="39"/>
      <c r="B313" s="38"/>
      <c r="C313" s="39"/>
      <c r="D313" s="39"/>
      <c r="E313" s="39"/>
      <c r="F313" s="40"/>
      <c r="G313" s="41">
        <f>IFERROR(SUMIFS(Transactions!$F$7:$F$991,Transactions!$G$7:$G$991,A313,Transactions!$D$7:$D$991,"Expense"),0)</f>
        <v>0</v>
      </c>
      <c r="H313" s="39"/>
      <c r="I313" s="39"/>
      <c r="J313" s="39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9.5" customHeight="1">
      <c r="A314" s="39"/>
      <c r="B314" s="38"/>
      <c r="C314" s="39"/>
      <c r="D314" s="39"/>
      <c r="E314" s="39"/>
      <c r="F314" s="40"/>
      <c r="G314" s="41">
        <f>IFERROR(SUMIFS(Transactions!$F$7:$F$991,Transactions!$G$7:$G$991,A314,Transactions!$D$7:$D$991,"Expense"),0)</f>
        <v>0</v>
      </c>
      <c r="H314" s="39"/>
      <c r="I314" s="39"/>
      <c r="J314" s="39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9.5" customHeight="1">
      <c r="A315" s="39"/>
      <c r="B315" s="38"/>
      <c r="C315" s="39"/>
      <c r="D315" s="39"/>
      <c r="E315" s="39"/>
      <c r="F315" s="40"/>
      <c r="G315" s="41">
        <f>IFERROR(SUMIFS(Transactions!$F$7:$F$991,Transactions!$G$7:$G$991,A315,Transactions!$D$7:$D$991,"Expense"),0)</f>
        <v>0</v>
      </c>
      <c r="H315" s="39"/>
      <c r="I315" s="39"/>
      <c r="J315" s="39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9.5" customHeight="1">
      <c r="A316" s="39"/>
      <c r="B316" s="38"/>
      <c r="C316" s="39"/>
      <c r="D316" s="39"/>
      <c r="E316" s="39"/>
      <c r="F316" s="40"/>
      <c r="G316" s="41">
        <f>IFERROR(SUMIFS(Transactions!$F$7:$F$991,Transactions!$G$7:$G$991,A316,Transactions!$D$7:$D$991,"Expense"),0)</f>
        <v>0</v>
      </c>
      <c r="H316" s="39"/>
      <c r="I316" s="39"/>
      <c r="J316" s="39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9.5" customHeight="1">
      <c r="A317" s="39"/>
      <c r="B317" s="38"/>
      <c r="C317" s="39"/>
      <c r="D317" s="39"/>
      <c r="E317" s="39"/>
      <c r="F317" s="40"/>
      <c r="G317" s="41">
        <f>IFERROR(SUMIFS(Transactions!$F$7:$F$991,Transactions!$G$7:$G$991,A317,Transactions!$D$7:$D$991,"Expense"),0)</f>
        <v>0</v>
      </c>
      <c r="H317" s="39"/>
      <c r="I317" s="39"/>
      <c r="J317" s="39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9.5" customHeight="1">
      <c r="A318" s="39"/>
      <c r="B318" s="38"/>
      <c r="C318" s="39"/>
      <c r="D318" s="39"/>
      <c r="E318" s="39"/>
      <c r="F318" s="40"/>
      <c r="G318" s="41">
        <f>IFERROR(SUMIFS(Transactions!$F$7:$F$991,Transactions!$G$7:$G$991,A318,Transactions!$D$7:$D$991,"Expense"),0)</f>
        <v>0</v>
      </c>
      <c r="H318" s="39"/>
      <c r="I318" s="39"/>
      <c r="J318" s="39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9.5" customHeight="1">
      <c r="A319" s="39"/>
      <c r="B319" s="38"/>
      <c r="C319" s="39"/>
      <c r="D319" s="39"/>
      <c r="E319" s="39"/>
      <c r="F319" s="40"/>
      <c r="G319" s="41">
        <f>IFERROR(SUMIFS(Transactions!$F$7:$F$991,Transactions!$G$7:$G$991,A319,Transactions!$D$7:$D$991,"Expense"),0)</f>
        <v>0</v>
      </c>
      <c r="H319" s="39"/>
      <c r="I319" s="39"/>
      <c r="J319" s="39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9.5" customHeight="1">
      <c r="A320" s="39"/>
      <c r="B320" s="38"/>
      <c r="C320" s="39"/>
      <c r="D320" s="39"/>
      <c r="E320" s="39"/>
      <c r="F320" s="40"/>
      <c r="G320" s="41">
        <f>IFERROR(SUMIFS(Transactions!$F$7:$F$991,Transactions!$G$7:$G$991,A320,Transactions!$D$7:$D$991,"Expense"),0)</f>
        <v>0</v>
      </c>
      <c r="H320" s="39"/>
      <c r="I320" s="39"/>
      <c r="J320" s="39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9.5" customHeight="1">
      <c r="A321" s="39"/>
      <c r="B321" s="38"/>
      <c r="C321" s="39"/>
      <c r="D321" s="39"/>
      <c r="E321" s="39"/>
      <c r="F321" s="40"/>
      <c r="G321" s="41">
        <f>IFERROR(SUMIFS(Transactions!$F$7:$F$991,Transactions!$G$7:$G$991,A321,Transactions!$D$7:$D$991,"Expense"),0)</f>
        <v>0</v>
      </c>
      <c r="H321" s="39"/>
      <c r="I321" s="39"/>
      <c r="J321" s="39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9.5" customHeight="1">
      <c r="A322" s="39"/>
      <c r="B322" s="38"/>
      <c r="C322" s="39"/>
      <c r="D322" s="39"/>
      <c r="E322" s="39"/>
      <c r="F322" s="40"/>
      <c r="G322" s="41">
        <f>IFERROR(SUMIFS(Transactions!$F$7:$F$991,Transactions!$G$7:$G$991,A322,Transactions!$D$7:$D$991,"Expense"),0)</f>
        <v>0</v>
      </c>
      <c r="H322" s="39"/>
      <c r="I322" s="39"/>
      <c r="J322" s="39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9.5" customHeight="1">
      <c r="A323" s="39"/>
      <c r="B323" s="38"/>
      <c r="C323" s="39"/>
      <c r="D323" s="39"/>
      <c r="E323" s="39"/>
      <c r="F323" s="40"/>
      <c r="G323" s="41">
        <f>IFERROR(SUMIFS(Transactions!$F$7:$F$991,Transactions!$G$7:$G$991,A323,Transactions!$D$7:$D$991,"Expense"),0)</f>
        <v>0</v>
      </c>
      <c r="H323" s="39"/>
      <c r="I323" s="39"/>
      <c r="J323" s="39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9.5" customHeight="1">
      <c r="A324" s="39"/>
      <c r="B324" s="38"/>
      <c r="C324" s="39"/>
      <c r="D324" s="39"/>
      <c r="E324" s="39"/>
      <c r="F324" s="40"/>
      <c r="G324" s="41">
        <f>IFERROR(SUMIFS(Transactions!$F$7:$F$991,Transactions!$G$7:$G$991,A324,Transactions!$D$7:$D$991,"Expense"),0)</f>
        <v>0</v>
      </c>
      <c r="H324" s="39"/>
      <c r="I324" s="39"/>
      <c r="J324" s="39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9.5" customHeight="1">
      <c r="A325" s="39"/>
      <c r="B325" s="38"/>
      <c r="C325" s="39"/>
      <c r="D325" s="39"/>
      <c r="E325" s="39"/>
      <c r="F325" s="40"/>
      <c r="G325" s="41">
        <f>IFERROR(SUMIFS(Transactions!$F$7:$F$991,Transactions!$G$7:$G$991,A325,Transactions!$D$7:$D$991,"Expense"),0)</f>
        <v>0</v>
      </c>
      <c r="H325" s="39"/>
      <c r="I325" s="39"/>
      <c r="J325" s="39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9.5" customHeight="1">
      <c r="A326" s="39"/>
      <c r="B326" s="38"/>
      <c r="C326" s="39"/>
      <c r="D326" s="39"/>
      <c r="E326" s="39"/>
      <c r="F326" s="40"/>
      <c r="G326" s="41">
        <f>IFERROR(SUMIFS(Transactions!$F$7:$F$991,Transactions!$G$7:$G$991,A326,Transactions!$D$7:$D$991,"Expense"),0)</f>
        <v>0</v>
      </c>
      <c r="H326" s="39"/>
      <c r="I326" s="39"/>
      <c r="J326" s="39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9.5" customHeight="1">
      <c r="A327" s="39"/>
      <c r="B327" s="38"/>
      <c r="C327" s="39"/>
      <c r="D327" s="39"/>
      <c r="E327" s="39"/>
      <c r="F327" s="40"/>
      <c r="G327" s="41">
        <f>IFERROR(SUMIFS(Transactions!$F$7:$F$991,Transactions!$G$7:$G$991,A327,Transactions!$D$7:$D$991,"Expense"),0)</f>
        <v>0</v>
      </c>
      <c r="H327" s="39"/>
      <c r="I327" s="39"/>
      <c r="J327" s="39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9.5" customHeight="1">
      <c r="A328" s="39"/>
      <c r="B328" s="38"/>
      <c r="C328" s="39"/>
      <c r="D328" s="39"/>
      <c r="E328" s="39"/>
      <c r="F328" s="40"/>
      <c r="G328" s="41">
        <f>IFERROR(SUMIFS(Transactions!$F$7:$F$991,Transactions!$G$7:$G$991,A328,Transactions!$D$7:$D$991,"Expense"),0)</f>
        <v>0</v>
      </c>
      <c r="H328" s="39"/>
      <c r="I328" s="39"/>
      <c r="J328" s="39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9.5" customHeight="1">
      <c r="A329" s="39"/>
      <c r="B329" s="38"/>
      <c r="C329" s="39"/>
      <c r="D329" s="39"/>
      <c r="E329" s="39"/>
      <c r="F329" s="40"/>
      <c r="G329" s="41">
        <f>IFERROR(SUMIFS(Transactions!$F$7:$F$991,Transactions!$G$7:$G$991,A329,Transactions!$D$7:$D$991,"Expense"),0)</f>
        <v>0</v>
      </c>
      <c r="H329" s="39"/>
      <c r="I329" s="39"/>
      <c r="J329" s="39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9.5" customHeight="1">
      <c r="A330" s="39"/>
      <c r="B330" s="38"/>
      <c r="C330" s="39"/>
      <c r="D330" s="39"/>
      <c r="E330" s="39"/>
      <c r="F330" s="40"/>
      <c r="G330" s="41">
        <f>IFERROR(SUMIFS(Transactions!$F$7:$F$991,Transactions!$G$7:$G$991,A330,Transactions!$D$7:$D$991,"Expense"),0)</f>
        <v>0</v>
      </c>
      <c r="H330" s="39"/>
      <c r="I330" s="39"/>
      <c r="J330" s="39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9.5" customHeight="1">
      <c r="A331" s="39"/>
      <c r="B331" s="38"/>
      <c r="C331" s="39"/>
      <c r="D331" s="39"/>
      <c r="E331" s="39"/>
      <c r="F331" s="40"/>
      <c r="G331" s="41">
        <f>IFERROR(SUMIFS(Transactions!$F$7:$F$991,Transactions!$G$7:$G$991,A331,Transactions!$D$7:$D$991,"Expense"),0)</f>
        <v>0</v>
      </c>
      <c r="H331" s="39"/>
      <c r="I331" s="39"/>
      <c r="J331" s="39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9.5" customHeight="1">
      <c r="A332" s="39"/>
      <c r="B332" s="38"/>
      <c r="C332" s="39"/>
      <c r="D332" s="39"/>
      <c r="E332" s="39"/>
      <c r="F332" s="40"/>
      <c r="G332" s="41">
        <f>IFERROR(SUMIFS(Transactions!$F$7:$F$991,Transactions!$G$7:$G$991,A332,Transactions!$D$7:$D$991,"Expense"),0)</f>
        <v>0</v>
      </c>
      <c r="H332" s="39"/>
      <c r="I332" s="39"/>
      <c r="J332" s="39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9.5" customHeight="1">
      <c r="A333" s="39"/>
      <c r="B333" s="38"/>
      <c r="C333" s="39"/>
      <c r="D333" s="39"/>
      <c r="E333" s="39"/>
      <c r="F333" s="40"/>
      <c r="G333" s="41">
        <f>IFERROR(SUMIFS(Transactions!$F$7:$F$991,Transactions!$G$7:$G$991,A333,Transactions!$D$7:$D$991,"Expense"),0)</f>
        <v>0</v>
      </c>
      <c r="H333" s="39"/>
      <c r="I333" s="39"/>
      <c r="J333" s="39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9.5" customHeight="1">
      <c r="A334" s="39"/>
      <c r="B334" s="38"/>
      <c r="C334" s="39"/>
      <c r="D334" s="39"/>
      <c r="E334" s="39"/>
      <c r="F334" s="40"/>
      <c r="G334" s="41">
        <f>IFERROR(SUMIFS(Transactions!$F$7:$F$991,Transactions!$G$7:$G$991,A334,Transactions!$D$7:$D$991,"Expense"),0)</f>
        <v>0</v>
      </c>
      <c r="H334" s="39"/>
      <c r="I334" s="39"/>
      <c r="J334" s="39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9.5" customHeight="1">
      <c r="A335" s="39"/>
      <c r="B335" s="38"/>
      <c r="C335" s="39"/>
      <c r="D335" s="39"/>
      <c r="E335" s="39"/>
      <c r="F335" s="40"/>
      <c r="G335" s="41">
        <f>IFERROR(SUMIFS(Transactions!$F$7:$F$991,Transactions!$G$7:$G$991,A335,Transactions!$D$7:$D$991,"Expense"),0)</f>
        <v>0</v>
      </c>
      <c r="H335" s="39"/>
      <c r="I335" s="39"/>
      <c r="J335" s="39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9.5" customHeight="1">
      <c r="A336" s="39"/>
      <c r="B336" s="38"/>
      <c r="C336" s="39"/>
      <c r="D336" s="39"/>
      <c r="E336" s="39"/>
      <c r="F336" s="40"/>
      <c r="G336" s="41">
        <f>IFERROR(SUMIFS(Transactions!$F$7:$F$991,Transactions!$G$7:$G$991,A336,Transactions!$D$7:$D$991,"Expense"),0)</f>
        <v>0</v>
      </c>
      <c r="H336" s="39"/>
      <c r="I336" s="39"/>
      <c r="J336" s="39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9.5" customHeight="1">
      <c r="A337" s="39"/>
      <c r="B337" s="38"/>
      <c r="C337" s="39"/>
      <c r="D337" s="39"/>
      <c r="E337" s="39"/>
      <c r="F337" s="40"/>
      <c r="G337" s="41">
        <f>IFERROR(SUMIFS(Transactions!$F$7:$F$991,Transactions!$G$7:$G$991,A337,Transactions!$D$7:$D$991,"Expense"),0)</f>
        <v>0</v>
      </c>
      <c r="H337" s="39"/>
      <c r="I337" s="39"/>
      <c r="J337" s="39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9.5" customHeight="1">
      <c r="A338" s="39"/>
      <c r="B338" s="38"/>
      <c r="C338" s="39"/>
      <c r="D338" s="39"/>
      <c r="E338" s="39"/>
      <c r="F338" s="40"/>
      <c r="G338" s="41">
        <f>IFERROR(SUMIFS(Transactions!$F$7:$F$991,Transactions!$G$7:$G$991,A338,Transactions!$D$7:$D$991,"Expense"),0)</f>
        <v>0</v>
      </c>
      <c r="H338" s="39"/>
      <c r="I338" s="39"/>
      <c r="J338" s="39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9.5" customHeight="1">
      <c r="A339" s="39"/>
      <c r="B339" s="38"/>
      <c r="C339" s="39"/>
      <c r="D339" s="39"/>
      <c r="E339" s="39"/>
      <c r="F339" s="40"/>
      <c r="G339" s="41">
        <f>IFERROR(SUMIFS(Transactions!$F$7:$F$991,Transactions!$G$7:$G$991,A339,Transactions!$D$7:$D$991,"Expense"),0)</f>
        <v>0</v>
      </c>
      <c r="H339" s="39"/>
      <c r="I339" s="39"/>
      <c r="J339" s="39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9.5" customHeight="1">
      <c r="A340" s="39"/>
      <c r="B340" s="38"/>
      <c r="C340" s="39"/>
      <c r="D340" s="39"/>
      <c r="E340" s="39"/>
      <c r="F340" s="40"/>
      <c r="G340" s="41">
        <f>IFERROR(SUMIFS(Transactions!$F$7:$F$991,Transactions!$G$7:$G$991,A340,Transactions!$D$7:$D$991,"Expense"),0)</f>
        <v>0</v>
      </c>
      <c r="H340" s="39"/>
      <c r="I340" s="39"/>
      <c r="J340" s="39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9.5" customHeight="1">
      <c r="A341" s="39"/>
      <c r="B341" s="38"/>
      <c r="C341" s="39"/>
      <c r="D341" s="39"/>
      <c r="E341" s="39"/>
      <c r="F341" s="40"/>
      <c r="G341" s="41">
        <f>IFERROR(SUMIFS(Transactions!$F$7:$F$991,Transactions!$G$7:$G$991,A341,Transactions!$D$7:$D$991,"Expense"),0)</f>
        <v>0</v>
      </c>
      <c r="H341" s="39"/>
      <c r="I341" s="39"/>
      <c r="J341" s="39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9.5" customHeight="1">
      <c r="A342" s="39"/>
      <c r="B342" s="38"/>
      <c r="C342" s="39"/>
      <c r="D342" s="39"/>
      <c r="E342" s="39"/>
      <c r="F342" s="40"/>
      <c r="G342" s="41">
        <f>IFERROR(SUMIFS(Transactions!$F$7:$F$991,Transactions!$G$7:$G$991,A342,Transactions!$D$7:$D$991,"Expense"),0)</f>
        <v>0</v>
      </c>
      <c r="H342" s="39"/>
      <c r="I342" s="39"/>
      <c r="J342" s="39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9.5" customHeight="1">
      <c r="A343" s="39"/>
      <c r="B343" s="38"/>
      <c r="C343" s="39"/>
      <c r="D343" s="39"/>
      <c r="E343" s="39"/>
      <c r="F343" s="40"/>
      <c r="G343" s="41">
        <f>IFERROR(SUMIFS(Transactions!$F$7:$F$991,Transactions!$G$7:$G$991,A343,Transactions!$D$7:$D$991,"Expense"),0)</f>
        <v>0</v>
      </c>
      <c r="H343" s="39"/>
      <c r="I343" s="39"/>
      <c r="J343" s="39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9.5" customHeight="1">
      <c r="A344" s="39"/>
      <c r="B344" s="38"/>
      <c r="C344" s="39"/>
      <c r="D344" s="39"/>
      <c r="E344" s="39"/>
      <c r="F344" s="40"/>
      <c r="G344" s="41">
        <f>IFERROR(SUMIFS(Transactions!$F$7:$F$991,Transactions!$G$7:$G$991,A344,Transactions!$D$7:$D$991,"Expense"),0)</f>
        <v>0</v>
      </c>
      <c r="H344" s="39"/>
      <c r="I344" s="39"/>
      <c r="J344" s="39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9.5" customHeight="1">
      <c r="A345" s="39"/>
      <c r="B345" s="38"/>
      <c r="C345" s="39"/>
      <c r="D345" s="39"/>
      <c r="E345" s="39"/>
      <c r="F345" s="40"/>
      <c r="G345" s="41">
        <f>IFERROR(SUMIFS(Transactions!$F$7:$F$991,Transactions!$G$7:$G$991,A345,Transactions!$D$7:$D$991,"Expense"),0)</f>
        <v>0</v>
      </c>
      <c r="H345" s="39"/>
      <c r="I345" s="39"/>
      <c r="J345" s="39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9.5" customHeight="1">
      <c r="A346" s="39"/>
      <c r="B346" s="38"/>
      <c r="C346" s="39"/>
      <c r="D346" s="39"/>
      <c r="E346" s="39"/>
      <c r="F346" s="40"/>
      <c r="G346" s="41">
        <f>IFERROR(SUMIFS(Transactions!$F$7:$F$991,Transactions!$G$7:$G$991,A346,Transactions!$D$7:$D$991,"Expense"),0)</f>
        <v>0</v>
      </c>
      <c r="H346" s="39"/>
      <c r="I346" s="39"/>
      <c r="J346" s="39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9.5" customHeight="1">
      <c r="A347" s="39"/>
      <c r="B347" s="38"/>
      <c r="C347" s="39"/>
      <c r="D347" s="39"/>
      <c r="E347" s="39"/>
      <c r="F347" s="40"/>
      <c r="G347" s="41">
        <f>IFERROR(SUMIFS(Transactions!$F$7:$F$991,Transactions!$G$7:$G$991,A347,Transactions!$D$7:$D$991,"Expense"),0)</f>
        <v>0</v>
      </c>
      <c r="H347" s="39"/>
      <c r="I347" s="39"/>
      <c r="J347" s="39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9.5" customHeight="1">
      <c r="A348" s="39"/>
      <c r="B348" s="38"/>
      <c r="C348" s="39"/>
      <c r="D348" s="39"/>
      <c r="E348" s="39"/>
      <c r="F348" s="40"/>
      <c r="G348" s="41">
        <f>IFERROR(SUMIFS(Transactions!$F$7:$F$991,Transactions!$G$7:$G$991,A348,Transactions!$D$7:$D$991,"Expense"),0)</f>
        <v>0</v>
      </c>
      <c r="H348" s="39"/>
      <c r="I348" s="39"/>
      <c r="J348" s="39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9.5" customHeight="1">
      <c r="A349" s="39"/>
      <c r="B349" s="38"/>
      <c r="C349" s="39"/>
      <c r="D349" s="39"/>
      <c r="E349" s="39"/>
      <c r="F349" s="40"/>
      <c r="G349" s="41">
        <f>IFERROR(SUMIFS(Transactions!$F$7:$F$991,Transactions!$G$7:$G$991,A349,Transactions!$D$7:$D$991,"Expense"),0)</f>
        <v>0</v>
      </c>
      <c r="H349" s="39"/>
      <c r="I349" s="39"/>
      <c r="J349" s="39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9.5" customHeight="1">
      <c r="A350" s="39"/>
      <c r="B350" s="38"/>
      <c r="C350" s="39"/>
      <c r="D350" s="39"/>
      <c r="E350" s="39"/>
      <c r="F350" s="40"/>
      <c r="G350" s="41">
        <f>IFERROR(SUMIFS(Transactions!$F$7:$F$991,Transactions!$G$7:$G$991,A350,Transactions!$D$7:$D$991,"Expense"),0)</f>
        <v>0</v>
      </c>
      <c r="H350" s="39"/>
      <c r="I350" s="39"/>
      <c r="J350" s="39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9.5" customHeight="1">
      <c r="A351" s="39"/>
      <c r="B351" s="38"/>
      <c r="C351" s="39"/>
      <c r="D351" s="39"/>
      <c r="E351" s="39"/>
      <c r="F351" s="40"/>
      <c r="G351" s="41">
        <f>IFERROR(SUMIFS(Transactions!$F$7:$F$991,Transactions!$G$7:$G$991,A351,Transactions!$D$7:$D$991,"Expense"),0)</f>
        <v>0</v>
      </c>
      <c r="H351" s="39"/>
      <c r="I351" s="39"/>
      <c r="J351" s="39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9.5" customHeight="1">
      <c r="A352" s="39"/>
      <c r="B352" s="38"/>
      <c r="C352" s="39"/>
      <c r="D352" s="39"/>
      <c r="E352" s="39"/>
      <c r="F352" s="40"/>
      <c r="G352" s="41">
        <f>IFERROR(SUMIFS(Transactions!$F$7:$F$991,Transactions!$G$7:$G$991,A352,Transactions!$D$7:$D$991,"Expense"),0)</f>
        <v>0</v>
      </c>
      <c r="H352" s="39"/>
      <c r="I352" s="39"/>
      <c r="J352" s="39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9.5" customHeight="1">
      <c r="A353" s="39"/>
      <c r="B353" s="38"/>
      <c r="C353" s="39"/>
      <c r="D353" s="39"/>
      <c r="E353" s="39"/>
      <c r="F353" s="40"/>
      <c r="G353" s="41">
        <f>IFERROR(SUMIFS(Transactions!$F$7:$F$991,Transactions!$G$7:$G$991,A353,Transactions!$D$7:$D$991,"Expense"),0)</f>
        <v>0</v>
      </c>
      <c r="H353" s="39"/>
      <c r="I353" s="39"/>
      <c r="J353" s="39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9.5" customHeight="1">
      <c r="A354" s="39"/>
      <c r="B354" s="38"/>
      <c r="C354" s="39"/>
      <c r="D354" s="39"/>
      <c r="E354" s="39"/>
      <c r="F354" s="40"/>
      <c r="G354" s="41">
        <f>IFERROR(SUMIFS(Transactions!$F$7:$F$991,Transactions!$G$7:$G$991,A354,Transactions!$D$7:$D$991,"Expense"),0)</f>
        <v>0</v>
      </c>
      <c r="H354" s="39"/>
      <c r="I354" s="39"/>
      <c r="J354" s="39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9.5" customHeight="1">
      <c r="A355" s="39"/>
      <c r="B355" s="38"/>
      <c r="C355" s="39"/>
      <c r="D355" s="39"/>
      <c r="E355" s="39"/>
      <c r="F355" s="40"/>
      <c r="G355" s="41">
        <f>IFERROR(SUMIFS(Transactions!$F$7:$F$991,Transactions!$G$7:$G$991,A355,Transactions!$D$7:$D$991,"Expense"),0)</f>
        <v>0</v>
      </c>
      <c r="H355" s="39"/>
      <c r="I355" s="39"/>
      <c r="J355" s="39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9.5" customHeight="1">
      <c r="A356" s="39"/>
      <c r="B356" s="38"/>
      <c r="C356" s="39"/>
      <c r="D356" s="39"/>
      <c r="E356" s="39"/>
      <c r="F356" s="40"/>
      <c r="G356" s="41">
        <f>IFERROR(SUMIFS(Transactions!$F$7:$F$991,Transactions!$G$7:$G$991,A356,Transactions!$D$7:$D$991,"Expense"),0)</f>
        <v>0</v>
      </c>
      <c r="H356" s="39"/>
      <c r="I356" s="39"/>
      <c r="J356" s="39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9.5" customHeight="1">
      <c r="A357" s="39"/>
      <c r="B357" s="38"/>
      <c r="C357" s="39"/>
      <c r="D357" s="39"/>
      <c r="E357" s="39"/>
      <c r="F357" s="40"/>
      <c r="G357" s="41">
        <f>IFERROR(SUMIFS(Transactions!$F$7:$F$991,Transactions!$G$7:$G$991,A357,Transactions!$D$7:$D$991,"Expense"),0)</f>
        <v>0</v>
      </c>
      <c r="H357" s="39"/>
      <c r="I357" s="39"/>
      <c r="J357" s="39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9.5" customHeight="1">
      <c r="A358" s="39"/>
      <c r="B358" s="38"/>
      <c r="C358" s="39"/>
      <c r="D358" s="39"/>
      <c r="E358" s="39"/>
      <c r="F358" s="40"/>
      <c r="G358" s="41">
        <f>IFERROR(SUMIFS(Transactions!$F$7:$F$991,Transactions!$G$7:$G$991,A358,Transactions!$D$7:$D$991,"Expense"),0)</f>
        <v>0</v>
      </c>
      <c r="H358" s="39"/>
      <c r="I358" s="39"/>
      <c r="J358" s="39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9.5" customHeight="1">
      <c r="A359" s="39"/>
      <c r="B359" s="38"/>
      <c r="C359" s="39"/>
      <c r="D359" s="39"/>
      <c r="E359" s="39"/>
      <c r="F359" s="40"/>
      <c r="G359" s="41">
        <f>IFERROR(SUMIFS(Transactions!$F$7:$F$991,Transactions!$G$7:$G$991,A359,Transactions!$D$7:$D$991,"Expense"),0)</f>
        <v>0</v>
      </c>
      <c r="H359" s="39"/>
      <c r="I359" s="39"/>
      <c r="J359" s="39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9.5" customHeight="1">
      <c r="A360" s="39"/>
      <c r="B360" s="38"/>
      <c r="C360" s="39"/>
      <c r="D360" s="39"/>
      <c r="E360" s="39"/>
      <c r="F360" s="40"/>
      <c r="G360" s="41">
        <f>IFERROR(SUMIFS(Transactions!$F$7:$F$991,Transactions!$G$7:$G$991,A360,Transactions!$D$7:$D$991,"Expense"),0)</f>
        <v>0</v>
      </c>
      <c r="H360" s="39"/>
      <c r="I360" s="39"/>
      <c r="J360" s="39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9.5" customHeight="1">
      <c r="A361" s="39"/>
      <c r="B361" s="38"/>
      <c r="C361" s="39"/>
      <c r="D361" s="39"/>
      <c r="E361" s="39"/>
      <c r="F361" s="40"/>
      <c r="G361" s="41">
        <f>IFERROR(SUMIFS(Transactions!$F$7:$F$991,Transactions!$G$7:$G$991,A361,Transactions!$D$7:$D$991,"Expense"),0)</f>
        <v>0</v>
      </c>
      <c r="H361" s="39"/>
      <c r="I361" s="39"/>
      <c r="J361" s="39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9.5" customHeight="1">
      <c r="A362" s="39"/>
      <c r="B362" s="38"/>
      <c r="C362" s="39"/>
      <c r="D362" s="39"/>
      <c r="E362" s="39"/>
      <c r="F362" s="40"/>
      <c r="G362" s="41">
        <f>IFERROR(SUMIFS(Transactions!$F$7:$F$991,Transactions!$G$7:$G$991,A362,Transactions!$D$7:$D$991,"Expense"),0)</f>
        <v>0</v>
      </c>
      <c r="H362" s="39"/>
      <c r="I362" s="39"/>
      <c r="J362" s="39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9.5" customHeight="1">
      <c r="A363" s="39"/>
      <c r="B363" s="38"/>
      <c r="C363" s="39"/>
      <c r="D363" s="39"/>
      <c r="E363" s="39"/>
      <c r="F363" s="40"/>
      <c r="G363" s="41">
        <f>IFERROR(SUMIFS(Transactions!$F$7:$F$991,Transactions!$G$7:$G$991,A363,Transactions!$D$7:$D$991,"Expense"),0)</f>
        <v>0</v>
      </c>
      <c r="H363" s="39"/>
      <c r="I363" s="39"/>
      <c r="J363" s="39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9.5" customHeight="1">
      <c r="A364" s="39"/>
      <c r="B364" s="38"/>
      <c r="C364" s="39"/>
      <c r="D364" s="39"/>
      <c r="E364" s="39"/>
      <c r="F364" s="40"/>
      <c r="G364" s="41">
        <f>IFERROR(SUMIFS(Transactions!$F$7:$F$991,Transactions!$G$7:$G$991,A364,Transactions!$D$7:$D$991,"Expense"),0)</f>
        <v>0</v>
      </c>
      <c r="H364" s="39"/>
      <c r="I364" s="39"/>
      <c r="J364" s="39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9.5" customHeight="1">
      <c r="A365" s="39"/>
      <c r="B365" s="38"/>
      <c r="C365" s="39"/>
      <c r="D365" s="39"/>
      <c r="E365" s="39"/>
      <c r="F365" s="40"/>
      <c r="G365" s="41">
        <f>IFERROR(SUMIFS(Transactions!$F$7:$F$991,Transactions!$G$7:$G$991,A365,Transactions!$D$7:$D$991,"Expense"),0)</f>
        <v>0</v>
      </c>
      <c r="H365" s="39"/>
      <c r="I365" s="39"/>
      <c r="J365" s="39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9.5" customHeight="1">
      <c r="A366" s="39"/>
      <c r="B366" s="38"/>
      <c r="C366" s="39"/>
      <c r="D366" s="39"/>
      <c r="E366" s="39"/>
      <c r="F366" s="40"/>
      <c r="G366" s="41">
        <f>IFERROR(SUMIFS(Transactions!$F$7:$F$991,Transactions!$G$7:$G$991,A366,Transactions!$D$7:$D$991,"Expense"),0)</f>
        <v>0</v>
      </c>
      <c r="H366" s="39"/>
      <c r="I366" s="39"/>
      <c r="J366" s="39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9.5" customHeight="1">
      <c r="A367" s="39"/>
      <c r="B367" s="38"/>
      <c r="C367" s="39"/>
      <c r="D367" s="39"/>
      <c r="E367" s="39"/>
      <c r="F367" s="40"/>
      <c r="G367" s="41">
        <f>IFERROR(SUMIFS(Transactions!$F$7:$F$991,Transactions!$G$7:$G$991,A367,Transactions!$D$7:$D$991,"Expense"),0)</f>
        <v>0</v>
      </c>
      <c r="H367" s="39"/>
      <c r="I367" s="39"/>
      <c r="J367" s="39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9.5" customHeight="1">
      <c r="A368" s="39"/>
      <c r="B368" s="38"/>
      <c r="C368" s="39"/>
      <c r="D368" s="39"/>
      <c r="E368" s="39"/>
      <c r="F368" s="40"/>
      <c r="G368" s="41">
        <f>IFERROR(SUMIFS(Transactions!$F$7:$F$991,Transactions!$G$7:$G$991,A368,Transactions!$D$7:$D$991,"Expense"),0)</f>
        <v>0</v>
      </c>
      <c r="H368" s="39"/>
      <c r="I368" s="39"/>
      <c r="J368" s="39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9.5" customHeight="1">
      <c r="A369" s="39"/>
      <c r="B369" s="38"/>
      <c r="C369" s="39"/>
      <c r="D369" s="39"/>
      <c r="E369" s="39"/>
      <c r="F369" s="40"/>
      <c r="G369" s="41">
        <f>IFERROR(SUMIFS(Transactions!$F$7:$F$991,Transactions!$G$7:$G$991,A369,Transactions!$D$7:$D$991,"Expense"),0)</f>
        <v>0</v>
      </c>
      <c r="H369" s="39"/>
      <c r="I369" s="39"/>
      <c r="J369" s="39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9.5" customHeight="1">
      <c r="A370" s="39"/>
      <c r="B370" s="38"/>
      <c r="C370" s="39"/>
      <c r="D370" s="39"/>
      <c r="E370" s="39"/>
      <c r="F370" s="40"/>
      <c r="G370" s="41">
        <f>IFERROR(SUMIFS(Transactions!$F$7:$F$991,Transactions!$G$7:$G$991,A370,Transactions!$D$7:$D$991,"Expense"),0)</f>
        <v>0</v>
      </c>
      <c r="H370" s="39"/>
      <c r="I370" s="39"/>
      <c r="J370" s="39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9.5" customHeight="1">
      <c r="A371" s="39"/>
      <c r="B371" s="38"/>
      <c r="C371" s="39"/>
      <c r="D371" s="39"/>
      <c r="E371" s="39"/>
      <c r="F371" s="40"/>
      <c r="G371" s="41">
        <f>IFERROR(SUMIFS(Transactions!$F$7:$F$991,Transactions!$G$7:$G$991,A371,Transactions!$D$7:$D$991,"Expense"),0)</f>
        <v>0</v>
      </c>
      <c r="H371" s="39"/>
      <c r="I371" s="39"/>
      <c r="J371" s="39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9.5" customHeight="1">
      <c r="A372" s="39"/>
      <c r="B372" s="38"/>
      <c r="C372" s="39"/>
      <c r="D372" s="39"/>
      <c r="E372" s="39"/>
      <c r="F372" s="40"/>
      <c r="G372" s="41">
        <f>IFERROR(SUMIFS(Transactions!$F$7:$F$991,Transactions!$G$7:$G$991,A372,Transactions!$D$7:$D$991,"Expense"),0)</f>
        <v>0</v>
      </c>
      <c r="H372" s="39"/>
      <c r="I372" s="39"/>
      <c r="J372" s="39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9.5" customHeight="1">
      <c r="A373" s="39"/>
      <c r="B373" s="38"/>
      <c r="C373" s="39"/>
      <c r="D373" s="39"/>
      <c r="E373" s="39"/>
      <c r="F373" s="40"/>
      <c r="G373" s="41">
        <f>IFERROR(SUMIFS(Transactions!$F$7:$F$991,Transactions!$G$7:$G$991,A373,Transactions!$D$7:$D$991,"Expense"),0)</f>
        <v>0</v>
      </c>
      <c r="H373" s="39"/>
      <c r="I373" s="39"/>
      <c r="J373" s="39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9.5" customHeight="1">
      <c r="A374" s="39"/>
      <c r="B374" s="38"/>
      <c r="C374" s="39"/>
      <c r="D374" s="39"/>
      <c r="E374" s="39"/>
      <c r="F374" s="40"/>
      <c r="G374" s="41">
        <f>IFERROR(SUMIFS(Transactions!$F$7:$F$991,Transactions!$G$7:$G$991,A374,Transactions!$D$7:$D$991,"Expense"),0)</f>
        <v>0</v>
      </c>
      <c r="H374" s="39"/>
      <c r="I374" s="39"/>
      <c r="J374" s="39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9.5" customHeight="1">
      <c r="A375" s="39"/>
      <c r="B375" s="38"/>
      <c r="C375" s="39"/>
      <c r="D375" s="39"/>
      <c r="E375" s="39"/>
      <c r="F375" s="40"/>
      <c r="G375" s="41">
        <f>IFERROR(SUMIFS(Transactions!$F$7:$F$991,Transactions!$G$7:$G$991,A375,Transactions!$D$7:$D$991,"Expense"),0)</f>
        <v>0</v>
      </c>
      <c r="H375" s="39"/>
      <c r="I375" s="39"/>
      <c r="J375" s="39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9.5" customHeight="1">
      <c r="A376" s="39"/>
      <c r="B376" s="38"/>
      <c r="C376" s="39"/>
      <c r="D376" s="39"/>
      <c r="E376" s="39"/>
      <c r="F376" s="40"/>
      <c r="G376" s="41">
        <f>IFERROR(SUMIFS(Transactions!$F$7:$F$991,Transactions!$G$7:$G$991,A376,Transactions!$D$7:$D$991,"Expense"),0)</f>
        <v>0</v>
      </c>
      <c r="H376" s="39"/>
      <c r="I376" s="39"/>
      <c r="J376" s="39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9.5" customHeight="1">
      <c r="A377" s="39"/>
      <c r="B377" s="38"/>
      <c r="C377" s="39"/>
      <c r="D377" s="39"/>
      <c r="E377" s="39"/>
      <c r="F377" s="40"/>
      <c r="G377" s="41">
        <f>IFERROR(SUMIFS(Transactions!$F$7:$F$991,Transactions!$G$7:$G$991,A377,Transactions!$D$7:$D$991,"Expense"),0)</f>
        <v>0</v>
      </c>
      <c r="H377" s="39"/>
      <c r="I377" s="39"/>
      <c r="J377" s="39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9.5" customHeight="1">
      <c r="A378" s="39"/>
      <c r="B378" s="38"/>
      <c r="C378" s="39"/>
      <c r="D378" s="39"/>
      <c r="E378" s="39"/>
      <c r="F378" s="40"/>
      <c r="G378" s="41">
        <f>IFERROR(SUMIFS(Transactions!$F$7:$F$991,Transactions!$G$7:$G$991,A378,Transactions!$D$7:$D$991,"Expense"),0)</f>
        <v>0</v>
      </c>
      <c r="H378" s="39"/>
      <c r="I378" s="39"/>
      <c r="J378" s="39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9.5" customHeight="1">
      <c r="A379" s="39"/>
      <c r="B379" s="38"/>
      <c r="C379" s="39"/>
      <c r="D379" s="39"/>
      <c r="E379" s="39"/>
      <c r="F379" s="40"/>
      <c r="G379" s="41">
        <f>IFERROR(SUMIFS(Transactions!$F$7:$F$991,Transactions!$G$7:$G$991,A379,Transactions!$D$7:$D$991,"Expense"),0)</f>
        <v>0</v>
      </c>
      <c r="H379" s="39"/>
      <c r="I379" s="39"/>
      <c r="J379" s="39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9.5" customHeight="1">
      <c r="A380" s="39"/>
      <c r="B380" s="38"/>
      <c r="C380" s="39"/>
      <c r="D380" s="39"/>
      <c r="E380" s="39"/>
      <c r="F380" s="40"/>
      <c r="G380" s="41">
        <f>IFERROR(SUMIFS(Transactions!$F$7:$F$991,Transactions!$G$7:$G$991,A380,Transactions!$D$7:$D$991,"Expense"),0)</f>
        <v>0</v>
      </c>
      <c r="H380" s="39"/>
      <c r="I380" s="39"/>
      <c r="J380" s="39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9.5" customHeight="1">
      <c r="A381" s="39"/>
      <c r="B381" s="38"/>
      <c r="C381" s="39"/>
      <c r="D381" s="39"/>
      <c r="E381" s="39"/>
      <c r="F381" s="40"/>
      <c r="G381" s="41">
        <f>IFERROR(SUMIFS(Transactions!$F$7:$F$991,Transactions!$G$7:$G$991,A381,Transactions!$D$7:$D$991,"Expense"),0)</f>
        <v>0</v>
      </c>
      <c r="H381" s="39"/>
      <c r="I381" s="39"/>
      <c r="J381" s="39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9.5" customHeight="1">
      <c r="A382" s="39"/>
      <c r="B382" s="38"/>
      <c r="C382" s="39"/>
      <c r="D382" s="39"/>
      <c r="E382" s="39"/>
      <c r="F382" s="40"/>
      <c r="G382" s="41">
        <f>IFERROR(SUMIFS(Transactions!$F$7:$F$991,Transactions!$G$7:$G$991,A382,Transactions!$D$7:$D$991,"Expense"),0)</f>
        <v>0</v>
      </c>
      <c r="H382" s="39"/>
      <c r="I382" s="39"/>
      <c r="J382" s="39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9.5" customHeight="1">
      <c r="A383" s="39"/>
      <c r="B383" s="38"/>
      <c r="C383" s="39"/>
      <c r="D383" s="39"/>
      <c r="E383" s="39"/>
      <c r="F383" s="40"/>
      <c r="G383" s="41">
        <f>IFERROR(SUMIFS(Transactions!$F$7:$F$991,Transactions!$G$7:$G$991,A383,Transactions!$D$7:$D$991,"Expense"),0)</f>
        <v>0</v>
      </c>
      <c r="H383" s="39"/>
      <c r="I383" s="39"/>
      <c r="J383" s="39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9.5" customHeight="1">
      <c r="A384" s="39"/>
      <c r="B384" s="38"/>
      <c r="C384" s="39"/>
      <c r="D384" s="39"/>
      <c r="E384" s="39"/>
      <c r="F384" s="40"/>
      <c r="G384" s="41">
        <f>IFERROR(SUMIFS(Transactions!$F$7:$F$991,Transactions!$G$7:$G$991,A384,Transactions!$D$7:$D$991,"Expense"),0)</f>
        <v>0</v>
      </c>
      <c r="H384" s="39"/>
      <c r="I384" s="39"/>
      <c r="J384" s="39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9.5" customHeight="1">
      <c r="A385" s="39"/>
      <c r="B385" s="38"/>
      <c r="C385" s="39"/>
      <c r="D385" s="39"/>
      <c r="E385" s="39"/>
      <c r="F385" s="40"/>
      <c r="G385" s="41">
        <f>IFERROR(SUMIFS(Transactions!$F$7:$F$991,Transactions!$G$7:$G$991,A385,Transactions!$D$7:$D$991,"Expense"),0)</f>
        <v>0</v>
      </c>
      <c r="H385" s="39"/>
      <c r="I385" s="39"/>
      <c r="J385" s="39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9.5" customHeight="1">
      <c r="A386" s="39"/>
      <c r="B386" s="38"/>
      <c r="C386" s="39"/>
      <c r="D386" s="39"/>
      <c r="E386" s="39"/>
      <c r="F386" s="40"/>
      <c r="G386" s="41">
        <f>IFERROR(SUMIFS(Transactions!$F$7:$F$991,Transactions!$G$7:$G$991,A386,Transactions!$D$7:$D$991,"Expense"),0)</f>
        <v>0</v>
      </c>
      <c r="H386" s="39"/>
      <c r="I386" s="39"/>
      <c r="J386" s="39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9.5" customHeight="1">
      <c r="A387" s="39"/>
      <c r="B387" s="38"/>
      <c r="C387" s="39"/>
      <c r="D387" s="39"/>
      <c r="E387" s="39"/>
      <c r="F387" s="40"/>
      <c r="G387" s="41">
        <f>IFERROR(SUMIFS(Transactions!$F$7:$F$991,Transactions!$G$7:$G$991,A387,Transactions!$D$7:$D$991,"Expense"),0)</f>
        <v>0</v>
      </c>
      <c r="H387" s="39"/>
      <c r="I387" s="39"/>
      <c r="J387" s="39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9.5" customHeight="1">
      <c r="A388" s="39"/>
      <c r="B388" s="38"/>
      <c r="C388" s="39"/>
      <c r="D388" s="39"/>
      <c r="E388" s="39"/>
      <c r="F388" s="40"/>
      <c r="G388" s="41">
        <f>IFERROR(SUMIFS(Transactions!$F$7:$F$991,Transactions!$G$7:$G$991,A388,Transactions!$D$7:$D$991,"Expense"),0)</f>
        <v>0</v>
      </c>
      <c r="H388" s="39"/>
      <c r="I388" s="39"/>
      <c r="J388" s="39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9.5" customHeight="1">
      <c r="A389" s="39"/>
      <c r="B389" s="38"/>
      <c r="C389" s="39"/>
      <c r="D389" s="39"/>
      <c r="E389" s="39"/>
      <c r="F389" s="40"/>
      <c r="G389" s="41">
        <f>IFERROR(SUMIFS(Transactions!$F$7:$F$991,Transactions!$G$7:$G$991,A389,Transactions!$D$7:$D$991,"Expense"),0)</f>
        <v>0</v>
      </c>
      <c r="H389" s="39"/>
      <c r="I389" s="39"/>
      <c r="J389" s="39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9.5" customHeight="1">
      <c r="A390" s="39"/>
      <c r="B390" s="38"/>
      <c r="C390" s="39"/>
      <c r="D390" s="39"/>
      <c r="E390" s="39"/>
      <c r="F390" s="40"/>
      <c r="G390" s="41">
        <f>IFERROR(SUMIFS(Transactions!$F$7:$F$991,Transactions!$G$7:$G$991,A390,Transactions!$D$7:$D$991,"Expense"),0)</f>
        <v>0</v>
      </c>
      <c r="H390" s="39"/>
      <c r="I390" s="39"/>
      <c r="J390" s="39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9.5" customHeight="1">
      <c r="A391" s="39"/>
      <c r="B391" s="38"/>
      <c r="C391" s="39"/>
      <c r="D391" s="39"/>
      <c r="E391" s="39"/>
      <c r="F391" s="40"/>
      <c r="G391" s="41">
        <f>IFERROR(SUMIFS(Transactions!$F$7:$F$991,Transactions!$G$7:$G$991,A391,Transactions!$D$7:$D$991,"Expense"),0)</f>
        <v>0</v>
      </c>
      <c r="H391" s="39"/>
      <c r="I391" s="39"/>
      <c r="J391" s="39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9.5" customHeight="1">
      <c r="A392" s="39"/>
      <c r="B392" s="38"/>
      <c r="C392" s="39"/>
      <c r="D392" s="39"/>
      <c r="E392" s="39"/>
      <c r="F392" s="40"/>
      <c r="G392" s="41">
        <f>IFERROR(SUMIFS(Transactions!$F$7:$F$991,Transactions!$G$7:$G$991,A392,Transactions!$D$7:$D$991,"Expense"),0)</f>
        <v>0</v>
      </c>
      <c r="H392" s="39"/>
      <c r="I392" s="39"/>
      <c r="J392" s="39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9.5" customHeight="1">
      <c r="A393" s="39"/>
      <c r="B393" s="38"/>
      <c r="C393" s="39"/>
      <c r="D393" s="39"/>
      <c r="E393" s="39"/>
      <c r="F393" s="40"/>
      <c r="G393" s="41">
        <f>IFERROR(SUMIFS(Transactions!$F$7:$F$991,Transactions!$G$7:$G$991,A393,Transactions!$D$7:$D$991,"Expense"),0)</f>
        <v>0</v>
      </c>
      <c r="H393" s="39"/>
      <c r="I393" s="39"/>
      <c r="J393" s="39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9.5" customHeight="1">
      <c r="A394" s="39"/>
      <c r="B394" s="38"/>
      <c r="C394" s="39"/>
      <c r="D394" s="39"/>
      <c r="E394" s="39"/>
      <c r="F394" s="40"/>
      <c r="G394" s="41">
        <f>IFERROR(SUMIFS(Transactions!$F$7:$F$991,Transactions!$G$7:$G$991,A394,Transactions!$D$7:$D$991,"Expense"),0)</f>
        <v>0</v>
      </c>
      <c r="H394" s="39"/>
      <c r="I394" s="39"/>
      <c r="J394" s="39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9.5" customHeight="1">
      <c r="A395" s="39"/>
      <c r="B395" s="38"/>
      <c r="C395" s="39"/>
      <c r="D395" s="39"/>
      <c r="E395" s="39"/>
      <c r="F395" s="40"/>
      <c r="G395" s="41">
        <f>IFERROR(SUMIFS(Transactions!$F$7:$F$991,Transactions!$G$7:$G$991,A395,Transactions!$D$7:$D$991,"Expense"),0)</f>
        <v>0</v>
      </c>
      <c r="H395" s="39"/>
      <c r="I395" s="39"/>
      <c r="J395" s="39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9.5" customHeight="1">
      <c r="A396" s="39"/>
      <c r="B396" s="38"/>
      <c r="C396" s="39"/>
      <c r="D396" s="39"/>
      <c r="E396" s="39"/>
      <c r="F396" s="40"/>
      <c r="G396" s="41">
        <f>IFERROR(SUMIFS(Transactions!$F$7:$F$991,Transactions!$G$7:$G$991,A396,Transactions!$D$7:$D$991,"Expense"),0)</f>
        <v>0</v>
      </c>
      <c r="H396" s="39"/>
      <c r="I396" s="39"/>
      <c r="J396" s="39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9.5" customHeight="1">
      <c r="A397" s="39"/>
      <c r="B397" s="38"/>
      <c r="C397" s="39"/>
      <c r="D397" s="39"/>
      <c r="E397" s="39"/>
      <c r="F397" s="40"/>
      <c r="G397" s="41">
        <f>IFERROR(SUMIFS(Transactions!$F$7:$F$991,Transactions!$G$7:$G$991,A397,Transactions!$D$7:$D$991,"Expense"),0)</f>
        <v>0</v>
      </c>
      <c r="H397" s="39"/>
      <c r="I397" s="39"/>
      <c r="J397" s="39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9.5" customHeight="1">
      <c r="A398" s="39"/>
      <c r="B398" s="38"/>
      <c r="C398" s="39"/>
      <c r="D398" s="39"/>
      <c r="E398" s="39"/>
      <c r="F398" s="40"/>
      <c r="G398" s="41">
        <f>IFERROR(SUMIFS(Transactions!$F$7:$F$991,Transactions!$G$7:$G$991,A398,Transactions!$D$7:$D$991,"Expense"),0)</f>
        <v>0</v>
      </c>
      <c r="H398" s="39"/>
      <c r="I398" s="39"/>
      <c r="J398" s="39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9.5" customHeight="1">
      <c r="A399" s="39"/>
      <c r="B399" s="38"/>
      <c r="C399" s="39"/>
      <c r="D399" s="39"/>
      <c r="E399" s="39"/>
      <c r="F399" s="40"/>
      <c r="G399" s="41">
        <f>IFERROR(SUMIFS(Transactions!$F$7:$F$991,Transactions!$G$7:$G$991,A399,Transactions!$D$7:$D$991,"Expense"),0)</f>
        <v>0</v>
      </c>
      <c r="H399" s="39"/>
      <c r="I399" s="39"/>
      <c r="J399" s="39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9.5" customHeight="1">
      <c r="A400" s="39"/>
      <c r="B400" s="38"/>
      <c r="C400" s="39"/>
      <c r="D400" s="39"/>
      <c r="E400" s="39"/>
      <c r="F400" s="40"/>
      <c r="G400" s="41">
        <f>IFERROR(SUMIFS(Transactions!$F$7:$F$991,Transactions!$G$7:$G$991,A400,Transactions!$D$7:$D$991,"Expense"),0)</f>
        <v>0</v>
      </c>
      <c r="H400" s="39"/>
      <c r="I400" s="39"/>
      <c r="J400" s="39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9.5" customHeight="1">
      <c r="A401" s="39"/>
      <c r="B401" s="38"/>
      <c r="C401" s="39"/>
      <c r="D401" s="39"/>
      <c r="E401" s="39"/>
      <c r="F401" s="40"/>
      <c r="G401" s="41">
        <f>IFERROR(SUMIFS(Transactions!$F$7:$F$991,Transactions!$G$7:$G$991,A401,Transactions!$D$7:$D$991,"Expense"),0)</f>
        <v>0</v>
      </c>
      <c r="H401" s="39"/>
      <c r="I401" s="39"/>
      <c r="J401" s="39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9.5" customHeight="1">
      <c r="A402" s="39"/>
      <c r="B402" s="38"/>
      <c r="C402" s="39"/>
      <c r="D402" s="39"/>
      <c r="E402" s="39"/>
      <c r="F402" s="40"/>
      <c r="G402" s="41">
        <f>IFERROR(SUMIFS(Transactions!$F$7:$F$991,Transactions!$G$7:$G$991,A402,Transactions!$D$7:$D$991,"Expense"),0)</f>
        <v>0</v>
      </c>
      <c r="H402" s="39"/>
      <c r="I402" s="39"/>
      <c r="J402" s="39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9.5" customHeight="1">
      <c r="A403" s="39"/>
      <c r="B403" s="38"/>
      <c r="C403" s="39"/>
      <c r="D403" s="39"/>
      <c r="E403" s="39"/>
      <c r="F403" s="40"/>
      <c r="G403" s="41">
        <f>IFERROR(SUMIFS(Transactions!$F$7:$F$991,Transactions!$G$7:$G$991,A403,Transactions!$D$7:$D$991,"Expense"),0)</f>
        <v>0</v>
      </c>
      <c r="H403" s="39"/>
      <c r="I403" s="39"/>
      <c r="J403" s="39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9.5" customHeight="1">
      <c r="A404" s="39"/>
      <c r="B404" s="38"/>
      <c r="C404" s="39"/>
      <c r="D404" s="39"/>
      <c r="E404" s="39"/>
      <c r="F404" s="40"/>
      <c r="G404" s="41">
        <f>IFERROR(SUMIFS(Transactions!$F$7:$F$991,Transactions!$G$7:$G$991,A404,Transactions!$D$7:$D$991,"Expense"),0)</f>
        <v>0</v>
      </c>
      <c r="H404" s="39"/>
      <c r="I404" s="39"/>
      <c r="J404" s="39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9.5" customHeight="1">
      <c r="A405" s="39"/>
      <c r="B405" s="38"/>
      <c r="C405" s="39"/>
      <c r="D405" s="39"/>
      <c r="E405" s="39"/>
      <c r="F405" s="40"/>
      <c r="G405" s="41">
        <f>IFERROR(SUMIFS(Transactions!$F$7:$F$991,Transactions!$G$7:$G$991,A405,Transactions!$D$7:$D$991,"Expense"),0)</f>
        <v>0</v>
      </c>
      <c r="H405" s="39"/>
      <c r="I405" s="39"/>
      <c r="J405" s="39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9.5" customHeight="1">
      <c r="A406" s="39"/>
      <c r="B406" s="38"/>
      <c r="C406" s="39"/>
      <c r="D406" s="39"/>
      <c r="E406" s="39"/>
      <c r="F406" s="40"/>
      <c r="G406" s="41">
        <f>IFERROR(SUMIFS(Transactions!$F$7:$F$991,Transactions!$G$7:$G$991,A406,Transactions!$D$7:$D$991,"Expense"),0)</f>
        <v>0</v>
      </c>
      <c r="H406" s="39"/>
      <c r="I406" s="39"/>
      <c r="J406" s="39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9.5" customHeight="1">
      <c r="A407" s="39"/>
      <c r="B407" s="38"/>
      <c r="C407" s="39"/>
      <c r="D407" s="39"/>
      <c r="E407" s="39"/>
      <c r="F407" s="40"/>
      <c r="G407" s="41">
        <f>IFERROR(SUMIFS(Transactions!$F$7:$F$991,Transactions!$G$7:$G$991,A407,Transactions!$D$7:$D$991,"Expense"),0)</f>
        <v>0</v>
      </c>
      <c r="H407" s="39"/>
      <c r="I407" s="39"/>
      <c r="J407" s="39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9.5" customHeight="1">
      <c r="A408" s="39"/>
      <c r="B408" s="38"/>
      <c r="C408" s="39"/>
      <c r="D408" s="39"/>
      <c r="E408" s="39"/>
      <c r="F408" s="40"/>
      <c r="G408" s="41">
        <f>IFERROR(SUMIFS(Transactions!$F$7:$F$991,Transactions!$G$7:$G$991,A408,Transactions!$D$7:$D$991,"Expense"),0)</f>
        <v>0</v>
      </c>
      <c r="H408" s="39"/>
      <c r="I408" s="39"/>
      <c r="J408" s="39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9.5" customHeight="1">
      <c r="A409" s="39"/>
      <c r="B409" s="38"/>
      <c r="C409" s="39"/>
      <c r="D409" s="39"/>
      <c r="E409" s="39"/>
      <c r="F409" s="40"/>
      <c r="G409" s="41">
        <f>IFERROR(SUMIFS(Transactions!$F$7:$F$991,Transactions!$G$7:$G$991,A409,Transactions!$D$7:$D$991,"Expense"),0)</f>
        <v>0</v>
      </c>
      <c r="H409" s="39"/>
      <c r="I409" s="39"/>
      <c r="J409" s="39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9.5" customHeight="1">
      <c r="A410" s="39"/>
      <c r="B410" s="38"/>
      <c r="C410" s="39"/>
      <c r="D410" s="39"/>
      <c r="E410" s="39"/>
      <c r="F410" s="40"/>
      <c r="G410" s="41">
        <f>IFERROR(SUMIFS(Transactions!$F$7:$F$991,Transactions!$G$7:$G$991,A410,Transactions!$D$7:$D$991,"Expense"),0)</f>
        <v>0</v>
      </c>
      <c r="H410" s="39"/>
      <c r="I410" s="39"/>
      <c r="J410" s="39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9.5" customHeight="1">
      <c r="A411" s="39"/>
      <c r="B411" s="38"/>
      <c r="C411" s="39"/>
      <c r="D411" s="39"/>
      <c r="E411" s="39"/>
      <c r="F411" s="40"/>
      <c r="G411" s="41">
        <f>IFERROR(SUMIFS(Transactions!$F$7:$F$991,Transactions!$G$7:$G$991,A411,Transactions!$D$7:$D$991,"Expense"),0)</f>
        <v>0</v>
      </c>
      <c r="H411" s="39"/>
      <c r="I411" s="39"/>
      <c r="J411" s="39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9.5" customHeight="1">
      <c r="A412" s="39"/>
      <c r="B412" s="38"/>
      <c r="C412" s="39"/>
      <c r="D412" s="39"/>
      <c r="E412" s="39"/>
      <c r="F412" s="40"/>
      <c r="G412" s="41">
        <f>IFERROR(SUMIFS(Transactions!$F$7:$F$991,Transactions!$G$7:$G$991,A412,Transactions!$D$7:$D$991,"Expense"),0)</f>
        <v>0</v>
      </c>
      <c r="H412" s="39"/>
      <c r="I412" s="39"/>
      <c r="J412" s="39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9.5" customHeight="1">
      <c r="A413" s="39"/>
      <c r="B413" s="38"/>
      <c r="C413" s="39"/>
      <c r="D413" s="39"/>
      <c r="E413" s="39"/>
      <c r="F413" s="40"/>
      <c r="G413" s="41">
        <f>IFERROR(SUMIFS(Transactions!$F$7:$F$991,Transactions!$G$7:$G$991,A413,Transactions!$D$7:$D$991,"Expense"),0)</f>
        <v>0</v>
      </c>
      <c r="H413" s="39"/>
      <c r="I413" s="39"/>
      <c r="J413" s="39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9.5" customHeight="1">
      <c r="A414" s="39"/>
      <c r="B414" s="38"/>
      <c r="C414" s="39"/>
      <c r="D414" s="39"/>
      <c r="E414" s="39"/>
      <c r="F414" s="40"/>
      <c r="G414" s="41">
        <f>IFERROR(SUMIFS(Transactions!$F$7:$F$991,Transactions!$G$7:$G$991,A414,Transactions!$D$7:$D$991,"Expense"),0)</f>
        <v>0</v>
      </c>
      <c r="H414" s="39"/>
      <c r="I414" s="39"/>
      <c r="J414" s="39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9.5" customHeight="1">
      <c r="A415" s="39"/>
      <c r="B415" s="38"/>
      <c r="C415" s="39"/>
      <c r="D415" s="39"/>
      <c r="E415" s="39"/>
      <c r="F415" s="40"/>
      <c r="G415" s="41">
        <f>IFERROR(SUMIFS(Transactions!$F$7:$F$991,Transactions!$G$7:$G$991,A415,Transactions!$D$7:$D$991,"Expense"),0)</f>
        <v>0</v>
      </c>
      <c r="H415" s="39"/>
      <c r="I415" s="39"/>
      <c r="J415" s="39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9.5" customHeight="1">
      <c r="A416" s="39"/>
      <c r="B416" s="38"/>
      <c r="C416" s="39"/>
      <c r="D416" s="39"/>
      <c r="E416" s="39"/>
      <c r="F416" s="40"/>
      <c r="G416" s="41">
        <f>IFERROR(SUMIFS(Transactions!$F$7:$F$991,Transactions!$G$7:$G$991,A416,Transactions!$D$7:$D$991,"Expense"),0)</f>
        <v>0</v>
      </c>
      <c r="H416" s="39"/>
      <c r="I416" s="39"/>
      <c r="J416" s="39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9.5" customHeight="1">
      <c r="A417" s="39"/>
      <c r="B417" s="38"/>
      <c r="C417" s="39"/>
      <c r="D417" s="39"/>
      <c r="E417" s="39"/>
      <c r="F417" s="40"/>
      <c r="G417" s="41">
        <f>IFERROR(SUMIFS(Transactions!$F$7:$F$991,Transactions!$G$7:$G$991,A417,Transactions!$D$7:$D$991,"Expense"),0)</f>
        <v>0</v>
      </c>
      <c r="H417" s="39"/>
      <c r="I417" s="39"/>
      <c r="J417" s="39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9.5" customHeight="1">
      <c r="A418" s="39"/>
      <c r="B418" s="38"/>
      <c r="C418" s="39"/>
      <c r="D418" s="39"/>
      <c r="E418" s="39"/>
      <c r="F418" s="40"/>
      <c r="G418" s="41">
        <f>IFERROR(SUMIFS(Transactions!$F$7:$F$991,Transactions!$G$7:$G$991,A418,Transactions!$D$7:$D$991,"Expense"),0)</f>
        <v>0</v>
      </c>
      <c r="H418" s="39"/>
      <c r="I418" s="39"/>
      <c r="J418" s="39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9.5" customHeight="1">
      <c r="A419" s="39"/>
      <c r="B419" s="38"/>
      <c r="C419" s="39"/>
      <c r="D419" s="39"/>
      <c r="E419" s="39"/>
      <c r="F419" s="40"/>
      <c r="G419" s="41">
        <f>IFERROR(SUMIFS(Transactions!$F$7:$F$991,Transactions!$G$7:$G$991,A419,Transactions!$D$7:$D$991,"Expense"),0)</f>
        <v>0</v>
      </c>
      <c r="H419" s="39"/>
      <c r="I419" s="39"/>
      <c r="J419" s="39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9.5" customHeight="1">
      <c r="A420" s="39"/>
      <c r="B420" s="38"/>
      <c r="C420" s="39"/>
      <c r="D420" s="39"/>
      <c r="E420" s="39"/>
      <c r="F420" s="40"/>
      <c r="G420" s="41">
        <f>IFERROR(SUMIFS(Transactions!$F$7:$F$991,Transactions!$G$7:$G$991,A420,Transactions!$D$7:$D$991,"Expense"),0)</f>
        <v>0</v>
      </c>
      <c r="H420" s="39"/>
      <c r="I420" s="39"/>
      <c r="J420" s="39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9.5" customHeight="1">
      <c r="A421" s="39"/>
      <c r="B421" s="38"/>
      <c r="C421" s="39"/>
      <c r="D421" s="39"/>
      <c r="E421" s="39"/>
      <c r="F421" s="40"/>
      <c r="G421" s="41">
        <f>IFERROR(SUMIFS(Transactions!$F$7:$F$991,Transactions!$G$7:$G$991,A421,Transactions!$D$7:$D$991,"Expense"),0)</f>
        <v>0</v>
      </c>
      <c r="H421" s="39"/>
      <c r="I421" s="39"/>
      <c r="J421" s="39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9.5" customHeight="1">
      <c r="A422" s="39"/>
      <c r="B422" s="38"/>
      <c r="C422" s="39"/>
      <c r="D422" s="39"/>
      <c r="E422" s="39"/>
      <c r="F422" s="40"/>
      <c r="G422" s="41">
        <f>IFERROR(SUMIFS(Transactions!$F$7:$F$991,Transactions!$G$7:$G$991,A422,Transactions!$D$7:$D$991,"Expense"),0)</f>
        <v>0</v>
      </c>
      <c r="H422" s="39"/>
      <c r="I422" s="39"/>
      <c r="J422" s="39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9.5" customHeight="1">
      <c r="A423" s="39"/>
      <c r="B423" s="38"/>
      <c r="C423" s="39"/>
      <c r="D423" s="39"/>
      <c r="E423" s="39"/>
      <c r="F423" s="40"/>
      <c r="G423" s="41">
        <f>IFERROR(SUMIFS(Transactions!$F$7:$F$991,Transactions!$G$7:$G$991,A423,Transactions!$D$7:$D$991,"Expense"),0)</f>
        <v>0</v>
      </c>
      <c r="H423" s="39"/>
      <c r="I423" s="39"/>
      <c r="J423" s="39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9.5" customHeight="1">
      <c r="A424" s="39"/>
      <c r="B424" s="38"/>
      <c r="C424" s="39"/>
      <c r="D424" s="39"/>
      <c r="E424" s="39"/>
      <c r="F424" s="40"/>
      <c r="G424" s="41">
        <f>IFERROR(SUMIFS(Transactions!$F$7:$F$991,Transactions!$G$7:$G$991,A424,Transactions!$D$7:$D$991,"Expense"),0)</f>
        <v>0</v>
      </c>
      <c r="H424" s="39"/>
      <c r="I424" s="39"/>
      <c r="J424" s="39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9.5" customHeight="1">
      <c r="A425" s="39"/>
      <c r="B425" s="38"/>
      <c r="C425" s="39"/>
      <c r="D425" s="39"/>
      <c r="E425" s="39"/>
      <c r="F425" s="40"/>
      <c r="G425" s="41">
        <f>IFERROR(SUMIFS(Transactions!$F$7:$F$991,Transactions!$G$7:$G$991,A425,Transactions!$D$7:$D$991,"Expense"),0)</f>
        <v>0</v>
      </c>
      <c r="H425" s="39"/>
      <c r="I425" s="39"/>
      <c r="J425" s="39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9.5" customHeight="1">
      <c r="A426" s="39"/>
      <c r="B426" s="38"/>
      <c r="C426" s="39"/>
      <c r="D426" s="39"/>
      <c r="E426" s="39"/>
      <c r="F426" s="40"/>
      <c r="G426" s="41">
        <f>IFERROR(SUMIFS(Transactions!$F$7:$F$991,Transactions!$G$7:$G$991,A426,Transactions!$D$7:$D$991,"Expense"),0)</f>
        <v>0</v>
      </c>
      <c r="H426" s="39"/>
      <c r="I426" s="39"/>
      <c r="J426" s="39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9.5" customHeight="1">
      <c r="A427" s="39"/>
      <c r="B427" s="38"/>
      <c r="C427" s="39"/>
      <c r="D427" s="39"/>
      <c r="E427" s="39"/>
      <c r="F427" s="40"/>
      <c r="G427" s="41">
        <f>IFERROR(SUMIFS(Transactions!$F$7:$F$991,Transactions!$G$7:$G$991,A427,Transactions!$D$7:$D$991,"Expense"),0)</f>
        <v>0</v>
      </c>
      <c r="H427" s="39"/>
      <c r="I427" s="39"/>
      <c r="J427" s="39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9.5" customHeight="1">
      <c r="A428" s="39"/>
      <c r="B428" s="38"/>
      <c r="C428" s="39"/>
      <c r="D428" s="39"/>
      <c r="E428" s="39"/>
      <c r="F428" s="40"/>
      <c r="G428" s="41">
        <f>IFERROR(SUMIFS(Transactions!$F$7:$F$991,Transactions!$G$7:$G$991,A428,Transactions!$D$7:$D$991,"Expense"),0)</f>
        <v>0</v>
      </c>
      <c r="H428" s="39"/>
      <c r="I428" s="39"/>
      <c r="J428" s="39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9.5" customHeight="1">
      <c r="A429" s="39"/>
      <c r="B429" s="38"/>
      <c r="C429" s="39"/>
      <c r="D429" s="39"/>
      <c r="E429" s="39"/>
      <c r="F429" s="40"/>
      <c r="G429" s="41">
        <f>IFERROR(SUMIFS(Transactions!$F$7:$F$991,Transactions!$G$7:$G$991,A429,Transactions!$D$7:$D$991,"Expense"),0)</f>
        <v>0</v>
      </c>
      <c r="H429" s="39"/>
      <c r="I429" s="39"/>
      <c r="J429" s="39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9.5" customHeight="1">
      <c r="A430" s="39"/>
      <c r="B430" s="38"/>
      <c r="C430" s="39"/>
      <c r="D430" s="39"/>
      <c r="E430" s="39"/>
      <c r="F430" s="40"/>
      <c r="G430" s="41">
        <f>IFERROR(SUMIFS(Transactions!$F$7:$F$991,Transactions!$G$7:$G$991,A430,Transactions!$D$7:$D$991,"Expense"),0)</f>
        <v>0</v>
      </c>
      <c r="H430" s="39"/>
      <c r="I430" s="39"/>
      <c r="J430" s="39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9.5" customHeight="1">
      <c r="A431" s="39"/>
      <c r="B431" s="38"/>
      <c r="C431" s="39"/>
      <c r="D431" s="39"/>
      <c r="E431" s="39"/>
      <c r="F431" s="40"/>
      <c r="G431" s="41">
        <f>IFERROR(SUMIFS(Transactions!$F$7:$F$991,Transactions!$G$7:$G$991,A431,Transactions!$D$7:$D$991,"Expense"),0)</f>
        <v>0</v>
      </c>
      <c r="H431" s="39"/>
      <c r="I431" s="39"/>
      <c r="J431" s="39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9.5" customHeight="1">
      <c r="A432" s="39"/>
      <c r="B432" s="38"/>
      <c r="C432" s="39"/>
      <c r="D432" s="39"/>
      <c r="E432" s="39"/>
      <c r="F432" s="40"/>
      <c r="G432" s="41">
        <f>IFERROR(SUMIFS(Transactions!$F$7:$F$991,Transactions!$G$7:$G$991,A432,Transactions!$D$7:$D$991,"Expense"),0)</f>
        <v>0</v>
      </c>
      <c r="H432" s="39"/>
      <c r="I432" s="39"/>
      <c r="J432" s="39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9.5" customHeight="1">
      <c r="A433" s="39"/>
      <c r="B433" s="38"/>
      <c r="C433" s="39"/>
      <c r="D433" s="39"/>
      <c r="E433" s="39"/>
      <c r="F433" s="40"/>
      <c r="G433" s="41">
        <f>IFERROR(SUMIFS(Transactions!$F$7:$F$991,Transactions!$G$7:$G$991,A433,Transactions!$D$7:$D$991,"Expense"),0)</f>
        <v>0</v>
      </c>
      <c r="H433" s="39"/>
      <c r="I433" s="39"/>
      <c r="J433" s="39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9.5" customHeight="1">
      <c r="A434" s="39"/>
      <c r="B434" s="38"/>
      <c r="C434" s="39"/>
      <c r="D434" s="39"/>
      <c r="E434" s="39"/>
      <c r="F434" s="40"/>
      <c r="G434" s="41">
        <f>IFERROR(SUMIFS(Transactions!$F$7:$F$991,Transactions!$G$7:$G$991,A434,Transactions!$D$7:$D$991,"Expense"),0)</f>
        <v>0</v>
      </c>
      <c r="H434" s="39"/>
      <c r="I434" s="39"/>
      <c r="J434" s="39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9.5" customHeight="1">
      <c r="A435" s="39"/>
      <c r="B435" s="38"/>
      <c r="C435" s="39"/>
      <c r="D435" s="39"/>
      <c r="E435" s="39"/>
      <c r="F435" s="40"/>
      <c r="G435" s="41">
        <f>IFERROR(SUMIFS(Transactions!$F$7:$F$991,Transactions!$G$7:$G$991,A435,Transactions!$D$7:$D$991,"Expense"),0)</f>
        <v>0</v>
      </c>
      <c r="H435" s="39"/>
      <c r="I435" s="39"/>
      <c r="J435" s="39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9.5" customHeight="1">
      <c r="A436" s="39"/>
      <c r="B436" s="38"/>
      <c r="C436" s="39"/>
      <c r="D436" s="39"/>
      <c r="E436" s="39"/>
      <c r="F436" s="40"/>
      <c r="G436" s="41">
        <f>IFERROR(SUMIFS(Transactions!$F$7:$F$991,Transactions!$G$7:$G$991,A436,Transactions!$D$7:$D$991,"Expense"),0)</f>
        <v>0</v>
      </c>
      <c r="H436" s="39"/>
      <c r="I436" s="39"/>
      <c r="J436" s="39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9.5" customHeight="1">
      <c r="A437" s="39"/>
      <c r="B437" s="38"/>
      <c r="C437" s="39"/>
      <c r="D437" s="39"/>
      <c r="E437" s="39"/>
      <c r="F437" s="40"/>
      <c r="G437" s="41">
        <f>IFERROR(SUMIFS(Transactions!$F$7:$F$991,Transactions!$G$7:$G$991,A437,Transactions!$D$7:$D$991,"Expense"),0)</f>
        <v>0</v>
      </c>
      <c r="H437" s="39"/>
      <c r="I437" s="39"/>
      <c r="J437" s="39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9.5" customHeight="1">
      <c r="A438" s="39"/>
      <c r="B438" s="38"/>
      <c r="C438" s="39"/>
      <c r="D438" s="39"/>
      <c r="E438" s="39"/>
      <c r="F438" s="40"/>
      <c r="G438" s="41">
        <f>IFERROR(SUMIFS(Transactions!$F$7:$F$991,Transactions!$G$7:$G$991,A438,Transactions!$D$7:$D$991,"Expense"),0)</f>
        <v>0</v>
      </c>
      <c r="H438" s="39"/>
      <c r="I438" s="39"/>
      <c r="J438" s="39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9.5" customHeight="1">
      <c r="A439" s="39"/>
      <c r="B439" s="38"/>
      <c r="C439" s="39"/>
      <c r="D439" s="39"/>
      <c r="E439" s="39"/>
      <c r="F439" s="40"/>
      <c r="G439" s="41">
        <f>IFERROR(SUMIFS(Transactions!$F$7:$F$991,Transactions!$G$7:$G$991,A439,Transactions!$D$7:$D$991,"Expense"),0)</f>
        <v>0</v>
      </c>
      <c r="H439" s="39"/>
      <c r="I439" s="39"/>
      <c r="J439" s="39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9.5" customHeight="1">
      <c r="A440" s="39"/>
      <c r="B440" s="38"/>
      <c r="C440" s="39"/>
      <c r="D440" s="39"/>
      <c r="E440" s="39"/>
      <c r="F440" s="40"/>
      <c r="G440" s="41">
        <f>IFERROR(SUMIFS(Transactions!$F$7:$F$991,Transactions!$G$7:$G$991,A440,Transactions!$D$7:$D$991,"Expense"),0)</f>
        <v>0</v>
      </c>
      <c r="H440" s="39"/>
      <c r="I440" s="39"/>
      <c r="J440" s="39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9.5" customHeight="1">
      <c r="A441" s="39"/>
      <c r="B441" s="38"/>
      <c r="C441" s="39"/>
      <c r="D441" s="39"/>
      <c r="E441" s="39"/>
      <c r="F441" s="40"/>
      <c r="G441" s="41">
        <f>IFERROR(SUMIFS(Transactions!$F$7:$F$991,Transactions!$G$7:$G$991,A441,Transactions!$D$7:$D$991,"Expense"),0)</f>
        <v>0</v>
      </c>
      <c r="H441" s="39"/>
      <c r="I441" s="39"/>
      <c r="J441" s="39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9.5" customHeight="1">
      <c r="A442" s="39"/>
      <c r="B442" s="38"/>
      <c r="C442" s="39"/>
      <c r="D442" s="39"/>
      <c r="E442" s="39"/>
      <c r="F442" s="40"/>
      <c r="G442" s="41">
        <f>IFERROR(SUMIFS(Transactions!$F$7:$F$991,Transactions!$G$7:$G$991,A442,Transactions!$D$7:$D$991,"Expense"),0)</f>
        <v>0</v>
      </c>
      <c r="H442" s="39"/>
      <c r="I442" s="39"/>
      <c r="J442" s="39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9.5" customHeight="1">
      <c r="A443" s="39"/>
      <c r="B443" s="38"/>
      <c r="C443" s="39"/>
      <c r="D443" s="39"/>
      <c r="E443" s="39"/>
      <c r="F443" s="40"/>
      <c r="G443" s="41">
        <f>IFERROR(SUMIFS(Transactions!$F$7:$F$991,Transactions!$G$7:$G$991,A443,Transactions!$D$7:$D$991,"Expense"),0)</f>
        <v>0</v>
      </c>
      <c r="H443" s="39"/>
      <c r="I443" s="39"/>
      <c r="J443" s="39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9.5" customHeight="1">
      <c r="A444" s="39"/>
      <c r="B444" s="38"/>
      <c r="C444" s="39"/>
      <c r="D444" s="39"/>
      <c r="E444" s="39"/>
      <c r="F444" s="40"/>
      <c r="G444" s="41">
        <f>IFERROR(SUMIFS(Transactions!$F$7:$F$991,Transactions!$G$7:$G$991,A444,Transactions!$D$7:$D$991,"Expense"),0)</f>
        <v>0</v>
      </c>
      <c r="H444" s="39"/>
      <c r="I444" s="39"/>
      <c r="J444" s="39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9.5" customHeight="1">
      <c r="A445" s="39"/>
      <c r="B445" s="38"/>
      <c r="C445" s="39"/>
      <c r="D445" s="39"/>
      <c r="E445" s="39"/>
      <c r="F445" s="40"/>
      <c r="G445" s="41">
        <f>IFERROR(SUMIFS(Transactions!$F$7:$F$991,Transactions!$G$7:$G$991,A445,Transactions!$D$7:$D$991,"Expense"),0)</f>
        <v>0</v>
      </c>
      <c r="H445" s="39"/>
      <c r="I445" s="39"/>
      <c r="J445" s="39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9.5" customHeight="1">
      <c r="A446" s="39"/>
      <c r="B446" s="38"/>
      <c r="C446" s="39"/>
      <c r="D446" s="39"/>
      <c r="E446" s="39"/>
      <c r="F446" s="40"/>
      <c r="G446" s="41">
        <f>IFERROR(SUMIFS(Transactions!$F$7:$F$991,Transactions!$G$7:$G$991,A446,Transactions!$D$7:$D$991,"Expense"),0)</f>
        <v>0</v>
      </c>
      <c r="H446" s="39"/>
      <c r="I446" s="39"/>
      <c r="J446" s="39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9.5" customHeight="1">
      <c r="A447" s="39"/>
      <c r="B447" s="38"/>
      <c r="C447" s="39"/>
      <c r="D447" s="39"/>
      <c r="E447" s="39"/>
      <c r="F447" s="40"/>
      <c r="G447" s="41">
        <f>IFERROR(SUMIFS(Transactions!$F$7:$F$991,Transactions!$G$7:$G$991,A447,Transactions!$D$7:$D$991,"Expense"),0)</f>
        <v>0</v>
      </c>
      <c r="H447" s="39"/>
      <c r="I447" s="39"/>
      <c r="J447" s="39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9.5" customHeight="1">
      <c r="A448" s="39"/>
      <c r="B448" s="38"/>
      <c r="C448" s="39"/>
      <c r="D448" s="39"/>
      <c r="E448" s="39"/>
      <c r="F448" s="40"/>
      <c r="G448" s="41">
        <f>IFERROR(SUMIFS(Transactions!$F$7:$F$991,Transactions!$G$7:$G$991,A448,Transactions!$D$7:$D$991,"Expense"),0)</f>
        <v>0</v>
      </c>
      <c r="H448" s="39"/>
      <c r="I448" s="39"/>
      <c r="J448" s="39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9.5" customHeight="1">
      <c r="A449" s="39"/>
      <c r="B449" s="38"/>
      <c r="C449" s="39"/>
      <c r="D449" s="39"/>
      <c r="E449" s="39"/>
      <c r="F449" s="40"/>
      <c r="G449" s="41">
        <f>IFERROR(SUMIFS(Transactions!$F$7:$F$991,Transactions!$G$7:$G$991,A449,Transactions!$D$7:$D$991,"Expense"),0)</f>
        <v>0</v>
      </c>
      <c r="H449" s="39"/>
      <c r="I449" s="39"/>
      <c r="J449" s="39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9.5" customHeight="1">
      <c r="A450" s="39"/>
      <c r="B450" s="38"/>
      <c r="C450" s="39"/>
      <c r="D450" s="39"/>
      <c r="E450" s="39"/>
      <c r="F450" s="40"/>
      <c r="G450" s="41">
        <f>IFERROR(SUMIFS(Transactions!$F$7:$F$991,Transactions!$G$7:$G$991,A450,Transactions!$D$7:$D$991,"Expense"),0)</f>
        <v>0</v>
      </c>
      <c r="H450" s="39"/>
      <c r="I450" s="39"/>
      <c r="J450" s="39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9.5" customHeight="1">
      <c r="A451" s="39"/>
      <c r="B451" s="38"/>
      <c r="C451" s="39"/>
      <c r="D451" s="39"/>
      <c r="E451" s="39"/>
      <c r="F451" s="40"/>
      <c r="G451" s="41">
        <f>IFERROR(SUMIFS(Transactions!$F$7:$F$991,Transactions!$G$7:$G$991,A451,Transactions!$D$7:$D$991,"Expense"),0)</f>
        <v>0</v>
      </c>
      <c r="H451" s="39"/>
      <c r="I451" s="39"/>
      <c r="J451" s="39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9.5" customHeight="1">
      <c r="A452" s="39"/>
      <c r="B452" s="38"/>
      <c r="C452" s="39"/>
      <c r="D452" s="39"/>
      <c r="E452" s="39"/>
      <c r="F452" s="40"/>
      <c r="G452" s="41">
        <f>IFERROR(SUMIFS(Transactions!$F$7:$F$991,Transactions!$G$7:$G$991,A452,Transactions!$D$7:$D$991,"Expense"),0)</f>
        <v>0</v>
      </c>
      <c r="H452" s="39"/>
      <c r="I452" s="39"/>
      <c r="J452" s="39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9.5" customHeight="1">
      <c r="A453" s="39"/>
      <c r="B453" s="38"/>
      <c r="C453" s="39"/>
      <c r="D453" s="39"/>
      <c r="E453" s="39"/>
      <c r="F453" s="40"/>
      <c r="G453" s="41">
        <f>IFERROR(SUMIFS(Transactions!$F$7:$F$991,Transactions!$G$7:$G$991,A453,Transactions!$D$7:$D$991,"Expense"),0)</f>
        <v>0</v>
      </c>
      <c r="H453" s="39"/>
      <c r="I453" s="39"/>
      <c r="J453" s="39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9.5" customHeight="1">
      <c r="A454" s="39"/>
      <c r="B454" s="38"/>
      <c r="C454" s="39"/>
      <c r="D454" s="39"/>
      <c r="E454" s="39"/>
      <c r="F454" s="40"/>
      <c r="G454" s="41">
        <f>IFERROR(SUMIFS(Transactions!$F$7:$F$991,Transactions!$G$7:$G$991,A454,Transactions!$D$7:$D$991,"Expense"),0)</f>
        <v>0</v>
      </c>
      <c r="H454" s="39"/>
      <c r="I454" s="39"/>
      <c r="J454" s="39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9.5" customHeight="1">
      <c r="A455" s="39"/>
      <c r="B455" s="38"/>
      <c r="C455" s="39"/>
      <c r="D455" s="39"/>
      <c r="E455" s="39"/>
      <c r="F455" s="40"/>
      <c r="G455" s="41">
        <f>IFERROR(SUMIFS(Transactions!$F$7:$F$991,Transactions!$G$7:$G$991,A455,Transactions!$D$7:$D$991,"Expense"),0)</f>
        <v>0</v>
      </c>
      <c r="H455" s="39"/>
      <c r="I455" s="39"/>
      <c r="J455" s="39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9.5" customHeight="1">
      <c r="A456" s="39"/>
      <c r="B456" s="38"/>
      <c r="C456" s="39"/>
      <c r="D456" s="39"/>
      <c r="E456" s="39"/>
      <c r="F456" s="40"/>
      <c r="G456" s="41">
        <f>IFERROR(SUMIFS(Transactions!$F$7:$F$991,Transactions!$G$7:$G$991,A456,Transactions!$D$7:$D$991,"Expense"),0)</f>
        <v>0</v>
      </c>
      <c r="H456" s="39"/>
      <c r="I456" s="39"/>
      <c r="J456" s="39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9.5" customHeight="1">
      <c r="A457" s="39"/>
      <c r="B457" s="38"/>
      <c r="C457" s="39"/>
      <c r="D457" s="39"/>
      <c r="E457" s="39"/>
      <c r="F457" s="40"/>
      <c r="G457" s="41">
        <f>IFERROR(SUMIFS(Transactions!$F$7:$F$991,Transactions!$G$7:$G$991,A457,Transactions!$D$7:$D$991,"Expense"),0)</f>
        <v>0</v>
      </c>
      <c r="H457" s="39"/>
      <c r="I457" s="39"/>
      <c r="J457" s="39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9.5" customHeight="1">
      <c r="A458" s="39"/>
      <c r="B458" s="38"/>
      <c r="C458" s="39"/>
      <c r="D458" s="39"/>
      <c r="E458" s="39"/>
      <c r="F458" s="40"/>
      <c r="G458" s="41">
        <f>IFERROR(SUMIFS(Transactions!$F$7:$F$991,Transactions!$G$7:$G$991,A458,Transactions!$D$7:$D$991,"Expense"),0)</f>
        <v>0</v>
      </c>
      <c r="H458" s="39"/>
      <c r="I458" s="39"/>
      <c r="J458" s="39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9.5" customHeight="1">
      <c r="A459" s="39"/>
      <c r="B459" s="38"/>
      <c r="C459" s="39"/>
      <c r="D459" s="39"/>
      <c r="E459" s="39"/>
      <c r="F459" s="40"/>
      <c r="G459" s="41">
        <f>IFERROR(SUMIFS(Transactions!$F$7:$F$991,Transactions!$G$7:$G$991,A459,Transactions!$D$7:$D$991,"Expense"),0)</f>
        <v>0</v>
      </c>
      <c r="H459" s="39"/>
      <c r="I459" s="39"/>
      <c r="J459" s="39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9.5" customHeight="1">
      <c r="A460" s="39"/>
      <c r="B460" s="38"/>
      <c r="C460" s="39"/>
      <c r="D460" s="39"/>
      <c r="E460" s="39"/>
      <c r="F460" s="40"/>
      <c r="G460" s="41">
        <f>IFERROR(SUMIFS(Transactions!$F$7:$F$991,Transactions!$G$7:$G$991,A460,Transactions!$D$7:$D$991,"Expense"),0)</f>
        <v>0</v>
      </c>
      <c r="H460" s="39"/>
      <c r="I460" s="39"/>
      <c r="J460" s="39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9.5" customHeight="1">
      <c r="A461" s="39"/>
      <c r="B461" s="38"/>
      <c r="C461" s="39"/>
      <c r="D461" s="39"/>
      <c r="E461" s="39"/>
      <c r="F461" s="40"/>
      <c r="G461" s="41">
        <f>IFERROR(SUMIFS(Transactions!$F$7:$F$991,Transactions!$G$7:$G$991,A461,Transactions!$D$7:$D$991,"Expense"),0)</f>
        <v>0</v>
      </c>
      <c r="H461" s="39"/>
      <c r="I461" s="39"/>
      <c r="J461" s="39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9.5" customHeight="1">
      <c r="A462" s="39"/>
      <c r="B462" s="38"/>
      <c r="C462" s="39"/>
      <c r="D462" s="39"/>
      <c r="E462" s="39"/>
      <c r="F462" s="40"/>
      <c r="G462" s="41">
        <f>IFERROR(SUMIFS(Transactions!$F$7:$F$991,Transactions!$G$7:$G$991,A462,Transactions!$D$7:$D$991,"Expense"),0)</f>
        <v>0</v>
      </c>
      <c r="H462" s="39"/>
      <c r="I462" s="39"/>
      <c r="J462" s="39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9.5" customHeight="1">
      <c r="A463" s="39"/>
      <c r="B463" s="38"/>
      <c r="C463" s="39"/>
      <c r="D463" s="39"/>
      <c r="E463" s="39"/>
      <c r="F463" s="40"/>
      <c r="G463" s="41">
        <f>IFERROR(SUMIFS(Transactions!$F$7:$F$991,Transactions!$G$7:$G$991,A463,Transactions!$D$7:$D$991,"Expense"),0)</f>
        <v>0</v>
      </c>
      <c r="H463" s="39"/>
      <c r="I463" s="39"/>
      <c r="J463" s="39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9.5" customHeight="1">
      <c r="A464" s="39"/>
      <c r="B464" s="38"/>
      <c r="C464" s="39"/>
      <c r="D464" s="39"/>
      <c r="E464" s="39"/>
      <c r="F464" s="40"/>
      <c r="G464" s="41">
        <f>IFERROR(SUMIFS(Transactions!$F$7:$F$991,Transactions!$G$7:$G$991,A464,Transactions!$D$7:$D$991,"Expense"),0)</f>
        <v>0</v>
      </c>
      <c r="H464" s="39"/>
      <c r="I464" s="39"/>
      <c r="J464" s="39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9.5" customHeight="1">
      <c r="A465" s="39"/>
      <c r="B465" s="38"/>
      <c r="C465" s="39"/>
      <c r="D465" s="39"/>
      <c r="E465" s="39"/>
      <c r="F465" s="40"/>
      <c r="G465" s="41">
        <f>IFERROR(SUMIFS(Transactions!$F$7:$F$991,Transactions!$G$7:$G$991,A465,Transactions!$D$7:$D$991,"Expense"),0)</f>
        <v>0</v>
      </c>
      <c r="H465" s="39"/>
      <c r="I465" s="39"/>
      <c r="J465" s="39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9.5" customHeight="1">
      <c r="A466" s="39"/>
      <c r="B466" s="38"/>
      <c r="C466" s="39"/>
      <c r="D466" s="39"/>
      <c r="E466" s="39"/>
      <c r="F466" s="40"/>
      <c r="G466" s="41">
        <f>IFERROR(SUMIFS(Transactions!$F$7:$F$991,Transactions!$G$7:$G$991,A466,Transactions!$D$7:$D$991,"Expense"),0)</f>
        <v>0</v>
      </c>
      <c r="H466" s="39"/>
      <c r="I466" s="39"/>
      <c r="J466" s="39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9.5" customHeight="1">
      <c r="A467" s="39"/>
      <c r="B467" s="38"/>
      <c r="C467" s="39"/>
      <c r="D467" s="39"/>
      <c r="E467" s="39"/>
      <c r="F467" s="40"/>
      <c r="G467" s="41">
        <f>IFERROR(SUMIFS(Transactions!$F$7:$F$991,Transactions!$G$7:$G$991,A467,Transactions!$D$7:$D$991,"Expense"),0)</f>
        <v>0</v>
      </c>
      <c r="H467" s="39"/>
      <c r="I467" s="39"/>
      <c r="J467" s="39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9.5" customHeight="1">
      <c r="A468" s="39"/>
      <c r="B468" s="38"/>
      <c r="C468" s="39"/>
      <c r="D468" s="39"/>
      <c r="E468" s="39"/>
      <c r="F468" s="40"/>
      <c r="G468" s="41">
        <f>IFERROR(SUMIFS(Transactions!$F$7:$F$991,Transactions!$G$7:$G$991,A468,Transactions!$D$7:$D$991,"Expense"),0)</f>
        <v>0</v>
      </c>
      <c r="H468" s="39"/>
      <c r="I468" s="39"/>
      <c r="J468" s="39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9.5" customHeight="1">
      <c r="A469" s="39"/>
      <c r="B469" s="38"/>
      <c r="C469" s="39"/>
      <c r="D469" s="39"/>
      <c r="E469" s="39"/>
      <c r="F469" s="40"/>
      <c r="G469" s="41">
        <f>IFERROR(SUMIFS(Transactions!$F$7:$F$991,Transactions!$G$7:$G$991,A469,Transactions!$D$7:$D$991,"Expense"),0)</f>
        <v>0</v>
      </c>
      <c r="H469" s="39"/>
      <c r="I469" s="39"/>
      <c r="J469" s="39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9.5" customHeight="1">
      <c r="A470" s="39"/>
      <c r="B470" s="38"/>
      <c r="C470" s="39"/>
      <c r="D470" s="39"/>
      <c r="E470" s="39"/>
      <c r="F470" s="40"/>
      <c r="G470" s="41">
        <f>IFERROR(SUMIFS(Transactions!$F$7:$F$991,Transactions!$G$7:$G$991,A470,Transactions!$D$7:$D$991,"Expense"),0)</f>
        <v>0</v>
      </c>
      <c r="H470" s="39"/>
      <c r="I470" s="39"/>
      <c r="J470" s="39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9.5" customHeight="1">
      <c r="A471" s="39"/>
      <c r="B471" s="38"/>
      <c r="C471" s="39"/>
      <c r="D471" s="39"/>
      <c r="E471" s="39"/>
      <c r="F471" s="40"/>
      <c r="G471" s="41">
        <f>IFERROR(SUMIFS(Transactions!$F$7:$F$991,Transactions!$G$7:$G$991,A471,Transactions!$D$7:$D$991,"Expense"),0)</f>
        <v>0</v>
      </c>
      <c r="H471" s="39"/>
      <c r="I471" s="39"/>
      <c r="J471" s="39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9.5" customHeight="1">
      <c r="A472" s="39"/>
      <c r="B472" s="38"/>
      <c r="C472" s="39"/>
      <c r="D472" s="39"/>
      <c r="E472" s="39"/>
      <c r="F472" s="40"/>
      <c r="G472" s="41">
        <f>IFERROR(SUMIFS(Transactions!$F$7:$F$991,Transactions!$G$7:$G$991,A472,Transactions!$D$7:$D$991,"Expense"),0)</f>
        <v>0</v>
      </c>
      <c r="H472" s="39"/>
      <c r="I472" s="39"/>
      <c r="J472" s="39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9.5" customHeight="1">
      <c r="A473" s="39"/>
      <c r="B473" s="38"/>
      <c r="C473" s="39"/>
      <c r="D473" s="39"/>
      <c r="E473" s="39"/>
      <c r="F473" s="40"/>
      <c r="G473" s="41">
        <f>IFERROR(SUMIFS(Transactions!$F$7:$F$991,Transactions!$G$7:$G$991,A473,Transactions!$D$7:$D$991,"Expense"),0)</f>
        <v>0</v>
      </c>
      <c r="H473" s="39"/>
      <c r="I473" s="39"/>
      <c r="J473" s="39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9.5" customHeight="1">
      <c r="A474" s="39"/>
      <c r="B474" s="38"/>
      <c r="C474" s="39"/>
      <c r="D474" s="39"/>
      <c r="E474" s="39"/>
      <c r="F474" s="40"/>
      <c r="G474" s="41">
        <f>IFERROR(SUMIFS(Transactions!$F$7:$F$991,Transactions!$G$7:$G$991,A474,Transactions!$D$7:$D$991,"Expense"),0)</f>
        <v>0</v>
      </c>
      <c r="H474" s="39"/>
      <c r="I474" s="39"/>
      <c r="J474" s="39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9.5" customHeight="1">
      <c r="A475" s="39"/>
      <c r="B475" s="38"/>
      <c r="C475" s="39"/>
      <c r="D475" s="39"/>
      <c r="E475" s="39"/>
      <c r="F475" s="40"/>
      <c r="G475" s="41">
        <f>IFERROR(SUMIFS(Transactions!$F$7:$F$991,Transactions!$G$7:$G$991,A475,Transactions!$D$7:$D$991,"Expense"),0)</f>
        <v>0</v>
      </c>
      <c r="H475" s="39"/>
      <c r="I475" s="39"/>
      <c r="J475" s="39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9.5" customHeight="1">
      <c r="A476" s="39"/>
      <c r="B476" s="38"/>
      <c r="C476" s="39"/>
      <c r="D476" s="39"/>
      <c r="E476" s="39"/>
      <c r="F476" s="40"/>
      <c r="G476" s="41">
        <f>IFERROR(SUMIFS(Transactions!$F$7:$F$991,Transactions!$G$7:$G$991,A476,Transactions!$D$7:$D$991,"Expense"),0)</f>
        <v>0</v>
      </c>
      <c r="H476" s="39"/>
      <c r="I476" s="39"/>
      <c r="J476" s="39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9.5" customHeight="1">
      <c r="A477" s="39"/>
      <c r="B477" s="38"/>
      <c r="C477" s="39"/>
      <c r="D477" s="39"/>
      <c r="E477" s="39"/>
      <c r="F477" s="40"/>
      <c r="G477" s="41">
        <f>IFERROR(SUMIFS(Transactions!$F$7:$F$991,Transactions!$G$7:$G$991,A477,Transactions!$D$7:$D$991,"Expense"),0)</f>
        <v>0</v>
      </c>
      <c r="H477" s="39"/>
      <c r="I477" s="39"/>
      <c r="J477" s="39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9.5" customHeight="1">
      <c r="A478" s="39"/>
      <c r="B478" s="38"/>
      <c r="C478" s="39"/>
      <c r="D478" s="39"/>
      <c r="E478" s="39"/>
      <c r="F478" s="40"/>
      <c r="G478" s="41">
        <f>IFERROR(SUMIFS(Transactions!$F$7:$F$991,Transactions!$G$7:$G$991,A478,Transactions!$D$7:$D$991,"Expense"),0)</f>
        <v>0</v>
      </c>
      <c r="H478" s="39"/>
      <c r="I478" s="39"/>
      <c r="J478" s="39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9.5" customHeight="1">
      <c r="A479" s="39"/>
      <c r="B479" s="38"/>
      <c r="C479" s="39"/>
      <c r="D479" s="39"/>
      <c r="E479" s="39"/>
      <c r="F479" s="40"/>
      <c r="G479" s="41">
        <f>IFERROR(SUMIFS(Transactions!$F$7:$F$991,Transactions!$G$7:$G$991,A479,Transactions!$D$7:$D$991,"Expense"),0)</f>
        <v>0</v>
      </c>
      <c r="H479" s="39"/>
      <c r="I479" s="39"/>
      <c r="J479" s="39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9.5" customHeight="1">
      <c r="A480" s="39"/>
      <c r="B480" s="38"/>
      <c r="C480" s="39"/>
      <c r="D480" s="39"/>
      <c r="E480" s="39"/>
      <c r="F480" s="40"/>
      <c r="G480" s="41">
        <f>IFERROR(SUMIFS(Transactions!$F$7:$F$991,Transactions!$G$7:$G$991,A480,Transactions!$D$7:$D$991,"Expense"),0)</f>
        <v>0</v>
      </c>
      <c r="H480" s="39"/>
      <c r="I480" s="39"/>
      <c r="J480" s="39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9.5" customHeight="1">
      <c r="A481" s="39"/>
      <c r="B481" s="38"/>
      <c r="C481" s="39"/>
      <c r="D481" s="39"/>
      <c r="E481" s="39"/>
      <c r="F481" s="40"/>
      <c r="G481" s="41">
        <f>IFERROR(SUMIFS(Transactions!$F$7:$F$991,Transactions!$G$7:$G$991,A481,Transactions!$D$7:$D$991,"Expense"),0)</f>
        <v>0</v>
      </c>
      <c r="H481" s="39"/>
      <c r="I481" s="39"/>
      <c r="J481" s="39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9.5" customHeight="1">
      <c r="A482" s="39"/>
      <c r="B482" s="38"/>
      <c r="C482" s="39"/>
      <c r="D482" s="39"/>
      <c r="E482" s="39"/>
      <c r="F482" s="40"/>
      <c r="G482" s="41">
        <f>IFERROR(SUMIFS(Transactions!$F$7:$F$991,Transactions!$G$7:$G$991,A482,Transactions!$D$7:$D$991,"Expense"),0)</f>
        <v>0</v>
      </c>
      <c r="H482" s="39"/>
      <c r="I482" s="39"/>
      <c r="J482" s="39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9.5" customHeight="1">
      <c r="A483" s="39"/>
      <c r="B483" s="38"/>
      <c r="C483" s="39"/>
      <c r="D483" s="39"/>
      <c r="E483" s="39"/>
      <c r="F483" s="40"/>
      <c r="G483" s="41">
        <f>IFERROR(SUMIFS(Transactions!$F$7:$F$991,Transactions!$G$7:$G$991,A483,Transactions!$D$7:$D$991,"Expense"),0)</f>
        <v>0</v>
      </c>
      <c r="H483" s="39"/>
      <c r="I483" s="39"/>
      <c r="J483" s="39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9.5" customHeight="1">
      <c r="A484" s="39"/>
      <c r="B484" s="38"/>
      <c r="C484" s="39"/>
      <c r="D484" s="39"/>
      <c r="E484" s="39"/>
      <c r="F484" s="40"/>
      <c r="G484" s="41">
        <f>IFERROR(SUMIFS(Transactions!$F$7:$F$991,Transactions!$G$7:$G$991,A484,Transactions!$D$7:$D$991,"Expense"),0)</f>
        <v>0</v>
      </c>
      <c r="H484" s="39"/>
      <c r="I484" s="39"/>
      <c r="J484" s="39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9.5" customHeight="1">
      <c r="A485" s="39"/>
      <c r="B485" s="38"/>
      <c r="C485" s="39"/>
      <c r="D485" s="39"/>
      <c r="E485" s="39"/>
      <c r="F485" s="40"/>
      <c r="G485" s="41">
        <f>IFERROR(SUMIFS(Transactions!$F$7:$F$991,Transactions!$G$7:$G$991,A485,Transactions!$D$7:$D$991,"Expense"),0)</f>
        <v>0</v>
      </c>
      <c r="H485" s="39"/>
      <c r="I485" s="39"/>
      <c r="J485" s="39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9.5" customHeight="1">
      <c r="A486" s="39"/>
      <c r="B486" s="38"/>
      <c r="C486" s="39"/>
      <c r="D486" s="39"/>
      <c r="E486" s="39"/>
      <c r="F486" s="40"/>
      <c r="G486" s="41">
        <f>IFERROR(SUMIFS(Transactions!$F$7:$F$991,Transactions!$G$7:$G$991,A486,Transactions!$D$7:$D$991,"Expense"),0)</f>
        <v>0</v>
      </c>
      <c r="H486" s="39"/>
      <c r="I486" s="39"/>
      <c r="J486" s="39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9.5" customHeight="1">
      <c r="A487" s="39"/>
      <c r="B487" s="38"/>
      <c r="C487" s="39"/>
      <c r="D487" s="39"/>
      <c r="E487" s="39"/>
      <c r="F487" s="40"/>
      <c r="G487" s="41">
        <f>IFERROR(SUMIFS(Transactions!$F$7:$F$991,Transactions!$G$7:$G$991,A487,Transactions!$D$7:$D$991,"Expense"),0)</f>
        <v>0</v>
      </c>
      <c r="H487" s="39"/>
      <c r="I487" s="39"/>
      <c r="J487" s="39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9.5" customHeight="1">
      <c r="A488" s="39"/>
      <c r="B488" s="38"/>
      <c r="C488" s="39"/>
      <c r="D488" s="39"/>
      <c r="E488" s="39"/>
      <c r="F488" s="40"/>
      <c r="G488" s="41">
        <f>IFERROR(SUMIFS(Transactions!$F$7:$F$991,Transactions!$G$7:$G$991,A488,Transactions!$D$7:$D$991,"Expense"),0)</f>
        <v>0</v>
      </c>
      <c r="H488" s="39"/>
      <c r="I488" s="39"/>
      <c r="J488" s="39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9.5" customHeight="1">
      <c r="A489" s="39"/>
      <c r="B489" s="38"/>
      <c r="C489" s="39"/>
      <c r="D489" s="39"/>
      <c r="E489" s="39"/>
      <c r="F489" s="40"/>
      <c r="G489" s="41">
        <f>IFERROR(SUMIFS(Transactions!$F$7:$F$991,Transactions!$G$7:$G$991,A489,Transactions!$D$7:$D$991,"Expense"),0)</f>
        <v>0</v>
      </c>
      <c r="H489" s="39"/>
      <c r="I489" s="39"/>
      <c r="J489" s="39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9.5" customHeight="1">
      <c r="A490" s="39"/>
      <c r="B490" s="38"/>
      <c r="C490" s="39"/>
      <c r="D490" s="39"/>
      <c r="E490" s="39"/>
      <c r="F490" s="40"/>
      <c r="G490" s="41">
        <f>IFERROR(SUMIFS(Transactions!$F$7:$F$991,Transactions!$G$7:$G$991,A490,Transactions!$D$7:$D$991,"Expense"),0)</f>
        <v>0</v>
      </c>
      <c r="H490" s="39"/>
      <c r="I490" s="39"/>
      <c r="J490" s="39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9.5" customHeight="1">
      <c r="A491" s="39"/>
      <c r="B491" s="38"/>
      <c r="C491" s="39"/>
      <c r="D491" s="39"/>
      <c r="E491" s="39"/>
      <c r="F491" s="40"/>
      <c r="G491" s="41">
        <f>IFERROR(SUMIFS(Transactions!$F$7:$F$991,Transactions!$G$7:$G$991,A491,Transactions!$D$7:$D$991,"Expense"),0)</f>
        <v>0</v>
      </c>
      <c r="H491" s="39"/>
      <c r="I491" s="39"/>
      <c r="J491" s="39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9.5" customHeight="1">
      <c r="A492" s="39"/>
      <c r="B492" s="38"/>
      <c r="C492" s="39"/>
      <c r="D492" s="39"/>
      <c r="E492" s="39"/>
      <c r="F492" s="40"/>
      <c r="G492" s="41">
        <f>IFERROR(SUMIFS(Transactions!$F$7:$F$991,Transactions!$G$7:$G$991,A492,Transactions!$D$7:$D$991,"Expense"),0)</f>
        <v>0</v>
      </c>
      <c r="H492" s="39"/>
      <c r="I492" s="39"/>
      <c r="J492" s="39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9.5" customHeight="1">
      <c r="A493" s="39"/>
      <c r="B493" s="38"/>
      <c r="C493" s="39"/>
      <c r="D493" s="39"/>
      <c r="E493" s="39"/>
      <c r="F493" s="40"/>
      <c r="G493" s="41">
        <f>IFERROR(SUMIFS(Transactions!$F$7:$F$991,Transactions!$G$7:$G$991,A493,Transactions!$D$7:$D$991,"Expense"),0)</f>
        <v>0</v>
      </c>
      <c r="H493" s="39"/>
      <c r="I493" s="39"/>
      <c r="J493" s="39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9.5" customHeight="1">
      <c r="A494" s="39"/>
      <c r="B494" s="38"/>
      <c r="C494" s="39"/>
      <c r="D494" s="39"/>
      <c r="E494" s="39"/>
      <c r="F494" s="40"/>
      <c r="G494" s="41">
        <f>IFERROR(SUMIFS(Transactions!$F$7:$F$991,Transactions!$G$7:$G$991,A494,Transactions!$D$7:$D$991,"Expense"),0)</f>
        <v>0</v>
      </c>
      <c r="H494" s="39"/>
      <c r="I494" s="39"/>
      <c r="J494" s="39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9.5" customHeight="1">
      <c r="A495" s="39"/>
      <c r="B495" s="38"/>
      <c r="C495" s="39"/>
      <c r="D495" s="39"/>
      <c r="E495" s="39"/>
      <c r="F495" s="40"/>
      <c r="G495" s="41">
        <f>IFERROR(SUMIFS(Transactions!$F$7:$F$991,Transactions!$G$7:$G$991,A495,Transactions!$D$7:$D$991,"Expense"),0)</f>
        <v>0</v>
      </c>
      <c r="H495" s="39"/>
      <c r="I495" s="39"/>
      <c r="J495" s="39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9.5" customHeight="1">
      <c r="A496" s="39"/>
      <c r="B496" s="38"/>
      <c r="C496" s="39"/>
      <c r="D496" s="39"/>
      <c r="E496" s="39"/>
      <c r="F496" s="40"/>
      <c r="G496" s="41">
        <f>IFERROR(SUMIFS(Transactions!$F$7:$F$991,Transactions!$G$7:$G$991,A496,Transactions!$D$7:$D$991,"Expense"),0)</f>
        <v>0</v>
      </c>
      <c r="H496" s="39"/>
      <c r="I496" s="39"/>
      <c r="J496" s="39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9.5" customHeight="1">
      <c r="A497" s="39"/>
      <c r="B497" s="38"/>
      <c r="C497" s="39"/>
      <c r="D497" s="39"/>
      <c r="E497" s="39"/>
      <c r="F497" s="40"/>
      <c r="G497" s="41">
        <f>IFERROR(SUMIFS(Transactions!$F$7:$F$991,Transactions!$G$7:$G$991,A497,Transactions!$D$7:$D$991,"Expense"),0)</f>
        <v>0</v>
      </c>
      <c r="H497" s="39"/>
      <c r="I497" s="39"/>
      <c r="J497" s="39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9.5" customHeight="1">
      <c r="A498" s="39"/>
      <c r="B498" s="38"/>
      <c r="C498" s="39"/>
      <c r="D498" s="39"/>
      <c r="E498" s="39"/>
      <c r="F498" s="40"/>
      <c r="G498" s="41">
        <f>IFERROR(SUMIFS(Transactions!$F$7:$F$991,Transactions!$G$7:$G$991,A498,Transactions!$D$7:$D$991,"Expense"),0)</f>
        <v>0</v>
      </c>
      <c r="H498" s="39"/>
      <c r="I498" s="39"/>
      <c r="J498" s="39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9.5" customHeight="1">
      <c r="A499" s="39"/>
      <c r="B499" s="38"/>
      <c r="C499" s="39"/>
      <c r="D499" s="39"/>
      <c r="E499" s="39"/>
      <c r="F499" s="40"/>
      <c r="G499" s="41">
        <f>IFERROR(SUMIFS(Transactions!$F$7:$F$991,Transactions!$G$7:$G$991,A499,Transactions!$D$7:$D$991,"Expense"),0)</f>
        <v>0</v>
      </c>
      <c r="H499" s="39"/>
      <c r="I499" s="39"/>
      <c r="J499" s="39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9.5" customHeight="1">
      <c r="A500" s="39"/>
      <c r="B500" s="38"/>
      <c r="C500" s="39"/>
      <c r="D500" s="39"/>
      <c r="E500" s="39"/>
      <c r="F500" s="40"/>
      <c r="G500" s="41">
        <f>IFERROR(SUMIFS(Transactions!$F$7:$F$991,Transactions!$G$7:$G$991,A500,Transactions!$D$7:$D$991,"Expense"),0)</f>
        <v>0</v>
      </c>
      <c r="H500" s="39"/>
      <c r="I500" s="39"/>
      <c r="J500" s="39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9.5" customHeight="1">
      <c r="A501" s="39"/>
      <c r="B501" s="38"/>
      <c r="C501" s="39"/>
      <c r="D501" s="39"/>
      <c r="E501" s="39"/>
      <c r="F501" s="40"/>
      <c r="G501" s="41">
        <f>IFERROR(SUMIFS(Transactions!$F$7:$F$991,Transactions!$G$7:$G$991,A501,Transactions!$D$7:$D$991,"Expense"),0)</f>
        <v>0</v>
      </c>
      <c r="H501" s="39"/>
      <c r="I501" s="39"/>
      <c r="J501" s="39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9.5" customHeight="1">
      <c r="A502" s="39"/>
      <c r="B502" s="38"/>
      <c r="C502" s="39"/>
      <c r="D502" s="39"/>
      <c r="E502" s="39"/>
      <c r="F502" s="40"/>
      <c r="G502" s="41">
        <f>IFERROR(SUMIFS(Transactions!$F$7:$F$991,Transactions!$G$7:$G$991,A502,Transactions!$D$7:$D$991,"Expense"),0)</f>
        <v>0</v>
      </c>
      <c r="H502" s="39"/>
      <c r="I502" s="39"/>
      <c r="J502" s="39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9.5" customHeight="1">
      <c r="A503" s="39"/>
      <c r="B503" s="38"/>
      <c r="C503" s="39"/>
      <c r="D503" s="39"/>
      <c r="E503" s="39"/>
      <c r="F503" s="40"/>
      <c r="G503" s="41">
        <f>IFERROR(SUMIFS(Transactions!$F$7:$F$991,Transactions!$G$7:$G$991,A503,Transactions!$D$7:$D$991,"Expense"),0)</f>
        <v>0</v>
      </c>
      <c r="H503" s="39"/>
      <c r="I503" s="39"/>
      <c r="J503" s="39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9.5" customHeight="1">
      <c r="A504" s="39"/>
      <c r="B504" s="38"/>
      <c r="C504" s="39"/>
      <c r="D504" s="39"/>
      <c r="E504" s="39"/>
      <c r="F504" s="40"/>
      <c r="G504" s="41">
        <f>IFERROR(SUMIFS(Transactions!$F$7:$F$991,Transactions!$G$7:$G$991,A504,Transactions!$D$7:$D$991,"Expense"),0)</f>
        <v>0</v>
      </c>
      <c r="H504" s="39"/>
      <c r="I504" s="39"/>
      <c r="J504" s="39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9.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9.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10" width="14.0"/>
    <col customWidth="1" hidden="1" min="11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77" width="14.0"/>
  </cols>
  <sheetData>
    <row r="1" ht="37.5" customHeight="1">
      <c r="A1" s="1"/>
      <c r="B1" s="1" t="s">
        <v>2</v>
      </c>
      <c r="C1" s="3"/>
      <c r="D1" s="3"/>
      <c r="E1" s="3"/>
      <c r="F1" s="3"/>
      <c r="G1" s="5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</row>
    <row r="2" ht="33.0" customHeight="1">
      <c r="A2" s="7"/>
      <c r="B2" s="24" t="str">
        <f>IF(AND(Transactions!$D7="Expense",Transactions!$G7&lt;&gt;""),"-&gt; "&amp;Transactions!$G7,"")</f>
        <v>-&gt; PEC</v>
      </c>
      <c r="C2" s="24" t="str">
        <f>IF(AND(Transactions!$D8="Expense",Transactions!$G8&lt;&gt;""),"-&gt; "&amp;Transactions!$G8,"")</f>
        <v>-&gt; SFI</v>
      </c>
      <c r="D2" s="24" t="str">
        <f>IF(AND(Transactions!$D9="Expense",Transactions!$G9&lt;&gt;""),"-&gt; "&amp;Transactions!$G9,"")</f>
        <v/>
      </c>
      <c r="E2" s="24" t="str">
        <f>IF(AND(Transactions!$D10="Expense",Transactions!$G10&lt;&gt;""),"-&gt; "&amp;Transactions!$G10,"")</f>
        <v/>
      </c>
      <c r="F2" s="24" t="str">
        <f>IF(AND(Transactions!$D11="Expense",Transactions!$G11&lt;&gt;""),"-&gt; "&amp;Transactions!$G11,"")</f>
        <v/>
      </c>
      <c r="G2" s="24" t="str">
        <f>IF(AND(Transactions!$D12="Expense",Transactions!$G12&lt;&gt;""),"-&gt; "&amp;Transactions!$G12,"")</f>
        <v>-&gt; May-July Fields</v>
      </c>
      <c r="H2" s="24" t="str">
        <f>IF(AND(Transactions!$D13="Expense",Transactions!$G13&lt;&gt;""),"-&gt; "&amp;Transactions!$G13,"")</f>
        <v>-&gt; PEC</v>
      </c>
      <c r="I2" s="24" t="str">
        <f>IF(AND(Transactions!$D14="Expense",Transactions!$G14&lt;&gt;""),"-&gt; "&amp;Transactions!$G14,"")</f>
        <v>-&gt; PEC</v>
      </c>
      <c r="J2" s="24" t="str">
        <f>IF(AND(#REF!="Expense",#REF!&lt;&gt;""),"-&gt; "&amp;#REF!,"")</f>
        <v>#REF!</v>
      </c>
      <c r="K2" s="24" t="str">
        <f>IF(AND(Transactions!$D15="Expense",Transactions!$G15&lt;&gt;""),"-&gt; "&amp;Transactions!$G15,"")</f>
        <v/>
      </c>
      <c r="L2" s="24" t="str">
        <f>IF(AND(Transactions!$D16="Expense",Transactions!$G16&lt;&gt;""),"-&gt; "&amp;Transactions!$G16,"")</f>
        <v>-&gt; PEC</v>
      </c>
      <c r="M2" s="24" t="str">
        <f>IF(AND(Transactions!$D17="Expense",Transactions!$G17&lt;&gt;""),"-&gt; "&amp;Transactions!$G17,"")</f>
        <v>-&gt; PEC</v>
      </c>
      <c r="N2" s="24" t="str">
        <f>IF(AND(Transactions!$D18="Expense",Transactions!$G18&lt;&gt;""),"-&gt; "&amp;Transactions!$G18,"")</f>
        <v/>
      </c>
      <c r="O2" s="24" t="str">
        <f>IF(AND(Transactions!$D19="Expense",Transactions!$G19&lt;&gt;""),"-&gt; "&amp;Transactions!$G19,"")</f>
        <v>-&gt; PEC</v>
      </c>
      <c r="P2" s="24" t="str">
        <f>IF(AND(Transactions!$D20="Expense",Transactions!$G20&lt;&gt;""),"-&gt; "&amp;Transactions!$G20,"")</f>
        <v>-&gt; PEC</v>
      </c>
      <c r="Q2" s="24" t="str">
        <f>IF(AND(Transactions!$D21="Expense",Transactions!$G21&lt;&gt;""),"-&gt; "&amp;Transactions!$G21,"")</f>
        <v/>
      </c>
      <c r="R2" s="24" t="str">
        <f>IF(AND(Transactions!$D22="Expense",Transactions!$G22&lt;&gt;""),"-&gt; "&amp;Transactions!$G22,"")</f>
        <v/>
      </c>
      <c r="S2" s="24" t="str">
        <f>IF(AND(Transactions!$D23="Expense",Transactions!$G23&lt;&gt;""),"-&gt; "&amp;Transactions!$G23,"")</f>
        <v/>
      </c>
      <c r="T2" s="24" t="str">
        <f>IF(AND(Transactions!$D24="Expense",Transactions!$G24&lt;&gt;""),"-&gt; "&amp;Transactions!$G24,"")</f>
        <v/>
      </c>
      <c r="U2" s="24" t="str">
        <f>IF(AND(Transactions!$D25="Expense",Transactions!$G25&lt;&gt;""),"-&gt; "&amp;Transactions!$G25,"")</f>
        <v/>
      </c>
      <c r="V2" s="24" t="str">
        <f>IF(AND(Transactions!$D26="Expense",Transactions!$G26&lt;&gt;""),"-&gt; "&amp;Transactions!$G26,"")</f>
        <v/>
      </c>
      <c r="W2" s="24" t="str">
        <f>IF(AND(Transactions!$D27="Expense",Transactions!$G27&lt;&gt;""),"-&gt; "&amp;Transactions!$G27,"")</f>
        <v/>
      </c>
      <c r="X2" s="24" t="str">
        <f>IF(AND(Transactions!$D28="Expense",Transactions!$G28&lt;&gt;""),"-&gt; "&amp;Transactions!$G28,"")</f>
        <v/>
      </c>
      <c r="Y2" s="24" t="str">
        <f>IF(AND(Transactions!$D29="Expense",Transactions!$G29&lt;&gt;""),"-&gt; "&amp;Transactions!$G29,"")</f>
        <v/>
      </c>
      <c r="Z2" s="24" t="str">
        <f>IF(AND(Transactions!$D30="Expense",Transactions!$G30&lt;&gt;""),"-&gt; "&amp;Transactions!$G30,"")</f>
        <v/>
      </c>
      <c r="AA2" s="24" t="str">
        <f>IF(AND(Transactions!$D31="Expense",Transactions!$G31&lt;&gt;""),"-&gt; "&amp;Transactions!$G31,"")</f>
        <v/>
      </c>
      <c r="AB2" s="24" t="str">
        <f>IF(AND(Transactions!$D32="Expense",Transactions!$G32&lt;&gt;""),"-&gt; "&amp;Transactions!$G32,"")</f>
        <v>-&gt; PEC</v>
      </c>
      <c r="AC2" s="24" t="str">
        <f>IF(AND(Transactions!$D33="Expense",Transactions!$G33&lt;&gt;""),"-&gt; "&amp;Transactions!$G33,"")</f>
        <v/>
      </c>
      <c r="AD2" s="24" t="str">
        <f>IF(AND(Transactions!$D34="Expense",Transactions!$G34&lt;&gt;""),"-&gt; "&amp;Transactions!$G34,"")</f>
        <v>-&gt; ESC</v>
      </c>
      <c r="AE2" s="24" t="str">
        <f>IF(AND(Transactions!$D35="Expense",Transactions!$G35&lt;&gt;""),"-&gt; "&amp;Transactions!$G35,"")</f>
        <v/>
      </c>
      <c r="AF2" s="24" t="str">
        <f>IF(AND(Transactions!$D36="Expense",Transactions!$G36&lt;&gt;""),"-&gt; "&amp;Transactions!$G36,"")</f>
        <v/>
      </c>
      <c r="AG2" s="24" t="str">
        <f>IF(AND(Transactions!$D37="Expense",Transactions!$G37&lt;&gt;""),"-&gt; "&amp;Transactions!$G37,"")</f>
        <v/>
      </c>
      <c r="AH2" s="24" t="str">
        <f>IF(AND(Transactions!$D38="Expense",Transactions!$G38&lt;&gt;""),"-&gt; "&amp;Transactions!$G38,"")</f>
        <v/>
      </c>
      <c r="AI2" s="24" t="str">
        <f>IF(AND(Transactions!$D39="Expense",Transactions!$G39&lt;&gt;""),"-&gt; "&amp;Transactions!$G39,"")</f>
        <v>-&gt; SFI</v>
      </c>
      <c r="AJ2" s="24" t="str">
        <f>IF(AND(Transactions!$D40="Expense",Transactions!$G40&lt;&gt;""),"-&gt; "&amp;Transactions!$G40,"")</f>
        <v>-&gt; SFI</v>
      </c>
      <c r="AK2" s="24" t="str">
        <f>IF(AND(Transactions!$D41="Expense",Transactions!$G41&lt;&gt;""),"-&gt; "&amp;Transactions!$G41,"")</f>
        <v>-&gt; PEC</v>
      </c>
      <c r="AL2" s="24" t="str">
        <f>IF(AND(Transactions!$D42="Expense",Transactions!$G42&lt;&gt;""),"-&gt; "&amp;Transactions!$G42,"")</f>
        <v>-&gt; May-July Fields</v>
      </c>
      <c r="AM2" s="24" t="str">
        <f>IF(AND(Transactions!$D43="Expense",Transactions!$G43&lt;&gt;""),"-&gt; "&amp;Transactions!$G43,"")</f>
        <v/>
      </c>
      <c r="AN2" s="24" t="str">
        <f>IF(AND(Transactions!$D44="Expense",Transactions!$G44&lt;&gt;""),"-&gt; "&amp;Transactions!$G44,"")</f>
        <v/>
      </c>
      <c r="AO2" s="24" t="str">
        <f>IF(AND(Transactions!$D45="Expense",Transactions!$G45&lt;&gt;""),"-&gt; "&amp;Transactions!$G45,"")</f>
        <v/>
      </c>
      <c r="AP2" s="24" t="str">
        <f>IF(AND(Transactions!$D46="Expense",Transactions!$G46&lt;&gt;""),"-&gt; "&amp;Transactions!$G46,"")</f>
        <v/>
      </c>
      <c r="AQ2" s="24" t="str">
        <f>IF(AND(Transactions!$D47="Expense",Transactions!$G47&lt;&gt;""),"-&gt; "&amp;Transactions!$G47,"")</f>
        <v/>
      </c>
      <c r="AR2" s="24" t="str">
        <f>IF(AND(Transactions!$D48="Expense",Transactions!$G48&lt;&gt;""),"-&gt; "&amp;Transactions!$G48,"")</f>
        <v/>
      </c>
      <c r="AS2" s="24" t="str">
        <f>IF(AND(Transactions!$D49="Expense",Transactions!$G49&lt;&gt;""),"-&gt; "&amp;Transactions!$G49,"")</f>
        <v/>
      </c>
      <c r="AT2" s="24" t="str">
        <f>IF(AND(Transactions!$D50="Expense",Transactions!$G50&lt;&gt;""),"-&gt; "&amp;Transactions!$G50,"")</f>
        <v/>
      </c>
      <c r="AU2" s="24" t="str">
        <f>IF(AND(Transactions!$D51="Expense",Transactions!$G51&lt;&gt;""),"-&gt; "&amp;Transactions!$G51,"")</f>
        <v/>
      </c>
      <c r="AV2" s="24" t="str">
        <f>IF(AND(Transactions!$D52="Expense",Transactions!$G52&lt;&gt;""),"-&gt; "&amp;Transactions!$G52,"")</f>
        <v/>
      </c>
      <c r="AW2" s="24" t="str">
        <f>IF(AND(Transactions!$D53="Expense",Transactions!$G53&lt;&gt;""),"-&gt; "&amp;Transactions!$G53,"")</f>
        <v/>
      </c>
      <c r="AX2" s="24" t="str">
        <f>IF(AND(Transactions!$D54="Expense",Transactions!$G54&lt;&gt;""),"-&gt; "&amp;Transactions!$G54,"")</f>
        <v/>
      </c>
      <c r="AY2" s="24" t="str">
        <f>IF(AND(Transactions!$D55="Expense",Transactions!$G55&lt;&gt;""),"-&gt; "&amp;Transactions!$G55,"")</f>
        <v/>
      </c>
      <c r="AZ2" s="24" t="str">
        <f>IF(AND(Transactions!$D56="Expense",Transactions!$G56&lt;&gt;""),"-&gt; "&amp;Transactions!$G56,"")</f>
        <v/>
      </c>
      <c r="BA2" s="24" t="str">
        <f>IF(AND(Transactions!$D57="Expense",Transactions!$G57&lt;&gt;""),"-&gt; "&amp;Transactions!$G57,"")</f>
        <v/>
      </c>
      <c r="BB2" s="24" t="str">
        <f>IF(AND(Transactions!$D58="Expense",Transactions!$G58&lt;&gt;""),"-&gt; "&amp;Transactions!$G58,"")</f>
        <v/>
      </c>
      <c r="BC2" s="24" t="str">
        <f>IF(AND(Transactions!$D59="Expense",Transactions!$G59&lt;&gt;""),"-&gt; "&amp;Transactions!$G59,"")</f>
        <v/>
      </c>
      <c r="BD2" s="24" t="str">
        <f>IF(AND(Transactions!$D60="Expense",Transactions!$G60&lt;&gt;""),"-&gt; "&amp;Transactions!$G60,"")</f>
        <v/>
      </c>
      <c r="BE2" s="24" t="str">
        <f>IF(AND(Transactions!$D61="Expense",Transactions!$G61&lt;&gt;""),"-&gt; "&amp;Transactions!$G61,"")</f>
        <v/>
      </c>
      <c r="BF2" s="24" t="str">
        <f>IF(AND(Transactions!$D62="Expense",Transactions!$G62&lt;&gt;""),"-&gt; "&amp;Transactions!$G62,"")</f>
        <v/>
      </c>
      <c r="BG2" s="24" t="str">
        <f>IF(AND(Transactions!$D63="Expense",Transactions!$G63&lt;&gt;""),"-&gt; "&amp;Transactions!$G63,"")</f>
        <v/>
      </c>
      <c r="BH2" s="24" t="str">
        <f>IF(AND(Transactions!$D64="Expense",Transactions!$G64&lt;&gt;""),"-&gt; "&amp;Transactions!$G64,"")</f>
        <v/>
      </c>
      <c r="BI2" s="24" t="str">
        <f>IF(AND(Transactions!$D65="Expense",Transactions!$G65&lt;&gt;""),"-&gt; "&amp;Transactions!$G65,"")</f>
        <v/>
      </c>
      <c r="BJ2" s="24" t="str">
        <f>IF(AND(Transactions!$D66="Expense",Transactions!$G66&lt;&gt;""),"-&gt; "&amp;Transactions!$G66,"")</f>
        <v/>
      </c>
      <c r="BK2" s="24" t="str">
        <f>IF(AND(Transactions!$D67="Expense",Transactions!$G67&lt;&gt;""),"-&gt; "&amp;Transactions!$G67,"")</f>
        <v/>
      </c>
      <c r="BL2" s="24" t="str">
        <f>IF(AND(Transactions!$D68="Expense",Transactions!$G68&lt;&gt;""),"-&gt; "&amp;Transactions!$G68,"")</f>
        <v/>
      </c>
      <c r="BM2" s="24" t="str">
        <f>IF(AND(Transactions!$D69="Expense",Transactions!$G69&lt;&gt;""),"-&gt; "&amp;Transactions!$G69,"")</f>
        <v/>
      </c>
      <c r="BN2" s="24" t="str">
        <f>IF(AND(Transactions!$D70="Expense",Transactions!$G70&lt;&gt;""),"-&gt; "&amp;Transactions!$G70,"")</f>
        <v/>
      </c>
      <c r="BO2" s="24" t="str">
        <f>IF(AND(Transactions!$D71="Expense",Transactions!$G71&lt;&gt;""),"-&gt; "&amp;Transactions!$G71,"")</f>
        <v/>
      </c>
      <c r="BP2" s="24" t="str">
        <f>IF(AND(Transactions!$D72="Expense",Transactions!$G72&lt;&gt;""),"-&gt; "&amp;Transactions!$G72,"")</f>
        <v/>
      </c>
      <c r="BQ2" s="24" t="str">
        <f>IF(AND(Transactions!$D73="Expense",Transactions!$G73&lt;&gt;""),"-&gt; "&amp;Transactions!$G73,"")</f>
        <v/>
      </c>
      <c r="BR2" s="24" t="str">
        <f>IF(AND(Transactions!$D74="Expense",Transactions!$G74&lt;&gt;""),"-&gt; "&amp;Transactions!$G74,"")</f>
        <v/>
      </c>
      <c r="BS2" s="24" t="str">
        <f>IF(AND(Transactions!$D75="Expense",Transactions!$G75&lt;&gt;""),"-&gt; "&amp;Transactions!$G75,"")</f>
        <v/>
      </c>
      <c r="BT2" s="24" t="str">
        <f>IF(AND(Transactions!$D76="Expense",Transactions!$G76&lt;&gt;""),"-&gt; "&amp;Transactions!$G76,"")</f>
        <v/>
      </c>
      <c r="BU2" s="24" t="str">
        <f>IF(AND(Transactions!$D77="Expense",Transactions!$G77&lt;&gt;""),"-&gt; "&amp;Transactions!$G77,"")</f>
        <v/>
      </c>
      <c r="BV2" s="24" t="str">
        <f>IF(AND(Transactions!$D78="Expense",Transactions!$G78&lt;&gt;""),"-&gt; "&amp;Transactions!$G78,"")</f>
        <v/>
      </c>
      <c r="BW2" s="24" t="str">
        <f>IF(AND(Transactions!$D79="Expense",Transactions!$G79&lt;&gt;""),"-&gt; "&amp;Transactions!$G79,"")</f>
        <v/>
      </c>
      <c r="BX2" s="24" t="str">
        <f>IF(AND(Transactions!$D80="Expense",Transactions!$G80&lt;&gt;""),"-&gt; "&amp;Transactions!$G80,"")</f>
        <v/>
      </c>
      <c r="BY2" s="24" t="str">
        <f>IF(AND(Transactions!$D81="Expense",Transactions!$G81&lt;&gt;""),"-&gt; "&amp;Transactions!$G81,"")</f>
        <v/>
      </c>
    </row>
    <row r="3" ht="39.75" customHeight="1">
      <c r="A3" s="13" t="s">
        <v>66</v>
      </c>
      <c r="B3" s="47" t="str">
        <f>IF(AND(Transactions!$D7="Expense",Transactions!$G7&lt;&gt;""),Transactions!$B7,"")</f>
        <v>PEC Bid Fee</v>
      </c>
      <c r="C3" s="47" t="str">
        <f>IF(AND(Transactions!$D8="Expense",Transactions!$G8&lt;&gt;""),Transactions!$B8,"")</f>
        <v>SFI Bid Fee</v>
      </c>
      <c r="D3" s="47" t="str">
        <f>IF(AND(Transactions!$D9="Expense",Transactions!$G9&lt;&gt;""),Transactions!$B9,"")</f>
        <v/>
      </c>
      <c r="E3" s="47" t="str">
        <f>IF(AND(Transactions!$D10="Expense",Transactions!$G10&lt;&gt;""),Transactions!$B10,"")</f>
        <v/>
      </c>
      <c r="F3" s="47" t="str">
        <f>IF(AND(Transactions!$D11="Expense",Transactions!$G11&lt;&gt;""),Transactions!$B11,"")</f>
        <v/>
      </c>
      <c r="G3" s="47" t="str">
        <f>IF(AND(Transactions!$D12="Expense",Transactions!$G12&lt;&gt;""),Transactions!$B12,"")</f>
        <v>Wednesday Tryout Field</v>
      </c>
      <c r="H3" s="47" t="str">
        <f>IF(AND(Transactions!$D13="Expense",Transactions!$G13&lt;&gt;""),Transactions!$B13,"")</f>
        <v>tshirts and spray paint</v>
      </c>
      <c r="I3" s="47" t="str">
        <f>IF(AND(Transactions!$D14="Expense",Transactions!$G14&lt;&gt;""),Transactions!$B14,"")</f>
        <v>gso airport minivan</v>
      </c>
      <c r="J3" s="47" t="str">
        <f>IF(AND(#REF!="Expense",#REF!&lt;&gt;""),#REF!,"")</f>
        <v>#REF!</v>
      </c>
      <c r="K3" s="47" t="str">
        <f>IF(AND(Transactions!$D15="Expense",Transactions!$G15&lt;&gt;""),Transactions!$B15,"")</f>
        <v/>
      </c>
      <c r="L3" s="47" t="str">
        <f>IF(AND(Transactions!$D16="Expense",Transactions!$G16&lt;&gt;""),Transactions!$B16,"")</f>
        <v>pec megavan</v>
      </c>
      <c r="M3" s="47" t="str">
        <f>IF(AND(Transactions!$D17="Expense",Transactions!$G17&lt;&gt;""),Transactions!$B17,"")</f>
        <v>PEC Hotel</v>
      </c>
      <c r="N3" s="47" t="str">
        <f>IF(AND(Transactions!$D18="Expense",Transactions!$G18&lt;&gt;""),Transactions!$B18,"")</f>
        <v/>
      </c>
      <c r="O3" s="47" t="str">
        <f>IF(AND(Transactions!$D19="Expense",Transactions!$G19&lt;&gt;""),Transactions!$B19,"")</f>
        <v>gso minivan gas</v>
      </c>
      <c r="P3" s="47" t="str">
        <f>IF(AND(Transactions!$D20="Expense",Transactions!$G20&lt;&gt;""),Transactions!$B20,"")</f>
        <v>Jake's Car Airport Parking</v>
      </c>
      <c r="Q3" s="47" t="str">
        <f>IF(AND(Transactions!$D21="Expense",Transactions!$G21&lt;&gt;""),Transactions!$B21,"")</f>
        <v/>
      </c>
      <c r="R3" s="47" t="str">
        <f>IF(AND(Transactions!$D22="Expense",Transactions!$G22&lt;&gt;""),Transactions!$B22,"")</f>
        <v/>
      </c>
      <c r="S3" s="47" t="str">
        <f>IF(AND(Transactions!$D23="Expense",Transactions!$G23&lt;&gt;""),Transactions!$B23,"")</f>
        <v/>
      </c>
      <c r="T3" s="47" t="str">
        <f>IF(AND(Transactions!$D24="Expense",Transactions!$G24&lt;&gt;""),Transactions!$B24,"")</f>
        <v/>
      </c>
      <c r="U3" s="47" t="str">
        <f>IF(AND(Transactions!$D25="Expense",Transactions!$G25&lt;&gt;""),Transactions!$B25,"")</f>
        <v/>
      </c>
      <c r="V3" s="47" t="str">
        <f>IF(AND(Transactions!$D26="Expense",Transactions!$G26&lt;&gt;""),Transactions!$B26,"")</f>
        <v/>
      </c>
      <c r="W3" s="47" t="str">
        <f>IF(AND(Transactions!$D27="Expense",Transactions!$G27&lt;&gt;""),Transactions!$B27,"")</f>
        <v/>
      </c>
      <c r="X3" s="47" t="str">
        <f>IF(AND(Transactions!$D28="Expense",Transactions!$G28&lt;&gt;""),Transactions!$B28,"")</f>
        <v/>
      </c>
      <c r="Y3" s="47" t="str">
        <f>IF(AND(Transactions!$D29="Expense",Transactions!$G29&lt;&gt;""),Transactions!$B29,"")</f>
        <v/>
      </c>
      <c r="Z3" s="47" t="str">
        <f>IF(AND(Transactions!$D30="Expense",Transactions!$G30&lt;&gt;""),Transactions!$B30,"")</f>
        <v/>
      </c>
      <c r="AA3" s="47" t="str">
        <f>IF(AND(Transactions!$D31="Expense",Transactions!$G31&lt;&gt;""),Transactions!$B31,"")</f>
        <v/>
      </c>
      <c r="AB3" s="47" t="str">
        <f>IF(AND(Transactions!$D32="Expense",Transactions!$G32&lt;&gt;""),Transactions!$B32,"")</f>
        <v>PEC Team Snacks</v>
      </c>
      <c r="AC3" s="47" t="str">
        <f>IF(AND(Transactions!$D33="Expense",Transactions!$G33&lt;&gt;""),Transactions!$B33,"")</f>
        <v/>
      </c>
      <c r="AD3" s="47" t="str">
        <f>IF(AND(Transactions!$D34="Expense",Transactions!$G34&lt;&gt;""),Transactions!$B34,"")</f>
        <v>ESC Bid Fee</v>
      </c>
      <c r="AE3" s="47" t="str">
        <f>IF(AND(Transactions!$D35="Expense",Transactions!$G35&lt;&gt;""),Transactions!$B35,"")</f>
        <v/>
      </c>
      <c r="AF3" s="47" t="str">
        <f>IF(AND(Transactions!$D36="Expense",Transactions!$G36&lt;&gt;""),Transactions!$B36,"")</f>
        <v/>
      </c>
      <c r="AG3" s="47" t="str">
        <f>IF(AND(Transactions!$D37="Expense",Transactions!$G37&lt;&gt;""),Transactions!$B37,"")</f>
        <v/>
      </c>
      <c r="AH3" s="47" t="str">
        <f>IF(AND(Transactions!$D38="Expense",Transactions!$G38&lt;&gt;""),Transactions!$B38,"")</f>
        <v/>
      </c>
      <c r="AI3" s="47" t="str">
        <f>IF(AND(Transactions!$D39="Expense",Transactions!$G39&lt;&gt;""),Transactions!$B39,"")</f>
        <v>SFI Team snacks</v>
      </c>
      <c r="AJ3" s="47" t="str">
        <f>IF(AND(Transactions!$D40="Expense",Transactions!$G40&lt;&gt;""),Transactions!$B40,"")</f>
        <v>SFI Hotels</v>
      </c>
      <c r="AK3" s="47" t="str">
        <f>IF(AND(Transactions!$D41="Expense",Transactions!$G41&lt;&gt;""),Transactions!$B41,"")</f>
        <v>Mega Van Tolls</v>
      </c>
      <c r="AL3" s="47" t="str">
        <f>IF(AND(Transactions!$D42="Expense",Transactions!$G42&lt;&gt;""),Transactions!$B42,"")</f>
        <v>Practice Fields thru July</v>
      </c>
      <c r="AM3" s="47" t="str">
        <f>IF(AND(Transactions!$D43="Expense",Transactions!$G43&lt;&gt;""),Transactions!$B43,"")</f>
        <v/>
      </c>
      <c r="AN3" s="47" t="str">
        <f>IF(AND(Transactions!$D44="Expense",Transactions!$G44&lt;&gt;""),Transactions!$B44,"")</f>
        <v/>
      </c>
      <c r="AO3" s="47" t="str">
        <f>IF(AND(Transactions!$D45="Expense",Transactions!$G45&lt;&gt;""),Transactions!$B45,"")</f>
        <v/>
      </c>
      <c r="AP3" s="47" t="str">
        <f>IF(AND(Transactions!$D46="Expense",Transactions!$G46&lt;&gt;""),Transactions!$B46,"")</f>
        <v/>
      </c>
      <c r="AQ3" s="47" t="str">
        <f>IF(AND(Transactions!$D47="Expense",Transactions!$G47&lt;&gt;""),Transactions!$B47,"")</f>
        <v/>
      </c>
      <c r="AR3" s="47" t="str">
        <f>IF(AND(Transactions!$D48="Expense",Transactions!$G48&lt;&gt;""),Transactions!$B48,"")</f>
        <v/>
      </c>
      <c r="AS3" s="47" t="str">
        <f>IF(AND(Transactions!$D49="Expense",Transactions!$G49&lt;&gt;""),Transactions!$B49,"")</f>
        <v/>
      </c>
      <c r="AT3" s="47" t="str">
        <f>IF(AND(Transactions!$D50="Expense",Transactions!$G50&lt;&gt;""),Transactions!$B50,"")</f>
        <v/>
      </c>
      <c r="AU3" s="47" t="str">
        <f>IF(AND(Transactions!$D51="Expense",Transactions!$G51&lt;&gt;""),Transactions!$B51,"")</f>
        <v/>
      </c>
      <c r="AV3" s="47" t="str">
        <f>IF(AND(Transactions!$D52="Expense",Transactions!$G52&lt;&gt;""),Transactions!$B52,"")</f>
        <v/>
      </c>
      <c r="AW3" s="56" t="str">
        <f>IF(AND(Transactions!$D53="Expense",Transactions!$G53&lt;&gt;""),Transactions!$B53,"")</f>
        <v/>
      </c>
      <c r="AX3" s="56" t="str">
        <f>IF(AND(Transactions!$D54="Expense",Transactions!$G54&lt;&gt;""),Transactions!$B54,"")</f>
        <v/>
      </c>
      <c r="AY3" s="56" t="str">
        <f>IF(AND(Transactions!$D55="Expense",Transactions!$G55&lt;&gt;""),Transactions!$B55,"")</f>
        <v/>
      </c>
      <c r="AZ3" s="56" t="str">
        <f>IF(AND(Transactions!$D56="Expense",Transactions!$G56&lt;&gt;""),Transactions!$B56,"")</f>
        <v/>
      </c>
      <c r="BA3" s="56" t="str">
        <f>IF(AND(Transactions!$D57="Expense",Transactions!$G57&lt;&gt;""),Transactions!$B57,"")</f>
        <v/>
      </c>
      <c r="BB3" s="56" t="str">
        <f>IF(AND(Transactions!$D58="Expense",Transactions!$G58&lt;&gt;""),Transactions!$B58,"")</f>
        <v/>
      </c>
      <c r="BC3" s="56" t="str">
        <f>IF(AND(Transactions!$D59="Expense",Transactions!$G59&lt;&gt;""),Transactions!$B59,"")</f>
        <v/>
      </c>
      <c r="BD3" s="56" t="str">
        <f>IF(AND(Transactions!$D60="Expense",Transactions!$G60&lt;&gt;""),Transactions!$B60,"")</f>
        <v/>
      </c>
      <c r="BE3" s="56" t="str">
        <f>IF(AND(Transactions!$D61="Expense",Transactions!$G61&lt;&gt;""),Transactions!$B61,"")</f>
        <v/>
      </c>
      <c r="BF3" s="56" t="str">
        <f>IF(AND(Transactions!$D62="Expense",Transactions!$G62&lt;&gt;""),Transactions!$B62,"")</f>
        <v/>
      </c>
      <c r="BG3" s="56" t="str">
        <f>IF(AND(Transactions!$D63="Expense",Transactions!$G63&lt;&gt;""),Transactions!$B63,"")</f>
        <v/>
      </c>
      <c r="BH3" s="56" t="str">
        <f>IF(AND(Transactions!$D64="Expense",Transactions!$G64&lt;&gt;""),Transactions!$B64,"")</f>
        <v/>
      </c>
      <c r="BI3" s="56" t="str">
        <f>IF(AND(Transactions!$D65="Expense",Transactions!$G65&lt;&gt;""),Transactions!$B65,"")</f>
        <v/>
      </c>
      <c r="BJ3" s="56" t="str">
        <f>IF(AND(Transactions!$D66="Expense",Transactions!$G66&lt;&gt;""),Transactions!$B66,"")</f>
        <v/>
      </c>
      <c r="BK3" s="56" t="str">
        <f>IF(AND(Transactions!$D67="Expense",Transactions!$G67&lt;&gt;""),Transactions!$B67,"")</f>
        <v/>
      </c>
      <c r="BL3" s="56" t="str">
        <f>IF(AND(Transactions!$D68="Expense",Transactions!$G68&lt;&gt;""),Transactions!$B68,"")</f>
        <v/>
      </c>
      <c r="BM3" s="56" t="str">
        <f>IF(AND(Transactions!$D69="Expense",Transactions!$G69&lt;&gt;""),Transactions!$B69,"")</f>
        <v/>
      </c>
      <c r="BN3" s="56" t="str">
        <f>IF(AND(Transactions!$D70="Expense",Transactions!$G70&lt;&gt;""),Transactions!$B70,"")</f>
        <v/>
      </c>
      <c r="BO3" s="56" t="str">
        <f>IF(AND(Transactions!$D71="Expense",Transactions!$G71&lt;&gt;""),Transactions!$B71,"")</f>
        <v/>
      </c>
      <c r="BP3" s="56" t="str">
        <f>IF(AND(Transactions!$D72="Expense",Transactions!$G72&lt;&gt;""),Transactions!$B72,"")</f>
        <v/>
      </c>
      <c r="BQ3" s="56" t="str">
        <f>IF(AND(Transactions!$D73="Expense",Transactions!$G73&lt;&gt;""),Transactions!$B73,"")</f>
        <v/>
      </c>
      <c r="BR3" s="56" t="str">
        <f>IF(AND(Transactions!$D74="Expense",Transactions!$G74&lt;&gt;""),Transactions!$B74,"")</f>
        <v/>
      </c>
      <c r="BS3" s="56" t="str">
        <f>IF(AND(Transactions!$D75="Expense",Transactions!$G75&lt;&gt;""),Transactions!$B75,"")</f>
        <v/>
      </c>
      <c r="BT3" s="56" t="str">
        <f>IF(AND(Transactions!$D76="Expense",Transactions!$G76&lt;&gt;""),Transactions!$B76,"")</f>
        <v/>
      </c>
      <c r="BU3" s="56" t="str">
        <f>IF(AND(Transactions!$D77="Expense",Transactions!$G77&lt;&gt;""),Transactions!$B77,"")</f>
        <v/>
      </c>
      <c r="BV3" s="56" t="str">
        <f>IF(AND(Transactions!$D78="Expense",Transactions!$G78&lt;&gt;""),Transactions!$B78,"")</f>
        <v/>
      </c>
      <c r="BW3" s="56" t="str">
        <f>IF(AND(Transactions!$D79="Expense",Transactions!$G79&lt;&gt;""),Transactions!$B79,"")</f>
        <v/>
      </c>
      <c r="BX3" s="56" t="str">
        <f>IF(AND(Transactions!$D80="Expense",Transactions!$G80&lt;&gt;""),Transactions!$B80,"")</f>
        <v/>
      </c>
      <c r="BY3" s="56" t="str">
        <f>IF(AND(Transactions!$D81="Expense",Transactions!$G81&lt;&gt;""),Transactions!$B81,"")</f>
        <v/>
      </c>
    </row>
    <row r="4" ht="18.0" customHeight="1">
      <c r="A4" s="60" t="s">
        <v>89</v>
      </c>
      <c r="B4" s="61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61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61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61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61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61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61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61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61" t="str">
        <f t="array" ref="J4">IF(J3="","",IFERROR(IF(INDEX(Events!$I$5:$I$204,MATCH(#REF!,Events!$A$5:$A$204,0))="Equal Split",#REF!/MAX(1,COUNTIFS('Access Codes'!$C$6:$C$105,"Player",'Access Codes'!$D$6:$D$105,"Active")),IF(INDEX(Events!$I$5:$I$204,MATCH(#REF!,Events!$A$5:$A$204,0))="Attendance",#REF!/MAX(1,COUNTIF(J$7:J$206,"1")),0)),0))</f>
        <v>#REF!</v>
      </c>
      <c r="K4" s="61" t="str">
        <f t="array" ref="K4">IF(K3="","",IFERROR(IF(INDEX(Events!$I$5:$I$204,MATCH(Transactions!$G15,Events!$A$5:$A$204,0))="Equal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Codes'!$D$6:$D$105,"Active")),IF(INDEX(Events!$I$5:$I$204,MATCH(Transactions!$G15,Events!$A$5:$A$204,0))="Attendance",Transactions!$F15/MAX(1,COUNTIF(K$7:K$206,"1")),0)),0))</f>
        <v/>
      </c>
      <c r="L4" s="61">
        <f t="array" ref="L4">IF(L3="","",IFERROR(IF(INDEX(Events!$I$5:$I$204,MATCH(Transactions!$G16,Events!$A$5:$A$204,0))="Equal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Codes'!$D$6:$D$105,"Active")),IF(INDEX(Events!$I$5:$I$204,MATCH(Transactions!$G16,Events!$A$5:$A$204,0))="Attendance",Transactions!$F16/MAX(1,COUNTIF(L$7:L$206,"1")),0)),0))</f>
        <v>0</v>
      </c>
      <c r="M4" s="61">
        <f t="array" ref="M4">IF(M3="","",IFERROR(IF(INDEX(Events!$I$5:$I$204,MATCH(Transactions!$G17,Events!$A$5:$A$204,0))="Equal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Codes'!$D$6:$D$105,"Active")),IF(INDEX(Events!$I$5:$I$204,MATCH(Transactions!$G17,Events!$A$5:$A$204,0))="Attendance",Transactions!$F17/MAX(1,COUNTIF(M$7:M$206,"1")),0)),0))</f>
        <v>129.17</v>
      </c>
      <c r="N4" s="61" t="str">
        <f t="array" ref="N4">IF(N3="","",IFERROR(IF(INDEX(Events!$I$5:$I$204,MATCH(Transactions!$G18,Events!$A$5:$A$204,0))="Equal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Codes'!$D$6:$D$105,"Active")),IF(INDEX(Events!$I$5:$I$204,MATCH(Transactions!$G18,Events!$A$5:$A$204,0))="Attendance",Transactions!$F18/MAX(1,COUNTIF(N$7:N$206,"1")),0)),0))</f>
        <v/>
      </c>
      <c r="O4" s="61">
        <f t="array" ref="O4">IF(O3="","",IFERROR(IF(INDEX(Events!$I$5:$I$204,MATCH(Transactions!$G19,Events!$A$5:$A$204,0))="Equal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Codes'!$D$6:$D$105,"Active")),IF(INDEX(Events!$I$5:$I$204,MATCH(Transactions!$G19,Events!$A$5:$A$204,0))="Attendance",Transactions!$F19/MAX(1,COUNTIF(O$7:O$206,"1")),0)),0))</f>
        <v>2.543333333</v>
      </c>
      <c r="P4" s="61">
        <f t="array" ref="P4">IF(P3="","",IFERROR(IF(INDEX(Events!$I$5:$I$204,MATCH(Transactions!$G20,Events!$A$5:$A$204,0))="Equal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Codes'!$D$6:$D$105,"Active")),IF(INDEX(Events!$I$5:$I$204,MATCH(Transactions!$G20,Events!$A$5:$A$204,0))="Attendance",Transactions!$F20/MAX(1,COUNTIF(P$7:P$206,"1")),0)),0))</f>
        <v>20.91</v>
      </c>
      <c r="Q4" s="61" t="str">
        <f t="array" ref="Q4">IF(Q3="","",IFERROR(IF(INDEX(Events!$I$5:$I$204,MATCH(Transactions!$G21,Events!$A$5:$A$204,0))="Equal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Codes'!$D$6:$D$105,"Active")),IF(INDEX(Events!$I$5:$I$204,MATCH(Transactions!$G21,Events!$A$5:$A$204,0))="Attendance",Transactions!$F21/MAX(1,COUNTIF(Q$7:Q$206,"1")),0)),0))</f>
        <v/>
      </c>
      <c r="R4" s="61" t="str">
        <f t="array" ref="R4">IF(R3="","",IFERROR(IF(INDEX(Events!$I$5:$I$204,MATCH(Transactions!$G22,Events!$A$5:$A$204,0))="Equal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Codes'!$D$6:$D$105,"Active")),IF(INDEX(Events!$I$5:$I$204,MATCH(Transactions!$G22,Events!$A$5:$A$204,0))="Attendance",Transactions!$F22/MAX(1,COUNTIF(R$7:R$206,"1")),0)),0))</f>
        <v/>
      </c>
      <c r="S4" s="61" t="str">
        <f t="array" ref="S4">IF(S3="","",IFERROR(IF(INDEX(Events!$I$5:$I$204,MATCH(Transactions!$G23,Events!$A$5:$A$204,0))="Equal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Codes'!$D$6:$D$105,"Active")),IF(INDEX(Events!$I$5:$I$204,MATCH(Transactions!$G23,Events!$A$5:$A$204,0))="Attendance",Transactions!$F23/MAX(1,COUNTIF(S$7:S$206,"1")),0)),0))</f>
        <v/>
      </c>
      <c r="T4" s="61" t="str">
        <f t="array" ref="T4">IF(T3="","",IFERROR(IF(INDEX(Events!$I$5:$I$204,MATCH(Transactions!$G24,Events!$A$5:$A$204,0))="Equal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Codes'!$D$6:$D$105,"Active")),IF(INDEX(Events!$I$5:$I$204,MATCH(Transactions!$G24,Events!$A$5:$A$204,0))="Attendance",Transactions!$F24/MAX(1,COUNTIF(T$7:T$206,"1")),0)),0))</f>
        <v/>
      </c>
      <c r="U4" s="61" t="str">
        <f t="array" ref="U4">IF(U3="","",IFERROR(IF(INDEX(Events!$I$5:$I$204,MATCH(Transactions!$G25,Events!$A$5:$A$204,0))="Equal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Codes'!$D$6:$D$105,"Active")),IF(INDEX(Events!$I$5:$I$204,MATCH(Transactions!$G25,Events!$A$5:$A$204,0))="Attendance",Transactions!$F25/MAX(1,COUNTIF(U$7:U$206,"1")),0)),0))</f>
        <v/>
      </c>
      <c r="V4" s="61" t="str">
        <f t="array" ref="V4">IF(V3="","",IFERROR(IF(INDEX(Events!$I$5:$I$204,MATCH(Transactions!$G26,Events!$A$5:$A$204,0))="Equal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Codes'!$D$6:$D$105,"Active")),IF(INDEX(Events!$I$5:$I$204,MATCH(Transactions!$G26,Events!$A$5:$A$204,0))="Attendance",Transactions!$F26/MAX(1,COUNTIF(V$7:V$206,"1")),0)),0))</f>
        <v/>
      </c>
      <c r="W4" s="61" t="str">
        <f t="array" ref="W4">IF(W3="","",IFERROR(IF(INDEX(Events!$I$5:$I$204,MATCH(Transactions!$G27,Events!$A$5:$A$204,0))="Equal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Codes'!$D$6:$D$105,"Active")),IF(INDEX(Events!$I$5:$I$204,MATCH(Transactions!$G27,Events!$A$5:$A$204,0))="Attendance",Transactions!$F27/MAX(1,COUNTIF(W$7:W$206,"1")),0)),0))</f>
        <v/>
      </c>
      <c r="X4" s="61" t="str">
        <f t="array" ref="X4">IF(X3="","",IFERROR(IF(INDEX(Events!$I$5:$I$204,MATCH(Transactions!$G28,Events!$A$5:$A$204,0))="Equal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Codes'!$D$6:$D$105,"Active")),IF(INDEX(Events!$I$5:$I$204,MATCH(Transactions!$G28,Events!$A$5:$A$204,0))="Attendance",Transactions!$F28/MAX(1,COUNTIF(X$7:X$206,"1")),0)),0))</f>
        <v/>
      </c>
      <c r="Y4" s="61" t="str">
        <f t="array" ref="Y4">IF(Y3="","",IFERROR(IF(INDEX(Events!$I$5:$I$204,MATCH(Transactions!$G29,Events!$A$5:$A$204,0))="Equal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Codes'!$D$6:$D$105,"Active")),IF(INDEX(Events!$I$5:$I$204,MATCH(Transactions!$G29,Events!$A$5:$A$204,0))="Attendance",Transactions!$F29/MAX(1,COUNTIF(Y$7:Y$206,"1")),0)),0))</f>
        <v/>
      </c>
      <c r="Z4" s="61" t="str">
        <f t="array" ref="Z4">IF(Z3="","",IFERROR(IF(INDEX(Events!$I$5:$I$204,MATCH(Transactions!$G30,Events!$A$5:$A$204,0))="Equal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Codes'!$D$6:$D$105,"Active")),IF(INDEX(Events!$I$5:$I$204,MATCH(Transactions!$G30,Events!$A$5:$A$204,0))="Attendance",Transactions!$F30/MAX(1,COUNTIF(Z$7:Z$206,"1")),0)),0))</f>
        <v/>
      </c>
      <c r="AA4" s="61" t="str">
        <f t="array" ref="AA4">IF(AA3="","",IFERROR(IF(INDEX(Events!$I$5:$I$204,MATCH(Transactions!$G31,Events!$A$5:$A$204,0))="Equal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Codes'!$D$6:$D$105,"Active")),IF(INDEX(Events!$I$5:$I$204,MATCH(Transactions!$G31,Events!$A$5:$A$204,0))="Attendance",Transactions!$F31/MAX(1,COUNTIF(AA$7:AA$206,"1")),0)),0))</f>
        <v/>
      </c>
      <c r="AB4" s="61">
        <f t="array" ref="AB4">IF(AB3="","",IFERROR(IF(INDEX(Events!$I$5:$I$204,MATCH(Transactions!$G32,Events!$A$5:$A$204,0))="Equal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Codes'!$D$6:$D$105,"Active")),IF(INDEX(Events!$I$5:$I$204,MATCH(Transactions!$G32,Events!$A$5:$A$204,0))="Attendance",Transactions!$F32/MAX(1,COUNTIF(AB$7:AB$206,"1")),0)),0))</f>
        <v>7.244285714</v>
      </c>
      <c r="AC4" s="61" t="str">
        <f t="array" ref="AC4">IF(AC3="","",IFERROR(IF(INDEX(Events!$I$5:$I$204,MATCH(Transactions!$G33,Events!$A$5:$A$204,0))="Equal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Codes'!$D$6:$D$105,"Active")),IF(INDEX(Events!$I$5:$I$204,MATCH(Transactions!$G33,Events!$A$5:$A$204,0))="Attendance",Transactions!$F33/MAX(1,COUNTIF(AC$7:AC$206,"1")),0)),0))</f>
        <v/>
      </c>
      <c r="AD4" s="61">
        <f t="array" ref="AD4">IF(AD3="","",IFERROR(IF(INDEX(Events!$I$5:$I$204,MATCH(Transactions!$G34,Events!$A$5:$A$204,0))="Equal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Codes'!$D$6:$D$105,"Active")),IF(INDEX(Events!$I$5:$I$204,MATCH(Transactions!$G34,Events!$A$5:$A$204,0))="Attendance",Transactions!$F34/MAX(1,COUNTIF(AD$7:AD$206,"1")),0)),0))</f>
        <v>0</v>
      </c>
      <c r="AE4" s="61" t="str">
        <f t="array" ref="AE4">IF(AE3="","",IFERROR(IF(INDEX(Events!$I$5:$I$204,MATCH(Transactions!$G35,Events!$A$5:$A$204,0))="Equal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Codes'!$D$6:$D$105,"Active")),IF(INDEX(Events!$I$5:$I$204,MATCH(Transactions!$G35,Events!$A$5:$A$204,0))="Attendance",Transactions!$F35/MAX(1,COUNTIF(AE$7:AE$206,"1")),0)),0))</f>
        <v/>
      </c>
      <c r="AF4" s="61" t="str">
        <f t="array" ref="AF4">IF(AF3="","",IFERROR(IF(INDEX(Events!$I$5:$I$204,MATCH(Transactions!$G36,Events!$A$5:$A$204,0))="Equal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Codes'!$D$6:$D$105,"Active")),IF(INDEX(Events!$I$5:$I$204,MATCH(Transactions!$G36,Events!$A$5:$A$204,0))="Attendance",Transactions!$F36/MAX(1,COUNTIF(AF$7:AF$206,"1")),0)),0))</f>
        <v/>
      </c>
      <c r="AG4" s="61" t="str">
        <f t="array" ref="AG4">IF(AG3="","",IFERROR(IF(INDEX(Events!$I$5:$I$204,MATCH(Transactions!$G37,Events!$A$5:$A$204,0))="Equal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Codes'!$D$6:$D$105,"Active")),IF(INDEX(Events!$I$5:$I$204,MATCH(Transactions!$G37,Events!$A$5:$A$204,0))="Attendance",Transactions!$F37/MAX(1,COUNTIF(AG$7:AG$206,"1")),0)),0))</f>
        <v/>
      </c>
      <c r="AH4" s="61" t="str">
        <f t="array" ref="AH4">IF(AH3="","",IFERROR(IF(INDEX(Events!$I$5:$I$204,MATCH(Transactions!$G38,Events!$A$5:$A$204,0))="Equal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Codes'!$D$6:$D$105,"Active")),IF(INDEX(Events!$I$5:$I$204,MATCH(Transactions!$G38,Events!$A$5:$A$204,0))="Attendance",Transactions!$F38/MAX(1,COUNTIF(AH$7:AH$206,"1")),0)),0))</f>
        <v/>
      </c>
      <c r="AI4" s="61">
        <f t="array" ref="AI4">IF(AI3="","",IFERROR(IF(INDEX(Events!$I$5:$I$204,MATCH(Transactions!$G39,Events!$A$5:$A$204,0))="Equal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Codes'!$D$6:$D$105,"Active")),IF(INDEX(Events!$I$5:$I$204,MATCH(Transactions!$G39,Events!$A$5:$A$204,0))="Attendance",Transactions!$F39/MAX(1,COUNTIF(AI$7:AI$206,"1")),0)),0))</f>
        <v>12.64125</v>
      </c>
      <c r="AJ4" s="61">
        <f t="array" ref="AJ4">IF(AJ3="","",IFERROR(IF(INDEX(Events!$I$5:$I$204,MATCH(Transactions!$G40,Events!$A$5:$A$204,0))="Equal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Codes'!$D$6:$D$105,"Active")),IF(INDEX(Events!$I$5:$I$204,MATCH(Transactions!$G40,Events!$A$5:$A$204,0))="Attendance",Transactions!$F40/MAX(1,COUNTIF(AJ$7:AJ$206,"1")),0)),0))</f>
        <v>95.568</v>
      </c>
      <c r="AK4" s="61">
        <f t="array" ref="AK4">IF(AK3="","",IFERROR(IF(INDEX(Events!$I$5:$I$204,MATCH(Transactions!$G41,Events!$A$5:$A$204,0))="Equal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Codes'!$D$6:$D$105,"Active")),IF(INDEX(Events!$I$5:$I$204,MATCH(Transactions!$G41,Events!$A$5:$A$204,0))="Attendance",Transactions!$F41/MAX(1,COUNTIF(AK$7:AK$206,"1")),0)),0))</f>
        <v>2.285</v>
      </c>
      <c r="AL4" s="61">
        <f t="array" ref="AL4">IF(AL3="","",IFERROR(IF(INDEX(Events!$I$5:$I$204,MATCH(Transactions!$G42,Events!$A$5:$A$204,0))="Equal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Codes'!$D$6:$D$105,"Active")),IF(INDEX(Events!$I$5:$I$204,MATCH(Transactions!$G42,Events!$A$5:$A$204,0))="Attendance",Transactions!$F42/MAX(1,COUNTIF(AL$7:AL$206,"1")),0)),0))</f>
        <v>68.39393939</v>
      </c>
      <c r="AM4" s="61" t="str">
        <f t="array" ref="AM4">IF(AM3="","",IFERROR(IF(INDEX(Events!$I$5:$I$204,MATCH(Transactions!$G43,Events!$A$5:$A$204,0))="Equal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Codes'!$D$6:$D$105,"Active")),IF(INDEX(Events!$I$5:$I$204,MATCH(Transactions!$G43,Events!$A$5:$A$204,0))="Attendance",Transactions!$F43/MAX(1,COUNTIF(AM$7:AM$206,"1")),0)),0))</f>
        <v/>
      </c>
      <c r="AN4" s="61" t="str">
        <f t="array" ref="AN4">IF(AN3="","",IFERROR(IF(INDEX(Events!$I$5:$I$204,MATCH(Transactions!$G44,Events!$A$5:$A$204,0))="Equal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Codes'!$D$6:$D$105,"Active")),IF(INDEX(Events!$I$5:$I$204,MATCH(Transactions!$G44,Events!$A$5:$A$204,0))="Attendance",Transactions!$F44/MAX(1,COUNTIF(AN$7:AN$206,"1")),0)),0))</f>
        <v/>
      </c>
      <c r="AO4" s="61" t="str">
        <f t="array" ref="AO4">IF(AO3="","",IFERROR(IF(INDEX(Events!$I$5:$I$204,MATCH(Transactions!$G45,Events!$A$5:$A$204,0))="Equal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Codes'!$D$6:$D$105,"Active")),IF(INDEX(Events!$I$5:$I$204,MATCH(Transactions!$G45,Events!$A$5:$A$204,0))="Attendance",Transactions!$F45/MAX(1,COUNTIF(AO$7:AO$206,"1")),0)),0))</f>
        <v/>
      </c>
      <c r="AP4" s="61" t="str">
        <f t="array" ref="AP4">IF(AP3="","",IFERROR(IF(INDEX(Events!$I$5:$I$204,MATCH(Transactions!$G46,Events!$A$5:$A$204,0))="Equal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Codes'!$D$6:$D$105,"Active")),IF(INDEX(Events!$I$5:$I$204,MATCH(Transactions!$G46,Events!$A$5:$A$204,0))="Attendance",Transactions!$F46/MAX(1,COUNTIF(AP$7:AP$206,"1")),0)),0))</f>
        <v/>
      </c>
      <c r="AQ4" s="61" t="str">
        <f t="array" ref="AQ4">IF(AQ3="","",IFERROR(IF(INDEX(Events!$I$5:$I$204,MATCH(Transactions!$G47,Events!$A$5:$A$204,0))="Equal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Codes'!$D$6:$D$105,"Active")),IF(INDEX(Events!$I$5:$I$204,MATCH(Transactions!$G47,Events!$A$5:$A$204,0))="Attendance",Transactions!$F47/MAX(1,COUNTIF(AQ$7:AQ$206,"1")),0)),0))</f>
        <v/>
      </c>
      <c r="AR4" s="61" t="str">
        <f t="array" ref="AR4">IF(AR3="","",IFERROR(IF(INDEX(Events!$I$5:$I$204,MATCH(Transactions!$G48,Events!$A$5:$A$204,0))="Equal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Codes'!$D$6:$D$105,"Active")),IF(INDEX(Events!$I$5:$I$204,MATCH(Transactions!$G48,Events!$A$5:$A$204,0))="Attendance",Transactions!$F48/MAX(1,COUNTIF(AR$7:AR$206,"1")),0)),0))</f>
        <v/>
      </c>
      <c r="AS4" s="61" t="str">
        <f t="array" ref="AS4">IF(AS3="","",IFERROR(IF(INDEX(Events!$I$5:$I$204,MATCH(Transactions!$G49,Events!$A$5:$A$204,0))="Equal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Codes'!$D$6:$D$105,"Active")),IF(INDEX(Events!$I$5:$I$204,MATCH(Transactions!$G49,Events!$A$5:$A$204,0))="Attendance",Transactions!$F49/MAX(1,COUNTIF(AS$7:AS$206,"1")),0)),0))</f>
        <v/>
      </c>
      <c r="AT4" s="61" t="str">
        <f t="array" ref="AT4">IF(AT3="","",IFERROR(IF(INDEX(Events!$I$5:$I$204,MATCH(Transactions!$G50,Events!$A$5:$A$204,0))="Equal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Codes'!$D$6:$D$105,"Active")),IF(INDEX(Events!$I$5:$I$204,MATCH(Transactions!$G50,Events!$A$5:$A$204,0))="Attendance",Transactions!$F50/MAX(1,COUNTIF(AT$7:AT$206,"1")),0)),0))</f>
        <v/>
      </c>
      <c r="AU4" s="61" t="str">
        <f t="array" ref="AU4">IF(AU3="","",IFERROR(IF(INDEX(Events!$I$5:$I$204,MATCH(Transactions!$G51,Events!$A$5:$A$204,0))="Equal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Codes'!$D$6:$D$105,"Active")),IF(INDEX(Events!$I$5:$I$204,MATCH(Transactions!$G51,Events!$A$5:$A$204,0))="Attendance",Transactions!$F51/MAX(1,COUNTIF(AU$7:AU$206,"1")),0)),0))</f>
        <v/>
      </c>
      <c r="AV4" s="61" t="str">
        <f t="array" ref="AV4">IF(AV3="","",IFERROR(IF(INDEX(Events!$I$5:$I$204,MATCH(Transactions!$G52,Events!$A$5:$A$204,0))="Equal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Codes'!$D$6:$D$105,"Active")),IF(INDEX(Events!$I$5:$I$204,MATCH(Transactions!$G52,Events!$A$5:$A$204,0))="Attendance",Transactions!$F52/MAX(1,COUNTIF(AV$7:AV$206,"1")),0)),0))</f>
        <v/>
      </c>
      <c r="AW4" s="67" t="str">
        <f t="array" ref="AW4">IF(AW3="","",IFERROR(IF(INDEX(Events!$I$5:$I$204,MATCH(Transactions!$G53,Events!$A$5:$A$204,0))="Equal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Codes'!$D$6:$D$105,"Active")),IF(INDEX(Events!$I$5:$I$204,MATCH(Transactions!$G53,Events!$A$5:$A$204,0))="Attendance",Transactions!$F53/MAX(1,COUNTIF(AW$7:AW$206,"1")),0)),0))</f>
        <v/>
      </c>
      <c r="AX4" s="67" t="str">
        <f t="array" ref="AX4">IF(AX3="","",IFERROR(IF(INDEX(Events!$I$5:$I$204,MATCH(Transactions!$G54,Events!$A$5:$A$204,0))="Equal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Codes'!$D$6:$D$105,"Active")),IF(INDEX(Events!$I$5:$I$204,MATCH(Transactions!$G54,Events!$A$5:$A$204,0))="Attendance",Transactions!$F54/MAX(1,COUNTIF(AX$7:AX$206,"1")),0)),0))</f>
        <v/>
      </c>
      <c r="AY4" s="67" t="str">
        <f t="array" ref="AY4">IF(AY3="","",IFERROR(IF(INDEX(Events!$I$5:$I$204,MATCH(Transactions!$G55,Events!$A$5:$A$204,0))="Equal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Codes'!$D$6:$D$105,"Active")),IF(INDEX(Events!$I$5:$I$204,MATCH(Transactions!$G55,Events!$A$5:$A$204,0))="Attendance",Transactions!$F55/MAX(1,COUNTIF(AY$7:AY$206,"1")),0)),0))</f>
        <v/>
      </c>
      <c r="AZ4" s="67" t="str">
        <f t="array" ref="AZ4">IF(AZ3="","",IFERROR(IF(INDEX(Events!$I$5:$I$204,MATCH(Transactions!$G56,Events!$A$5:$A$204,0))="Equal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Codes'!$D$6:$D$105,"Active")),IF(INDEX(Events!$I$5:$I$204,MATCH(Transactions!$G56,Events!$A$5:$A$204,0))="Attendance",Transactions!$F56/MAX(1,COUNTIF(AZ$7:AZ$206,"1")),0)),0))</f>
        <v/>
      </c>
      <c r="BA4" s="67" t="str">
        <f t="array" ref="BA4">IF(BA3="","",IFERROR(IF(INDEX(Events!$I$5:$I$204,MATCH(Transactions!$G57,Events!$A$5:$A$204,0))="Equal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Codes'!$D$6:$D$105,"Active")),IF(INDEX(Events!$I$5:$I$204,MATCH(Transactions!$G57,Events!$A$5:$A$204,0))="Attendance",Transactions!$F57/MAX(1,COUNTIF(BA$7:BA$206,"1")),0)),0))</f>
        <v/>
      </c>
      <c r="BB4" s="67" t="str">
        <f t="array" ref="BB4">IF(BB3="","",IFERROR(IF(INDEX(Events!$I$5:$I$204,MATCH(Transactions!$G58,Events!$A$5:$A$204,0))="Equal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Codes'!$D$6:$D$105,"Active")),IF(INDEX(Events!$I$5:$I$204,MATCH(Transactions!$G58,Events!$A$5:$A$204,0))="Attendance",Transactions!$F58/MAX(1,COUNTIF(BB$7:BB$206,"1")),0)),0))</f>
        <v/>
      </c>
      <c r="BC4" s="67" t="str">
        <f t="array" ref="BC4">IF(BC3="","",IFERROR(IF(INDEX(Events!$I$5:$I$204,MATCH(Transactions!$G59,Events!$A$5:$A$204,0))="Equal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Codes'!$D$6:$D$105,"Active")),IF(INDEX(Events!$I$5:$I$204,MATCH(Transactions!$G59,Events!$A$5:$A$204,0))="Attendance",Transactions!$F59/MAX(1,COUNTIF(BC$7:BC$206,"1")),0)),0))</f>
        <v/>
      </c>
      <c r="BD4" s="67" t="str">
        <f t="array" ref="BD4">IF(BD3="","",IFERROR(IF(INDEX(Events!$I$5:$I$204,MATCH(Transactions!$G60,Events!$A$5:$A$204,0))="Equal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Codes'!$D$6:$D$105,"Active")),IF(INDEX(Events!$I$5:$I$204,MATCH(Transactions!$G60,Events!$A$5:$A$204,0))="Attendance",Transactions!$F60/MAX(1,COUNTIF(BD$7:BD$206,"1")),0)),0))</f>
        <v/>
      </c>
      <c r="BE4" s="67" t="str">
        <f t="array" ref="BE4">IF(BE3="","",IFERROR(IF(INDEX(Events!$I$5:$I$204,MATCH(Transactions!$G61,Events!$A$5:$A$204,0))="Equal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Codes'!$D$6:$D$105,"Active")),IF(INDEX(Events!$I$5:$I$204,MATCH(Transactions!$G61,Events!$A$5:$A$204,0))="Attendance",Transactions!$F61/MAX(1,COUNTIF(BE$7:BE$206,"1")),0)),0))</f>
        <v/>
      </c>
      <c r="BF4" s="67" t="str">
        <f t="array" ref="BF4">IF(BF3="","",IFERROR(IF(INDEX(Events!$I$5:$I$204,MATCH(Transactions!$G62,Events!$A$5:$A$204,0))="Equal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Codes'!$D$6:$D$105,"Active")),IF(INDEX(Events!$I$5:$I$204,MATCH(Transactions!$G62,Events!$A$5:$A$204,0))="Attendance",Transactions!$F62/MAX(1,COUNTIF(BF$7:BF$206,"1")),0)),0))</f>
        <v/>
      </c>
      <c r="BG4" s="67" t="str">
        <f t="array" ref="BG4">IF(BG3="","",IFERROR(IF(INDEX(Events!$I$5:$I$204,MATCH(Transactions!$G63,Events!$A$5:$A$204,0))="Equal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Codes'!$D$6:$D$105,"Active")),IF(INDEX(Events!$I$5:$I$204,MATCH(Transactions!$G63,Events!$A$5:$A$204,0))="Attendance",Transactions!$F63/MAX(1,COUNTIF(BG$7:BG$206,"1")),0)),0))</f>
        <v/>
      </c>
      <c r="BH4" s="67" t="str">
        <f t="array" ref="BH4">IF(BH3="","",IFERROR(IF(INDEX(Events!$I$5:$I$204,MATCH(Transactions!$G64,Events!$A$5:$A$204,0))="Equal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Codes'!$D$6:$D$105,"Active")),IF(INDEX(Events!$I$5:$I$204,MATCH(Transactions!$G64,Events!$A$5:$A$204,0))="Attendance",Transactions!$F64/MAX(1,COUNTIF(BH$7:BH$206,"1")),0)),0))</f>
        <v/>
      </c>
      <c r="BI4" s="67" t="str">
        <f t="array" ref="BI4">IF(BI3="","",IFERROR(IF(INDEX(Events!$I$5:$I$204,MATCH(Transactions!$G65,Events!$A$5:$A$204,0))="Equal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Codes'!$D$6:$D$105,"Active")),IF(INDEX(Events!$I$5:$I$204,MATCH(Transactions!$G65,Events!$A$5:$A$204,0))="Attendance",Transactions!$F65/MAX(1,COUNTIF(BI$7:BI$206,"1")),0)),0))</f>
        <v/>
      </c>
      <c r="BJ4" s="67" t="str">
        <f t="array" ref="BJ4">IF(BJ3="","",IFERROR(IF(INDEX(Events!$I$5:$I$204,MATCH(Transactions!$G66,Events!$A$5:$A$204,0))="Equal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Codes'!$D$6:$D$105,"Active")),IF(INDEX(Events!$I$5:$I$204,MATCH(Transactions!$G66,Events!$A$5:$A$204,0))="Attendance",Transactions!$F66/MAX(1,COUNTIF(BJ$7:BJ$206,"1")),0)),0))</f>
        <v/>
      </c>
      <c r="BK4" s="67" t="str">
        <f t="array" ref="BK4">IF(BK3="","",IFERROR(IF(INDEX(Events!$I$5:$I$204,MATCH(Transactions!$G67,Events!$A$5:$A$204,0))="Equal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Codes'!$D$6:$D$105,"Active")),IF(INDEX(Events!$I$5:$I$204,MATCH(Transactions!$G67,Events!$A$5:$A$204,0))="Attendance",Transactions!$F67/MAX(1,COUNTIF(BK$7:BK$206,"1")),0)),0))</f>
        <v/>
      </c>
      <c r="BL4" s="67" t="str">
        <f t="array" ref="BL4">IF(BL3="","",IFERROR(IF(INDEX(Events!$I$5:$I$204,MATCH(Transactions!$G68,Events!$A$5:$A$204,0))="Equal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Codes'!$D$6:$D$105,"Active")),IF(INDEX(Events!$I$5:$I$204,MATCH(Transactions!$G68,Events!$A$5:$A$204,0))="Attendance",Transactions!$F68/MAX(1,COUNTIF(BL$7:BL$206,"1")),0)),0))</f>
        <v/>
      </c>
      <c r="BM4" s="67" t="str">
        <f t="array" ref="BM4">IF(BM3="","",IFERROR(IF(INDEX(Events!$I$5:$I$204,MATCH(Transactions!$G69,Events!$A$5:$A$204,0))="Equal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Codes'!$D$6:$D$105,"Active")),IF(INDEX(Events!$I$5:$I$204,MATCH(Transactions!$G69,Events!$A$5:$A$204,0))="Attendance",Transactions!$F69/MAX(1,COUNTIF(BM$7:BM$206,"1")),0)),0))</f>
        <v/>
      </c>
      <c r="BN4" s="67" t="str">
        <f t="array" ref="BN4">IF(BN3="","",IFERROR(IF(INDEX(Events!$I$5:$I$204,MATCH(Transactions!$G70,Events!$A$5:$A$204,0))="Equal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Codes'!$D$6:$D$105,"Active")),IF(INDEX(Events!$I$5:$I$204,MATCH(Transactions!$G70,Events!$A$5:$A$204,0))="Attendance",Transactions!$F70/MAX(1,COUNTIF(BN$7:BN$206,"1")),0)),0))</f>
        <v/>
      </c>
      <c r="BO4" s="67" t="str">
        <f t="array" ref="BO4">IF(BO3="","",IFERROR(IF(INDEX(Events!$I$5:$I$204,MATCH(Transactions!$G71,Events!$A$5:$A$204,0))="Equal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Codes'!$D$6:$D$105,"Active")),IF(INDEX(Events!$I$5:$I$204,MATCH(Transactions!$G71,Events!$A$5:$A$204,0))="Attendance",Transactions!$F71/MAX(1,COUNTIF(BO$7:BO$206,"1")),0)),0))</f>
        <v/>
      </c>
      <c r="BP4" s="67" t="str">
        <f t="array" ref="BP4">IF(BP3="","",IFERROR(IF(INDEX(Events!$I$5:$I$204,MATCH(Transactions!$G72,Events!$A$5:$A$204,0))="Equal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Codes'!$D$6:$D$105,"Active")),IF(INDEX(Events!$I$5:$I$204,MATCH(Transactions!$G72,Events!$A$5:$A$204,0))="Attendance",Transactions!$F72/MAX(1,COUNTIF(BP$7:BP$206,"1")),0)),0))</f>
        <v/>
      </c>
      <c r="BQ4" s="67" t="str">
        <f t="array" ref="BQ4">IF(BQ3="","",IFERROR(IF(INDEX(Events!$I$5:$I$204,MATCH(Transactions!$G73,Events!$A$5:$A$204,0))="Equal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Codes'!$D$6:$D$105,"Active")),IF(INDEX(Events!$I$5:$I$204,MATCH(Transactions!$G73,Events!$A$5:$A$204,0))="Attendance",Transactions!$F73/MAX(1,COUNTIF(BQ$7:BQ$206,"1")),0)),0))</f>
        <v/>
      </c>
      <c r="BR4" s="67" t="str">
        <f t="array" ref="BR4">IF(BR3="","",IFERROR(IF(INDEX(Events!$I$5:$I$204,MATCH(Transactions!$G74,Events!$A$5:$A$204,0))="Equal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Codes'!$D$6:$D$105,"Active")),IF(INDEX(Events!$I$5:$I$204,MATCH(Transactions!$G74,Events!$A$5:$A$204,0))="Attendance",Transactions!$F74/MAX(1,COUNTIF(BR$7:BR$206,"1")),0)),0))</f>
        <v/>
      </c>
      <c r="BS4" s="67" t="str">
        <f t="array" ref="BS4">IF(BS3="","",IFERROR(IF(INDEX(Events!$I$5:$I$204,MATCH(Transactions!$G75,Events!$A$5:$A$204,0))="Equal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Codes'!$D$6:$D$105,"Active")),IF(INDEX(Events!$I$5:$I$204,MATCH(Transactions!$G75,Events!$A$5:$A$204,0))="Attendance",Transactions!$F75/MAX(1,COUNTIF(BS$7:BS$206,"1")),0)),0))</f>
        <v/>
      </c>
      <c r="BT4" s="67" t="str">
        <f t="array" ref="BT4">IF(BT3="","",IFERROR(IF(INDEX(Events!$I$5:$I$204,MATCH(Transactions!$G76,Events!$A$5:$A$204,0))="Equal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Codes'!$D$6:$D$105,"Active")),IF(INDEX(Events!$I$5:$I$204,MATCH(Transactions!$G76,Events!$A$5:$A$204,0))="Attendance",Transactions!$F76/MAX(1,COUNTIF(BT$7:BT$206,"1")),0)),0))</f>
        <v/>
      </c>
      <c r="BU4" s="67" t="str">
        <f t="array" ref="BU4">IF(BU3="","",IFERROR(IF(INDEX(Events!$I$5:$I$204,MATCH(Transactions!$G77,Events!$A$5:$A$204,0))="Equal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Codes'!$D$6:$D$105,"Active")),IF(INDEX(Events!$I$5:$I$204,MATCH(Transactions!$G77,Events!$A$5:$A$204,0))="Attendance",Transactions!$F77/MAX(1,COUNTIF(BU$7:BU$206,"1")),0)),0))</f>
        <v/>
      </c>
      <c r="BV4" s="67" t="str">
        <f t="array" ref="BV4">IF(BV3="","",IFERROR(IF(INDEX(Events!$I$5:$I$204,MATCH(Transactions!$G78,Events!$A$5:$A$204,0))="Equal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Codes'!$D$6:$D$105,"Active")),IF(INDEX(Events!$I$5:$I$204,MATCH(Transactions!$G78,Events!$A$5:$A$204,0))="Attendance",Transactions!$F78/MAX(1,COUNTIF(BV$7:BV$206,"1")),0)),0))</f>
        <v/>
      </c>
      <c r="BW4" s="67" t="str">
        <f t="array" ref="BW4">IF(BW3="","",IFERROR(IF(INDEX(Events!$I$5:$I$204,MATCH(Transactions!$G79,Events!$A$5:$A$204,0))="Equal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Codes'!$D$6:$D$105,"Active")),IF(INDEX(Events!$I$5:$I$204,MATCH(Transactions!$G79,Events!$A$5:$A$204,0))="Attendance",Transactions!$F79/MAX(1,COUNTIF(BW$7:BW$206,"1")),0)),0))</f>
        <v/>
      </c>
      <c r="BX4" s="67" t="str">
        <f t="array" ref="BX4">IF(BX3="","",IFERROR(IF(INDEX(Events!$I$5:$I$204,MATCH(Transactions!$G80,Events!$A$5:$A$204,0))="Equal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Codes'!$D$6:$D$105,"Active")),IF(INDEX(Events!$I$5:$I$204,MATCH(Transactions!$G80,Events!$A$5:$A$204,0))="Attendance",Transactions!$F80/MAX(1,COUNTIF(BX$7:BX$206,"1")),0)),0))</f>
        <v/>
      </c>
      <c r="BY4" s="67" t="str">
        <f t="array" ref="BY4">IF(BY3="","",IFERROR(IF(INDEX(Events!$I$5:$I$204,MATCH(Transactions!$G81,Events!$A$5:$A$204,0))="Equal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Codes'!$D$6:$D$105,"Active")),IF(INDEX(Events!$I$5:$I$204,MATCH(Transactions!$G81,Events!$A$5:$A$204,0))="Attendance",Transactions!$F81/MAX(1,COUNTIF(BY$7:BY$206,"1")),0)),0))</f>
        <v/>
      </c>
    </row>
    <row r="5" ht="18.0" customHeight="1">
      <c r="A5" s="60" t="s">
        <v>125</v>
      </c>
      <c r="B5" s="68">
        <f t="shared" ref="B5:AV5" si="1">COUNTIF(B7:B206,"1")</f>
        <v>25</v>
      </c>
      <c r="C5" s="68">
        <f t="shared" si="1"/>
        <v>23</v>
      </c>
      <c r="D5" s="68">
        <f t="shared" si="1"/>
        <v>0</v>
      </c>
      <c r="E5" s="68">
        <f t="shared" si="1"/>
        <v>0</v>
      </c>
      <c r="F5" s="68">
        <f t="shared" si="1"/>
        <v>0</v>
      </c>
      <c r="G5" s="68">
        <f t="shared" si="1"/>
        <v>33</v>
      </c>
      <c r="H5" s="68">
        <f t="shared" si="1"/>
        <v>26</v>
      </c>
      <c r="I5" s="68">
        <f t="shared" si="1"/>
        <v>6</v>
      </c>
      <c r="J5" s="68">
        <f t="shared" si="1"/>
        <v>33</v>
      </c>
      <c r="K5" s="68">
        <f t="shared" si="1"/>
        <v>0</v>
      </c>
      <c r="L5" s="68">
        <f t="shared" si="1"/>
        <v>12</v>
      </c>
      <c r="M5" s="68">
        <f t="shared" si="1"/>
        <v>27</v>
      </c>
      <c r="N5" s="68">
        <f t="shared" si="1"/>
        <v>0</v>
      </c>
      <c r="O5" s="68">
        <f t="shared" si="1"/>
        <v>6</v>
      </c>
      <c r="P5" s="68">
        <f t="shared" si="1"/>
        <v>4</v>
      </c>
      <c r="Q5" s="68">
        <f t="shared" si="1"/>
        <v>0</v>
      </c>
      <c r="R5" s="68">
        <f t="shared" si="1"/>
        <v>0</v>
      </c>
      <c r="S5" s="68">
        <f t="shared" si="1"/>
        <v>0</v>
      </c>
      <c r="T5" s="68">
        <f t="shared" si="1"/>
        <v>0</v>
      </c>
      <c r="U5" s="68">
        <f t="shared" si="1"/>
        <v>0</v>
      </c>
      <c r="V5" s="68">
        <f t="shared" si="1"/>
        <v>0</v>
      </c>
      <c r="W5" s="68">
        <f t="shared" si="1"/>
        <v>0</v>
      </c>
      <c r="X5" s="68">
        <f t="shared" si="1"/>
        <v>0</v>
      </c>
      <c r="Y5" s="68">
        <f t="shared" si="1"/>
        <v>0</v>
      </c>
      <c r="Z5" s="68">
        <f t="shared" si="1"/>
        <v>0</v>
      </c>
      <c r="AA5" s="68">
        <f t="shared" si="1"/>
        <v>0</v>
      </c>
      <c r="AB5" s="68">
        <f t="shared" si="1"/>
        <v>21</v>
      </c>
      <c r="AC5" s="68">
        <f t="shared" si="1"/>
        <v>0</v>
      </c>
      <c r="AD5" s="68">
        <f t="shared" si="1"/>
        <v>0</v>
      </c>
      <c r="AE5" s="68">
        <f t="shared" si="1"/>
        <v>0</v>
      </c>
      <c r="AF5" s="68">
        <f t="shared" si="1"/>
        <v>0</v>
      </c>
      <c r="AG5" s="68">
        <f t="shared" si="1"/>
        <v>0</v>
      </c>
      <c r="AH5" s="68">
        <f t="shared" si="1"/>
        <v>0</v>
      </c>
      <c r="AI5" s="68">
        <f t="shared" si="1"/>
        <v>16</v>
      </c>
      <c r="AJ5" s="68">
        <f t="shared" si="1"/>
        <v>25</v>
      </c>
      <c r="AK5" s="68">
        <f t="shared" si="1"/>
        <v>12</v>
      </c>
      <c r="AL5" s="68">
        <f t="shared" si="1"/>
        <v>33</v>
      </c>
      <c r="AM5" s="68">
        <f t="shared" si="1"/>
        <v>0</v>
      </c>
      <c r="AN5" s="68">
        <f t="shared" si="1"/>
        <v>0</v>
      </c>
      <c r="AO5" s="68">
        <f t="shared" si="1"/>
        <v>0</v>
      </c>
      <c r="AP5" s="68">
        <f t="shared" si="1"/>
        <v>0</v>
      </c>
      <c r="AQ5" s="68">
        <f t="shared" si="1"/>
        <v>0</v>
      </c>
      <c r="AR5" s="68">
        <f t="shared" si="1"/>
        <v>0</v>
      </c>
      <c r="AS5" s="68">
        <f t="shared" si="1"/>
        <v>0</v>
      </c>
      <c r="AT5" s="68">
        <f t="shared" si="1"/>
        <v>0</v>
      </c>
      <c r="AU5" s="68">
        <f t="shared" si="1"/>
        <v>0</v>
      </c>
      <c r="AV5" s="68">
        <f t="shared" si="1"/>
        <v>0</v>
      </c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ht="18.0" customHeight="1">
      <c r="A6" s="60" t="s">
        <v>126</v>
      </c>
      <c r="B6" s="68">
        <f t="shared" ref="B6:AV6" si="2">B4*B5</f>
        <v>920</v>
      </c>
      <c r="C6" s="68">
        <f t="shared" si="2"/>
        <v>1150</v>
      </c>
      <c r="D6" s="68">
        <f t="shared" si="2"/>
        <v>0</v>
      </c>
      <c r="E6" s="68">
        <f t="shared" si="2"/>
        <v>0</v>
      </c>
      <c r="F6" s="68">
        <f t="shared" si="2"/>
        <v>0</v>
      </c>
      <c r="G6" s="68">
        <f t="shared" si="2"/>
        <v>69</v>
      </c>
      <c r="H6" s="68">
        <f t="shared" si="2"/>
        <v>185.69</v>
      </c>
      <c r="I6" s="68">
        <f t="shared" si="2"/>
        <v>228.44</v>
      </c>
      <c r="J6" s="68" t="str">
        <f t="shared" si="2"/>
        <v>#REF!</v>
      </c>
      <c r="K6" s="68">
        <f t="shared" si="2"/>
        <v>0</v>
      </c>
      <c r="L6" s="68">
        <f t="shared" si="2"/>
        <v>0</v>
      </c>
      <c r="M6" s="68">
        <f t="shared" si="2"/>
        <v>3487.59</v>
      </c>
      <c r="N6" s="68">
        <f t="shared" si="2"/>
        <v>0</v>
      </c>
      <c r="O6" s="68">
        <f t="shared" si="2"/>
        <v>15.26</v>
      </c>
      <c r="P6" s="68">
        <f t="shared" si="2"/>
        <v>83.64</v>
      </c>
      <c r="Q6" s="68">
        <f t="shared" si="2"/>
        <v>0</v>
      </c>
      <c r="R6" s="68">
        <f t="shared" si="2"/>
        <v>0</v>
      </c>
      <c r="S6" s="68">
        <f t="shared" si="2"/>
        <v>0</v>
      </c>
      <c r="T6" s="68">
        <f t="shared" si="2"/>
        <v>0</v>
      </c>
      <c r="U6" s="68">
        <f t="shared" si="2"/>
        <v>0</v>
      </c>
      <c r="V6" s="68">
        <f t="shared" si="2"/>
        <v>0</v>
      </c>
      <c r="W6" s="68">
        <f t="shared" si="2"/>
        <v>0</v>
      </c>
      <c r="X6" s="68">
        <f t="shared" si="2"/>
        <v>0</v>
      </c>
      <c r="Y6" s="68">
        <f t="shared" si="2"/>
        <v>0</v>
      </c>
      <c r="Z6" s="68">
        <f t="shared" si="2"/>
        <v>0</v>
      </c>
      <c r="AA6" s="68">
        <f t="shared" si="2"/>
        <v>0</v>
      </c>
      <c r="AB6" s="68">
        <f t="shared" si="2"/>
        <v>152.13</v>
      </c>
      <c r="AC6" s="68">
        <f t="shared" si="2"/>
        <v>0</v>
      </c>
      <c r="AD6" s="68">
        <f t="shared" si="2"/>
        <v>0</v>
      </c>
      <c r="AE6" s="68">
        <f t="shared" si="2"/>
        <v>0</v>
      </c>
      <c r="AF6" s="68">
        <f t="shared" si="2"/>
        <v>0</v>
      </c>
      <c r="AG6" s="68">
        <f t="shared" si="2"/>
        <v>0</v>
      </c>
      <c r="AH6" s="68">
        <f t="shared" si="2"/>
        <v>0</v>
      </c>
      <c r="AI6" s="68">
        <f t="shared" si="2"/>
        <v>202.26</v>
      </c>
      <c r="AJ6" s="68">
        <f t="shared" si="2"/>
        <v>2389.2</v>
      </c>
      <c r="AK6" s="68">
        <f t="shared" si="2"/>
        <v>27.42</v>
      </c>
      <c r="AL6" s="68">
        <f t="shared" si="2"/>
        <v>2257</v>
      </c>
      <c r="AM6" s="68">
        <f t="shared" si="2"/>
        <v>0</v>
      </c>
      <c r="AN6" s="68">
        <f t="shared" si="2"/>
        <v>0</v>
      </c>
      <c r="AO6" s="68">
        <f t="shared" si="2"/>
        <v>0</v>
      </c>
      <c r="AP6" s="68">
        <f t="shared" si="2"/>
        <v>0</v>
      </c>
      <c r="AQ6" s="68">
        <f t="shared" si="2"/>
        <v>0</v>
      </c>
      <c r="AR6" s="68">
        <f t="shared" si="2"/>
        <v>0</v>
      </c>
      <c r="AS6" s="68">
        <f t="shared" si="2"/>
        <v>0</v>
      </c>
      <c r="AT6" s="68">
        <f t="shared" si="2"/>
        <v>0</v>
      </c>
      <c r="AU6" s="68">
        <f t="shared" si="2"/>
        <v>0</v>
      </c>
      <c r="AV6" s="68">
        <f t="shared" si="2"/>
        <v>0</v>
      </c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ht="18.0" customHeight="1">
      <c r="A7" s="69" t="str">
        <f>IF(Roster!$A$5&lt;&gt;"",Roster!$A$5,"")</f>
        <v>At</v>
      </c>
      <c r="B7" s="70">
        <v>1.0</v>
      </c>
      <c r="C7" s="71">
        <v>1.0</v>
      </c>
      <c r="D7" s="70"/>
      <c r="E7" s="70"/>
      <c r="F7" s="70"/>
      <c r="G7" s="70">
        <v>1.0</v>
      </c>
      <c r="H7" s="70">
        <v>1.0</v>
      </c>
      <c r="I7" s="70">
        <v>1.0</v>
      </c>
      <c r="J7" s="70">
        <v>1.0</v>
      </c>
      <c r="K7" s="70"/>
      <c r="L7" s="70">
        <v>0.0</v>
      </c>
      <c r="M7" s="70">
        <v>1.0</v>
      </c>
      <c r="N7" s="70"/>
      <c r="O7" s="70">
        <v>1.0</v>
      </c>
      <c r="P7" s="70">
        <v>1.0</v>
      </c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>
        <v>1.0</v>
      </c>
      <c r="AC7" s="70"/>
      <c r="AD7" s="70"/>
      <c r="AE7" s="70"/>
      <c r="AF7" s="70"/>
      <c r="AG7" s="70"/>
      <c r="AH7" s="70"/>
      <c r="AI7" s="71">
        <v>1.0</v>
      </c>
      <c r="AJ7" s="71">
        <v>1.0</v>
      </c>
      <c r="AK7" s="70">
        <v>0.0</v>
      </c>
      <c r="AL7" s="70">
        <v>1.0</v>
      </c>
      <c r="AM7" s="70"/>
      <c r="AN7" s="70"/>
      <c r="AO7" s="70"/>
      <c r="AP7" s="70"/>
      <c r="AQ7" s="70"/>
      <c r="AR7" s="70"/>
      <c r="AS7" s="70"/>
      <c r="AT7" s="70"/>
      <c r="AU7" s="70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</row>
    <row r="8" ht="18.0" customHeight="1">
      <c r="A8" s="69" t="str">
        <f>IF(Roster!$A$6&lt;&gt;"",Roster!$A$6,"")</f>
        <v>Alex Warrington</v>
      </c>
      <c r="B8" s="70">
        <v>1.0</v>
      </c>
      <c r="C8" s="71">
        <v>1.0</v>
      </c>
      <c r="D8" s="70"/>
      <c r="E8" s="70"/>
      <c r="F8" s="70"/>
      <c r="G8" s="70">
        <v>1.0</v>
      </c>
      <c r="H8" s="70">
        <v>1.0</v>
      </c>
      <c r="I8" s="70">
        <v>0.0</v>
      </c>
      <c r="J8" s="70">
        <v>1.0</v>
      </c>
      <c r="K8" s="70"/>
      <c r="L8" s="70">
        <v>0.0</v>
      </c>
      <c r="M8" s="70">
        <v>1.0</v>
      </c>
      <c r="N8" s="70"/>
      <c r="O8" s="70">
        <v>0.0</v>
      </c>
      <c r="P8" s="70">
        <v>0.0</v>
      </c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1">
        <v>0.0</v>
      </c>
      <c r="AC8" s="70"/>
      <c r="AD8" s="70"/>
      <c r="AE8" s="70"/>
      <c r="AF8" s="70"/>
      <c r="AG8" s="70"/>
      <c r="AH8" s="70"/>
      <c r="AI8" s="71">
        <v>0.0</v>
      </c>
      <c r="AJ8" s="71">
        <v>1.0</v>
      </c>
      <c r="AK8" s="70">
        <v>0.0</v>
      </c>
      <c r="AL8" s="70">
        <v>1.0</v>
      </c>
      <c r="AM8" s="70"/>
      <c r="AN8" s="70"/>
      <c r="AO8" s="70"/>
      <c r="AP8" s="70"/>
      <c r="AQ8" s="70"/>
      <c r="AR8" s="70"/>
      <c r="AS8" s="70"/>
      <c r="AT8" s="70"/>
      <c r="AU8" s="70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  <c r="BM8" s="73"/>
      <c r="BN8" s="73"/>
      <c r="BO8" s="73"/>
      <c r="BP8" s="73"/>
      <c r="BQ8" s="73"/>
      <c r="BR8" s="73"/>
      <c r="BS8" s="73"/>
      <c r="BT8" s="73"/>
      <c r="BU8" s="73"/>
      <c r="BV8" s="73"/>
      <c r="BW8" s="73"/>
      <c r="BX8" s="73"/>
      <c r="BY8" s="73"/>
    </row>
    <row r="9" ht="21.75" customHeight="1">
      <c r="A9" s="69" t="str">
        <f>IF(Roster!$A$7&lt;&gt;"",Roster!$A$7,"")</f>
        <v>Chris Wohl</v>
      </c>
      <c r="B9" s="70">
        <v>1.0</v>
      </c>
      <c r="C9" s="71">
        <v>1.0</v>
      </c>
      <c r="D9" s="70"/>
      <c r="E9" s="70"/>
      <c r="F9" s="70"/>
      <c r="G9" s="70">
        <v>1.0</v>
      </c>
      <c r="H9" s="70">
        <v>1.0</v>
      </c>
      <c r="I9" s="70">
        <v>0.0</v>
      </c>
      <c r="J9" s="70">
        <v>1.0</v>
      </c>
      <c r="K9" s="70"/>
      <c r="L9" s="70">
        <v>1.0</v>
      </c>
      <c r="M9" s="70">
        <v>1.0</v>
      </c>
      <c r="N9" s="70"/>
      <c r="O9" s="70">
        <v>0.0</v>
      </c>
      <c r="P9" s="70">
        <v>0.0</v>
      </c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>
        <v>1.0</v>
      </c>
      <c r="AC9" s="70"/>
      <c r="AD9" s="70"/>
      <c r="AE9" s="70"/>
      <c r="AF9" s="70"/>
      <c r="AG9" s="70"/>
      <c r="AH9" s="70"/>
      <c r="AI9" s="71">
        <v>1.0</v>
      </c>
      <c r="AJ9" s="71">
        <v>1.0</v>
      </c>
      <c r="AK9" s="70">
        <v>1.0</v>
      </c>
      <c r="AL9" s="70">
        <v>1.0</v>
      </c>
      <c r="AM9" s="70"/>
      <c r="AN9" s="70"/>
      <c r="AO9" s="70"/>
      <c r="AP9" s="70"/>
      <c r="AQ9" s="70"/>
      <c r="AR9" s="70"/>
      <c r="AS9" s="70"/>
      <c r="AT9" s="70"/>
      <c r="AU9" s="70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72"/>
      <c r="BJ9" s="72"/>
      <c r="BK9" s="72"/>
      <c r="BL9" s="72"/>
      <c r="BM9" s="72"/>
      <c r="BN9" s="72"/>
      <c r="BO9" s="72"/>
      <c r="BP9" s="72"/>
      <c r="BQ9" s="72"/>
      <c r="BR9" s="72"/>
      <c r="BS9" s="72"/>
      <c r="BT9" s="72"/>
      <c r="BU9" s="72"/>
      <c r="BV9" s="72"/>
      <c r="BW9" s="72"/>
      <c r="BX9" s="72"/>
      <c r="BY9" s="72"/>
    </row>
    <row r="10" ht="19.5" customHeight="1">
      <c r="A10" s="69" t="str">
        <f>IF(Roster!$A$8&lt;&gt;"",Roster!$A$8,"")</f>
        <v>Darra Reppermund</v>
      </c>
      <c r="B10" s="70">
        <v>1.0</v>
      </c>
      <c r="C10" s="71">
        <v>1.0</v>
      </c>
      <c r="D10" s="70"/>
      <c r="E10" s="70"/>
      <c r="F10" s="70"/>
      <c r="G10" s="70">
        <v>1.0</v>
      </c>
      <c r="H10" s="70">
        <v>1.0</v>
      </c>
      <c r="I10" s="70">
        <v>0.0</v>
      </c>
      <c r="J10" s="70">
        <v>1.0</v>
      </c>
      <c r="K10" s="70"/>
      <c r="L10" s="70">
        <v>0.0</v>
      </c>
      <c r="M10" s="70">
        <v>1.0</v>
      </c>
      <c r="N10" s="70"/>
      <c r="O10" s="70">
        <v>0.0</v>
      </c>
      <c r="P10" s="70">
        <v>0.0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>
        <v>1.0</v>
      </c>
      <c r="AC10" s="70"/>
      <c r="AD10" s="70"/>
      <c r="AE10" s="70"/>
      <c r="AF10" s="70"/>
      <c r="AG10" s="70"/>
      <c r="AH10" s="70"/>
      <c r="AI10" s="71">
        <v>1.0</v>
      </c>
      <c r="AJ10" s="71">
        <v>1.0</v>
      </c>
      <c r="AK10" s="70">
        <v>0.0</v>
      </c>
      <c r="AL10" s="70">
        <v>1.0</v>
      </c>
      <c r="AM10" s="70"/>
      <c r="AN10" s="70"/>
      <c r="AO10" s="70"/>
      <c r="AP10" s="70"/>
      <c r="AQ10" s="70"/>
      <c r="AR10" s="70"/>
      <c r="AS10" s="70"/>
      <c r="AT10" s="70"/>
      <c r="AU10" s="70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</row>
    <row r="11" ht="19.5" customHeight="1">
      <c r="A11" s="69" t="str">
        <f>IF(Roster!$A$9&lt;&gt;"",Roster!$A$9,"")</f>
        <v>Dylan Best</v>
      </c>
      <c r="B11" s="70">
        <v>1.0</v>
      </c>
      <c r="C11" s="71">
        <v>1.0</v>
      </c>
      <c r="D11" s="70"/>
      <c r="E11" s="70"/>
      <c r="F11" s="70"/>
      <c r="G11" s="70">
        <v>1.0</v>
      </c>
      <c r="H11" s="70">
        <v>1.0</v>
      </c>
      <c r="I11" s="70">
        <v>1.0</v>
      </c>
      <c r="J11" s="70">
        <v>1.0</v>
      </c>
      <c r="K11" s="70"/>
      <c r="L11" s="70">
        <v>0.0</v>
      </c>
      <c r="M11" s="70">
        <v>1.0</v>
      </c>
      <c r="N11" s="70"/>
      <c r="O11" s="70">
        <v>1.0</v>
      </c>
      <c r="P11" s="70">
        <v>1.0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>
        <v>1.0</v>
      </c>
      <c r="AC11" s="70"/>
      <c r="AD11" s="70"/>
      <c r="AE11" s="70"/>
      <c r="AF11" s="70"/>
      <c r="AG11" s="70"/>
      <c r="AH11" s="70"/>
      <c r="AI11" s="71">
        <v>1.0</v>
      </c>
      <c r="AJ11" s="71">
        <v>1.0</v>
      </c>
      <c r="AK11" s="70">
        <v>0.0</v>
      </c>
      <c r="AL11" s="70">
        <v>1.0</v>
      </c>
      <c r="AM11" s="70"/>
      <c r="AN11" s="70"/>
      <c r="AO11" s="70"/>
      <c r="AP11" s="70"/>
      <c r="AQ11" s="70"/>
      <c r="AR11" s="70"/>
      <c r="AS11" s="70"/>
      <c r="AT11" s="70"/>
      <c r="AU11" s="70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</row>
    <row r="12" ht="19.5" customHeight="1">
      <c r="A12" s="69" t="str">
        <f>IF(Roster!$A$10&lt;&gt;"",Roster!$A$10,"")</f>
        <v>Griffin O'Neal-Freeman</v>
      </c>
      <c r="B12" s="70">
        <v>1.0</v>
      </c>
      <c r="C12" s="71">
        <v>1.0</v>
      </c>
      <c r="D12" s="70"/>
      <c r="E12" s="70"/>
      <c r="F12" s="70"/>
      <c r="G12" s="70">
        <v>1.0</v>
      </c>
      <c r="H12" s="70">
        <v>1.0</v>
      </c>
      <c r="I12" s="70">
        <v>0.0</v>
      </c>
      <c r="J12" s="70">
        <v>1.0</v>
      </c>
      <c r="K12" s="70"/>
      <c r="L12" s="70">
        <v>1.0</v>
      </c>
      <c r="M12" s="70">
        <v>1.0</v>
      </c>
      <c r="N12" s="70"/>
      <c r="O12" s="70">
        <v>0.0</v>
      </c>
      <c r="P12" s="70">
        <v>0.0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>
        <v>1.0</v>
      </c>
      <c r="AC12" s="70"/>
      <c r="AD12" s="70"/>
      <c r="AE12" s="70"/>
      <c r="AF12" s="70"/>
      <c r="AG12" s="70"/>
      <c r="AH12" s="70"/>
      <c r="AI12" s="71">
        <v>1.0</v>
      </c>
      <c r="AJ12" s="71">
        <v>1.0</v>
      </c>
      <c r="AK12" s="70">
        <v>1.0</v>
      </c>
      <c r="AL12" s="70">
        <v>1.0</v>
      </c>
      <c r="AM12" s="70"/>
      <c r="AN12" s="70"/>
      <c r="AO12" s="70"/>
      <c r="AP12" s="70"/>
      <c r="AQ12" s="70"/>
      <c r="AR12" s="70"/>
      <c r="AS12" s="70"/>
      <c r="AT12" s="70"/>
      <c r="AU12" s="70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</row>
    <row r="13" ht="19.5" customHeight="1">
      <c r="A13" s="69" t="str">
        <f>IF(Roster!$A$11&lt;&gt;"",Roster!$A$11,"")</f>
        <v>Haley Young</v>
      </c>
      <c r="B13" s="70">
        <v>1.0</v>
      </c>
      <c r="C13" s="71">
        <v>1.0</v>
      </c>
      <c r="D13" s="70"/>
      <c r="E13" s="70"/>
      <c r="F13" s="70"/>
      <c r="G13" s="70">
        <v>1.0</v>
      </c>
      <c r="H13" s="70">
        <v>1.0</v>
      </c>
      <c r="I13" s="70">
        <v>0.0</v>
      </c>
      <c r="J13" s="70">
        <v>1.0</v>
      </c>
      <c r="K13" s="70"/>
      <c r="L13" s="70">
        <v>0.0</v>
      </c>
      <c r="M13" s="70">
        <v>1.0</v>
      </c>
      <c r="N13" s="70"/>
      <c r="O13" s="70">
        <v>0.0</v>
      </c>
      <c r="P13" s="70">
        <v>0.0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1">
        <v>0.0</v>
      </c>
      <c r="AC13" s="70"/>
      <c r="AD13" s="70"/>
      <c r="AE13" s="70"/>
      <c r="AF13" s="70"/>
      <c r="AG13" s="70"/>
      <c r="AH13" s="70"/>
      <c r="AI13" s="71">
        <v>0.0</v>
      </c>
      <c r="AJ13" s="71">
        <v>1.0</v>
      </c>
      <c r="AK13" s="70">
        <v>0.0</v>
      </c>
      <c r="AL13" s="70">
        <v>1.0</v>
      </c>
      <c r="AM13" s="70"/>
      <c r="AN13" s="70"/>
      <c r="AO13" s="70"/>
      <c r="AP13" s="70"/>
      <c r="AQ13" s="70"/>
      <c r="AR13" s="70"/>
      <c r="AS13" s="70"/>
      <c r="AT13" s="70"/>
      <c r="AU13" s="70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72"/>
      <c r="BJ13" s="72"/>
      <c r="BK13" s="72"/>
      <c r="BL13" s="72"/>
      <c r="BM13" s="72"/>
      <c r="BN13" s="72"/>
      <c r="BO13" s="72"/>
      <c r="BP13" s="72"/>
      <c r="BQ13" s="72"/>
      <c r="BR13" s="72"/>
      <c r="BS13" s="72"/>
      <c r="BT13" s="72"/>
      <c r="BU13" s="72"/>
      <c r="BV13" s="72"/>
      <c r="BW13" s="72"/>
      <c r="BX13" s="72"/>
      <c r="BY13" s="72"/>
    </row>
    <row r="14" ht="19.5" customHeight="1">
      <c r="A14" s="69" t="str">
        <f>IF(Roster!$A$12&lt;&gt;"",Roster!$A$12,"")</f>
        <v>Harry Park</v>
      </c>
      <c r="B14" s="70">
        <v>1.0</v>
      </c>
      <c r="C14" s="71">
        <v>1.0</v>
      </c>
      <c r="D14" s="70"/>
      <c r="E14" s="70"/>
      <c r="F14" s="70"/>
      <c r="G14" s="70">
        <v>1.0</v>
      </c>
      <c r="H14" s="70">
        <v>1.0</v>
      </c>
      <c r="I14" s="70">
        <v>0.0</v>
      </c>
      <c r="J14" s="70">
        <v>1.0</v>
      </c>
      <c r="K14" s="70"/>
      <c r="L14" s="70">
        <v>1.0</v>
      </c>
      <c r="M14" s="70">
        <v>1.0</v>
      </c>
      <c r="N14" s="70"/>
      <c r="O14" s="70">
        <v>0.0</v>
      </c>
      <c r="P14" s="70">
        <v>0.0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>
        <v>1.0</v>
      </c>
      <c r="AC14" s="70"/>
      <c r="AD14" s="70"/>
      <c r="AE14" s="70"/>
      <c r="AF14" s="70"/>
      <c r="AG14" s="70"/>
      <c r="AH14" s="70"/>
      <c r="AI14" s="71">
        <v>1.0</v>
      </c>
      <c r="AJ14" s="71">
        <v>1.0</v>
      </c>
      <c r="AK14" s="70">
        <v>1.0</v>
      </c>
      <c r="AL14" s="70">
        <v>1.0</v>
      </c>
      <c r="AM14" s="70"/>
      <c r="AN14" s="70"/>
      <c r="AO14" s="70"/>
      <c r="AP14" s="70"/>
      <c r="AQ14" s="70"/>
      <c r="AR14" s="70"/>
      <c r="AS14" s="70"/>
      <c r="AT14" s="70"/>
      <c r="AU14" s="70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</row>
    <row r="15" ht="19.5" customHeight="1">
      <c r="A15" s="69" t="str">
        <f>IF(Roster!$A$13&lt;&gt;"",Roster!$A$13,"")</f>
        <v>Ian Piper</v>
      </c>
      <c r="B15" s="70" t="s">
        <v>127</v>
      </c>
      <c r="C15" s="71">
        <v>1.0</v>
      </c>
      <c r="D15" s="70"/>
      <c r="E15" s="70"/>
      <c r="F15" s="70"/>
      <c r="G15" s="70">
        <v>1.0</v>
      </c>
      <c r="H15" s="70">
        <v>1.0</v>
      </c>
      <c r="I15" s="70">
        <v>0.0</v>
      </c>
      <c r="J15" s="70">
        <v>1.0</v>
      </c>
      <c r="K15" s="70"/>
      <c r="L15" s="70">
        <v>1.0</v>
      </c>
      <c r="M15" s="70">
        <v>1.0</v>
      </c>
      <c r="N15" s="70"/>
      <c r="O15" s="70">
        <v>0.0</v>
      </c>
      <c r="P15" s="70">
        <v>0.0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>
        <v>1.0</v>
      </c>
      <c r="AC15" s="70"/>
      <c r="AD15" s="70"/>
      <c r="AE15" s="70"/>
      <c r="AF15" s="70"/>
      <c r="AG15" s="70"/>
      <c r="AH15" s="70"/>
      <c r="AI15" s="71">
        <v>1.0</v>
      </c>
      <c r="AJ15" s="71">
        <v>1.0</v>
      </c>
      <c r="AK15" s="70">
        <v>1.0</v>
      </c>
      <c r="AL15" s="70">
        <v>1.0</v>
      </c>
      <c r="AM15" s="70"/>
      <c r="AN15" s="70"/>
      <c r="AO15" s="70"/>
      <c r="AP15" s="70"/>
      <c r="AQ15" s="70"/>
      <c r="AR15" s="70"/>
      <c r="AS15" s="70"/>
      <c r="AT15" s="70"/>
      <c r="AU15" s="70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</row>
    <row r="16" ht="19.5" customHeight="1">
      <c r="A16" s="69" t="str">
        <f>IF(Roster!$A$14&lt;&gt;"",Roster!$A$14,"")</f>
        <v>Jake Murray</v>
      </c>
      <c r="B16" s="70">
        <v>1.0</v>
      </c>
      <c r="C16" s="71">
        <v>1.0</v>
      </c>
      <c r="D16" s="70"/>
      <c r="E16" s="70"/>
      <c r="F16" s="70"/>
      <c r="G16" s="70">
        <v>1.0</v>
      </c>
      <c r="H16" s="70">
        <v>1.0</v>
      </c>
      <c r="I16" s="70">
        <v>1.0</v>
      </c>
      <c r="J16" s="70">
        <v>1.0</v>
      </c>
      <c r="K16" s="70"/>
      <c r="L16" s="70">
        <v>0.0</v>
      </c>
      <c r="M16" s="70">
        <v>1.0</v>
      </c>
      <c r="N16" s="70"/>
      <c r="O16" s="70">
        <v>1.0</v>
      </c>
      <c r="P16" s="70">
        <v>1.0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>
        <v>1.0</v>
      </c>
      <c r="AC16" s="70"/>
      <c r="AD16" s="70"/>
      <c r="AE16" s="70"/>
      <c r="AF16" s="70"/>
      <c r="AG16" s="70"/>
      <c r="AH16" s="70"/>
      <c r="AI16" s="71">
        <v>1.0</v>
      </c>
      <c r="AJ16" s="71">
        <v>1.0</v>
      </c>
      <c r="AK16" s="70">
        <v>0.0</v>
      </c>
      <c r="AL16" s="70">
        <v>1.0</v>
      </c>
      <c r="AM16" s="70"/>
      <c r="AN16" s="70"/>
      <c r="AO16" s="70"/>
      <c r="AP16" s="70"/>
      <c r="AQ16" s="70"/>
      <c r="AR16" s="70"/>
      <c r="AS16" s="70"/>
      <c r="AT16" s="70"/>
      <c r="AU16" s="70"/>
      <c r="AV16" s="73"/>
      <c r="AW16" s="73"/>
      <c r="AX16" s="73"/>
      <c r="AY16" s="73"/>
      <c r="AZ16" s="73"/>
      <c r="BA16" s="73"/>
      <c r="BB16" s="73"/>
      <c r="BC16" s="73"/>
      <c r="BD16" s="73"/>
      <c r="BE16" s="73"/>
      <c r="BF16" s="73"/>
      <c r="BG16" s="73"/>
      <c r="BH16" s="73"/>
      <c r="BI16" s="73"/>
      <c r="BJ16" s="73"/>
      <c r="BK16" s="73"/>
      <c r="BL16" s="73"/>
      <c r="BM16" s="73"/>
      <c r="BN16" s="73"/>
      <c r="BO16" s="73"/>
      <c r="BP16" s="73"/>
      <c r="BQ16" s="73"/>
      <c r="BR16" s="73"/>
      <c r="BS16" s="73"/>
      <c r="BT16" s="73"/>
      <c r="BU16" s="73"/>
      <c r="BV16" s="73"/>
      <c r="BW16" s="73"/>
      <c r="BX16" s="73"/>
      <c r="BY16" s="73"/>
    </row>
    <row r="17" ht="19.5" customHeight="1">
      <c r="A17" s="69" t="str">
        <f>IF(Roster!$A$15&lt;&gt;"",Roster!$A$15,"")</f>
        <v>Jenna Nold</v>
      </c>
      <c r="B17" s="70">
        <v>1.0</v>
      </c>
      <c r="C17" s="71">
        <v>1.0</v>
      </c>
      <c r="D17" s="70"/>
      <c r="E17" s="70"/>
      <c r="F17" s="70"/>
      <c r="G17" s="70">
        <v>1.0</v>
      </c>
      <c r="H17" s="70">
        <v>1.0</v>
      </c>
      <c r="I17" s="70">
        <v>0.0</v>
      </c>
      <c r="J17" s="70">
        <v>1.0</v>
      </c>
      <c r="K17" s="70"/>
      <c r="L17" s="70">
        <v>1.0</v>
      </c>
      <c r="M17" s="70">
        <v>1.0</v>
      </c>
      <c r="N17" s="70"/>
      <c r="O17" s="70">
        <v>0.0</v>
      </c>
      <c r="P17" s="70">
        <v>0.0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>
        <v>1.0</v>
      </c>
      <c r="AC17" s="70"/>
      <c r="AD17" s="70"/>
      <c r="AE17" s="70"/>
      <c r="AF17" s="70"/>
      <c r="AG17" s="70"/>
      <c r="AH17" s="70"/>
      <c r="AI17" s="71">
        <v>1.0</v>
      </c>
      <c r="AJ17" s="71">
        <v>1.0</v>
      </c>
      <c r="AK17" s="70">
        <v>1.0</v>
      </c>
      <c r="AL17" s="70">
        <v>1.0</v>
      </c>
      <c r="AM17" s="70"/>
      <c r="AN17" s="70"/>
      <c r="AO17" s="70"/>
      <c r="AP17" s="70"/>
      <c r="AQ17" s="70"/>
      <c r="AR17" s="70"/>
      <c r="AS17" s="70"/>
      <c r="AT17" s="70"/>
      <c r="AU17" s="70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72"/>
      <c r="BJ17" s="72"/>
      <c r="BK17" s="72"/>
      <c r="BL17" s="72"/>
      <c r="BM17" s="72"/>
      <c r="BN17" s="72"/>
      <c r="BO17" s="72"/>
      <c r="BP17" s="72"/>
      <c r="BQ17" s="72"/>
      <c r="BR17" s="72"/>
      <c r="BS17" s="72"/>
      <c r="BT17" s="72"/>
      <c r="BU17" s="72"/>
      <c r="BV17" s="72"/>
      <c r="BW17" s="72"/>
      <c r="BX17" s="72"/>
      <c r="BY17" s="72"/>
    </row>
    <row r="18" ht="19.5" customHeight="1">
      <c r="A18" s="69" t="str">
        <f>IF(Roster!$A$16&lt;&gt;"",Roster!$A$16,"")</f>
        <v>Jimmy Towle</v>
      </c>
      <c r="B18" s="70">
        <v>0.0</v>
      </c>
      <c r="C18" s="71">
        <v>0.0</v>
      </c>
      <c r="D18" s="70"/>
      <c r="E18" s="70"/>
      <c r="F18" s="70"/>
      <c r="G18" s="70">
        <v>1.0</v>
      </c>
      <c r="H18" s="70">
        <v>0.0</v>
      </c>
      <c r="I18" s="70">
        <v>0.0</v>
      </c>
      <c r="J18" s="70">
        <v>1.0</v>
      </c>
      <c r="K18" s="70"/>
      <c r="L18" s="70">
        <v>0.0</v>
      </c>
      <c r="M18" s="70">
        <v>0.0</v>
      </c>
      <c r="N18" s="70"/>
      <c r="O18" s="70">
        <v>0.0</v>
      </c>
      <c r="P18" s="70">
        <v>0.0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>
        <v>0.0</v>
      </c>
      <c r="AC18" s="70"/>
      <c r="AD18" s="70"/>
      <c r="AE18" s="70"/>
      <c r="AF18" s="70"/>
      <c r="AG18" s="70"/>
      <c r="AH18" s="70"/>
      <c r="AI18" s="71">
        <v>0.0</v>
      </c>
      <c r="AJ18" s="71">
        <v>0.0</v>
      </c>
      <c r="AK18" s="70">
        <v>0.0</v>
      </c>
      <c r="AL18" s="70">
        <v>1.0</v>
      </c>
      <c r="AM18" s="70"/>
      <c r="AN18" s="70"/>
      <c r="AO18" s="70"/>
      <c r="AP18" s="70"/>
      <c r="AQ18" s="70"/>
      <c r="AR18" s="70"/>
      <c r="AS18" s="70"/>
      <c r="AT18" s="70"/>
      <c r="AU18" s="70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</row>
    <row r="19" ht="19.5" customHeight="1">
      <c r="A19" s="69" t="str">
        <f>IF(Roster!$A$17&lt;&gt;"",Roster!$A$17,"")</f>
        <v>Kailey Rugani</v>
      </c>
      <c r="B19" s="70">
        <v>1.0</v>
      </c>
      <c r="C19" s="71">
        <v>1.0</v>
      </c>
      <c r="D19" s="70"/>
      <c r="E19" s="70"/>
      <c r="F19" s="70"/>
      <c r="G19" s="70">
        <v>1.0</v>
      </c>
      <c r="H19" s="70">
        <v>1.0</v>
      </c>
      <c r="I19" s="70">
        <v>0.0</v>
      </c>
      <c r="J19" s="70">
        <v>1.0</v>
      </c>
      <c r="K19" s="70"/>
      <c r="L19" s="70">
        <v>1.0</v>
      </c>
      <c r="M19" s="70">
        <v>1.0</v>
      </c>
      <c r="N19" s="70"/>
      <c r="O19" s="70">
        <v>0.0</v>
      </c>
      <c r="P19" s="70">
        <v>0.0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>
        <v>1.0</v>
      </c>
      <c r="AC19" s="70"/>
      <c r="AD19" s="70"/>
      <c r="AE19" s="70"/>
      <c r="AF19" s="70"/>
      <c r="AG19" s="70"/>
      <c r="AH19" s="70"/>
      <c r="AI19" s="71">
        <v>1.0</v>
      </c>
      <c r="AJ19" s="71">
        <v>1.0</v>
      </c>
      <c r="AK19" s="70">
        <v>1.0</v>
      </c>
      <c r="AL19" s="70">
        <v>1.0</v>
      </c>
      <c r="AM19" s="70"/>
      <c r="AN19" s="70"/>
      <c r="AO19" s="70"/>
      <c r="AP19" s="70"/>
      <c r="AQ19" s="70"/>
      <c r="AR19" s="70"/>
      <c r="AS19" s="70"/>
      <c r="AT19" s="70"/>
      <c r="AU19" s="70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</row>
    <row r="20" ht="19.5" customHeight="1">
      <c r="A20" s="69" t="str">
        <f>IF(Roster!$A$18&lt;&gt;"",Roster!$A$18,"")</f>
        <v>Kasey Schock</v>
      </c>
      <c r="B20" s="70">
        <v>1.0</v>
      </c>
      <c r="C20" s="71">
        <v>1.0</v>
      </c>
      <c r="D20" s="70"/>
      <c r="E20" s="70"/>
      <c r="F20" s="70"/>
      <c r="G20" s="70">
        <v>1.0</v>
      </c>
      <c r="H20" s="70">
        <v>1.0</v>
      </c>
      <c r="I20" s="70">
        <v>0.0</v>
      </c>
      <c r="J20" s="70">
        <v>1.0</v>
      </c>
      <c r="K20" s="70"/>
      <c r="L20" s="70">
        <v>1.0</v>
      </c>
      <c r="M20" s="70">
        <v>1.0</v>
      </c>
      <c r="N20" s="70"/>
      <c r="O20" s="70">
        <v>0.0</v>
      </c>
      <c r="P20" s="70">
        <v>0.0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>
        <v>1.0</v>
      </c>
      <c r="AC20" s="70"/>
      <c r="AD20" s="70"/>
      <c r="AE20" s="70"/>
      <c r="AF20" s="70"/>
      <c r="AG20" s="70"/>
      <c r="AH20" s="70"/>
      <c r="AI20" s="71">
        <v>0.0</v>
      </c>
      <c r="AJ20" s="71">
        <v>1.0</v>
      </c>
      <c r="AK20" s="70">
        <v>1.0</v>
      </c>
      <c r="AL20" s="70">
        <v>1.0</v>
      </c>
      <c r="AM20" s="70"/>
      <c r="AN20" s="70"/>
      <c r="AO20" s="70"/>
      <c r="AP20" s="70"/>
      <c r="AQ20" s="70"/>
      <c r="AR20" s="70"/>
      <c r="AS20" s="70"/>
      <c r="AT20" s="70"/>
      <c r="AU20" s="70"/>
      <c r="AV20" s="73"/>
      <c r="AW20" s="73"/>
      <c r="AX20" s="73"/>
      <c r="AY20" s="73"/>
      <c r="AZ20" s="73"/>
      <c r="BA20" s="73"/>
      <c r="BB20" s="73"/>
      <c r="BC20" s="73"/>
      <c r="BD20" s="73"/>
      <c r="BE20" s="73"/>
      <c r="BF20" s="73"/>
      <c r="BG20" s="73"/>
      <c r="BH20" s="73"/>
      <c r="BI20" s="73"/>
      <c r="BJ20" s="73"/>
      <c r="BK20" s="73"/>
      <c r="BL20" s="73"/>
      <c r="BM20" s="73"/>
      <c r="BN20" s="73"/>
      <c r="BO20" s="73"/>
      <c r="BP20" s="73"/>
      <c r="BQ20" s="73"/>
      <c r="BR20" s="73"/>
      <c r="BS20" s="73"/>
      <c r="BT20" s="73"/>
      <c r="BU20" s="73"/>
      <c r="BV20" s="73"/>
      <c r="BW20" s="73"/>
      <c r="BX20" s="73"/>
      <c r="BY20" s="73"/>
    </row>
    <row r="21" ht="19.5" customHeight="1">
      <c r="A21" s="69" t="str">
        <f>IF(Roster!$A$19&lt;&gt;"",Roster!$A$19,"")</f>
        <v>Kevin Nicholl</v>
      </c>
      <c r="B21" s="70">
        <v>1.0</v>
      </c>
      <c r="C21" s="71">
        <v>1.0</v>
      </c>
      <c r="D21" s="70"/>
      <c r="E21" s="70"/>
      <c r="F21" s="70"/>
      <c r="G21" s="70">
        <v>1.0</v>
      </c>
      <c r="H21" s="70">
        <v>1.0</v>
      </c>
      <c r="I21" s="70">
        <v>0.0</v>
      </c>
      <c r="J21" s="70">
        <v>1.0</v>
      </c>
      <c r="K21" s="70"/>
      <c r="L21" s="70">
        <v>0.0</v>
      </c>
      <c r="M21" s="70">
        <v>1.0</v>
      </c>
      <c r="N21" s="70"/>
      <c r="O21" s="70">
        <v>0.0</v>
      </c>
      <c r="P21" s="70">
        <v>0.0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>
        <v>1.0</v>
      </c>
      <c r="AC21" s="70"/>
      <c r="AD21" s="70"/>
      <c r="AE21" s="70"/>
      <c r="AF21" s="70"/>
      <c r="AG21" s="70"/>
      <c r="AH21" s="70"/>
      <c r="AI21" s="71">
        <v>1.0</v>
      </c>
      <c r="AJ21" s="71">
        <v>1.0</v>
      </c>
      <c r="AK21" s="70">
        <v>0.0</v>
      </c>
      <c r="AL21" s="70">
        <v>1.0</v>
      </c>
      <c r="AM21" s="70"/>
      <c r="AN21" s="70"/>
      <c r="AO21" s="70"/>
      <c r="AP21" s="70"/>
      <c r="AQ21" s="70"/>
      <c r="AR21" s="70"/>
      <c r="AS21" s="70"/>
      <c r="AT21" s="70"/>
      <c r="AU21" s="70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72"/>
      <c r="BJ21" s="72"/>
      <c r="BK21" s="72"/>
      <c r="BL21" s="72"/>
      <c r="BM21" s="72"/>
      <c r="BN21" s="72"/>
      <c r="BO21" s="72"/>
      <c r="BP21" s="72"/>
      <c r="BQ21" s="72"/>
      <c r="BR21" s="72"/>
      <c r="BS21" s="72"/>
      <c r="BT21" s="72"/>
      <c r="BU21" s="72"/>
      <c r="BV21" s="72"/>
      <c r="BW21" s="72"/>
      <c r="BX21" s="72"/>
      <c r="BY21" s="72"/>
    </row>
    <row r="22" ht="19.5" customHeight="1">
      <c r="A22" s="69" t="str">
        <f>IF(Roster!$A$20&lt;&gt;"",Roster!$A$20,"")</f>
        <v>Kit Asterin</v>
      </c>
      <c r="B22" s="70">
        <v>1.0</v>
      </c>
      <c r="C22" s="71">
        <v>1.0</v>
      </c>
      <c r="D22" s="70"/>
      <c r="E22" s="70"/>
      <c r="F22" s="70"/>
      <c r="G22" s="70">
        <v>1.0</v>
      </c>
      <c r="H22" s="70">
        <v>1.0</v>
      </c>
      <c r="I22" s="70">
        <v>0.0</v>
      </c>
      <c r="J22" s="70">
        <v>1.0</v>
      </c>
      <c r="K22" s="70"/>
      <c r="L22" s="70">
        <v>1.0</v>
      </c>
      <c r="M22" s="70">
        <v>1.0</v>
      </c>
      <c r="N22" s="70"/>
      <c r="O22" s="70">
        <v>0.0</v>
      </c>
      <c r="P22" s="70">
        <v>0.0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1">
        <v>0.0</v>
      </c>
      <c r="AC22" s="70"/>
      <c r="AD22" s="70"/>
      <c r="AE22" s="70"/>
      <c r="AF22" s="70"/>
      <c r="AG22" s="70"/>
      <c r="AH22" s="70"/>
      <c r="AI22" s="71">
        <v>0.0</v>
      </c>
      <c r="AJ22" s="71">
        <v>1.0</v>
      </c>
      <c r="AK22" s="70">
        <v>1.0</v>
      </c>
      <c r="AL22" s="70">
        <v>1.0</v>
      </c>
      <c r="AM22" s="70"/>
      <c r="AN22" s="70"/>
      <c r="AO22" s="70"/>
      <c r="AP22" s="70"/>
      <c r="AQ22" s="70"/>
      <c r="AR22" s="70"/>
      <c r="AS22" s="70"/>
      <c r="AT22" s="70"/>
      <c r="AU22" s="70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</row>
    <row r="23" ht="19.5" customHeight="1">
      <c r="A23" s="69" t="str">
        <f>IF(Roster!$A$21&lt;&gt;"",Roster!$A$21,"")</f>
        <v>Kristin Dudley</v>
      </c>
      <c r="B23" s="70">
        <v>1.0</v>
      </c>
      <c r="C23" s="71">
        <v>1.0</v>
      </c>
      <c r="D23" s="70"/>
      <c r="E23" s="70"/>
      <c r="F23" s="70"/>
      <c r="G23" s="70">
        <v>1.0</v>
      </c>
      <c r="H23" s="70">
        <v>1.0</v>
      </c>
      <c r="I23" s="70">
        <v>1.0</v>
      </c>
      <c r="J23" s="70">
        <v>1.0</v>
      </c>
      <c r="K23" s="70"/>
      <c r="L23" s="70">
        <v>0.0</v>
      </c>
      <c r="M23" s="70">
        <v>1.0</v>
      </c>
      <c r="N23" s="70"/>
      <c r="O23" s="70">
        <v>1.0</v>
      </c>
      <c r="P23" s="70">
        <v>0.0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1">
        <v>0.0</v>
      </c>
      <c r="AC23" s="70"/>
      <c r="AD23" s="70"/>
      <c r="AE23" s="70"/>
      <c r="AF23" s="70"/>
      <c r="AG23" s="70"/>
      <c r="AH23" s="70"/>
      <c r="AI23" s="71">
        <v>0.0</v>
      </c>
      <c r="AJ23" s="71">
        <v>1.0</v>
      </c>
      <c r="AK23" s="70">
        <v>0.0</v>
      </c>
      <c r="AL23" s="70">
        <v>1.0</v>
      </c>
      <c r="AM23" s="70"/>
      <c r="AN23" s="70"/>
      <c r="AO23" s="70"/>
      <c r="AP23" s="70"/>
      <c r="AQ23" s="70"/>
      <c r="AR23" s="70"/>
      <c r="AS23" s="70"/>
      <c r="AT23" s="70"/>
      <c r="AU23" s="70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</row>
    <row r="24" ht="19.5" customHeight="1">
      <c r="A24" s="69" t="str">
        <f>IF(Roster!$A$22&lt;&gt;"",Roster!$A$22,"")</f>
        <v>Lexie Thomas</v>
      </c>
      <c r="B24" s="70">
        <v>1.0</v>
      </c>
      <c r="C24" s="71">
        <v>1.0</v>
      </c>
      <c r="D24" s="70"/>
      <c r="E24" s="70"/>
      <c r="F24" s="70"/>
      <c r="G24" s="70">
        <v>1.0</v>
      </c>
      <c r="H24" s="70">
        <v>1.0</v>
      </c>
      <c r="I24" s="70">
        <v>0.0</v>
      </c>
      <c r="J24" s="70">
        <v>1.0</v>
      </c>
      <c r="K24" s="70"/>
      <c r="L24" s="70">
        <v>0.0</v>
      </c>
      <c r="M24" s="70">
        <v>1.0</v>
      </c>
      <c r="N24" s="70"/>
      <c r="O24" s="70">
        <v>0.0</v>
      </c>
      <c r="P24" s="70">
        <v>0.0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>
        <v>1.0</v>
      </c>
      <c r="AC24" s="70"/>
      <c r="AD24" s="70"/>
      <c r="AE24" s="70"/>
      <c r="AF24" s="70"/>
      <c r="AG24" s="70"/>
      <c r="AH24" s="70"/>
      <c r="AI24" s="71">
        <v>0.0</v>
      </c>
      <c r="AJ24" s="71">
        <v>1.0</v>
      </c>
      <c r="AK24" s="70">
        <v>0.0</v>
      </c>
      <c r="AL24" s="70">
        <v>1.0</v>
      </c>
      <c r="AM24" s="70"/>
      <c r="AN24" s="70"/>
      <c r="AO24" s="70"/>
      <c r="AP24" s="70"/>
      <c r="AQ24" s="70"/>
      <c r="AR24" s="70"/>
      <c r="AS24" s="70"/>
      <c r="AT24" s="70"/>
      <c r="AU24" s="70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</row>
    <row r="25" ht="19.5" customHeight="1">
      <c r="A25" s="69" t="str">
        <f>IF(Roster!$A$23&lt;&gt;"",Roster!$A$23,"")</f>
        <v>Lucas Jones</v>
      </c>
      <c r="B25" s="70">
        <v>0.0</v>
      </c>
      <c r="C25" s="71">
        <v>0.0</v>
      </c>
      <c r="D25" s="70"/>
      <c r="E25" s="70"/>
      <c r="F25" s="70"/>
      <c r="G25" s="70">
        <v>1.0</v>
      </c>
      <c r="H25" s="70">
        <v>0.0</v>
      </c>
      <c r="I25" s="70">
        <v>0.0</v>
      </c>
      <c r="J25" s="70">
        <v>1.0</v>
      </c>
      <c r="K25" s="70"/>
      <c r="L25" s="70">
        <v>0.0</v>
      </c>
      <c r="M25" s="70">
        <v>0.0</v>
      </c>
      <c r="N25" s="70"/>
      <c r="O25" s="70">
        <v>0.0</v>
      </c>
      <c r="P25" s="70">
        <v>0.0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>
        <v>0.0</v>
      </c>
      <c r="AC25" s="70"/>
      <c r="AD25" s="70"/>
      <c r="AE25" s="70"/>
      <c r="AF25" s="70"/>
      <c r="AG25" s="70"/>
      <c r="AH25" s="70"/>
      <c r="AI25" s="71">
        <v>0.0</v>
      </c>
      <c r="AJ25" s="71">
        <v>0.0</v>
      </c>
      <c r="AK25" s="70">
        <v>0.0</v>
      </c>
      <c r="AL25" s="70">
        <v>1.0</v>
      </c>
      <c r="AM25" s="70"/>
      <c r="AN25" s="70"/>
      <c r="AO25" s="70"/>
      <c r="AP25" s="70"/>
      <c r="AQ25" s="70"/>
      <c r="AR25" s="70"/>
      <c r="AS25" s="70"/>
      <c r="AT25" s="70"/>
      <c r="AU25" s="70"/>
      <c r="AV25" s="72"/>
      <c r="AW25" s="72"/>
      <c r="AX25" s="72"/>
      <c r="AY25" s="72"/>
      <c r="AZ25" s="72"/>
      <c r="BA25" s="72"/>
      <c r="BB25" s="72"/>
      <c r="BC25" s="72"/>
      <c r="BD25" s="72"/>
      <c r="BE25" s="72"/>
      <c r="BF25" s="72"/>
      <c r="BG25" s="72"/>
      <c r="BH25" s="72"/>
      <c r="BI25" s="72"/>
      <c r="BJ25" s="72"/>
      <c r="BK25" s="72"/>
      <c r="BL25" s="72"/>
      <c r="BM25" s="72"/>
      <c r="BN25" s="72"/>
      <c r="BO25" s="72"/>
      <c r="BP25" s="72"/>
      <c r="BQ25" s="72"/>
      <c r="BR25" s="72"/>
      <c r="BS25" s="72"/>
      <c r="BT25" s="72"/>
      <c r="BU25" s="72"/>
      <c r="BV25" s="72"/>
      <c r="BW25" s="72"/>
      <c r="BX25" s="72"/>
      <c r="BY25" s="72"/>
    </row>
    <row r="26" ht="19.5" customHeight="1">
      <c r="A26" s="69" t="str">
        <f>IF(Roster!$A$24&lt;&gt;"",Roster!$A$24,"")</f>
        <v>Max Sheppard</v>
      </c>
      <c r="B26" s="70">
        <v>1.0</v>
      </c>
      <c r="C26" s="71">
        <v>0.0</v>
      </c>
      <c r="D26" s="70"/>
      <c r="E26" s="70"/>
      <c r="F26" s="70"/>
      <c r="G26" s="70" t="s">
        <v>127</v>
      </c>
      <c r="H26" s="70">
        <v>1.0</v>
      </c>
      <c r="I26" s="70">
        <v>0.0</v>
      </c>
      <c r="J26" s="70" t="s">
        <v>127</v>
      </c>
      <c r="K26" s="70"/>
      <c r="L26" s="70">
        <v>0.0</v>
      </c>
      <c r="M26" s="70">
        <v>1.0</v>
      </c>
      <c r="N26" s="70"/>
      <c r="O26" s="70">
        <v>0.0</v>
      </c>
      <c r="P26" s="70">
        <v>0.0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>
        <v>1.0</v>
      </c>
      <c r="AC26" s="70"/>
      <c r="AD26" s="70"/>
      <c r="AE26" s="70"/>
      <c r="AF26" s="70"/>
      <c r="AG26" s="70"/>
      <c r="AH26" s="70"/>
      <c r="AI26" s="71">
        <v>0.0</v>
      </c>
      <c r="AJ26" s="71">
        <v>0.0</v>
      </c>
      <c r="AK26" s="70">
        <v>0.0</v>
      </c>
      <c r="AL26" s="70" t="s">
        <v>127</v>
      </c>
      <c r="AM26" s="70"/>
      <c r="AN26" s="70"/>
      <c r="AO26" s="70"/>
      <c r="AP26" s="70"/>
      <c r="AQ26" s="70"/>
      <c r="AR26" s="70"/>
      <c r="AS26" s="70"/>
      <c r="AT26" s="70"/>
      <c r="AU26" s="70"/>
      <c r="AV26" s="73"/>
      <c r="AW26" s="73"/>
      <c r="AX26" s="73"/>
      <c r="AY26" s="73"/>
      <c r="AZ26" s="73"/>
      <c r="BA26" s="73"/>
      <c r="BB26" s="73"/>
      <c r="BC26" s="73"/>
      <c r="BD26" s="73"/>
      <c r="BE26" s="73"/>
      <c r="BF26" s="73"/>
      <c r="BG26" s="73"/>
      <c r="BH26" s="73"/>
      <c r="BI26" s="73"/>
      <c r="BJ26" s="73"/>
      <c r="BK26" s="73"/>
      <c r="BL26" s="73"/>
      <c r="BM26" s="73"/>
      <c r="BN26" s="73"/>
      <c r="BO26" s="73"/>
      <c r="BP26" s="73"/>
      <c r="BQ26" s="73"/>
      <c r="BR26" s="73"/>
      <c r="BS26" s="73"/>
      <c r="BT26" s="73"/>
      <c r="BU26" s="73"/>
      <c r="BV26" s="73"/>
      <c r="BW26" s="73"/>
      <c r="BX26" s="73"/>
      <c r="BY26" s="73"/>
    </row>
    <row r="27" ht="19.5" customHeight="1">
      <c r="A27" s="69" t="str">
        <f>IF(Roster!$A$25&lt;&gt;"",Roster!$A$25,"")</f>
        <v>Lucius Christie</v>
      </c>
      <c r="B27" s="70">
        <v>1.0</v>
      </c>
      <c r="C27" s="71">
        <v>1.0</v>
      </c>
      <c r="D27" s="70"/>
      <c r="E27" s="70"/>
      <c r="F27" s="70"/>
      <c r="G27" s="70">
        <v>1.0</v>
      </c>
      <c r="H27" s="70">
        <v>1.0</v>
      </c>
      <c r="I27" s="70">
        <v>0.0</v>
      </c>
      <c r="J27" s="70">
        <v>1.0</v>
      </c>
      <c r="K27" s="70"/>
      <c r="L27" s="70">
        <v>0.0</v>
      </c>
      <c r="M27" s="70">
        <v>1.0</v>
      </c>
      <c r="N27" s="70"/>
      <c r="O27" s="70">
        <v>0.0</v>
      </c>
      <c r="P27" s="70">
        <v>0.0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>
        <v>1.0</v>
      </c>
      <c r="AC27" s="70"/>
      <c r="AD27" s="70"/>
      <c r="AE27" s="70"/>
      <c r="AF27" s="70"/>
      <c r="AG27" s="70"/>
      <c r="AH27" s="70"/>
      <c r="AI27" s="71">
        <v>1.0</v>
      </c>
      <c r="AJ27" s="71">
        <v>1.0</v>
      </c>
      <c r="AK27" s="70">
        <v>0.0</v>
      </c>
      <c r="AL27" s="70">
        <v>1.0</v>
      </c>
      <c r="AM27" s="70"/>
      <c r="AN27" s="70"/>
      <c r="AO27" s="70"/>
      <c r="AP27" s="70"/>
      <c r="AQ27" s="70"/>
      <c r="AR27" s="70"/>
      <c r="AS27" s="70"/>
      <c r="AT27" s="70"/>
      <c r="AU27" s="70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</row>
    <row r="28" ht="19.5" customHeight="1">
      <c r="A28" s="69" t="str">
        <f>IF(Roster!$A$26&lt;&gt;"",Roster!$A$26,"")</f>
        <v>Patrick McMullen</v>
      </c>
      <c r="B28" s="70">
        <v>1.0</v>
      </c>
      <c r="C28" s="71">
        <v>1.0</v>
      </c>
      <c r="D28" s="70"/>
      <c r="E28" s="70"/>
      <c r="F28" s="70"/>
      <c r="G28" s="70">
        <v>1.0</v>
      </c>
      <c r="H28" s="70">
        <v>1.0</v>
      </c>
      <c r="I28" s="70">
        <v>0.0</v>
      </c>
      <c r="J28" s="70">
        <v>1.0</v>
      </c>
      <c r="K28" s="70"/>
      <c r="L28" s="70">
        <v>1.0</v>
      </c>
      <c r="M28" s="70">
        <v>1.0</v>
      </c>
      <c r="N28" s="70"/>
      <c r="O28" s="70">
        <v>0.0</v>
      </c>
      <c r="P28" s="70">
        <v>0.0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>
        <v>1.0</v>
      </c>
      <c r="AC28" s="70"/>
      <c r="AD28" s="70"/>
      <c r="AE28" s="70"/>
      <c r="AF28" s="70"/>
      <c r="AG28" s="70"/>
      <c r="AH28" s="70"/>
      <c r="AI28" s="71">
        <v>1.0</v>
      </c>
      <c r="AJ28" s="71">
        <v>1.0</v>
      </c>
      <c r="AK28" s="70">
        <v>1.0</v>
      </c>
      <c r="AL28" s="70">
        <v>1.0</v>
      </c>
      <c r="AM28" s="70"/>
      <c r="AN28" s="70"/>
      <c r="AO28" s="70"/>
      <c r="AP28" s="70"/>
      <c r="AQ28" s="70"/>
      <c r="AR28" s="70"/>
      <c r="AS28" s="70"/>
      <c r="AT28" s="70"/>
      <c r="AU28" s="70"/>
      <c r="AV28" s="73"/>
      <c r="AW28" s="73"/>
      <c r="AX28" s="73"/>
      <c r="AY28" s="73"/>
      <c r="AZ28" s="73"/>
      <c r="BA28" s="73"/>
      <c r="BB28" s="73"/>
      <c r="BC28" s="73"/>
      <c r="BD28" s="73"/>
      <c r="BE28" s="73"/>
      <c r="BF28" s="73"/>
      <c r="BG28" s="73"/>
      <c r="BH28" s="73"/>
      <c r="BI28" s="73"/>
      <c r="BJ28" s="73"/>
      <c r="BK28" s="73"/>
      <c r="BL28" s="73"/>
      <c r="BM28" s="73"/>
      <c r="BN28" s="73"/>
      <c r="BO28" s="73"/>
      <c r="BP28" s="73"/>
      <c r="BQ28" s="73"/>
      <c r="BR28" s="73"/>
      <c r="BS28" s="73"/>
      <c r="BT28" s="73"/>
      <c r="BU28" s="73"/>
      <c r="BV28" s="73"/>
      <c r="BW28" s="73"/>
      <c r="BX28" s="73"/>
      <c r="BY28" s="73"/>
    </row>
    <row r="29" ht="19.5" customHeight="1">
      <c r="A29" s="69" t="str">
        <f>IF(Roster!$A$27&lt;&gt;"",Roster!$A$27,"")</f>
        <v>Rachel Graber</v>
      </c>
      <c r="B29" s="70">
        <v>1.0</v>
      </c>
      <c r="C29" s="71">
        <v>1.0</v>
      </c>
      <c r="D29" s="70"/>
      <c r="E29" s="70"/>
      <c r="F29" s="70"/>
      <c r="G29" s="70">
        <v>1.0</v>
      </c>
      <c r="H29" s="70">
        <v>1.0</v>
      </c>
      <c r="I29" s="70">
        <v>0.0</v>
      </c>
      <c r="J29" s="70">
        <v>1.0</v>
      </c>
      <c r="K29" s="70"/>
      <c r="L29" s="70">
        <v>0.0</v>
      </c>
      <c r="M29" s="70">
        <v>1.0</v>
      </c>
      <c r="N29" s="70"/>
      <c r="O29" s="70">
        <v>0.0</v>
      </c>
      <c r="P29" s="70">
        <v>0.0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1">
        <v>0.0</v>
      </c>
      <c r="AC29" s="70"/>
      <c r="AD29" s="70"/>
      <c r="AE29" s="70"/>
      <c r="AF29" s="70"/>
      <c r="AG29" s="70"/>
      <c r="AH29" s="70"/>
      <c r="AI29" s="71">
        <v>0.0</v>
      </c>
      <c r="AJ29" s="71">
        <v>1.0</v>
      </c>
      <c r="AK29" s="70">
        <v>0.0</v>
      </c>
      <c r="AL29" s="70">
        <v>1.0</v>
      </c>
      <c r="AM29" s="70"/>
      <c r="AN29" s="70"/>
      <c r="AO29" s="70"/>
      <c r="AP29" s="70"/>
      <c r="AQ29" s="70"/>
      <c r="AR29" s="70"/>
      <c r="AS29" s="70"/>
      <c r="AT29" s="70"/>
      <c r="AU29" s="70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72"/>
      <c r="BJ29" s="72"/>
      <c r="BK29" s="72"/>
      <c r="BL29" s="72"/>
      <c r="BM29" s="72"/>
      <c r="BN29" s="72"/>
      <c r="BO29" s="72"/>
      <c r="BP29" s="72"/>
      <c r="BQ29" s="72"/>
      <c r="BR29" s="72"/>
      <c r="BS29" s="72"/>
      <c r="BT29" s="72"/>
      <c r="BU29" s="72"/>
      <c r="BV29" s="72"/>
      <c r="BW29" s="72"/>
      <c r="BX29" s="72"/>
      <c r="BY29" s="72"/>
    </row>
    <row r="30" ht="19.5" customHeight="1">
      <c r="A30" s="69" t="str">
        <f>IF(Roster!$A$28&lt;&gt;"",Roster!$A$28,"")</f>
        <v>Ryan Kindell</v>
      </c>
      <c r="B30" s="70">
        <v>1.0</v>
      </c>
      <c r="C30" s="71">
        <v>1.0</v>
      </c>
      <c r="D30" s="70"/>
      <c r="E30" s="70"/>
      <c r="F30" s="70"/>
      <c r="G30" s="70">
        <v>1.0</v>
      </c>
      <c r="H30" s="70">
        <v>1.0</v>
      </c>
      <c r="I30" s="70">
        <v>0.0</v>
      </c>
      <c r="J30" s="70">
        <v>1.0</v>
      </c>
      <c r="K30" s="70"/>
      <c r="L30" s="70">
        <v>0.0</v>
      </c>
      <c r="M30" s="70">
        <v>1.0</v>
      </c>
      <c r="N30" s="70"/>
      <c r="O30" s="70">
        <v>0.0</v>
      </c>
      <c r="P30" s="70">
        <v>0.0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>
        <v>1.0</v>
      </c>
      <c r="AC30" s="70"/>
      <c r="AD30" s="70"/>
      <c r="AE30" s="70"/>
      <c r="AF30" s="70"/>
      <c r="AG30" s="70"/>
      <c r="AH30" s="70"/>
      <c r="AI30" s="71">
        <v>1.0</v>
      </c>
      <c r="AJ30" s="71">
        <v>1.0</v>
      </c>
      <c r="AK30" s="70">
        <v>0.0</v>
      </c>
      <c r="AL30" s="70">
        <v>1.0</v>
      </c>
      <c r="AM30" s="70"/>
      <c r="AN30" s="70"/>
      <c r="AO30" s="70"/>
      <c r="AP30" s="70"/>
      <c r="AQ30" s="70"/>
      <c r="AR30" s="70"/>
      <c r="AS30" s="70"/>
      <c r="AT30" s="70"/>
      <c r="AU30" s="70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</row>
    <row r="31" ht="19.5" customHeight="1">
      <c r="A31" s="69" t="str">
        <f>IF(Roster!$A$29&lt;&gt;"",Roster!$A$29,"")</f>
        <v>Ryan Ward</v>
      </c>
      <c r="B31" s="70">
        <v>1.0</v>
      </c>
      <c r="C31" s="71">
        <v>1.0</v>
      </c>
      <c r="D31" s="70"/>
      <c r="E31" s="70"/>
      <c r="F31" s="70"/>
      <c r="G31" s="70">
        <v>1.0</v>
      </c>
      <c r="H31" s="70">
        <v>1.0</v>
      </c>
      <c r="I31" s="70">
        <v>0.0</v>
      </c>
      <c r="J31" s="70">
        <v>1.0</v>
      </c>
      <c r="K31" s="70"/>
      <c r="L31" s="70">
        <v>0.0</v>
      </c>
      <c r="M31" s="70">
        <v>1.0</v>
      </c>
      <c r="N31" s="70"/>
      <c r="O31" s="70">
        <v>0.0</v>
      </c>
      <c r="P31" s="70">
        <v>0.0</v>
      </c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>
        <v>1.0</v>
      </c>
      <c r="AC31" s="70"/>
      <c r="AD31" s="70"/>
      <c r="AE31" s="70"/>
      <c r="AF31" s="70"/>
      <c r="AG31" s="70"/>
      <c r="AH31" s="70"/>
      <c r="AI31" s="71">
        <v>1.0</v>
      </c>
      <c r="AJ31" s="71">
        <v>1.0</v>
      </c>
      <c r="AK31" s="70">
        <v>0.0</v>
      </c>
      <c r="AL31" s="70">
        <v>1.0</v>
      </c>
      <c r="AM31" s="70"/>
      <c r="AN31" s="70"/>
      <c r="AO31" s="70"/>
      <c r="AP31" s="70"/>
      <c r="AQ31" s="70"/>
      <c r="AR31" s="70"/>
      <c r="AS31" s="70"/>
      <c r="AT31" s="70"/>
      <c r="AU31" s="70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</row>
    <row r="32" ht="19.5" customHeight="1">
      <c r="A32" s="69" t="str">
        <f>IF(Roster!$A$30&lt;&gt;"",Roster!$A$30,"")</f>
        <v>Sam Gombiner</v>
      </c>
      <c r="B32" s="70">
        <v>0.0</v>
      </c>
      <c r="C32" s="71">
        <v>0.0</v>
      </c>
      <c r="D32" s="70"/>
      <c r="E32" s="70"/>
      <c r="F32" s="70"/>
      <c r="G32" s="70">
        <v>1.0</v>
      </c>
      <c r="H32" s="70">
        <v>0.0</v>
      </c>
      <c r="I32" s="70">
        <v>0.0</v>
      </c>
      <c r="J32" s="70">
        <v>1.0</v>
      </c>
      <c r="K32" s="70"/>
      <c r="L32" s="70">
        <v>0.0</v>
      </c>
      <c r="M32" s="70">
        <v>0.0</v>
      </c>
      <c r="N32" s="70"/>
      <c r="O32" s="70">
        <v>0.0</v>
      </c>
      <c r="P32" s="70">
        <v>0.0</v>
      </c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>
        <v>0.0</v>
      </c>
      <c r="AC32" s="70"/>
      <c r="AD32" s="70"/>
      <c r="AE32" s="70"/>
      <c r="AF32" s="70"/>
      <c r="AG32" s="70"/>
      <c r="AH32" s="70"/>
      <c r="AI32" s="71">
        <v>0.0</v>
      </c>
      <c r="AJ32" s="71">
        <v>0.0</v>
      </c>
      <c r="AK32" s="70">
        <v>0.0</v>
      </c>
      <c r="AL32" s="70">
        <v>1.0</v>
      </c>
      <c r="AM32" s="70"/>
      <c r="AN32" s="70"/>
      <c r="AO32" s="70"/>
      <c r="AP32" s="70"/>
      <c r="AQ32" s="70"/>
      <c r="AR32" s="70"/>
      <c r="AS32" s="70"/>
      <c r="AT32" s="70"/>
      <c r="AU32" s="70"/>
      <c r="AV32" s="73"/>
      <c r="AW32" s="73"/>
      <c r="AX32" s="73"/>
      <c r="AY32" s="73"/>
      <c r="AZ32" s="73"/>
      <c r="BA32" s="73"/>
      <c r="BB32" s="73"/>
      <c r="BC32" s="73"/>
      <c r="BD32" s="73"/>
      <c r="BE32" s="73"/>
      <c r="BF32" s="73"/>
      <c r="BG32" s="73"/>
      <c r="BH32" s="73"/>
      <c r="BI32" s="73"/>
      <c r="BJ32" s="73"/>
      <c r="BK32" s="73"/>
      <c r="BL32" s="73"/>
      <c r="BM32" s="73"/>
      <c r="BN32" s="73"/>
      <c r="BO32" s="73"/>
      <c r="BP32" s="73"/>
      <c r="BQ32" s="73"/>
      <c r="BR32" s="73"/>
      <c r="BS32" s="73"/>
      <c r="BT32" s="73"/>
      <c r="BU32" s="73"/>
      <c r="BV32" s="73"/>
      <c r="BW32" s="73"/>
      <c r="BX32" s="73"/>
      <c r="BY32" s="73"/>
    </row>
    <row r="33" ht="19.5" customHeight="1">
      <c r="A33" s="69" t="str">
        <f>IF(Roster!$A$31&lt;&gt;"",Roster!$A$31,"")</f>
        <v>Sarah Kingsley-Hart</v>
      </c>
      <c r="B33" s="70">
        <v>1.0</v>
      </c>
      <c r="C33" s="71">
        <v>0.0</v>
      </c>
      <c r="D33" s="70"/>
      <c r="E33" s="70"/>
      <c r="F33" s="70"/>
      <c r="G33" s="70">
        <v>1.0</v>
      </c>
      <c r="H33" s="70">
        <v>1.0</v>
      </c>
      <c r="I33" s="70">
        <v>0.0</v>
      </c>
      <c r="J33" s="70">
        <v>1.0</v>
      </c>
      <c r="K33" s="70"/>
      <c r="L33" s="70">
        <v>0.0</v>
      </c>
      <c r="M33" s="70">
        <v>1.0</v>
      </c>
      <c r="N33" s="70"/>
      <c r="O33" s="70">
        <v>0.0</v>
      </c>
      <c r="P33" s="70">
        <v>0.0</v>
      </c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>
        <v>1.0</v>
      </c>
      <c r="AC33" s="70"/>
      <c r="AD33" s="70"/>
      <c r="AE33" s="70"/>
      <c r="AF33" s="70"/>
      <c r="AG33" s="70"/>
      <c r="AH33" s="70"/>
      <c r="AI33" s="71">
        <v>0.0</v>
      </c>
      <c r="AJ33" s="71">
        <v>0.0</v>
      </c>
      <c r="AK33" s="70">
        <v>0.0</v>
      </c>
      <c r="AL33" s="70">
        <v>1.0</v>
      </c>
      <c r="AM33" s="70"/>
      <c r="AN33" s="70"/>
      <c r="AO33" s="70"/>
      <c r="AP33" s="70"/>
      <c r="AQ33" s="70"/>
      <c r="AR33" s="70"/>
      <c r="AS33" s="70"/>
      <c r="AT33" s="70"/>
      <c r="AU33" s="70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72"/>
      <c r="BJ33" s="72"/>
      <c r="BK33" s="72"/>
      <c r="BL33" s="72"/>
      <c r="BM33" s="72"/>
      <c r="BN33" s="72"/>
      <c r="BO33" s="72"/>
      <c r="BP33" s="72"/>
      <c r="BQ33" s="72"/>
      <c r="BR33" s="72"/>
      <c r="BS33" s="72"/>
      <c r="BT33" s="72"/>
      <c r="BU33" s="72"/>
      <c r="BV33" s="72"/>
      <c r="BW33" s="72"/>
      <c r="BX33" s="72"/>
      <c r="BY33" s="72"/>
    </row>
    <row r="34" ht="19.5" customHeight="1">
      <c r="A34" s="69" t="str">
        <f>IF(Roster!$A$32&lt;&gt;"",Roster!$A$32,"")</f>
        <v>Sarah Lynch</v>
      </c>
      <c r="B34" s="70">
        <v>0.0</v>
      </c>
      <c r="C34" s="71">
        <v>0.0</v>
      </c>
      <c r="D34" s="70"/>
      <c r="E34" s="70"/>
      <c r="F34" s="70"/>
      <c r="G34" s="70">
        <v>1.0</v>
      </c>
      <c r="H34" s="70">
        <v>0.0</v>
      </c>
      <c r="I34" s="70">
        <v>0.0</v>
      </c>
      <c r="J34" s="70">
        <v>1.0</v>
      </c>
      <c r="K34" s="70"/>
      <c r="L34" s="70">
        <v>0.0</v>
      </c>
      <c r="M34" s="70">
        <v>0.0</v>
      </c>
      <c r="N34" s="70"/>
      <c r="O34" s="70">
        <v>0.0</v>
      </c>
      <c r="P34" s="70">
        <v>0.0</v>
      </c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>
        <v>0.0</v>
      </c>
      <c r="AC34" s="70"/>
      <c r="AD34" s="70"/>
      <c r="AE34" s="70"/>
      <c r="AF34" s="70"/>
      <c r="AG34" s="70"/>
      <c r="AH34" s="70"/>
      <c r="AI34" s="71">
        <v>0.0</v>
      </c>
      <c r="AJ34" s="71">
        <v>0.0</v>
      </c>
      <c r="AK34" s="70">
        <v>0.0</v>
      </c>
      <c r="AL34" s="70">
        <v>1.0</v>
      </c>
      <c r="AM34" s="70"/>
      <c r="AN34" s="70"/>
      <c r="AO34" s="70"/>
      <c r="AP34" s="70"/>
      <c r="AQ34" s="70"/>
      <c r="AR34" s="70"/>
      <c r="AS34" s="70"/>
      <c r="AT34" s="70"/>
      <c r="AU34" s="70"/>
      <c r="AV34" s="73"/>
      <c r="AW34" s="73"/>
      <c r="AX34" s="73"/>
      <c r="AY34" s="73"/>
      <c r="AZ34" s="73"/>
      <c r="BA34" s="73"/>
      <c r="BB34" s="73"/>
      <c r="BC34" s="73"/>
      <c r="BD34" s="73"/>
      <c r="BE34" s="73"/>
      <c r="BF34" s="73"/>
      <c r="BG34" s="73"/>
      <c r="BH34" s="73"/>
      <c r="BI34" s="73"/>
      <c r="BJ34" s="73"/>
      <c r="BK34" s="73"/>
      <c r="BL34" s="73"/>
      <c r="BM34" s="73"/>
      <c r="BN34" s="73"/>
      <c r="BO34" s="73"/>
      <c r="BP34" s="73"/>
      <c r="BQ34" s="73"/>
      <c r="BR34" s="73"/>
      <c r="BS34" s="73"/>
      <c r="BT34" s="73"/>
      <c r="BU34" s="73"/>
      <c r="BV34" s="73"/>
      <c r="BW34" s="73"/>
      <c r="BX34" s="73"/>
      <c r="BY34" s="73"/>
    </row>
    <row r="35" ht="19.5" customHeight="1">
      <c r="A35" s="69" t="str">
        <f>IF(Roster!$A$33&lt;&gt;"",Roster!$A$33,"")</f>
        <v>Shani Rosenthal</v>
      </c>
      <c r="B35" s="70">
        <v>1.0</v>
      </c>
      <c r="C35" s="71">
        <v>1.0</v>
      </c>
      <c r="D35" s="70"/>
      <c r="E35" s="70"/>
      <c r="F35" s="70"/>
      <c r="G35" s="70">
        <v>1.0</v>
      </c>
      <c r="H35" s="70">
        <v>1.0</v>
      </c>
      <c r="I35" s="70">
        <v>1.0</v>
      </c>
      <c r="J35" s="70">
        <v>1.0</v>
      </c>
      <c r="K35" s="70"/>
      <c r="L35" s="70">
        <v>0.0</v>
      </c>
      <c r="M35" s="70">
        <v>1.0</v>
      </c>
      <c r="N35" s="70"/>
      <c r="O35" s="70">
        <v>1.0</v>
      </c>
      <c r="P35" s="70">
        <v>0.0</v>
      </c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1">
        <v>0.0</v>
      </c>
      <c r="AC35" s="70"/>
      <c r="AD35" s="70"/>
      <c r="AE35" s="70"/>
      <c r="AF35" s="70"/>
      <c r="AG35" s="70"/>
      <c r="AH35" s="70"/>
      <c r="AI35" s="71">
        <v>0.0</v>
      </c>
      <c r="AJ35" s="71">
        <v>1.0</v>
      </c>
      <c r="AK35" s="70">
        <v>0.0</v>
      </c>
      <c r="AL35" s="70">
        <v>1.0</v>
      </c>
      <c r="AM35" s="70"/>
      <c r="AN35" s="70"/>
      <c r="AO35" s="70"/>
      <c r="AP35" s="70"/>
      <c r="AQ35" s="70"/>
      <c r="AR35" s="70"/>
      <c r="AS35" s="70"/>
      <c r="AT35" s="70"/>
      <c r="AU35" s="70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</row>
    <row r="36" ht="19.5" customHeight="1">
      <c r="A36" s="69" t="str">
        <f>IF(Roster!$A$34&lt;&gt;"",Roster!$A$34,"")</f>
        <v>Vivian Shen</v>
      </c>
      <c r="B36" s="70">
        <v>1.0</v>
      </c>
      <c r="C36" s="70" t="s">
        <v>127</v>
      </c>
      <c r="D36" s="70"/>
      <c r="E36" s="70"/>
      <c r="F36" s="70"/>
      <c r="G36" s="70">
        <v>1.0</v>
      </c>
      <c r="H36" s="70">
        <v>1.0</v>
      </c>
      <c r="I36" s="70">
        <v>1.0</v>
      </c>
      <c r="J36" s="70">
        <v>1.0</v>
      </c>
      <c r="K36" s="70"/>
      <c r="L36" s="70">
        <v>0.0</v>
      </c>
      <c r="M36" s="70">
        <v>1.0</v>
      </c>
      <c r="N36" s="70"/>
      <c r="O36" s="70">
        <v>1.0</v>
      </c>
      <c r="P36" s="70">
        <v>1.0</v>
      </c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>
        <v>1.0</v>
      </c>
      <c r="AC36" s="70"/>
      <c r="AD36" s="70"/>
      <c r="AE36" s="70"/>
      <c r="AF36" s="70"/>
      <c r="AG36" s="70"/>
      <c r="AH36" s="70"/>
      <c r="AI36" s="71">
        <v>1.0</v>
      </c>
      <c r="AJ36" s="71">
        <v>1.0</v>
      </c>
      <c r="AK36" s="70">
        <v>0.0</v>
      </c>
      <c r="AL36" s="70">
        <v>1.0</v>
      </c>
      <c r="AM36" s="70"/>
      <c r="AN36" s="70"/>
      <c r="AO36" s="70"/>
      <c r="AP36" s="70"/>
      <c r="AQ36" s="70"/>
      <c r="AR36" s="70"/>
      <c r="AS36" s="70"/>
      <c r="AT36" s="70"/>
      <c r="AU36" s="70"/>
      <c r="AV36" s="73"/>
      <c r="AW36" s="73"/>
      <c r="AX36" s="73"/>
      <c r="AY36" s="73"/>
      <c r="AZ36" s="73"/>
      <c r="BA36" s="73"/>
      <c r="BB36" s="73"/>
      <c r="BC36" s="73"/>
      <c r="BD36" s="73"/>
      <c r="BE36" s="73"/>
      <c r="BF36" s="73"/>
      <c r="BG36" s="73"/>
      <c r="BH36" s="73"/>
      <c r="BI36" s="73"/>
      <c r="BJ36" s="73"/>
      <c r="BK36" s="73"/>
      <c r="BL36" s="73"/>
      <c r="BM36" s="73"/>
      <c r="BN36" s="73"/>
      <c r="BO36" s="73"/>
      <c r="BP36" s="73"/>
      <c r="BQ36" s="73"/>
      <c r="BR36" s="73"/>
      <c r="BS36" s="73"/>
      <c r="BT36" s="73"/>
      <c r="BU36" s="73"/>
      <c r="BV36" s="73"/>
      <c r="BW36" s="73"/>
      <c r="BX36" s="73"/>
      <c r="BY36" s="73"/>
    </row>
    <row r="37" ht="19.5" customHeight="1">
      <c r="A37" s="69" t="str">
        <f>IF(Roster!$A$35&lt;&gt;"",Roster!$A$35,"")</f>
        <v>Zach Esakof</v>
      </c>
      <c r="B37" s="70" t="s">
        <v>127</v>
      </c>
      <c r="C37" s="71">
        <v>0.0</v>
      </c>
      <c r="D37" s="70"/>
      <c r="E37" s="70"/>
      <c r="F37" s="70"/>
      <c r="G37" s="70">
        <v>1.0</v>
      </c>
      <c r="H37" s="70">
        <v>0.0</v>
      </c>
      <c r="I37" s="70">
        <v>0.0</v>
      </c>
      <c r="J37" s="70">
        <v>1.0</v>
      </c>
      <c r="K37" s="70"/>
      <c r="L37" s="70">
        <v>0.0</v>
      </c>
      <c r="M37" s="70">
        <v>1.0</v>
      </c>
      <c r="N37" s="70"/>
      <c r="O37" s="70">
        <v>0.0</v>
      </c>
      <c r="P37" s="70">
        <v>0.0</v>
      </c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>
        <v>1.0</v>
      </c>
      <c r="AC37" s="70"/>
      <c r="AD37" s="70"/>
      <c r="AE37" s="70"/>
      <c r="AF37" s="70"/>
      <c r="AG37" s="70"/>
      <c r="AH37" s="70"/>
      <c r="AI37" s="71">
        <v>0.0</v>
      </c>
      <c r="AJ37" s="71">
        <v>0.0</v>
      </c>
      <c r="AK37" s="70">
        <v>0.0</v>
      </c>
      <c r="AL37" s="70">
        <v>1.0</v>
      </c>
      <c r="AM37" s="70"/>
      <c r="AN37" s="70"/>
      <c r="AO37" s="70"/>
      <c r="AP37" s="70"/>
      <c r="AQ37" s="70"/>
      <c r="AR37" s="70"/>
      <c r="AS37" s="70"/>
      <c r="AT37" s="70"/>
      <c r="AU37" s="70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72"/>
      <c r="BJ37" s="72"/>
      <c r="BK37" s="72"/>
      <c r="BL37" s="72"/>
      <c r="BM37" s="72"/>
      <c r="BN37" s="72"/>
      <c r="BO37" s="72"/>
      <c r="BP37" s="72"/>
      <c r="BQ37" s="72"/>
      <c r="BR37" s="72"/>
      <c r="BS37" s="72"/>
      <c r="BT37" s="72"/>
      <c r="BU37" s="72"/>
      <c r="BV37" s="72"/>
      <c r="BW37" s="72"/>
      <c r="BX37" s="72"/>
      <c r="BY37" s="72"/>
    </row>
    <row r="38" ht="19.5" customHeight="1">
      <c r="A38" s="69" t="str">
        <f>IF(Roster!$A$36&lt;&gt;"",Roster!$A$36,"")</f>
        <v>Annette Kukunas-Piper</v>
      </c>
      <c r="B38" s="70" t="s">
        <v>127</v>
      </c>
      <c r="C38" s="70" t="s">
        <v>127</v>
      </c>
      <c r="D38" s="70"/>
      <c r="E38" s="70"/>
      <c r="F38" s="70"/>
      <c r="G38" s="70">
        <v>1.0</v>
      </c>
      <c r="H38" s="70" t="s">
        <v>127</v>
      </c>
      <c r="I38" s="70">
        <v>0.0</v>
      </c>
      <c r="J38" s="70">
        <v>1.0</v>
      </c>
      <c r="K38" s="70"/>
      <c r="L38" s="70">
        <v>1.0</v>
      </c>
      <c r="M38" s="70" t="s">
        <v>127</v>
      </c>
      <c r="N38" s="70"/>
      <c r="O38" s="70">
        <v>0.0</v>
      </c>
      <c r="P38" s="70">
        <v>0.0</v>
      </c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 t="s">
        <v>127</v>
      </c>
      <c r="AC38" s="70"/>
      <c r="AD38" s="70"/>
      <c r="AE38" s="70"/>
      <c r="AF38" s="70"/>
      <c r="AG38" s="70"/>
      <c r="AH38" s="70"/>
      <c r="AI38" s="71" t="s">
        <v>127</v>
      </c>
      <c r="AJ38" s="70" t="s">
        <v>127</v>
      </c>
      <c r="AK38" s="70">
        <v>1.0</v>
      </c>
      <c r="AL38" s="70">
        <v>1.0</v>
      </c>
      <c r="AM38" s="70"/>
      <c r="AN38" s="70"/>
      <c r="AO38" s="70"/>
      <c r="AP38" s="70"/>
      <c r="AQ38" s="70"/>
      <c r="AR38" s="70"/>
      <c r="AS38" s="70"/>
      <c r="AT38" s="70"/>
      <c r="AU38" s="70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</row>
    <row r="39" ht="19.5" customHeight="1">
      <c r="A39" s="69" t="str">
        <f>IF(Roster!$A$37&lt;&gt;"",Roster!$A$37,"")</f>
        <v>Matt Duffy</v>
      </c>
      <c r="B39" s="70" t="s">
        <v>127</v>
      </c>
      <c r="C39" s="70" t="s">
        <v>127</v>
      </c>
      <c r="D39" s="70"/>
      <c r="E39" s="70"/>
      <c r="F39" s="70"/>
      <c r="G39" s="70">
        <v>1.0</v>
      </c>
      <c r="H39" s="70" t="s">
        <v>127</v>
      </c>
      <c r="I39" s="70">
        <v>0.0</v>
      </c>
      <c r="J39" s="70">
        <v>1.0</v>
      </c>
      <c r="K39" s="70"/>
      <c r="L39" s="70">
        <v>1.0</v>
      </c>
      <c r="M39" s="70" t="s">
        <v>127</v>
      </c>
      <c r="N39" s="70"/>
      <c r="O39" s="70">
        <v>0.0</v>
      </c>
      <c r="P39" s="70">
        <v>0.0</v>
      </c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 t="s">
        <v>127</v>
      </c>
      <c r="AC39" s="70"/>
      <c r="AD39" s="70"/>
      <c r="AE39" s="70"/>
      <c r="AF39" s="70"/>
      <c r="AG39" s="70"/>
      <c r="AH39" s="70"/>
      <c r="AI39" s="71" t="s">
        <v>127</v>
      </c>
      <c r="AJ39" s="70" t="s">
        <v>127</v>
      </c>
      <c r="AK39" s="70">
        <v>1.0</v>
      </c>
      <c r="AL39" s="70">
        <v>1.0</v>
      </c>
      <c r="AM39" s="70"/>
      <c r="AN39" s="70"/>
      <c r="AO39" s="70"/>
      <c r="AP39" s="70"/>
      <c r="AQ39" s="70"/>
      <c r="AR39" s="70"/>
      <c r="AS39" s="70"/>
      <c r="AT39" s="70"/>
      <c r="AU39" s="70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</row>
    <row r="40" ht="19.5" customHeight="1">
      <c r="A40" s="69" t="str">
        <f>IF(Roster!$A$38&lt;&gt;"",Roster!$A$38,"")</f>
        <v>Ryan Birchard</v>
      </c>
      <c r="B40" s="70" t="s">
        <v>127</v>
      </c>
      <c r="C40" s="70" t="s">
        <v>127</v>
      </c>
      <c r="D40" s="70"/>
      <c r="E40" s="70"/>
      <c r="F40" s="70"/>
      <c r="G40" s="70">
        <v>1.0</v>
      </c>
      <c r="H40" s="70" t="s">
        <v>127</v>
      </c>
      <c r="I40" s="70">
        <v>0.0</v>
      </c>
      <c r="J40" s="70">
        <v>1.0</v>
      </c>
      <c r="K40" s="70"/>
      <c r="L40" s="70">
        <v>0.0</v>
      </c>
      <c r="M40" s="70" t="s">
        <v>127</v>
      </c>
      <c r="N40" s="70"/>
      <c r="O40" s="70">
        <v>0.0</v>
      </c>
      <c r="P40" s="70">
        <v>0.0</v>
      </c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 t="s">
        <v>127</v>
      </c>
      <c r="AC40" s="70"/>
      <c r="AD40" s="70"/>
      <c r="AE40" s="70"/>
      <c r="AF40" s="70"/>
      <c r="AG40" s="70"/>
      <c r="AH40" s="70"/>
      <c r="AI40" s="71" t="s">
        <v>127</v>
      </c>
      <c r="AJ40" s="70" t="s">
        <v>127</v>
      </c>
      <c r="AK40" s="70">
        <v>0.0</v>
      </c>
      <c r="AL40" s="70">
        <v>1.0</v>
      </c>
      <c r="AM40" s="70"/>
      <c r="AN40" s="70"/>
      <c r="AO40" s="70"/>
      <c r="AP40" s="70"/>
      <c r="AQ40" s="70"/>
      <c r="AR40" s="70"/>
      <c r="AS40" s="70"/>
      <c r="AT40" s="70"/>
      <c r="AU40" s="70"/>
      <c r="AV40" s="73"/>
      <c r="AW40" s="73"/>
      <c r="AX40" s="73"/>
      <c r="AY40" s="73"/>
      <c r="AZ40" s="73"/>
      <c r="BA40" s="73"/>
      <c r="BB40" s="73"/>
      <c r="BC40" s="73"/>
      <c r="BD40" s="73"/>
      <c r="BE40" s="73"/>
      <c r="BF40" s="73"/>
      <c r="BG40" s="73"/>
      <c r="BH40" s="73"/>
      <c r="BI40" s="73"/>
      <c r="BJ40" s="73"/>
      <c r="BK40" s="73"/>
      <c r="BL40" s="73"/>
      <c r="BM40" s="73"/>
      <c r="BN40" s="73"/>
      <c r="BO40" s="73"/>
      <c r="BP40" s="73"/>
      <c r="BQ40" s="73"/>
      <c r="BR40" s="73"/>
      <c r="BS40" s="73"/>
      <c r="BT40" s="73"/>
      <c r="BU40" s="73"/>
      <c r="BV40" s="73"/>
      <c r="BW40" s="73"/>
      <c r="BX40" s="73"/>
      <c r="BY40" s="73"/>
    </row>
    <row r="41" ht="19.5" customHeight="1">
      <c r="A41" s="69" t="str">
        <f>IF(Roster!$A$39&lt;&gt;"",Roster!$A$39,"")</f>
        <v>Nick Blair</v>
      </c>
      <c r="B41" s="70" t="s">
        <v>127</v>
      </c>
      <c r="C41" s="70" t="s">
        <v>127</v>
      </c>
      <c r="D41" s="70"/>
      <c r="E41" s="70"/>
      <c r="F41" s="70"/>
      <c r="G41" s="70" t="s">
        <v>127</v>
      </c>
      <c r="H41" s="70" t="s">
        <v>127</v>
      </c>
      <c r="I41" s="70">
        <v>0.0</v>
      </c>
      <c r="J41" s="70" t="s">
        <v>127</v>
      </c>
      <c r="K41" s="70"/>
      <c r="L41" s="70">
        <v>1.0</v>
      </c>
      <c r="M41" s="70" t="s">
        <v>127</v>
      </c>
      <c r="N41" s="70"/>
      <c r="O41" s="70">
        <v>0.0</v>
      </c>
      <c r="P41" s="70">
        <v>0.0</v>
      </c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 t="s">
        <v>127</v>
      </c>
      <c r="AC41" s="70"/>
      <c r="AD41" s="70"/>
      <c r="AE41" s="70"/>
      <c r="AF41" s="70"/>
      <c r="AG41" s="70"/>
      <c r="AH41" s="70"/>
      <c r="AI41" s="71" t="s">
        <v>127</v>
      </c>
      <c r="AJ41" s="70" t="s">
        <v>127</v>
      </c>
      <c r="AK41" s="70">
        <v>1.0</v>
      </c>
      <c r="AL41" s="70" t="s">
        <v>127</v>
      </c>
      <c r="AM41" s="70"/>
      <c r="AN41" s="70"/>
      <c r="AO41" s="70"/>
      <c r="AP41" s="70"/>
      <c r="AQ41" s="70"/>
      <c r="AR41" s="70"/>
      <c r="AS41" s="70"/>
      <c r="AT41" s="70"/>
      <c r="AU41" s="70"/>
      <c r="AV41" s="72"/>
      <c r="AW41" s="72"/>
      <c r="AX41" s="72"/>
      <c r="AY41" s="72"/>
      <c r="AZ41" s="72"/>
      <c r="BA41" s="72"/>
      <c r="BB41" s="72"/>
      <c r="BC41" s="72"/>
      <c r="BD41" s="72"/>
      <c r="BE41" s="72"/>
      <c r="BF41" s="72"/>
      <c r="BG41" s="72"/>
      <c r="BH41" s="72"/>
      <c r="BI41" s="72"/>
      <c r="BJ41" s="72"/>
      <c r="BK41" s="72"/>
      <c r="BL41" s="72"/>
      <c r="BM41" s="72"/>
      <c r="BN41" s="72"/>
      <c r="BO41" s="72"/>
      <c r="BP41" s="72"/>
      <c r="BQ41" s="72"/>
      <c r="BR41" s="72"/>
      <c r="BS41" s="72"/>
      <c r="BT41" s="72"/>
      <c r="BU41" s="72"/>
      <c r="BV41" s="72"/>
      <c r="BW41" s="72"/>
      <c r="BX41" s="72"/>
      <c r="BY41" s="72"/>
    </row>
    <row r="42" ht="19.5" customHeight="1">
      <c r="A42" s="69" t="str">
        <f>IF(Roster!$A$40&lt;&gt;"",Roster!$A$40,"")</f>
        <v>Lily Nguyen</v>
      </c>
      <c r="B42" s="70">
        <v>0.0</v>
      </c>
      <c r="C42" s="70" t="s">
        <v>127</v>
      </c>
      <c r="D42" s="70"/>
      <c r="E42" s="70"/>
      <c r="F42" s="70"/>
      <c r="G42" s="70">
        <v>0.0</v>
      </c>
      <c r="H42" s="70">
        <v>0.0</v>
      </c>
      <c r="I42" s="70">
        <v>0.0</v>
      </c>
      <c r="J42" s="70">
        <v>0.0</v>
      </c>
      <c r="K42" s="70"/>
      <c r="L42" s="70">
        <v>0.0</v>
      </c>
      <c r="M42" s="70">
        <v>0.0</v>
      </c>
      <c r="N42" s="70"/>
      <c r="O42" s="70">
        <v>0.0</v>
      </c>
      <c r="P42" s="70">
        <v>0.0</v>
      </c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>
        <v>0.0</v>
      </c>
      <c r="AC42" s="70"/>
      <c r="AD42" s="70"/>
      <c r="AE42" s="70"/>
      <c r="AF42" s="70"/>
      <c r="AG42" s="70"/>
      <c r="AH42" s="70"/>
      <c r="AI42" s="71" t="s">
        <v>127</v>
      </c>
      <c r="AJ42" s="71">
        <v>1.0</v>
      </c>
      <c r="AK42" s="70">
        <v>0.0</v>
      </c>
      <c r="AL42" s="70">
        <v>0.0</v>
      </c>
      <c r="AM42" s="70"/>
      <c r="AN42" s="70"/>
      <c r="AO42" s="70"/>
      <c r="AP42" s="70"/>
      <c r="AQ42" s="70"/>
      <c r="AR42" s="70"/>
      <c r="AS42" s="70"/>
      <c r="AT42" s="70"/>
      <c r="AU42" s="70"/>
      <c r="AV42" s="73"/>
      <c r="AW42" s="73"/>
      <c r="AX42" s="73"/>
      <c r="AY42" s="73"/>
      <c r="AZ42" s="73"/>
      <c r="BA42" s="73"/>
      <c r="BB42" s="73"/>
      <c r="BC42" s="73"/>
      <c r="BD42" s="73"/>
      <c r="BE42" s="73"/>
      <c r="BF42" s="73"/>
      <c r="BG42" s="73"/>
      <c r="BH42" s="73"/>
      <c r="BI42" s="73"/>
      <c r="BJ42" s="73"/>
      <c r="BK42" s="73"/>
      <c r="BL42" s="73"/>
      <c r="BM42" s="73"/>
      <c r="BN42" s="73"/>
      <c r="BO42" s="73"/>
      <c r="BP42" s="73"/>
      <c r="BQ42" s="73"/>
      <c r="BR42" s="73"/>
      <c r="BS42" s="73"/>
      <c r="BT42" s="73"/>
      <c r="BU42" s="73"/>
      <c r="BV42" s="73"/>
      <c r="BW42" s="73"/>
      <c r="BX42" s="73"/>
      <c r="BY42" s="73"/>
    </row>
    <row r="43" ht="19.5" customHeight="1">
      <c r="A43" s="69" t="str">
        <f>IF(Roster!$A$41&lt;&gt;"",Roster!$A$41,"")</f>
        <v/>
      </c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</row>
    <row r="44" ht="19.5" customHeight="1">
      <c r="A44" s="69" t="str">
        <f>IF(Roster!$A$42&lt;&gt;"",Roster!$A$42,"")</f>
        <v/>
      </c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  <c r="AO44" s="70"/>
      <c r="AP44" s="70"/>
      <c r="AQ44" s="70"/>
      <c r="AR44" s="70"/>
      <c r="AS44" s="70"/>
      <c r="AT44" s="70"/>
      <c r="AU44" s="70"/>
      <c r="AV44" s="73"/>
      <c r="AW44" s="73"/>
      <c r="AX44" s="73"/>
      <c r="AY44" s="73"/>
      <c r="AZ44" s="73"/>
      <c r="BA44" s="73"/>
      <c r="BB44" s="73"/>
      <c r="BC44" s="73"/>
      <c r="BD44" s="73"/>
      <c r="BE44" s="73"/>
      <c r="BF44" s="73"/>
      <c r="BG44" s="73"/>
      <c r="BH44" s="73"/>
      <c r="BI44" s="73"/>
      <c r="BJ44" s="73"/>
      <c r="BK44" s="73"/>
      <c r="BL44" s="73"/>
      <c r="BM44" s="73"/>
      <c r="BN44" s="73"/>
      <c r="BO44" s="73"/>
      <c r="BP44" s="73"/>
      <c r="BQ44" s="73"/>
      <c r="BR44" s="73"/>
      <c r="BS44" s="73"/>
      <c r="BT44" s="73"/>
      <c r="BU44" s="73"/>
      <c r="BV44" s="73"/>
      <c r="BW44" s="73"/>
      <c r="BX44" s="73"/>
      <c r="BY44" s="73"/>
    </row>
    <row r="45" ht="19.5" customHeight="1">
      <c r="A45" s="69" t="str">
        <f>IF(Roster!$A$43&lt;&gt;"",Roster!$A$43,"")</f>
        <v/>
      </c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  <c r="AM45" s="70"/>
      <c r="AN45" s="70"/>
      <c r="AO45" s="70"/>
      <c r="AP45" s="70"/>
      <c r="AQ45" s="70"/>
      <c r="AR45" s="70"/>
      <c r="AS45" s="70"/>
      <c r="AT45" s="70"/>
      <c r="AU45" s="70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72"/>
      <c r="BJ45" s="72"/>
      <c r="BK45" s="72"/>
      <c r="BL45" s="72"/>
      <c r="BM45" s="72"/>
      <c r="BN45" s="72"/>
      <c r="BO45" s="72"/>
      <c r="BP45" s="72"/>
      <c r="BQ45" s="72"/>
      <c r="BR45" s="72"/>
      <c r="BS45" s="72"/>
      <c r="BT45" s="72"/>
      <c r="BU45" s="72"/>
      <c r="BV45" s="72"/>
      <c r="BW45" s="72"/>
      <c r="BX45" s="72"/>
      <c r="BY45" s="72"/>
    </row>
    <row r="46" ht="19.5" customHeight="1">
      <c r="A46" s="69" t="str">
        <f>IF(Roster!$A$44&lt;&gt;"",Roster!$A$44,"")</f>
        <v/>
      </c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</row>
    <row r="47" ht="19.5" customHeight="1">
      <c r="A47" s="69" t="str">
        <f>IF(Roster!$A$45&lt;&gt;"",Roster!$A$45,"")</f>
        <v/>
      </c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</row>
    <row r="48" ht="19.5" customHeight="1">
      <c r="A48" s="69" t="str">
        <f>IF(Roster!$A$46&lt;&gt;"",Roster!$A$46,"")</f>
        <v/>
      </c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  <c r="AG48" s="70"/>
      <c r="AH48" s="70"/>
      <c r="AI48" s="70"/>
      <c r="AJ48" s="70"/>
      <c r="AK48" s="70"/>
      <c r="AL48" s="70"/>
      <c r="AM48" s="70"/>
      <c r="AN48" s="70"/>
      <c r="AO48" s="70"/>
      <c r="AP48" s="70"/>
      <c r="AQ48" s="70"/>
      <c r="AR48" s="70"/>
      <c r="AS48" s="70"/>
      <c r="AT48" s="70"/>
      <c r="AU48" s="70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  <c r="BM48" s="73"/>
      <c r="BN48" s="73"/>
      <c r="BO48" s="73"/>
      <c r="BP48" s="73"/>
      <c r="BQ48" s="73"/>
      <c r="BR48" s="73"/>
      <c r="BS48" s="73"/>
      <c r="BT48" s="73"/>
      <c r="BU48" s="73"/>
      <c r="BV48" s="73"/>
      <c r="BW48" s="73"/>
      <c r="BX48" s="73"/>
      <c r="BY48" s="73"/>
    </row>
    <row r="49" ht="19.5" customHeight="1">
      <c r="A49" s="69" t="str">
        <f>IF(Roster!$A$47&lt;&gt;"",Roster!$A$47,"")</f>
        <v/>
      </c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  <c r="AE49" s="70"/>
      <c r="AF49" s="70"/>
      <c r="AG49" s="70"/>
      <c r="AH49" s="70"/>
      <c r="AI49" s="70"/>
      <c r="AJ49" s="70"/>
      <c r="AK49" s="70"/>
      <c r="AL49" s="70"/>
      <c r="AM49" s="70"/>
      <c r="AN49" s="70"/>
      <c r="AO49" s="70"/>
      <c r="AP49" s="70"/>
      <c r="AQ49" s="70"/>
      <c r="AR49" s="70"/>
      <c r="AS49" s="70"/>
      <c r="AT49" s="70"/>
      <c r="AU49" s="70"/>
      <c r="AV49" s="72"/>
      <c r="AW49" s="72"/>
      <c r="AX49" s="72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72"/>
      <c r="BJ49" s="72"/>
      <c r="BK49" s="72"/>
      <c r="BL49" s="72"/>
      <c r="BM49" s="72"/>
      <c r="BN49" s="72"/>
      <c r="BO49" s="72"/>
      <c r="BP49" s="72"/>
      <c r="BQ49" s="72"/>
      <c r="BR49" s="72"/>
      <c r="BS49" s="72"/>
      <c r="BT49" s="72"/>
      <c r="BU49" s="72"/>
      <c r="BV49" s="72"/>
      <c r="BW49" s="72"/>
      <c r="BX49" s="72"/>
      <c r="BY49" s="72"/>
    </row>
    <row r="50" ht="19.5" customHeight="1">
      <c r="A50" s="69" t="str">
        <f>IF(Roster!$A$48&lt;&gt;"",Roster!$A$48,"")</f>
        <v/>
      </c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70"/>
      <c r="AL50" s="70"/>
      <c r="AM50" s="70"/>
      <c r="AN50" s="70"/>
      <c r="AO50" s="70"/>
      <c r="AP50" s="70"/>
      <c r="AQ50" s="70"/>
      <c r="AR50" s="70"/>
      <c r="AS50" s="70"/>
      <c r="AT50" s="70"/>
      <c r="AU50" s="70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  <c r="BM50" s="73"/>
      <c r="BN50" s="73"/>
      <c r="BO50" s="73"/>
      <c r="BP50" s="73"/>
      <c r="BQ50" s="73"/>
      <c r="BR50" s="73"/>
      <c r="BS50" s="73"/>
      <c r="BT50" s="73"/>
      <c r="BU50" s="73"/>
      <c r="BV50" s="73"/>
      <c r="BW50" s="73"/>
      <c r="BX50" s="73"/>
      <c r="BY50" s="73"/>
    </row>
    <row r="51" ht="19.5" customHeight="1">
      <c r="A51" s="69" t="str">
        <f>IF(Roster!$A$49&lt;&gt;"",Roster!$A$49,"")</f>
        <v/>
      </c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</row>
    <row r="52" ht="19.5" customHeight="1">
      <c r="A52" s="69" t="str">
        <f>IF(Roster!$A$50&lt;&gt;"",Roster!$A$50,"")</f>
        <v/>
      </c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  <c r="AG52" s="70"/>
      <c r="AH52" s="70"/>
      <c r="AI52" s="70"/>
      <c r="AJ52" s="70"/>
      <c r="AK52" s="70"/>
      <c r="AL52" s="70"/>
      <c r="AM52" s="70"/>
      <c r="AN52" s="70"/>
      <c r="AO52" s="70"/>
      <c r="AP52" s="70"/>
      <c r="AQ52" s="70"/>
      <c r="AR52" s="70"/>
      <c r="AS52" s="70"/>
      <c r="AT52" s="70"/>
      <c r="AU52" s="70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  <c r="BM52" s="73"/>
      <c r="BN52" s="73"/>
      <c r="BO52" s="73"/>
      <c r="BP52" s="73"/>
      <c r="BQ52" s="73"/>
      <c r="BR52" s="73"/>
      <c r="BS52" s="73"/>
      <c r="BT52" s="73"/>
      <c r="BU52" s="73"/>
      <c r="BV52" s="73"/>
      <c r="BW52" s="73"/>
      <c r="BX52" s="73"/>
      <c r="BY52" s="73"/>
    </row>
    <row r="53" ht="19.5" customHeight="1">
      <c r="A53" s="69" t="str">
        <f>IF(Roster!$A$51&lt;&gt;"",Roster!$A$51,"")</f>
        <v/>
      </c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  <c r="AG53" s="70"/>
      <c r="AH53" s="70"/>
      <c r="AI53" s="70"/>
      <c r="AJ53" s="70"/>
      <c r="AK53" s="70"/>
      <c r="AL53" s="70"/>
      <c r="AM53" s="70"/>
      <c r="AN53" s="70"/>
      <c r="AO53" s="70"/>
      <c r="AP53" s="70"/>
      <c r="AQ53" s="70"/>
      <c r="AR53" s="70"/>
      <c r="AS53" s="70"/>
      <c r="AT53" s="70"/>
      <c r="AU53" s="70"/>
      <c r="AV53" s="72"/>
      <c r="AW53" s="72"/>
      <c r="AX53" s="72"/>
      <c r="AY53" s="72"/>
      <c r="AZ53" s="72"/>
      <c r="BA53" s="72"/>
      <c r="BB53" s="72"/>
      <c r="BC53" s="72"/>
      <c r="BD53" s="72"/>
      <c r="BE53" s="72"/>
      <c r="BF53" s="72"/>
      <c r="BG53" s="72"/>
      <c r="BH53" s="72"/>
      <c r="BI53" s="72"/>
      <c r="BJ53" s="72"/>
      <c r="BK53" s="72"/>
      <c r="BL53" s="72"/>
      <c r="BM53" s="72"/>
      <c r="BN53" s="72"/>
      <c r="BO53" s="72"/>
      <c r="BP53" s="72"/>
      <c r="BQ53" s="72"/>
      <c r="BR53" s="72"/>
      <c r="BS53" s="72"/>
      <c r="BT53" s="72"/>
      <c r="BU53" s="72"/>
      <c r="BV53" s="72"/>
      <c r="BW53" s="72"/>
      <c r="BX53" s="72"/>
      <c r="BY53" s="72"/>
    </row>
    <row r="54" ht="19.5" customHeight="1">
      <c r="A54" s="69" t="str">
        <f>IF(Roster!$A$52&lt;&gt;"",Roster!$A$52,"")</f>
        <v/>
      </c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T54" s="70"/>
      <c r="AU54" s="70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</row>
    <row r="55" ht="19.5" customHeight="1">
      <c r="A55" s="69" t="str">
        <f>IF(Roster!$A$53&lt;&gt;"",Roster!$A$53,"")</f>
        <v/>
      </c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</row>
    <row r="56" ht="19.5" customHeight="1">
      <c r="A56" s="69" t="str">
        <f>IF(Roster!$A$54&lt;&gt;"",Roster!$A$54,"")</f>
        <v/>
      </c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  <c r="AK56" s="70"/>
      <c r="AL56" s="70"/>
      <c r="AM56" s="70"/>
      <c r="AN56" s="70"/>
      <c r="AO56" s="70"/>
      <c r="AP56" s="70"/>
      <c r="AQ56" s="70"/>
      <c r="AR56" s="70"/>
      <c r="AS56" s="70"/>
      <c r="AT56" s="70"/>
      <c r="AU56" s="70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3"/>
      <c r="BK56" s="73"/>
      <c r="BL56" s="73"/>
      <c r="BM56" s="73"/>
      <c r="BN56" s="73"/>
      <c r="BO56" s="73"/>
      <c r="BP56" s="73"/>
      <c r="BQ56" s="73"/>
      <c r="BR56" s="73"/>
      <c r="BS56" s="73"/>
      <c r="BT56" s="73"/>
      <c r="BU56" s="73"/>
      <c r="BV56" s="73"/>
      <c r="BW56" s="73"/>
      <c r="BX56" s="73"/>
      <c r="BY56" s="73"/>
    </row>
    <row r="57" ht="19.5" customHeight="1">
      <c r="A57" s="69" t="str">
        <f>IF(Roster!$A$55&lt;&gt;"",Roster!$A$55,"")</f>
        <v/>
      </c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  <c r="AK57" s="70"/>
      <c r="AL57" s="70"/>
      <c r="AM57" s="70"/>
      <c r="AN57" s="70"/>
      <c r="AO57" s="70"/>
      <c r="AP57" s="70"/>
      <c r="AQ57" s="70"/>
      <c r="AR57" s="70"/>
      <c r="AS57" s="70"/>
      <c r="AT57" s="70"/>
      <c r="AU57" s="70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2"/>
      <c r="BG57" s="72"/>
      <c r="BH57" s="72"/>
      <c r="BI57" s="72"/>
      <c r="BJ57" s="72"/>
      <c r="BK57" s="72"/>
      <c r="BL57" s="72"/>
      <c r="BM57" s="72"/>
      <c r="BN57" s="72"/>
      <c r="BO57" s="72"/>
      <c r="BP57" s="72"/>
      <c r="BQ57" s="72"/>
      <c r="BR57" s="72"/>
      <c r="BS57" s="72"/>
      <c r="BT57" s="72"/>
      <c r="BU57" s="72"/>
      <c r="BV57" s="72"/>
      <c r="BW57" s="72"/>
      <c r="BX57" s="72"/>
      <c r="BY57" s="72"/>
    </row>
    <row r="58" ht="19.5" customHeight="1">
      <c r="A58" s="69" t="str">
        <f>IF(Roster!$A$56&lt;&gt;"",Roster!$A$56,"")</f>
        <v/>
      </c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  <c r="AO58" s="70"/>
      <c r="AP58" s="70"/>
      <c r="AQ58" s="70"/>
      <c r="AR58" s="70"/>
      <c r="AS58" s="70"/>
      <c r="AT58" s="70"/>
      <c r="AU58" s="70"/>
      <c r="AV58" s="73"/>
      <c r="AW58" s="73"/>
      <c r="AX58" s="73"/>
      <c r="AY58" s="73"/>
      <c r="AZ58" s="73"/>
      <c r="BA58" s="73"/>
      <c r="BB58" s="73"/>
      <c r="BC58" s="73"/>
      <c r="BD58" s="73"/>
      <c r="BE58" s="73"/>
      <c r="BF58" s="73"/>
      <c r="BG58" s="73"/>
      <c r="BH58" s="73"/>
      <c r="BI58" s="73"/>
      <c r="BJ58" s="73"/>
      <c r="BK58" s="73"/>
      <c r="BL58" s="73"/>
      <c r="BM58" s="73"/>
      <c r="BN58" s="73"/>
      <c r="BO58" s="73"/>
      <c r="BP58" s="73"/>
      <c r="BQ58" s="73"/>
      <c r="BR58" s="73"/>
      <c r="BS58" s="73"/>
      <c r="BT58" s="73"/>
      <c r="BU58" s="73"/>
      <c r="BV58" s="73"/>
      <c r="BW58" s="73"/>
      <c r="BX58" s="73"/>
      <c r="BY58" s="73"/>
    </row>
    <row r="59" ht="19.5" customHeight="1">
      <c r="A59" s="69" t="str">
        <f>IF(Roster!$A$57&lt;&gt;"",Roster!$A$57,"")</f>
        <v/>
      </c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</row>
    <row r="60" ht="19.5" customHeight="1">
      <c r="A60" s="69" t="str">
        <f>IF(Roster!$A$58&lt;&gt;"",Roster!$A$58,"")</f>
        <v/>
      </c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  <c r="AK60" s="70"/>
      <c r="AL60" s="70"/>
      <c r="AM60" s="70"/>
      <c r="AN60" s="70"/>
      <c r="AO60" s="70"/>
      <c r="AP60" s="70"/>
      <c r="AQ60" s="70"/>
      <c r="AR60" s="70"/>
      <c r="AS60" s="70"/>
      <c r="AT60" s="70"/>
      <c r="AU60" s="70"/>
      <c r="AV60" s="73"/>
      <c r="AW60" s="73"/>
      <c r="AX60" s="73"/>
      <c r="AY60" s="73"/>
      <c r="AZ60" s="73"/>
      <c r="BA60" s="73"/>
      <c r="BB60" s="73"/>
      <c r="BC60" s="73"/>
      <c r="BD60" s="73"/>
      <c r="BE60" s="73"/>
      <c r="BF60" s="73"/>
      <c r="BG60" s="73"/>
      <c r="BH60" s="73"/>
      <c r="BI60" s="73"/>
      <c r="BJ60" s="73"/>
      <c r="BK60" s="73"/>
      <c r="BL60" s="73"/>
      <c r="BM60" s="73"/>
      <c r="BN60" s="73"/>
      <c r="BO60" s="73"/>
      <c r="BP60" s="73"/>
      <c r="BQ60" s="73"/>
      <c r="BR60" s="73"/>
      <c r="BS60" s="73"/>
      <c r="BT60" s="73"/>
      <c r="BU60" s="73"/>
      <c r="BV60" s="73"/>
      <c r="BW60" s="73"/>
      <c r="BX60" s="73"/>
      <c r="BY60" s="73"/>
    </row>
    <row r="61" ht="19.5" customHeight="1">
      <c r="A61" s="69" t="str">
        <f>IF(Roster!$A$59&lt;&gt;"",Roster!$A$59,"")</f>
        <v/>
      </c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  <c r="AE61" s="70"/>
      <c r="AF61" s="70"/>
      <c r="AG61" s="70"/>
      <c r="AH61" s="70"/>
      <c r="AI61" s="70"/>
      <c r="AJ61" s="70"/>
      <c r="AK61" s="70"/>
      <c r="AL61" s="70"/>
      <c r="AM61" s="70"/>
      <c r="AN61" s="70"/>
      <c r="AO61" s="70"/>
      <c r="AP61" s="70"/>
      <c r="AQ61" s="70"/>
      <c r="AR61" s="70"/>
      <c r="AS61" s="70"/>
      <c r="AT61" s="70"/>
      <c r="AU61" s="70"/>
      <c r="AV61" s="72"/>
      <c r="AW61" s="72"/>
      <c r="AX61" s="72"/>
      <c r="AY61" s="72"/>
      <c r="AZ61" s="72"/>
      <c r="BA61" s="72"/>
      <c r="BB61" s="72"/>
      <c r="BC61" s="72"/>
      <c r="BD61" s="72"/>
      <c r="BE61" s="72"/>
      <c r="BF61" s="72"/>
      <c r="BG61" s="72"/>
      <c r="BH61" s="72"/>
      <c r="BI61" s="72"/>
      <c r="BJ61" s="72"/>
      <c r="BK61" s="72"/>
      <c r="BL61" s="72"/>
      <c r="BM61" s="72"/>
      <c r="BN61" s="72"/>
      <c r="BO61" s="72"/>
      <c r="BP61" s="72"/>
      <c r="BQ61" s="72"/>
      <c r="BR61" s="72"/>
      <c r="BS61" s="72"/>
      <c r="BT61" s="72"/>
      <c r="BU61" s="72"/>
      <c r="BV61" s="72"/>
      <c r="BW61" s="72"/>
      <c r="BX61" s="72"/>
      <c r="BY61" s="72"/>
    </row>
    <row r="62" ht="19.5" customHeight="1">
      <c r="A62" s="69" t="str">
        <f>IF(Roster!$A$60&lt;&gt;"",Roster!$A$60,"")</f>
        <v/>
      </c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  <c r="AO62" s="70"/>
      <c r="AP62" s="70"/>
      <c r="AQ62" s="70"/>
      <c r="AR62" s="70"/>
      <c r="AS62" s="70"/>
      <c r="AT62" s="70"/>
      <c r="AU62" s="70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</row>
    <row r="63" ht="19.5" customHeight="1">
      <c r="A63" s="69" t="str">
        <f>IF(Roster!$A$61&lt;&gt;"",Roster!$A$61,"")</f>
        <v/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</row>
    <row r="64" ht="19.5" customHeight="1">
      <c r="A64" s="69" t="str">
        <f>IF(Roster!$A$62&lt;&gt;"",Roster!$A$62,"")</f>
        <v/>
      </c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  <c r="AG64" s="70"/>
      <c r="AH64" s="70"/>
      <c r="AI64" s="70"/>
      <c r="AJ64" s="70"/>
      <c r="AK64" s="70"/>
      <c r="AL64" s="70"/>
      <c r="AM64" s="70"/>
      <c r="AN64" s="70"/>
      <c r="AO64" s="70"/>
      <c r="AP64" s="70"/>
      <c r="AQ64" s="70"/>
      <c r="AR64" s="70"/>
      <c r="AS64" s="70"/>
      <c r="AT64" s="70"/>
      <c r="AU64" s="70"/>
      <c r="AV64" s="73"/>
      <c r="AW64" s="73"/>
      <c r="AX64" s="73"/>
      <c r="AY64" s="73"/>
      <c r="AZ64" s="73"/>
      <c r="BA64" s="73"/>
      <c r="BB64" s="73"/>
      <c r="BC64" s="73"/>
      <c r="BD64" s="73"/>
      <c r="BE64" s="73"/>
      <c r="BF64" s="73"/>
      <c r="BG64" s="73"/>
      <c r="BH64" s="73"/>
      <c r="BI64" s="73"/>
      <c r="BJ64" s="73"/>
      <c r="BK64" s="73"/>
      <c r="BL64" s="73"/>
      <c r="BM64" s="73"/>
      <c r="BN64" s="73"/>
      <c r="BO64" s="73"/>
      <c r="BP64" s="73"/>
      <c r="BQ64" s="73"/>
      <c r="BR64" s="73"/>
      <c r="BS64" s="73"/>
      <c r="BT64" s="73"/>
      <c r="BU64" s="73"/>
      <c r="BV64" s="73"/>
      <c r="BW64" s="73"/>
      <c r="BX64" s="73"/>
      <c r="BY64" s="73"/>
    </row>
    <row r="65" ht="19.5" customHeight="1">
      <c r="A65" s="69" t="str">
        <f>IF(Roster!$A$63&lt;&gt;"",Roster!$A$63,"")</f>
        <v/>
      </c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  <c r="AK65" s="70"/>
      <c r="AL65" s="70"/>
      <c r="AM65" s="70"/>
      <c r="AN65" s="70"/>
      <c r="AO65" s="70"/>
      <c r="AP65" s="70"/>
      <c r="AQ65" s="70"/>
      <c r="AR65" s="70"/>
      <c r="AS65" s="70"/>
      <c r="AT65" s="70"/>
      <c r="AU65" s="70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  <c r="BG65" s="72"/>
      <c r="BH65" s="72"/>
      <c r="BI65" s="72"/>
      <c r="BJ65" s="72"/>
      <c r="BK65" s="72"/>
      <c r="BL65" s="72"/>
      <c r="BM65" s="72"/>
      <c r="BN65" s="72"/>
      <c r="BO65" s="72"/>
      <c r="BP65" s="72"/>
      <c r="BQ65" s="72"/>
      <c r="BR65" s="72"/>
      <c r="BS65" s="72"/>
      <c r="BT65" s="72"/>
      <c r="BU65" s="72"/>
      <c r="BV65" s="72"/>
      <c r="BW65" s="72"/>
      <c r="BX65" s="72"/>
      <c r="BY65" s="72"/>
    </row>
    <row r="66" ht="19.5" customHeight="1">
      <c r="A66" s="69" t="str">
        <f>IF(Roster!$A$64&lt;&gt;"",Roster!$A$64,"")</f>
        <v/>
      </c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  <c r="AO66" s="70"/>
      <c r="AP66" s="70"/>
      <c r="AQ66" s="70"/>
      <c r="AR66" s="70"/>
      <c r="AS66" s="70"/>
      <c r="AT66" s="70"/>
      <c r="AU66" s="70"/>
      <c r="AV66" s="73"/>
      <c r="AW66" s="73"/>
      <c r="AX66" s="73"/>
      <c r="AY66" s="73"/>
      <c r="AZ66" s="73"/>
      <c r="BA66" s="73"/>
      <c r="BB66" s="73"/>
      <c r="BC66" s="73"/>
      <c r="BD66" s="73"/>
      <c r="BE66" s="73"/>
      <c r="BF66" s="73"/>
      <c r="BG66" s="73"/>
      <c r="BH66" s="73"/>
      <c r="BI66" s="73"/>
      <c r="BJ66" s="73"/>
      <c r="BK66" s="73"/>
      <c r="BL66" s="73"/>
      <c r="BM66" s="73"/>
      <c r="BN66" s="73"/>
      <c r="BO66" s="73"/>
      <c r="BP66" s="73"/>
      <c r="BQ66" s="73"/>
      <c r="BR66" s="73"/>
      <c r="BS66" s="73"/>
      <c r="BT66" s="73"/>
      <c r="BU66" s="73"/>
      <c r="BV66" s="73"/>
      <c r="BW66" s="73"/>
      <c r="BX66" s="73"/>
      <c r="BY66" s="73"/>
    </row>
    <row r="67" ht="19.5" customHeight="1">
      <c r="A67" s="69" t="str">
        <f>IF(Roster!$A$65&lt;&gt;"",Roster!$A$65,"")</f>
        <v/>
      </c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</row>
    <row r="68" ht="19.5" customHeight="1">
      <c r="A68" s="69" t="str">
        <f>IF(Roster!$A$66&lt;&gt;"",Roster!$A$66,"")</f>
        <v/>
      </c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  <c r="AG68" s="70"/>
      <c r="AH68" s="70"/>
      <c r="AI68" s="70"/>
      <c r="AJ68" s="70"/>
      <c r="AK68" s="70"/>
      <c r="AL68" s="70"/>
      <c r="AM68" s="70"/>
      <c r="AN68" s="70"/>
      <c r="AO68" s="70"/>
      <c r="AP68" s="70"/>
      <c r="AQ68" s="70"/>
      <c r="AR68" s="70"/>
      <c r="AS68" s="70"/>
      <c r="AT68" s="70"/>
      <c r="AU68" s="70"/>
      <c r="AV68" s="73"/>
      <c r="AW68" s="73"/>
      <c r="AX68" s="73"/>
      <c r="AY68" s="73"/>
      <c r="AZ68" s="73"/>
      <c r="BA68" s="73"/>
      <c r="BB68" s="73"/>
      <c r="BC68" s="73"/>
      <c r="BD68" s="73"/>
      <c r="BE68" s="73"/>
      <c r="BF68" s="73"/>
      <c r="BG68" s="73"/>
      <c r="BH68" s="73"/>
      <c r="BI68" s="73"/>
      <c r="BJ68" s="73"/>
      <c r="BK68" s="73"/>
      <c r="BL68" s="73"/>
      <c r="BM68" s="73"/>
      <c r="BN68" s="73"/>
      <c r="BO68" s="73"/>
      <c r="BP68" s="73"/>
      <c r="BQ68" s="73"/>
      <c r="BR68" s="73"/>
      <c r="BS68" s="73"/>
      <c r="BT68" s="73"/>
      <c r="BU68" s="73"/>
      <c r="BV68" s="73"/>
      <c r="BW68" s="73"/>
      <c r="BX68" s="73"/>
      <c r="BY68" s="73"/>
    </row>
    <row r="69" ht="19.5" customHeight="1">
      <c r="A69" s="69" t="str">
        <f>IF(Roster!$A$67&lt;&gt;"",Roster!$A$67,"")</f>
        <v/>
      </c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  <c r="AK69" s="70"/>
      <c r="AL69" s="70"/>
      <c r="AM69" s="70"/>
      <c r="AN69" s="70"/>
      <c r="AO69" s="70"/>
      <c r="AP69" s="70"/>
      <c r="AQ69" s="70"/>
      <c r="AR69" s="70"/>
      <c r="AS69" s="70"/>
      <c r="AT69" s="70"/>
      <c r="AU69" s="70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72"/>
      <c r="BJ69" s="72"/>
      <c r="BK69" s="72"/>
      <c r="BL69" s="72"/>
      <c r="BM69" s="72"/>
      <c r="BN69" s="72"/>
      <c r="BO69" s="72"/>
      <c r="BP69" s="72"/>
      <c r="BQ69" s="72"/>
      <c r="BR69" s="72"/>
      <c r="BS69" s="72"/>
      <c r="BT69" s="72"/>
      <c r="BU69" s="72"/>
      <c r="BV69" s="72"/>
      <c r="BW69" s="72"/>
      <c r="BX69" s="72"/>
      <c r="BY69" s="72"/>
    </row>
    <row r="70" ht="19.5" customHeight="1">
      <c r="A70" s="69" t="str">
        <f>IF(Roster!$A$68&lt;&gt;"",Roster!$A$68,"")</f>
        <v/>
      </c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  <c r="AK70" s="70"/>
      <c r="AL70" s="70"/>
      <c r="AM70" s="70"/>
      <c r="AN70" s="70"/>
      <c r="AO70" s="70"/>
      <c r="AP70" s="70"/>
      <c r="AQ70" s="70"/>
      <c r="AR70" s="70"/>
      <c r="AS70" s="70"/>
      <c r="AT70" s="70"/>
      <c r="AU70" s="70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</row>
    <row r="71" ht="19.5" customHeight="1">
      <c r="A71" s="69" t="str">
        <f>IF(Roster!$A$69&lt;&gt;"",Roster!$A$69,"")</f>
        <v/>
      </c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  <c r="AE71" s="70"/>
      <c r="AF71" s="70"/>
      <c r="AG71" s="70"/>
      <c r="AH71" s="70"/>
      <c r="AI71" s="70"/>
      <c r="AJ71" s="70"/>
      <c r="AK71" s="70"/>
      <c r="AL71" s="70"/>
      <c r="AM71" s="70"/>
      <c r="AN71" s="70"/>
      <c r="AO71" s="70"/>
      <c r="AP71" s="70"/>
      <c r="AQ71" s="70"/>
      <c r="AR71" s="70"/>
      <c r="AS71" s="70"/>
      <c r="AT71" s="70"/>
      <c r="AU71" s="70"/>
      <c r="AV71" s="72"/>
      <c r="AW71" s="72"/>
      <c r="AX71" s="72"/>
      <c r="AY71" s="72"/>
      <c r="AZ71" s="72"/>
      <c r="BA71" s="72"/>
      <c r="BB71" s="72"/>
      <c r="BC71" s="72"/>
      <c r="BD71" s="72"/>
      <c r="BE71" s="72"/>
      <c r="BF71" s="72"/>
      <c r="BG71" s="72"/>
      <c r="BH71" s="72"/>
      <c r="BI71" s="72"/>
      <c r="BJ71" s="72"/>
      <c r="BK71" s="72"/>
      <c r="BL71" s="72"/>
      <c r="BM71" s="72"/>
      <c r="BN71" s="72"/>
      <c r="BO71" s="72"/>
      <c r="BP71" s="72"/>
      <c r="BQ71" s="72"/>
      <c r="BR71" s="72"/>
      <c r="BS71" s="72"/>
      <c r="BT71" s="72"/>
      <c r="BU71" s="72"/>
      <c r="BV71" s="72"/>
      <c r="BW71" s="72"/>
      <c r="BX71" s="72"/>
      <c r="BY71" s="72"/>
    </row>
    <row r="72" ht="19.5" customHeight="1">
      <c r="A72" s="69" t="str">
        <f>IF(Roster!$A$70&lt;&gt;"",Roster!$A$70,"")</f>
        <v/>
      </c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  <c r="AE72" s="70"/>
      <c r="AF72" s="70"/>
      <c r="AG72" s="70"/>
      <c r="AH72" s="70"/>
      <c r="AI72" s="70"/>
      <c r="AJ72" s="70"/>
      <c r="AK72" s="70"/>
      <c r="AL72" s="70"/>
      <c r="AM72" s="70"/>
      <c r="AN72" s="70"/>
      <c r="AO72" s="70"/>
      <c r="AP72" s="70"/>
      <c r="AQ72" s="70"/>
      <c r="AR72" s="70"/>
      <c r="AS72" s="70"/>
      <c r="AT72" s="70"/>
      <c r="AU72" s="70"/>
      <c r="AV72" s="73"/>
      <c r="AW72" s="73"/>
      <c r="AX72" s="73"/>
      <c r="AY72" s="73"/>
      <c r="AZ72" s="73"/>
      <c r="BA72" s="73"/>
      <c r="BB72" s="73"/>
      <c r="BC72" s="73"/>
      <c r="BD72" s="73"/>
      <c r="BE72" s="73"/>
      <c r="BF72" s="73"/>
      <c r="BG72" s="73"/>
      <c r="BH72" s="73"/>
      <c r="BI72" s="73"/>
      <c r="BJ72" s="73"/>
      <c r="BK72" s="73"/>
      <c r="BL72" s="73"/>
      <c r="BM72" s="73"/>
      <c r="BN72" s="73"/>
      <c r="BO72" s="73"/>
      <c r="BP72" s="73"/>
      <c r="BQ72" s="73"/>
      <c r="BR72" s="73"/>
      <c r="BS72" s="73"/>
      <c r="BT72" s="73"/>
      <c r="BU72" s="73"/>
      <c r="BV72" s="73"/>
      <c r="BW72" s="73"/>
      <c r="BX72" s="73"/>
      <c r="BY72" s="73"/>
    </row>
    <row r="73" ht="19.5" customHeight="1">
      <c r="A73" s="69" t="str">
        <f>IF(Roster!$A$71&lt;&gt;"",Roster!$A$71,"")</f>
        <v/>
      </c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70"/>
      <c r="AO73" s="70"/>
      <c r="AP73" s="70"/>
      <c r="AQ73" s="70"/>
      <c r="AR73" s="70"/>
      <c r="AS73" s="70"/>
      <c r="AT73" s="70"/>
      <c r="AU73" s="70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72"/>
      <c r="BJ73" s="72"/>
      <c r="BK73" s="72"/>
      <c r="BL73" s="72"/>
      <c r="BM73" s="72"/>
      <c r="BN73" s="72"/>
      <c r="BO73" s="72"/>
      <c r="BP73" s="72"/>
      <c r="BQ73" s="72"/>
      <c r="BR73" s="72"/>
      <c r="BS73" s="72"/>
      <c r="BT73" s="72"/>
      <c r="BU73" s="72"/>
      <c r="BV73" s="72"/>
      <c r="BW73" s="72"/>
      <c r="BX73" s="72"/>
      <c r="BY73" s="72"/>
    </row>
    <row r="74" ht="19.5" customHeight="1">
      <c r="A74" s="69" t="str">
        <f>IF(Roster!$A$72&lt;&gt;"",Roster!$A$72,"")</f>
        <v/>
      </c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3"/>
      <c r="AW74" s="73"/>
      <c r="AX74" s="73"/>
      <c r="AY74" s="73"/>
      <c r="AZ74" s="73"/>
      <c r="BA74" s="73"/>
      <c r="BB74" s="73"/>
      <c r="BC74" s="73"/>
      <c r="BD74" s="73"/>
      <c r="BE74" s="73"/>
      <c r="BF74" s="73"/>
      <c r="BG74" s="73"/>
      <c r="BH74" s="73"/>
      <c r="BI74" s="73"/>
      <c r="BJ74" s="73"/>
      <c r="BK74" s="73"/>
      <c r="BL74" s="73"/>
      <c r="BM74" s="73"/>
      <c r="BN74" s="73"/>
      <c r="BO74" s="73"/>
      <c r="BP74" s="73"/>
      <c r="BQ74" s="73"/>
      <c r="BR74" s="73"/>
      <c r="BS74" s="73"/>
      <c r="BT74" s="73"/>
      <c r="BU74" s="73"/>
      <c r="BV74" s="73"/>
      <c r="BW74" s="73"/>
      <c r="BX74" s="73"/>
      <c r="BY74" s="73"/>
    </row>
    <row r="75" ht="19.5" customHeight="1">
      <c r="A75" s="69" t="str">
        <f>IF(Roster!$A$73&lt;&gt;"",Roster!$A$73,"")</f>
        <v/>
      </c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  <c r="AK75" s="70"/>
      <c r="AL75" s="70"/>
      <c r="AM75" s="70"/>
      <c r="AN75" s="70"/>
      <c r="AO75" s="70"/>
      <c r="AP75" s="70"/>
      <c r="AQ75" s="70"/>
      <c r="AR75" s="70"/>
      <c r="AS75" s="70"/>
      <c r="AT75" s="70"/>
      <c r="AU75" s="70"/>
      <c r="AV75" s="72"/>
      <c r="AW75" s="72"/>
      <c r="AX75" s="72"/>
      <c r="AY75" s="72"/>
      <c r="AZ75" s="72"/>
      <c r="BA75" s="72"/>
      <c r="BB75" s="72"/>
      <c r="BC75" s="72"/>
      <c r="BD75" s="72"/>
      <c r="BE75" s="72"/>
      <c r="BF75" s="72"/>
      <c r="BG75" s="72"/>
      <c r="BH75" s="72"/>
      <c r="BI75" s="72"/>
      <c r="BJ75" s="72"/>
      <c r="BK75" s="72"/>
      <c r="BL75" s="72"/>
      <c r="BM75" s="72"/>
      <c r="BN75" s="72"/>
      <c r="BO75" s="72"/>
      <c r="BP75" s="72"/>
      <c r="BQ75" s="72"/>
      <c r="BR75" s="72"/>
      <c r="BS75" s="72"/>
      <c r="BT75" s="72"/>
      <c r="BU75" s="72"/>
      <c r="BV75" s="72"/>
      <c r="BW75" s="72"/>
      <c r="BX75" s="72"/>
      <c r="BY75" s="72"/>
    </row>
    <row r="76" ht="19.5" customHeight="1">
      <c r="A76" s="69" t="str">
        <f>IF(Roster!$A$74&lt;&gt;"",Roster!$A$74,"")</f>
        <v/>
      </c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  <c r="AE76" s="70"/>
      <c r="AF76" s="70"/>
      <c r="AG76" s="70"/>
      <c r="AH76" s="70"/>
      <c r="AI76" s="70"/>
      <c r="AJ76" s="70"/>
      <c r="AK76" s="70"/>
      <c r="AL76" s="70"/>
      <c r="AM76" s="70"/>
      <c r="AN76" s="70"/>
      <c r="AO76" s="70"/>
      <c r="AP76" s="70"/>
      <c r="AQ76" s="70"/>
      <c r="AR76" s="70"/>
      <c r="AS76" s="70"/>
      <c r="AT76" s="70"/>
      <c r="AU76" s="70"/>
      <c r="AV76" s="73"/>
      <c r="AW76" s="73"/>
      <c r="AX76" s="73"/>
      <c r="AY76" s="73"/>
      <c r="AZ76" s="73"/>
      <c r="BA76" s="73"/>
      <c r="BB76" s="73"/>
      <c r="BC76" s="73"/>
      <c r="BD76" s="73"/>
      <c r="BE76" s="73"/>
      <c r="BF76" s="73"/>
      <c r="BG76" s="73"/>
      <c r="BH76" s="73"/>
      <c r="BI76" s="73"/>
      <c r="BJ76" s="73"/>
      <c r="BK76" s="73"/>
      <c r="BL76" s="73"/>
      <c r="BM76" s="73"/>
      <c r="BN76" s="73"/>
      <c r="BO76" s="73"/>
      <c r="BP76" s="73"/>
      <c r="BQ76" s="73"/>
      <c r="BR76" s="73"/>
      <c r="BS76" s="73"/>
      <c r="BT76" s="73"/>
      <c r="BU76" s="73"/>
      <c r="BV76" s="73"/>
      <c r="BW76" s="73"/>
      <c r="BX76" s="73"/>
      <c r="BY76" s="73"/>
    </row>
    <row r="77" ht="19.5" customHeight="1">
      <c r="A77" s="69" t="str">
        <f>IF(Roster!$A$75&lt;&gt;"",Roster!$A$75,"")</f>
        <v/>
      </c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  <c r="AK77" s="70"/>
      <c r="AL77" s="70"/>
      <c r="AM77" s="70"/>
      <c r="AN77" s="70"/>
      <c r="AO77" s="70"/>
      <c r="AP77" s="70"/>
      <c r="AQ77" s="70"/>
      <c r="AR77" s="70"/>
      <c r="AS77" s="70"/>
      <c r="AT77" s="70"/>
      <c r="AU77" s="70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72"/>
      <c r="BJ77" s="72"/>
      <c r="BK77" s="72"/>
      <c r="BL77" s="72"/>
      <c r="BM77" s="72"/>
      <c r="BN77" s="72"/>
      <c r="BO77" s="72"/>
      <c r="BP77" s="72"/>
      <c r="BQ77" s="72"/>
      <c r="BR77" s="72"/>
      <c r="BS77" s="72"/>
      <c r="BT77" s="72"/>
      <c r="BU77" s="72"/>
      <c r="BV77" s="72"/>
      <c r="BW77" s="72"/>
      <c r="BX77" s="72"/>
      <c r="BY77" s="72"/>
    </row>
    <row r="78" ht="19.5" customHeight="1">
      <c r="A78" s="69" t="str">
        <f>IF(Roster!$A$76&lt;&gt;"",Roster!$A$76,"")</f>
        <v/>
      </c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</row>
    <row r="79" ht="19.5" customHeight="1">
      <c r="A79" s="69" t="str">
        <f>IF(Roster!$A$77&lt;&gt;"",Roster!$A$77,"")</f>
        <v/>
      </c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  <c r="AD79" s="70"/>
      <c r="AE79" s="70"/>
      <c r="AF79" s="70"/>
      <c r="AG79" s="70"/>
      <c r="AH79" s="70"/>
      <c r="AI79" s="70"/>
      <c r="AJ79" s="70"/>
      <c r="AK79" s="70"/>
      <c r="AL79" s="70"/>
      <c r="AM79" s="70"/>
      <c r="AN79" s="70"/>
      <c r="AO79" s="70"/>
      <c r="AP79" s="70"/>
      <c r="AQ79" s="70"/>
      <c r="AR79" s="70"/>
      <c r="AS79" s="70"/>
      <c r="AT79" s="70"/>
      <c r="AU79" s="70"/>
      <c r="AV79" s="72"/>
      <c r="AW79" s="72"/>
      <c r="AX79" s="72"/>
      <c r="AY79" s="72"/>
      <c r="AZ79" s="72"/>
      <c r="BA79" s="72"/>
      <c r="BB79" s="72"/>
      <c r="BC79" s="72"/>
      <c r="BD79" s="72"/>
      <c r="BE79" s="72"/>
      <c r="BF79" s="72"/>
      <c r="BG79" s="72"/>
      <c r="BH79" s="72"/>
      <c r="BI79" s="72"/>
      <c r="BJ79" s="72"/>
      <c r="BK79" s="72"/>
      <c r="BL79" s="72"/>
      <c r="BM79" s="72"/>
      <c r="BN79" s="72"/>
      <c r="BO79" s="72"/>
      <c r="BP79" s="72"/>
      <c r="BQ79" s="72"/>
      <c r="BR79" s="72"/>
      <c r="BS79" s="72"/>
      <c r="BT79" s="72"/>
      <c r="BU79" s="72"/>
      <c r="BV79" s="72"/>
      <c r="BW79" s="72"/>
      <c r="BX79" s="72"/>
      <c r="BY79" s="72"/>
    </row>
    <row r="80" ht="19.5" customHeight="1">
      <c r="A80" s="69" t="str">
        <f>IF(Roster!$A$78&lt;&gt;"",Roster!$A$78,"")</f>
        <v/>
      </c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  <c r="AG80" s="70"/>
      <c r="AH80" s="70"/>
      <c r="AI80" s="70"/>
      <c r="AJ80" s="70"/>
      <c r="AK80" s="70"/>
      <c r="AL80" s="70"/>
      <c r="AM80" s="70"/>
      <c r="AN80" s="70"/>
      <c r="AO80" s="70"/>
      <c r="AP80" s="70"/>
      <c r="AQ80" s="70"/>
      <c r="AR80" s="70"/>
      <c r="AS80" s="70"/>
      <c r="AT80" s="70"/>
      <c r="AU80" s="70"/>
      <c r="AV80" s="73"/>
      <c r="AW80" s="73"/>
      <c r="AX80" s="73"/>
      <c r="AY80" s="73"/>
      <c r="AZ80" s="73"/>
      <c r="BA80" s="73"/>
      <c r="BB80" s="73"/>
      <c r="BC80" s="73"/>
      <c r="BD80" s="73"/>
      <c r="BE80" s="73"/>
      <c r="BF80" s="73"/>
      <c r="BG80" s="73"/>
      <c r="BH80" s="73"/>
      <c r="BI80" s="73"/>
      <c r="BJ80" s="73"/>
      <c r="BK80" s="73"/>
      <c r="BL80" s="73"/>
      <c r="BM80" s="73"/>
      <c r="BN80" s="73"/>
      <c r="BO80" s="73"/>
      <c r="BP80" s="73"/>
      <c r="BQ80" s="73"/>
      <c r="BR80" s="73"/>
      <c r="BS80" s="73"/>
      <c r="BT80" s="73"/>
      <c r="BU80" s="73"/>
      <c r="BV80" s="73"/>
      <c r="BW80" s="73"/>
      <c r="BX80" s="73"/>
      <c r="BY80" s="73"/>
    </row>
    <row r="81" ht="19.5" customHeight="1">
      <c r="A81" s="69" t="str">
        <f>IF(Roster!$A$79&lt;&gt;"",Roster!$A$79,"")</f>
        <v/>
      </c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  <c r="AK81" s="70"/>
      <c r="AL81" s="70"/>
      <c r="AM81" s="70"/>
      <c r="AN81" s="70"/>
      <c r="AO81" s="70"/>
      <c r="AP81" s="70"/>
      <c r="AQ81" s="70"/>
      <c r="AR81" s="70"/>
      <c r="AS81" s="70"/>
      <c r="AT81" s="70"/>
      <c r="AU81" s="70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72"/>
      <c r="BJ81" s="72"/>
      <c r="BK81" s="72"/>
      <c r="BL81" s="72"/>
      <c r="BM81" s="72"/>
      <c r="BN81" s="72"/>
      <c r="BO81" s="72"/>
      <c r="BP81" s="72"/>
      <c r="BQ81" s="72"/>
      <c r="BR81" s="72"/>
      <c r="BS81" s="72"/>
      <c r="BT81" s="72"/>
      <c r="BU81" s="72"/>
      <c r="BV81" s="72"/>
      <c r="BW81" s="72"/>
      <c r="BX81" s="72"/>
      <c r="BY81" s="72"/>
    </row>
    <row r="82" ht="19.5" customHeight="1">
      <c r="A82" s="69" t="str">
        <f>IF(Roster!$A$80&lt;&gt;"",Roster!$A$80,"")</f>
        <v/>
      </c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3"/>
      <c r="AW82" s="73"/>
      <c r="AX82" s="73"/>
      <c r="AY82" s="73"/>
      <c r="AZ82" s="73"/>
      <c r="BA82" s="73"/>
      <c r="BB82" s="73"/>
      <c r="BC82" s="73"/>
      <c r="BD82" s="73"/>
      <c r="BE82" s="73"/>
      <c r="BF82" s="73"/>
      <c r="BG82" s="73"/>
      <c r="BH82" s="73"/>
      <c r="BI82" s="73"/>
      <c r="BJ82" s="73"/>
      <c r="BK82" s="73"/>
      <c r="BL82" s="73"/>
      <c r="BM82" s="73"/>
      <c r="BN82" s="73"/>
      <c r="BO82" s="73"/>
      <c r="BP82" s="73"/>
      <c r="BQ82" s="73"/>
      <c r="BR82" s="73"/>
      <c r="BS82" s="73"/>
      <c r="BT82" s="73"/>
      <c r="BU82" s="73"/>
      <c r="BV82" s="73"/>
      <c r="BW82" s="73"/>
      <c r="BX82" s="73"/>
      <c r="BY82" s="73"/>
    </row>
    <row r="83" ht="19.5" customHeight="1">
      <c r="A83" s="69" t="str">
        <f>IF(Roster!$A$81&lt;&gt;"",Roster!$A$81,"")</f>
        <v/>
      </c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  <c r="AD83" s="70"/>
      <c r="AE83" s="70"/>
      <c r="AF83" s="70"/>
      <c r="AG83" s="70"/>
      <c r="AH83" s="70"/>
      <c r="AI83" s="70"/>
      <c r="AJ83" s="70"/>
      <c r="AK83" s="70"/>
      <c r="AL83" s="70"/>
      <c r="AM83" s="70"/>
      <c r="AN83" s="70"/>
      <c r="AO83" s="70"/>
      <c r="AP83" s="70"/>
      <c r="AQ83" s="70"/>
      <c r="AR83" s="70"/>
      <c r="AS83" s="70"/>
      <c r="AT83" s="70"/>
      <c r="AU83" s="70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72"/>
      <c r="BJ83" s="72"/>
      <c r="BK83" s="72"/>
      <c r="BL83" s="72"/>
      <c r="BM83" s="72"/>
      <c r="BN83" s="72"/>
      <c r="BO83" s="72"/>
      <c r="BP83" s="72"/>
      <c r="BQ83" s="72"/>
      <c r="BR83" s="72"/>
      <c r="BS83" s="72"/>
      <c r="BT83" s="72"/>
      <c r="BU83" s="72"/>
      <c r="BV83" s="72"/>
      <c r="BW83" s="72"/>
      <c r="BX83" s="72"/>
      <c r="BY83" s="72"/>
    </row>
    <row r="84" ht="19.5" customHeight="1">
      <c r="A84" s="69" t="str">
        <f>IF(Roster!$A$82&lt;&gt;"",Roster!$A$82,"")</f>
        <v/>
      </c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0"/>
      <c r="AG84" s="70"/>
      <c r="AH84" s="70"/>
      <c r="AI84" s="70"/>
      <c r="AJ84" s="70"/>
      <c r="AK84" s="70"/>
      <c r="AL84" s="70"/>
      <c r="AM84" s="70"/>
      <c r="AN84" s="70"/>
      <c r="AO84" s="70"/>
      <c r="AP84" s="70"/>
      <c r="AQ84" s="70"/>
      <c r="AR84" s="70"/>
      <c r="AS84" s="70"/>
      <c r="AT84" s="70"/>
      <c r="AU84" s="70"/>
      <c r="AV84" s="73"/>
      <c r="AW84" s="73"/>
      <c r="AX84" s="73"/>
      <c r="AY84" s="73"/>
      <c r="AZ84" s="73"/>
      <c r="BA84" s="73"/>
      <c r="BB84" s="73"/>
      <c r="BC84" s="73"/>
      <c r="BD84" s="73"/>
      <c r="BE84" s="73"/>
      <c r="BF84" s="73"/>
      <c r="BG84" s="73"/>
      <c r="BH84" s="73"/>
      <c r="BI84" s="73"/>
      <c r="BJ84" s="73"/>
      <c r="BK84" s="73"/>
      <c r="BL84" s="73"/>
      <c r="BM84" s="73"/>
      <c r="BN84" s="73"/>
      <c r="BO84" s="73"/>
      <c r="BP84" s="73"/>
      <c r="BQ84" s="73"/>
      <c r="BR84" s="73"/>
      <c r="BS84" s="73"/>
      <c r="BT84" s="73"/>
      <c r="BU84" s="73"/>
      <c r="BV84" s="73"/>
      <c r="BW84" s="73"/>
      <c r="BX84" s="73"/>
      <c r="BY84" s="73"/>
    </row>
    <row r="85" ht="19.5" customHeight="1">
      <c r="A85" s="69" t="str">
        <f>IF(Roster!$A$83&lt;&gt;"",Roster!$A$83,"")</f>
        <v/>
      </c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  <c r="AK85" s="70"/>
      <c r="AL85" s="70"/>
      <c r="AM85" s="70"/>
      <c r="AN85" s="70"/>
      <c r="AO85" s="70"/>
      <c r="AP85" s="70"/>
      <c r="AQ85" s="70"/>
      <c r="AR85" s="70"/>
      <c r="AS85" s="70"/>
      <c r="AT85" s="70"/>
      <c r="AU85" s="70"/>
      <c r="AV85" s="72"/>
      <c r="AW85" s="72"/>
      <c r="AX85" s="72"/>
      <c r="AY85" s="72"/>
      <c r="AZ85" s="72"/>
      <c r="BA85" s="72"/>
      <c r="BB85" s="72"/>
      <c r="BC85" s="72"/>
      <c r="BD85" s="72"/>
      <c r="BE85" s="72"/>
      <c r="BF85" s="72"/>
      <c r="BG85" s="72"/>
      <c r="BH85" s="72"/>
      <c r="BI85" s="72"/>
      <c r="BJ85" s="72"/>
      <c r="BK85" s="72"/>
      <c r="BL85" s="72"/>
      <c r="BM85" s="72"/>
      <c r="BN85" s="72"/>
      <c r="BO85" s="72"/>
      <c r="BP85" s="72"/>
      <c r="BQ85" s="72"/>
      <c r="BR85" s="72"/>
      <c r="BS85" s="72"/>
      <c r="BT85" s="72"/>
      <c r="BU85" s="72"/>
      <c r="BV85" s="72"/>
      <c r="BW85" s="72"/>
      <c r="BX85" s="72"/>
      <c r="BY85" s="72"/>
    </row>
    <row r="86" ht="19.5" customHeight="1">
      <c r="A86" s="69" t="str">
        <f>IF(Roster!$A$84&lt;&gt;"",Roster!$A$84,"")</f>
        <v/>
      </c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</row>
    <row r="87" ht="19.5" customHeight="1">
      <c r="A87" s="69" t="str">
        <f>IF(Roster!$A$85&lt;&gt;"",Roster!$A$85,"")</f>
        <v/>
      </c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  <c r="AD87" s="70"/>
      <c r="AE87" s="70"/>
      <c r="AF87" s="70"/>
      <c r="AG87" s="70"/>
      <c r="AH87" s="70"/>
      <c r="AI87" s="70"/>
      <c r="AJ87" s="70"/>
      <c r="AK87" s="70"/>
      <c r="AL87" s="70"/>
      <c r="AM87" s="70"/>
      <c r="AN87" s="70"/>
      <c r="AO87" s="70"/>
      <c r="AP87" s="70"/>
      <c r="AQ87" s="70"/>
      <c r="AR87" s="70"/>
      <c r="AS87" s="70"/>
      <c r="AT87" s="70"/>
      <c r="AU87" s="70"/>
      <c r="AV87" s="72"/>
      <c r="AW87" s="72"/>
      <c r="AX87" s="72"/>
      <c r="AY87" s="72"/>
      <c r="AZ87" s="72"/>
      <c r="BA87" s="72"/>
      <c r="BB87" s="72"/>
      <c r="BC87" s="72"/>
      <c r="BD87" s="72"/>
      <c r="BE87" s="72"/>
      <c r="BF87" s="72"/>
      <c r="BG87" s="72"/>
      <c r="BH87" s="72"/>
      <c r="BI87" s="72"/>
      <c r="BJ87" s="72"/>
      <c r="BK87" s="72"/>
      <c r="BL87" s="72"/>
      <c r="BM87" s="72"/>
      <c r="BN87" s="72"/>
      <c r="BO87" s="72"/>
      <c r="BP87" s="72"/>
      <c r="BQ87" s="72"/>
      <c r="BR87" s="72"/>
      <c r="BS87" s="72"/>
      <c r="BT87" s="72"/>
      <c r="BU87" s="72"/>
      <c r="BV87" s="72"/>
      <c r="BW87" s="72"/>
      <c r="BX87" s="72"/>
      <c r="BY87" s="72"/>
    </row>
    <row r="88" ht="19.5" customHeight="1">
      <c r="A88" s="69" t="str">
        <f>IF(Roster!$A$86&lt;&gt;"",Roster!$A$86,"")</f>
        <v/>
      </c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  <c r="AD88" s="70"/>
      <c r="AE88" s="70"/>
      <c r="AF88" s="70"/>
      <c r="AG88" s="70"/>
      <c r="AH88" s="70"/>
      <c r="AI88" s="70"/>
      <c r="AJ88" s="70"/>
      <c r="AK88" s="70"/>
      <c r="AL88" s="70"/>
      <c r="AM88" s="70"/>
      <c r="AN88" s="70"/>
      <c r="AO88" s="70"/>
      <c r="AP88" s="70"/>
      <c r="AQ88" s="70"/>
      <c r="AR88" s="70"/>
      <c r="AS88" s="70"/>
      <c r="AT88" s="70"/>
      <c r="AU88" s="70"/>
      <c r="AV88" s="73"/>
      <c r="AW88" s="73"/>
      <c r="AX88" s="73"/>
      <c r="AY88" s="73"/>
      <c r="AZ88" s="73"/>
      <c r="BA88" s="73"/>
      <c r="BB88" s="73"/>
      <c r="BC88" s="73"/>
      <c r="BD88" s="73"/>
      <c r="BE88" s="73"/>
      <c r="BF88" s="73"/>
      <c r="BG88" s="73"/>
      <c r="BH88" s="73"/>
      <c r="BI88" s="73"/>
      <c r="BJ88" s="73"/>
      <c r="BK88" s="73"/>
      <c r="BL88" s="73"/>
      <c r="BM88" s="73"/>
      <c r="BN88" s="73"/>
      <c r="BO88" s="73"/>
      <c r="BP88" s="73"/>
      <c r="BQ88" s="73"/>
      <c r="BR88" s="73"/>
      <c r="BS88" s="73"/>
      <c r="BT88" s="73"/>
      <c r="BU88" s="73"/>
      <c r="BV88" s="73"/>
      <c r="BW88" s="73"/>
      <c r="BX88" s="73"/>
      <c r="BY88" s="73"/>
    </row>
    <row r="89" ht="19.5" customHeight="1">
      <c r="A89" s="69" t="str">
        <f>IF(Roster!$A$87&lt;&gt;"",Roster!$A$87,"")</f>
        <v/>
      </c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  <c r="AK89" s="70"/>
      <c r="AL89" s="70"/>
      <c r="AM89" s="70"/>
      <c r="AN89" s="70"/>
      <c r="AO89" s="70"/>
      <c r="AP89" s="70"/>
      <c r="AQ89" s="70"/>
      <c r="AR89" s="70"/>
      <c r="AS89" s="70"/>
      <c r="AT89" s="70"/>
      <c r="AU89" s="70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72"/>
      <c r="BJ89" s="72"/>
      <c r="BK89" s="72"/>
      <c r="BL89" s="72"/>
      <c r="BM89" s="72"/>
      <c r="BN89" s="72"/>
      <c r="BO89" s="72"/>
      <c r="BP89" s="72"/>
      <c r="BQ89" s="72"/>
      <c r="BR89" s="72"/>
      <c r="BS89" s="72"/>
      <c r="BT89" s="72"/>
      <c r="BU89" s="72"/>
      <c r="BV89" s="72"/>
      <c r="BW89" s="72"/>
      <c r="BX89" s="72"/>
      <c r="BY89" s="72"/>
    </row>
    <row r="90" ht="19.5" customHeight="1">
      <c r="A90" s="69" t="str">
        <f>IF(Roster!$A$88&lt;&gt;"",Roster!$A$88,"")</f>
        <v/>
      </c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3"/>
      <c r="AW90" s="73"/>
      <c r="AX90" s="73"/>
      <c r="AY90" s="73"/>
      <c r="AZ90" s="73"/>
      <c r="BA90" s="73"/>
      <c r="BB90" s="73"/>
      <c r="BC90" s="73"/>
      <c r="BD90" s="73"/>
      <c r="BE90" s="73"/>
      <c r="BF90" s="73"/>
      <c r="BG90" s="73"/>
      <c r="BH90" s="73"/>
      <c r="BI90" s="73"/>
      <c r="BJ90" s="73"/>
      <c r="BK90" s="73"/>
      <c r="BL90" s="73"/>
      <c r="BM90" s="73"/>
      <c r="BN90" s="73"/>
      <c r="BO90" s="73"/>
      <c r="BP90" s="73"/>
      <c r="BQ90" s="73"/>
      <c r="BR90" s="73"/>
      <c r="BS90" s="73"/>
      <c r="BT90" s="73"/>
      <c r="BU90" s="73"/>
      <c r="BV90" s="73"/>
      <c r="BW90" s="73"/>
      <c r="BX90" s="73"/>
      <c r="BY90" s="73"/>
    </row>
    <row r="91" ht="19.5" customHeight="1">
      <c r="A91" s="69" t="str">
        <f>IF(Roster!$A$89&lt;&gt;"",Roster!$A$89,"")</f>
        <v/>
      </c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  <c r="AK91" s="70"/>
      <c r="AL91" s="70"/>
      <c r="AM91" s="70"/>
      <c r="AN91" s="70"/>
      <c r="AO91" s="70"/>
      <c r="AP91" s="70"/>
      <c r="AQ91" s="70"/>
      <c r="AR91" s="70"/>
      <c r="AS91" s="70"/>
      <c r="AT91" s="70"/>
      <c r="AU91" s="70"/>
      <c r="AV91" s="72"/>
      <c r="AW91" s="72"/>
      <c r="AX91" s="72"/>
      <c r="AY91" s="72"/>
      <c r="AZ91" s="72"/>
      <c r="BA91" s="72"/>
      <c r="BB91" s="72"/>
      <c r="BC91" s="72"/>
      <c r="BD91" s="72"/>
      <c r="BE91" s="72"/>
      <c r="BF91" s="72"/>
      <c r="BG91" s="72"/>
      <c r="BH91" s="72"/>
      <c r="BI91" s="72"/>
      <c r="BJ91" s="72"/>
      <c r="BK91" s="72"/>
      <c r="BL91" s="72"/>
      <c r="BM91" s="72"/>
      <c r="BN91" s="72"/>
      <c r="BO91" s="72"/>
      <c r="BP91" s="72"/>
      <c r="BQ91" s="72"/>
      <c r="BR91" s="72"/>
      <c r="BS91" s="72"/>
      <c r="BT91" s="72"/>
      <c r="BU91" s="72"/>
      <c r="BV91" s="72"/>
      <c r="BW91" s="72"/>
      <c r="BX91" s="72"/>
      <c r="BY91" s="72"/>
    </row>
    <row r="92" ht="19.5" customHeight="1">
      <c r="A92" s="69" t="str">
        <f>IF(Roster!$A$90&lt;&gt;"",Roster!$A$90,"")</f>
        <v/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  <c r="AG92" s="70"/>
      <c r="AH92" s="70"/>
      <c r="AI92" s="70"/>
      <c r="AJ92" s="70"/>
      <c r="AK92" s="70"/>
      <c r="AL92" s="70"/>
      <c r="AM92" s="70"/>
      <c r="AN92" s="70"/>
      <c r="AO92" s="70"/>
      <c r="AP92" s="70"/>
      <c r="AQ92" s="70"/>
      <c r="AR92" s="70"/>
      <c r="AS92" s="70"/>
      <c r="AT92" s="70"/>
      <c r="AU92" s="70"/>
      <c r="AV92" s="73"/>
      <c r="AW92" s="73"/>
      <c r="AX92" s="73"/>
      <c r="AY92" s="73"/>
      <c r="AZ92" s="73"/>
      <c r="BA92" s="73"/>
      <c r="BB92" s="73"/>
      <c r="BC92" s="73"/>
      <c r="BD92" s="73"/>
      <c r="BE92" s="73"/>
      <c r="BF92" s="73"/>
      <c r="BG92" s="73"/>
      <c r="BH92" s="73"/>
      <c r="BI92" s="73"/>
      <c r="BJ92" s="73"/>
      <c r="BK92" s="73"/>
      <c r="BL92" s="73"/>
      <c r="BM92" s="73"/>
      <c r="BN92" s="73"/>
      <c r="BO92" s="73"/>
      <c r="BP92" s="73"/>
      <c r="BQ92" s="73"/>
      <c r="BR92" s="73"/>
      <c r="BS92" s="73"/>
      <c r="BT92" s="73"/>
      <c r="BU92" s="73"/>
      <c r="BV92" s="73"/>
      <c r="BW92" s="73"/>
      <c r="BX92" s="73"/>
      <c r="BY92" s="73"/>
    </row>
    <row r="93" ht="19.5" customHeight="1">
      <c r="A93" s="69" t="str">
        <f>IF(Roster!$A$91&lt;&gt;"",Roster!$A$91,"")</f>
        <v/>
      </c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  <c r="AK93" s="70"/>
      <c r="AL93" s="70"/>
      <c r="AM93" s="70"/>
      <c r="AN93" s="70"/>
      <c r="AO93" s="70"/>
      <c r="AP93" s="70"/>
      <c r="AQ93" s="70"/>
      <c r="AR93" s="70"/>
      <c r="AS93" s="70"/>
      <c r="AT93" s="70"/>
      <c r="AU93" s="70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72"/>
      <c r="BJ93" s="72"/>
      <c r="BK93" s="72"/>
      <c r="BL93" s="72"/>
      <c r="BM93" s="72"/>
      <c r="BN93" s="72"/>
      <c r="BO93" s="72"/>
      <c r="BP93" s="72"/>
      <c r="BQ93" s="72"/>
      <c r="BR93" s="72"/>
      <c r="BS93" s="72"/>
      <c r="BT93" s="72"/>
      <c r="BU93" s="72"/>
      <c r="BV93" s="72"/>
      <c r="BW93" s="72"/>
      <c r="BX93" s="72"/>
      <c r="BY93" s="72"/>
    </row>
    <row r="94" ht="19.5" customHeight="1">
      <c r="A94" s="69" t="str">
        <f>IF(Roster!$A$92&lt;&gt;"",Roster!$A$92,"")</f>
        <v/>
      </c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</row>
    <row r="95" ht="19.5" customHeight="1">
      <c r="A95" s="69" t="str">
        <f>IF(Roster!$A$93&lt;&gt;"",Roster!$A$93,"")</f>
        <v/>
      </c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70"/>
      <c r="AE95" s="70"/>
      <c r="AF95" s="70"/>
      <c r="AG95" s="70"/>
      <c r="AH95" s="70"/>
      <c r="AI95" s="70"/>
      <c r="AJ95" s="70"/>
      <c r="AK95" s="70"/>
      <c r="AL95" s="70"/>
      <c r="AM95" s="70"/>
      <c r="AN95" s="70"/>
      <c r="AO95" s="70"/>
      <c r="AP95" s="70"/>
      <c r="AQ95" s="70"/>
      <c r="AR95" s="70"/>
      <c r="AS95" s="70"/>
      <c r="AT95" s="70"/>
      <c r="AU95" s="70"/>
      <c r="AV95" s="72"/>
      <c r="AW95" s="72"/>
      <c r="AX95" s="72"/>
      <c r="AY95" s="72"/>
      <c r="AZ95" s="72"/>
      <c r="BA95" s="72"/>
      <c r="BB95" s="72"/>
      <c r="BC95" s="72"/>
      <c r="BD95" s="72"/>
      <c r="BE95" s="72"/>
      <c r="BF95" s="72"/>
      <c r="BG95" s="72"/>
      <c r="BH95" s="72"/>
      <c r="BI95" s="72"/>
      <c r="BJ95" s="72"/>
      <c r="BK95" s="72"/>
      <c r="BL95" s="72"/>
      <c r="BM95" s="72"/>
      <c r="BN95" s="72"/>
      <c r="BO95" s="72"/>
      <c r="BP95" s="72"/>
      <c r="BQ95" s="72"/>
      <c r="BR95" s="72"/>
      <c r="BS95" s="72"/>
      <c r="BT95" s="72"/>
      <c r="BU95" s="72"/>
      <c r="BV95" s="72"/>
      <c r="BW95" s="72"/>
      <c r="BX95" s="72"/>
      <c r="BY95" s="72"/>
    </row>
    <row r="96" ht="19.5" customHeight="1">
      <c r="A96" s="69" t="str">
        <f>IF(Roster!$A$94&lt;&gt;"",Roster!$A$94,"")</f>
        <v/>
      </c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  <c r="AK96" s="70"/>
      <c r="AL96" s="70"/>
      <c r="AM96" s="70"/>
      <c r="AN96" s="70"/>
      <c r="AO96" s="70"/>
      <c r="AP96" s="70"/>
      <c r="AQ96" s="70"/>
      <c r="AR96" s="70"/>
      <c r="AS96" s="70"/>
      <c r="AT96" s="70"/>
      <c r="AU96" s="70"/>
      <c r="AV96" s="73"/>
      <c r="AW96" s="73"/>
      <c r="AX96" s="73"/>
      <c r="AY96" s="73"/>
      <c r="AZ96" s="73"/>
      <c r="BA96" s="73"/>
      <c r="BB96" s="73"/>
      <c r="BC96" s="73"/>
      <c r="BD96" s="73"/>
      <c r="BE96" s="73"/>
      <c r="BF96" s="73"/>
      <c r="BG96" s="73"/>
      <c r="BH96" s="73"/>
      <c r="BI96" s="73"/>
      <c r="BJ96" s="73"/>
      <c r="BK96" s="73"/>
      <c r="BL96" s="73"/>
      <c r="BM96" s="73"/>
      <c r="BN96" s="73"/>
      <c r="BO96" s="73"/>
      <c r="BP96" s="73"/>
      <c r="BQ96" s="73"/>
      <c r="BR96" s="73"/>
      <c r="BS96" s="73"/>
      <c r="BT96" s="73"/>
      <c r="BU96" s="73"/>
      <c r="BV96" s="73"/>
      <c r="BW96" s="73"/>
      <c r="BX96" s="73"/>
      <c r="BY96" s="73"/>
    </row>
    <row r="97" ht="19.5" customHeight="1">
      <c r="A97" s="69" t="str">
        <f>IF(Roster!$A$95&lt;&gt;"",Roster!$A$95,"")</f>
        <v/>
      </c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  <c r="AO97" s="70"/>
      <c r="AP97" s="70"/>
      <c r="AQ97" s="70"/>
      <c r="AR97" s="70"/>
      <c r="AS97" s="70"/>
      <c r="AT97" s="70"/>
      <c r="AU97" s="70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72"/>
      <c r="BJ97" s="72"/>
      <c r="BK97" s="72"/>
      <c r="BL97" s="72"/>
      <c r="BM97" s="72"/>
      <c r="BN97" s="72"/>
      <c r="BO97" s="72"/>
      <c r="BP97" s="72"/>
      <c r="BQ97" s="72"/>
      <c r="BR97" s="72"/>
      <c r="BS97" s="72"/>
      <c r="BT97" s="72"/>
      <c r="BU97" s="72"/>
      <c r="BV97" s="72"/>
      <c r="BW97" s="72"/>
      <c r="BX97" s="72"/>
      <c r="BY97" s="72"/>
    </row>
    <row r="98" ht="19.5" customHeight="1">
      <c r="A98" s="69" t="str">
        <f>IF(Roster!$A$96&lt;&gt;"",Roster!$A$96,"")</f>
        <v/>
      </c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3"/>
      <c r="AW98" s="73"/>
      <c r="AX98" s="73"/>
      <c r="AY98" s="73"/>
      <c r="AZ98" s="73"/>
      <c r="BA98" s="73"/>
      <c r="BB98" s="73"/>
      <c r="BC98" s="73"/>
      <c r="BD98" s="73"/>
      <c r="BE98" s="73"/>
      <c r="BF98" s="73"/>
      <c r="BG98" s="73"/>
      <c r="BH98" s="73"/>
      <c r="BI98" s="73"/>
      <c r="BJ98" s="73"/>
      <c r="BK98" s="73"/>
      <c r="BL98" s="73"/>
      <c r="BM98" s="73"/>
      <c r="BN98" s="73"/>
      <c r="BO98" s="73"/>
      <c r="BP98" s="73"/>
      <c r="BQ98" s="73"/>
      <c r="BR98" s="73"/>
      <c r="BS98" s="73"/>
      <c r="BT98" s="73"/>
      <c r="BU98" s="73"/>
      <c r="BV98" s="73"/>
      <c r="BW98" s="73"/>
      <c r="BX98" s="73"/>
      <c r="BY98" s="73"/>
    </row>
    <row r="99" ht="19.5" customHeight="1">
      <c r="A99" s="69" t="str">
        <f>IF(Roster!$A$97&lt;&gt;"",Roster!$A$97,"")</f>
        <v/>
      </c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  <c r="AG99" s="70"/>
      <c r="AH99" s="70"/>
      <c r="AI99" s="70"/>
      <c r="AJ99" s="70"/>
      <c r="AK99" s="70"/>
      <c r="AL99" s="70"/>
      <c r="AM99" s="70"/>
      <c r="AN99" s="70"/>
      <c r="AO99" s="70"/>
      <c r="AP99" s="70"/>
      <c r="AQ99" s="70"/>
      <c r="AR99" s="70"/>
      <c r="AS99" s="70"/>
      <c r="AT99" s="70"/>
      <c r="AU99" s="70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72"/>
      <c r="BJ99" s="72"/>
      <c r="BK99" s="72"/>
      <c r="BL99" s="72"/>
      <c r="BM99" s="72"/>
      <c r="BN99" s="72"/>
      <c r="BO99" s="72"/>
      <c r="BP99" s="72"/>
      <c r="BQ99" s="72"/>
      <c r="BR99" s="72"/>
      <c r="BS99" s="72"/>
      <c r="BT99" s="72"/>
      <c r="BU99" s="72"/>
      <c r="BV99" s="72"/>
      <c r="BW99" s="72"/>
      <c r="BX99" s="72"/>
      <c r="BY99" s="72"/>
    </row>
    <row r="100" ht="19.5" customHeight="1">
      <c r="A100" s="69" t="str">
        <f>IF(Roster!$A$98&lt;&gt;"",Roster!$A$98,"")</f>
        <v/>
      </c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  <c r="AK100" s="70"/>
      <c r="AL100" s="70"/>
      <c r="AM100" s="70"/>
      <c r="AN100" s="70"/>
      <c r="AO100" s="70"/>
      <c r="AP100" s="70"/>
      <c r="AQ100" s="70"/>
      <c r="AR100" s="70"/>
      <c r="AS100" s="70"/>
      <c r="AT100" s="70"/>
      <c r="AU100" s="70"/>
      <c r="AV100" s="73"/>
      <c r="AW100" s="73"/>
      <c r="AX100" s="73"/>
      <c r="AY100" s="73"/>
      <c r="AZ100" s="73"/>
      <c r="BA100" s="73"/>
      <c r="BB100" s="73"/>
      <c r="BC100" s="73"/>
      <c r="BD100" s="73"/>
      <c r="BE100" s="73"/>
      <c r="BF100" s="73"/>
      <c r="BG100" s="73"/>
      <c r="BH100" s="73"/>
      <c r="BI100" s="73"/>
      <c r="BJ100" s="73"/>
      <c r="BK100" s="73"/>
      <c r="BL100" s="73"/>
      <c r="BM100" s="73"/>
      <c r="BN100" s="73"/>
      <c r="BO100" s="73"/>
      <c r="BP100" s="73"/>
      <c r="BQ100" s="73"/>
      <c r="BR100" s="73"/>
      <c r="BS100" s="73"/>
      <c r="BT100" s="73"/>
      <c r="BU100" s="73"/>
      <c r="BV100" s="73"/>
      <c r="BW100" s="73"/>
      <c r="BX100" s="73"/>
      <c r="BY100" s="73"/>
    </row>
    <row r="101" ht="19.5" customHeight="1">
      <c r="A101" s="69" t="str">
        <f>IF(Roster!$A$99&lt;&gt;"",Roster!$A$99,"")</f>
        <v/>
      </c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  <c r="AK101" s="70"/>
      <c r="AL101" s="70"/>
      <c r="AM101" s="70"/>
      <c r="AN101" s="70"/>
      <c r="AO101" s="70"/>
      <c r="AP101" s="70"/>
      <c r="AQ101" s="70"/>
      <c r="AR101" s="70"/>
      <c r="AS101" s="70"/>
      <c r="AT101" s="70"/>
      <c r="AU101" s="70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72"/>
      <c r="BJ101" s="72"/>
      <c r="BK101" s="72"/>
      <c r="BL101" s="72"/>
      <c r="BM101" s="72"/>
      <c r="BN101" s="72"/>
      <c r="BO101" s="72"/>
      <c r="BP101" s="72"/>
      <c r="BQ101" s="72"/>
      <c r="BR101" s="72"/>
      <c r="BS101" s="72"/>
      <c r="BT101" s="72"/>
      <c r="BU101" s="72"/>
      <c r="BV101" s="72"/>
      <c r="BW101" s="72"/>
      <c r="BX101" s="72"/>
      <c r="BY101" s="72"/>
    </row>
    <row r="102" ht="19.5" customHeight="1">
      <c r="A102" s="69" t="str">
        <f>IF(Roster!$A$100&lt;&gt;"",Roster!$A$100,"")</f>
        <v/>
      </c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</row>
    <row r="103" ht="19.5" customHeight="1">
      <c r="A103" s="69" t="str">
        <f>IF(Roster!$A$101&lt;&gt;"",Roster!$A$101,"")</f>
        <v/>
      </c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0"/>
      <c r="AK103" s="70"/>
      <c r="AL103" s="70"/>
      <c r="AM103" s="70"/>
      <c r="AN103" s="70"/>
      <c r="AO103" s="70"/>
      <c r="AP103" s="70"/>
      <c r="AQ103" s="70"/>
      <c r="AR103" s="70"/>
      <c r="AS103" s="70"/>
      <c r="AT103" s="70"/>
      <c r="AU103" s="70"/>
      <c r="AV103" s="72"/>
      <c r="AW103" s="72"/>
      <c r="AX103" s="72"/>
      <c r="AY103" s="72"/>
      <c r="AZ103" s="72"/>
      <c r="BA103" s="72"/>
      <c r="BB103" s="72"/>
      <c r="BC103" s="72"/>
      <c r="BD103" s="72"/>
      <c r="BE103" s="72"/>
      <c r="BF103" s="72"/>
      <c r="BG103" s="72"/>
      <c r="BH103" s="72"/>
      <c r="BI103" s="72"/>
      <c r="BJ103" s="72"/>
      <c r="BK103" s="72"/>
      <c r="BL103" s="72"/>
      <c r="BM103" s="72"/>
      <c r="BN103" s="72"/>
      <c r="BO103" s="72"/>
      <c r="BP103" s="72"/>
      <c r="BQ103" s="72"/>
      <c r="BR103" s="72"/>
      <c r="BS103" s="72"/>
      <c r="BT103" s="72"/>
      <c r="BU103" s="72"/>
      <c r="BV103" s="72"/>
      <c r="BW103" s="72"/>
      <c r="BX103" s="72"/>
      <c r="BY103" s="72"/>
    </row>
    <row r="104" ht="19.5" customHeight="1">
      <c r="A104" s="69" t="str">
        <f>IF(Roster!$A$102&lt;&gt;"",Roster!$A$102,"")</f>
        <v/>
      </c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70"/>
      <c r="AE104" s="70"/>
      <c r="AF104" s="70"/>
      <c r="AG104" s="70"/>
      <c r="AH104" s="70"/>
      <c r="AI104" s="70"/>
      <c r="AJ104" s="70"/>
      <c r="AK104" s="70"/>
      <c r="AL104" s="70"/>
      <c r="AM104" s="70"/>
      <c r="AN104" s="70"/>
      <c r="AO104" s="70"/>
      <c r="AP104" s="70"/>
      <c r="AQ104" s="70"/>
      <c r="AR104" s="70"/>
      <c r="AS104" s="70"/>
      <c r="AT104" s="70"/>
      <c r="AU104" s="70"/>
      <c r="AV104" s="73"/>
      <c r="AW104" s="73"/>
      <c r="AX104" s="73"/>
      <c r="AY104" s="73"/>
      <c r="AZ104" s="73"/>
      <c r="BA104" s="73"/>
      <c r="BB104" s="73"/>
      <c r="BC104" s="73"/>
      <c r="BD104" s="73"/>
      <c r="BE104" s="73"/>
      <c r="BF104" s="73"/>
      <c r="BG104" s="73"/>
      <c r="BH104" s="73"/>
      <c r="BI104" s="73"/>
      <c r="BJ104" s="73"/>
      <c r="BK104" s="73"/>
      <c r="BL104" s="73"/>
      <c r="BM104" s="73"/>
      <c r="BN104" s="73"/>
      <c r="BO104" s="73"/>
      <c r="BP104" s="73"/>
      <c r="BQ104" s="73"/>
      <c r="BR104" s="73"/>
      <c r="BS104" s="73"/>
      <c r="BT104" s="73"/>
      <c r="BU104" s="73"/>
      <c r="BV104" s="73"/>
      <c r="BW104" s="73"/>
      <c r="BX104" s="73"/>
      <c r="BY104" s="73"/>
    </row>
    <row r="105" ht="19.5" customHeight="1">
      <c r="A105" s="69" t="str">
        <f>IF(Roster!$A$103&lt;&gt;"",Roster!$A$103,"")</f>
        <v/>
      </c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  <c r="AO105" s="70"/>
      <c r="AP105" s="70"/>
      <c r="AQ105" s="70"/>
      <c r="AR105" s="70"/>
      <c r="AS105" s="70"/>
      <c r="AT105" s="70"/>
      <c r="AU105" s="70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72"/>
      <c r="BJ105" s="72"/>
      <c r="BK105" s="72"/>
      <c r="BL105" s="72"/>
      <c r="BM105" s="72"/>
      <c r="BN105" s="72"/>
      <c r="BO105" s="72"/>
      <c r="BP105" s="72"/>
      <c r="BQ105" s="72"/>
      <c r="BR105" s="72"/>
      <c r="BS105" s="72"/>
      <c r="BT105" s="72"/>
      <c r="BU105" s="72"/>
      <c r="BV105" s="72"/>
      <c r="BW105" s="72"/>
      <c r="BX105" s="72"/>
      <c r="BY105" s="72"/>
    </row>
    <row r="106" ht="19.5" customHeight="1">
      <c r="A106" s="69" t="str">
        <f>IF(Roster!$A$104&lt;&gt;"",Roster!$A$104,"")</f>
        <v/>
      </c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3"/>
      <c r="AW106" s="73"/>
      <c r="AX106" s="73"/>
      <c r="AY106" s="73"/>
      <c r="AZ106" s="73"/>
      <c r="BA106" s="73"/>
      <c r="BB106" s="73"/>
      <c r="BC106" s="73"/>
      <c r="BD106" s="73"/>
      <c r="BE106" s="73"/>
      <c r="BF106" s="73"/>
      <c r="BG106" s="73"/>
      <c r="BH106" s="73"/>
      <c r="BI106" s="73"/>
      <c r="BJ106" s="73"/>
      <c r="BK106" s="73"/>
      <c r="BL106" s="73"/>
      <c r="BM106" s="73"/>
      <c r="BN106" s="73"/>
      <c r="BO106" s="73"/>
      <c r="BP106" s="73"/>
      <c r="BQ106" s="73"/>
      <c r="BR106" s="73"/>
      <c r="BS106" s="73"/>
      <c r="BT106" s="73"/>
      <c r="BU106" s="73"/>
      <c r="BV106" s="73"/>
      <c r="BW106" s="73"/>
      <c r="BX106" s="73"/>
      <c r="BY106" s="73"/>
    </row>
    <row r="107" ht="19.5" customHeight="1">
      <c r="A107" s="69" t="str">
        <f>IF(Roster!$A$105&lt;&gt;"",Roster!$A$105,"")</f>
        <v/>
      </c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0"/>
      <c r="AK107" s="70"/>
      <c r="AL107" s="70"/>
      <c r="AM107" s="70"/>
      <c r="AN107" s="70"/>
      <c r="AO107" s="70"/>
      <c r="AP107" s="70"/>
      <c r="AQ107" s="70"/>
      <c r="AR107" s="70"/>
      <c r="AS107" s="70"/>
      <c r="AT107" s="70"/>
      <c r="AU107" s="70"/>
      <c r="AV107" s="72"/>
      <c r="AW107" s="72"/>
      <c r="AX107" s="72"/>
      <c r="AY107" s="72"/>
      <c r="AZ107" s="72"/>
      <c r="BA107" s="72"/>
      <c r="BB107" s="72"/>
      <c r="BC107" s="72"/>
      <c r="BD107" s="72"/>
      <c r="BE107" s="72"/>
      <c r="BF107" s="72"/>
      <c r="BG107" s="72"/>
      <c r="BH107" s="72"/>
      <c r="BI107" s="72"/>
      <c r="BJ107" s="72"/>
      <c r="BK107" s="72"/>
      <c r="BL107" s="72"/>
      <c r="BM107" s="72"/>
      <c r="BN107" s="72"/>
      <c r="BO107" s="72"/>
      <c r="BP107" s="72"/>
      <c r="BQ107" s="72"/>
      <c r="BR107" s="72"/>
      <c r="BS107" s="72"/>
      <c r="BT107" s="72"/>
      <c r="BU107" s="72"/>
      <c r="BV107" s="72"/>
      <c r="BW107" s="72"/>
      <c r="BX107" s="72"/>
      <c r="BY107" s="72"/>
    </row>
    <row r="108" ht="19.5" customHeight="1">
      <c r="A108" s="69" t="str">
        <f>IF(Roster!$A$106&lt;&gt;"",Roster!$A$106,"")</f>
        <v/>
      </c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E108" s="70"/>
      <c r="AF108" s="70"/>
      <c r="AG108" s="70"/>
      <c r="AH108" s="70"/>
      <c r="AI108" s="70"/>
      <c r="AJ108" s="70"/>
      <c r="AK108" s="70"/>
      <c r="AL108" s="70"/>
      <c r="AM108" s="70"/>
      <c r="AN108" s="70"/>
      <c r="AO108" s="70"/>
      <c r="AP108" s="70"/>
      <c r="AQ108" s="70"/>
      <c r="AR108" s="70"/>
      <c r="AS108" s="70"/>
      <c r="AT108" s="70"/>
      <c r="AU108" s="70"/>
      <c r="AV108" s="73"/>
      <c r="AW108" s="73"/>
      <c r="AX108" s="73"/>
      <c r="AY108" s="73"/>
      <c r="AZ108" s="73"/>
      <c r="BA108" s="73"/>
      <c r="BB108" s="73"/>
      <c r="BC108" s="73"/>
      <c r="BD108" s="73"/>
      <c r="BE108" s="73"/>
      <c r="BF108" s="73"/>
      <c r="BG108" s="73"/>
      <c r="BH108" s="73"/>
      <c r="BI108" s="73"/>
      <c r="BJ108" s="73"/>
      <c r="BK108" s="73"/>
      <c r="BL108" s="73"/>
      <c r="BM108" s="73"/>
      <c r="BN108" s="73"/>
      <c r="BO108" s="73"/>
      <c r="BP108" s="73"/>
      <c r="BQ108" s="73"/>
      <c r="BR108" s="73"/>
      <c r="BS108" s="73"/>
      <c r="BT108" s="73"/>
      <c r="BU108" s="73"/>
      <c r="BV108" s="73"/>
      <c r="BW108" s="73"/>
      <c r="BX108" s="73"/>
      <c r="BY108" s="73"/>
    </row>
    <row r="109" ht="19.5" customHeight="1">
      <c r="A109" s="69" t="str">
        <f>IF(Roster!$A$107&lt;&gt;"",Roster!$A$107,"")</f>
        <v/>
      </c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  <c r="AI109" s="70"/>
      <c r="AJ109" s="70"/>
      <c r="AK109" s="70"/>
      <c r="AL109" s="70"/>
      <c r="AM109" s="70"/>
      <c r="AN109" s="70"/>
      <c r="AO109" s="70"/>
      <c r="AP109" s="70"/>
      <c r="AQ109" s="70"/>
      <c r="AR109" s="70"/>
      <c r="AS109" s="70"/>
      <c r="AT109" s="70"/>
      <c r="AU109" s="70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72"/>
      <c r="BJ109" s="72"/>
      <c r="BK109" s="72"/>
      <c r="BL109" s="72"/>
      <c r="BM109" s="72"/>
      <c r="BN109" s="72"/>
      <c r="BO109" s="72"/>
      <c r="BP109" s="72"/>
      <c r="BQ109" s="72"/>
      <c r="BR109" s="72"/>
      <c r="BS109" s="72"/>
      <c r="BT109" s="72"/>
      <c r="BU109" s="72"/>
      <c r="BV109" s="72"/>
      <c r="BW109" s="72"/>
      <c r="BX109" s="72"/>
      <c r="BY109" s="72"/>
    </row>
    <row r="110" ht="19.5" customHeight="1">
      <c r="A110" s="69" t="str">
        <f>IF(Roster!$A$108&lt;&gt;"",Roster!$A$108,"")</f>
        <v/>
      </c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</row>
    <row r="111" ht="19.5" customHeight="1">
      <c r="A111" s="69" t="str">
        <f>IF(Roster!$A$109&lt;&gt;"",Roster!$A$109,"")</f>
        <v/>
      </c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  <c r="AI111" s="70"/>
      <c r="AJ111" s="70"/>
      <c r="AK111" s="70"/>
      <c r="AL111" s="70"/>
      <c r="AM111" s="70"/>
      <c r="AN111" s="70"/>
      <c r="AO111" s="70"/>
      <c r="AP111" s="70"/>
      <c r="AQ111" s="70"/>
      <c r="AR111" s="70"/>
      <c r="AS111" s="70"/>
      <c r="AT111" s="70"/>
      <c r="AU111" s="70"/>
      <c r="AV111" s="72"/>
      <c r="AW111" s="72"/>
      <c r="AX111" s="72"/>
      <c r="AY111" s="72"/>
      <c r="AZ111" s="72"/>
      <c r="BA111" s="72"/>
      <c r="BB111" s="72"/>
      <c r="BC111" s="72"/>
      <c r="BD111" s="72"/>
      <c r="BE111" s="72"/>
      <c r="BF111" s="72"/>
      <c r="BG111" s="72"/>
      <c r="BH111" s="72"/>
      <c r="BI111" s="72"/>
      <c r="BJ111" s="72"/>
      <c r="BK111" s="72"/>
      <c r="BL111" s="72"/>
      <c r="BM111" s="72"/>
      <c r="BN111" s="72"/>
      <c r="BO111" s="72"/>
      <c r="BP111" s="72"/>
      <c r="BQ111" s="72"/>
      <c r="BR111" s="72"/>
      <c r="BS111" s="72"/>
      <c r="BT111" s="72"/>
      <c r="BU111" s="72"/>
      <c r="BV111" s="72"/>
      <c r="BW111" s="72"/>
      <c r="BX111" s="72"/>
      <c r="BY111" s="72"/>
    </row>
    <row r="112" ht="19.5" customHeight="1">
      <c r="A112" s="69" t="str">
        <f>IF(Roster!$A$110&lt;&gt;"",Roster!$A$110,"")</f>
        <v/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  <c r="AI112" s="70"/>
      <c r="AJ112" s="70"/>
      <c r="AK112" s="70"/>
      <c r="AL112" s="70"/>
      <c r="AM112" s="70"/>
      <c r="AN112" s="70"/>
      <c r="AO112" s="70"/>
      <c r="AP112" s="70"/>
      <c r="AQ112" s="70"/>
      <c r="AR112" s="70"/>
      <c r="AS112" s="70"/>
      <c r="AT112" s="70"/>
      <c r="AU112" s="70"/>
      <c r="AV112" s="73"/>
      <c r="AW112" s="73"/>
      <c r="AX112" s="73"/>
      <c r="AY112" s="73"/>
      <c r="AZ112" s="73"/>
      <c r="BA112" s="73"/>
      <c r="BB112" s="73"/>
      <c r="BC112" s="73"/>
      <c r="BD112" s="73"/>
      <c r="BE112" s="73"/>
      <c r="BF112" s="73"/>
      <c r="BG112" s="73"/>
      <c r="BH112" s="73"/>
      <c r="BI112" s="73"/>
      <c r="BJ112" s="73"/>
      <c r="BK112" s="73"/>
      <c r="BL112" s="73"/>
      <c r="BM112" s="73"/>
      <c r="BN112" s="73"/>
      <c r="BO112" s="73"/>
      <c r="BP112" s="73"/>
      <c r="BQ112" s="73"/>
      <c r="BR112" s="73"/>
      <c r="BS112" s="73"/>
      <c r="BT112" s="73"/>
      <c r="BU112" s="73"/>
      <c r="BV112" s="73"/>
      <c r="BW112" s="73"/>
      <c r="BX112" s="73"/>
      <c r="BY112" s="73"/>
    </row>
    <row r="113" ht="19.5" customHeight="1">
      <c r="A113" s="69" t="str">
        <f>IF(Roster!$A$111&lt;&gt;"",Roster!$A$111,"")</f>
        <v/>
      </c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  <c r="AK113" s="70"/>
      <c r="AL113" s="70"/>
      <c r="AM113" s="70"/>
      <c r="AN113" s="70"/>
      <c r="AO113" s="70"/>
      <c r="AP113" s="70"/>
      <c r="AQ113" s="70"/>
      <c r="AR113" s="70"/>
      <c r="AS113" s="70"/>
      <c r="AT113" s="70"/>
      <c r="AU113" s="70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72"/>
      <c r="BJ113" s="72"/>
      <c r="BK113" s="72"/>
      <c r="BL113" s="72"/>
      <c r="BM113" s="72"/>
      <c r="BN113" s="72"/>
      <c r="BO113" s="72"/>
      <c r="BP113" s="72"/>
      <c r="BQ113" s="72"/>
      <c r="BR113" s="72"/>
      <c r="BS113" s="72"/>
      <c r="BT113" s="72"/>
      <c r="BU113" s="72"/>
      <c r="BV113" s="72"/>
      <c r="BW113" s="72"/>
      <c r="BX113" s="72"/>
      <c r="BY113" s="72"/>
    </row>
    <row r="114" ht="19.5" customHeight="1">
      <c r="A114" s="69" t="str">
        <f>IF(Roster!$A$112&lt;&gt;"",Roster!$A$112,"")</f>
        <v/>
      </c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3"/>
      <c r="AW114" s="73"/>
      <c r="AX114" s="73"/>
      <c r="AY114" s="73"/>
      <c r="AZ114" s="73"/>
      <c r="BA114" s="73"/>
      <c r="BB114" s="73"/>
      <c r="BC114" s="73"/>
      <c r="BD114" s="73"/>
      <c r="BE114" s="73"/>
      <c r="BF114" s="73"/>
      <c r="BG114" s="73"/>
      <c r="BH114" s="73"/>
      <c r="BI114" s="73"/>
      <c r="BJ114" s="73"/>
      <c r="BK114" s="73"/>
      <c r="BL114" s="73"/>
      <c r="BM114" s="73"/>
      <c r="BN114" s="73"/>
      <c r="BO114" s="73"/>
      <c r="BP114" s="73"/>
      <c r="BQ114" s="73"/>
      <c r="BR114" s="73"/>
      <c r="BS114" s="73"/>
      <c r="BT114" s="73"/>
      <c r="BU114" s="73"/>
      <c r="BV114" s="73"/>
      <c r="BW114" s="73"/>
      <c r="BX114" s="73"/>
      <c r="BY114" s="73"/>
    </row>
    <row r="115" ht="19.5" customHeight="1">
      <c r="A115" s="69" t="str">
        <f>IF(Roster!$A$113&lt;&gt;"",Roster!$A$113,"")</f>
        <v/>
      </c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0"/>
      <c r="AL115" s="70"/>
      <c r="AM115" s="70"/>
      <c r="AN115" s="70"/>
      <c r="AO115" s="70"/>
      <c r="AP115" s="70"/>
      <c r="AQ115" s="70"/>
      <c r="AR115" s="70"/>
      <c r="AS115" s="70"/>
      <c r="AT115" s="70"/>
      <c r="AU115" s="70"/>
      <c r="AV115" s="72"/>
      <c r="AW115" s="72"/>
      <c r="AX115" s="72"/>
      <c r="AY115" s="72"/>
      <c r="AZ115" s="72"/>
      <c r="BA115" s="72"/>
      <c r="BB115" s="72"/>
      <c r="BC115" s="72"/>
      <c r="BD115" s="72"/>
      <c r="BE115" s="72"/>
      <c r="BF115" s="72"/>
      <c r="BG115" s="72"/>
      <c r="BH115" s="72"/>
      <c r="BI115" s="72"/>
      <c r="BJ115" s="72"/>
      <c r="BK115" s="72"/>
      <c r="BL115" s="72"/>
      <c r="BM115" s="72"/>
      <c r="BN115" s="72"/>
      <c r="BO115" s="72"/>
      <c r="BP115" s="72"/>
      <c r="BQ115" s="72"/>
      <c r="BR115" s="72"/>
      <c r="BS115" s="72"/>
      <c r="BT115" s="72"/>
      <c r="BU115" s="72"/>
      <c r="BV115" s="72"/>
      <c r="BW115" s="72"/>
      <c r="BX115" s="72"/>
      <c r="BY115" s="72"/>
    </row>
    <row r="116" ht="19.5" customHeight="1">
      <c r="A116" s="69" t="str">
        <f>IF(Roster!$A$114&lt;&gt;"",Roster!$A$114,"")</f>
        <v/>
      </c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  <c r="AI116" s="70"/>
      <c r="AJ116" s="70"/>
      <c r="AK116" s="70"/>
      <c r="AL116" s="70"/>
      <c r="AM116" s="70"/>
      <c r="AN116" s="70"/>
      <c r="AO116" s="70"/>
      <c r="AP116" s="70"/>
      <c r="AQ116" s="70"/>
      <c r="AR116" s="70"/>
      <c r="AS116" s="70"/>
      <c r="AT116" s="70"/>
      <c r="AU116" s="70"/>
      <c r="AV116" s="73"/>
      <c r="AW116" s="73"/>
      <c r="AX116" s="73"/>
      <c r="AY116" s="73"/>
      <c r="AZ116" s="73"/>
      <c r="BA116" s="73"/>
      <c r="BB116" s="73"/>
      <c r="BC116" s="73"/>
      <c r="BD116" s="73"/>
      <c r="BE116" s="73"/>
      <c r="BF116" s="73"/>
      <c r="BG116" s="73"/>
      <c r="BH116" s="73"/>
      <c r="BI116" s="73"/>
      <c r="BJ116" s="73"/>
      <c r="BK116" s="73"/>
      <c r="BL116" s="73"/>
      <c r="BM116" s="73"/>
      <c r="BN116" s="73"/>
      <c r="BO116" s="73"/>
      <c r="BP116" s="73"/>
      <c r="BQ116" s="73"/>
      <c r="BR116" s="73"/>
      <c r="BS116" s="73"/>
      <c r="BT116" s="73"/>
      <c r="BU116" s="73"/>
      <c r="BV116" s="73"/>
      <c r="BW116" s="73"/>
      <c r="BX116" s="73"/>
      <c r="BY116" s="73"/>
    </row>
    <row r="117" ht="19.5" customHeight="1">
      <c r="A117" s="69" t="str">
        <f>IF(Roster!$A$115&lt;&gt;"",Roster!$A$115,"")</f>
        <v/>
      </c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  <c r="AK117" s="70"/>
      <c r="AL117" s="70"/>
      <c r="AM117" s="70"/>
      <c r="AN117" s="70"/>
      <c r="AO117" s="70"/>
      <c r="AP117" s="70"/>
      <c r="AQ117" s="70"/>
      <c r="AR117" s="70"/>
      <c r="AS117" s="70"/>
      <c r="AT117" s="70"/>
      <c r="AU117" s="70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72"/>
      <c r="BJ117" s="72"/>
      <c r="BK117" s="72"/>
      <c r="BL117" s="72"/>
      <c r="BM117" s="72"/>
      <c r="BN117" s="72"/>
      <c r="BO117" s="72"/>
      <c r="BP117" s="72"/>
      <c r="BQ117" s="72"/>
      <c r="BR117" s="72"/>
      <c r="BS117" s="72"/>
      <c r="BT117" s="72"/>
      <c r="BU117" s="72"/>
      <c r="BV117" s="72"/>
      <c r="BW117" s="72"/>
      <c r="BX117" s="72"/>
      <c r="BY117" s="72"/>
    </row>
    <row r="118" ht="19.5" customHeight="1">
      <c r="A118" s="69" t="str">
        <f>IF(Roster!$A$116&lt;&gt;"",Roster!$A$116,"")</f>
        <v/>
      </c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</row>
    <row r="119" ht="19.5" customHeight="1">
      <c r="A119" s="69" t="str">
        <f>IF(Roster!$A$117&lt;&gt;"",Roster!$A$117,"")</f>
        <v/>
      </c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  <c r="AI119" s="70"/>
      <c r="AJ119" s="70"/>
      <c r="AK119" s="70"/>
      <c r="AL119" s="70"/>
      <c r="AM119" s="70"/>
      <c r="AN119" s="70"/>
      <c r="AO119" s="70"/>
      <c r="AP119" s="70"/>
      <c r="AQ119" s="70"/>
      <c r="AR119" s="70"/>
      <c r="AS119" s="70"/>
      <c r="AT119" s="70"/>
      <c r="AU119" s="70"/>
      <c r="AV119" s="72"/>
      <c r="AW119" s="72"/>
      <c r="AX119" s="72"/>
      <c r="AY119" s="72"/>
      <c r="AZ119" s="72"/>
      <c r="BA119" s="72"/>
      <c r="BB119" s="72"/>
      <c r="BC119" s="72"/>
      <c r="BD119" s="72"/>
      <c r="BE119" s="72"/>
      <c r="BF119" s="72"/>
      <c r="BG119" s="72"/>
      <c r="BH119" s="72"/>
      <c r="BI119" s="72"/>
      <c r="BJ119" s="72"/>
      <c r="BK119" s="72"/>
      <c r="BL119" s="72"/>
      <c r="BM119" s="72"/>
      <c r="BN119" s="72"/>
      <c r="BO119" s="72"/>
      <c r="BP119" s="72"/>
      <c r="BQ119" s="72"/>
      <c r="BR119" s="72"/>
      <c r="BS119" s="72"/>
      <c r="BT119" s="72"/>
      <c r="BU119" s="72"/>
      <c r="BV119" s="72"/>
      <c r="BW119" s="72"/>
      <c r="BX119" s="72"/>
      <c r="BY119" s="72"/>
    </row>
    <row r="120" ht="19.5" customHeight="1">
      <c r="A120" s="69" t="str">
        <f>IF(Roster!$A$118&lt;&gt;"",Roster!$A$118,"")</f>
        <v/>
      </c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70"/>
      <c r="AE120" s="70"/>
      <c r="AF120" s="70"/>
      <c r="AG120" s="70"/>
      <c r="AH120" s="70"/>
      <c r="AI120" s="70"/>
      <c r="AJ120" s="70"/>
      <c r="AK120" s="70"/>
      <c r="AL120" s="70"/>
      <c r="AM120" s="70"/>
      <c r="AN120" s="70"/>
      <c r="AO120" s="70"/>
      <c r="AP120" s="70"/>
      <c r="AQ120" s="70"/>
      <c r="AR120" s="70"/>
      <c r="AS120" s="70"/>
      <c r="AT120" s="70"/>
      <c r="AU120" s="70"/>
      <c r="AV120" s="73"/>
      <c r="AW120" s="73"/>
      <c r="AX120" s="73"/>
      <c r="AY120" s="73"/>
      <c r="AZ120" s="73"/>
      <c r="BA120" s="73"/>
      <c r="BB120" s="73"/>
      <c r="BC120" s="73"/>
      <c r="BD120" s="73"/>
      <c r="BE120" s="73"/>
      <c r="BF120" s="73"/>
      <c r="BG120" s="73"/>
      <c r="BH120" s="73"/>
      <c r="BI120" s="73"/>
      <c r="BJ120" s="73"/>
      <c r="BK120" s="73"/>
      <c r="BL120" s="73"/>
      <c r="BM120" s="73"/>
      <c r="BN120" s="73"/>
      <c r="BO120" s="73"/>
      <c r="BP120" s="73"/>
      <c r="BQ120" s="73"/>
      <c r="BR120" s="73"/>
      <c r="BS120" s="73"/>
      <c r="BT120" s="73"/>
      <c r="BU120" s="73"/>
      <c r="BV120" s="73"/>
      <c r="BW120" s="73"/>
      <c r="BX120" s="73"/>
      <c r="BY120" s="73"/>
    </row>
    <row r="121" ht="19.5" customHeight="1">
      <c r="A121" s="69" t="str">
        <f>IF(Roster!$A$119&lt;&gt;"",Roster!$A$119,"")</f>
        <v/>
      </c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  <c r="AO121" s="70"/>
      <c r="AP121" s="70"/>
      <c r="AQ121" s="70"/>
      <c r="AR121" s="70"/>
      <c r="AS121" s="70"/>
      <c r="AT121" s="70"/>
      <c r="AU121" s="70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72"/>
      <c r="BJ121" s="72"/>
      <c r="BK121" s="72"/>
      <c r="BL121" s="72"/>
      <c r="BM121" s="72"/>
      <c r="BN121" s="72"/>
      <c r="BO121" s="72"/>
      <c r="BP121" s="72"/>
      <c r="BQ121" s="72"/>
      <c r="BR121" s="72"/>
      <c r="BS121" s="72"/>
      <c r="BT121" s="72"/>
      <c r="BU121" s="72"/>
      <c r="BV121" s="72"/>
      <c r="BW121" s="72"/>
      <c r="BX121" s="72"/>
      <c r="BY121" s="72"/>
    </row>
    <row r="122" ht="19.5" customHeight="1">
      <c r="A122" s="69" t="str">
        <f>IF(Roster!$A$120&lt;&gt;"",Roster!$A$120,"")</f>
        <v/>
      </c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3"/>
      <c r="AW122" s="73"/>
      <c r="AX122" s="73"/>
      <c r="AY122" s="73"/>
      <c r="AZ122" s="73"/>
      <c r="BA122" s="73"/>
      <c r="BB122" s="73"/>
      <c r="BC122" s="73"/>
      <c r="BD122" s="73"/>
      <c r="BE122" s="73"/>
      <c r="BF122" s="73"/>
      <c r="BG122" s="73"/>
      <c r="BH122" s="73"/>
      <c r="BI122" s="73"/>
      <c r="BJ122" s="73"/>
      <c r="BK122" s="73"/>
      <c r="BL122" s="73"/>
      <c r="BM122" s="73"/>
      <c r="BN122" s="73"/>
      <c r="BO122" s="73"/>
      <c r="BP122" s="73"/>
      <c r="BQ122" s="73"/>
      <c r="BR122" s="73"/>
      <c r="BS122" s="73"/>
      <c r="BT122" s="73"/>
      <c r="BU122" s="73"/>
      <c r="BV122" s="73"/>
      <c r="BW122" s="73"/>
      <c r="BX122" s="73"/>
      <c r="BY122" s="73"/>
    </row>
    <row r="123" ht="19.5" customHeight="1">
      <c r="A123" s="69" t="str">
        <f>IF(Roster!$A$121&lt;&gt;"",Roster!$A$121,"")</f>
        <v/>
      </c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  <c r="AI123" s="70"/>
      <c r="AJ123" s="70"/>
      <c r="AK123" s="70"/>
      <c r="AL123" s="70"/>
      <c r="AM123" s="70"/>
      <c r="AN123" s="70"/>
      <c r="AO123" s="70"/>
      <c r="AP123" s="70"/>
      <c r="AQ123" s="70"/>
      <c r="AR123" s="70"/>
      <c r="AS123" s="70"/>
      <c r="AT123" s="70"/>
      <c r="AU123" s="70"/>
      <c r="AV123" s="72"/>
      <c r="AW123" s="72"/>
      <c r="AX123" s="72"/>
      <c r="AY123" s="72"/>
      <c r="AZ123" s="72"/>
      <c r="BA123" s="72"/>
      <c r="BB123" s="72"/>
      <c r="BC123" s="72"/>
      <c r="BD123" s="72"/>
      <c r="BE123" s="72"/>
      <c r="BF123" s="72"/>
      <c r="BG123" s="72"/>
      <c r="BH123" s="72"/>
      <c r="BI123" s="72"/>
      <c r="BJ123" s="72"/>
      <c r="BK123" s="72"/>
      <c r="BL123" s="72"/>
      <c r="BM123" s="72"/>
      <c r="BN123" s="72"/>
      <c r="BO123" s="72"/>
      <c r="BP123" s="72"/>
      <c r="BQ123" s="72"/>
      <c r="BR123" s="72"/>
      <c r="BS123" s="72"/>
      <c r="BT123" s="72"/>
      <c r="BU123" s="72"/>
      <c r="BV123" s="72"/>
      <c r="BW123" s="72"/>
      <c r="BX123" s="72"/>
      <c r="BY123" s="72"/>
    </row>
    <row r="124" ht="19.5" customHeight="1">
      <c r="A124" s="69" t="str">
        <f>IF(Roster!$A$122&lt;&gt;"",Roster!$A$122,"")</f>
        <v/>
      </c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  <c r="AI124" s="70"/>
      <c r="AJ124" s="70"/>
      <c r="AK124" s="70"/>
      <c r="AL124" s="70"/>
      <c r="AM124" s="70"/>
      <c r="AN124" s="70"/>
      <c r="AO124" s="70"/>
      <c r="AP124" s="70"/>
      <c r="AQ124" s="70"/>
      <c r="AR124" s="70"/>
      <c r="AS124" s="70"/>
      <c r="AT124" s="70"/>
      <c r="AU124" s="70"/>
      <c r="AV124" s="73"/>
      <c r="AW124" s="73"/>
      <c r="AX124" s="73"/>
      <c r="AY124" s="73"/>
      <c r="AZ124" s="73"/>
      <c r="BA124" s="73"/>
      <c r="BB124" s="73"/>
      <c r="BC124" s="73"/>
      <c r="BD124" s="73"/>
      <c r="BE124" s="73"/>
      <c r="BF124" s="73"/>
      <c r="BG124" s="73"/>
      <c r="BH124" s="73"/>
      <c r="BI124" s="73"/>
      <c r="BJ124" s="73"/>
      <c r="BK124" s="73"/>
      <c r="BL124" s="73"/>
      <c r="BM124" s="73"/>
      <c r="BN124" s="73"/>
      <c r="BO124" s="73"/>
      <c r="BP124" s="73"/>
      <c r="BQ124" s="73"/>
      <c r="BR124" s="73"/>
      <c r="BS124" s="73"/>
      <c r="BT124" s="73"/>
      <c r="BU124" s="73"/>
      <c r="BV124" s="73"/>
      <c r="BW124" s="73"/>
      <c r="BX124" s="73"/>
      <c r="BY124" s="73"/>
    </row>
    <row r="125" ht="19.5" customHeight="1">
      <c r="A125" s="69" t="str">
        <f>IF(Roster!$A$123&lt;&gt;"",Roster!$A$123,"")</f>
        <v/>
      </c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  <c r="AK125" s="70"/>
      <c r="AL125" s="70"/>
      <c r="AM125" s="70"/>
      <c r="AN125" s="70"/>
      <c r="AO125" s="70"/>
      <c r="AP125" s="70"/>
      <c r="AQ125" s="70"/>
      <c r="AR125" s="70"/>
      <c r="AS125" s="70"/>
      <c r="AT125" s="70"/>
      <c r="AU125" s="70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72"/>
      <c r="BJ125" s="72"/>
      <c r="BK125" s="72"/>
      <c r="BL125" s="72"/>
      <c r="BM125" s="72"/>
      <c r="BN125" s="72"/>
      <c r="BO125" s="72"/>
      <c r="BP125" s="72"/>
      <c r="BQ125" s="72"/>
      <c r="BR125" s="72"/>
      <c r="BS125" s="72"/>
      <c r="BT125" s="72"/>
      <c r="BU125" s="72"/>
      <c r="BV125" s="72"/>
      <c r="BW125" s="72"/>
      <c r="BX125" s="72"/>
      <c r="BY125" s="72"/>
    </row>
    <row r="126" ht="19.5" customHeight="1">
      <c r="A126" s="69" t="str">
        <f>IF(Roster!$A$124&lt;&gt;"",Roster!$A$124,"")</f>
        <v/>
      </c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</row>
    <row r="127" ht="19.5" customHeight="1">
      <c r="A127" s="69" t="str">
        <f>IF(Roster!$A$125&lt;&gt;"",Roster!$A$125,"")</f>
        <v/>
      </c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  <c r="AI127" s="70"/>
      <c r="AJ127" s="70"/>
      <c r="AK127" s="70"/>
      <c r="AL127" s="70"/>
      <c r="AM127" s="70"/>
      <c r="AN127" s="70"/>
      <c r="AO127" s="70"/>
      <c r="AP127" s="70"/>
      <c r="AQ127" s="70"/>
      <c r="AR127" s="70"/>
      <c r="AS127" s="70"/>
      <c r="AT127" s="70"/>
      <c r="AU127" s="70"/>
      <c r="AV127" s="72"/>
      <c r="AW127" s="72"/>
      <c r="AX127" s="72"/>
      <c r="AY127" s="72"/>
      <c r="AZ127" s="72"/>
      <c r="BA127" s="72"/>
      <c r="BB127" s="72"/>
      <c r="BC127" s="72"/>
      <c r="BD127" s="72"/>
      <c r="BE127" s="72"/>
      <c r="BF127" s="72"/>
      <c r="BG127" s="72"/>
      <c r="BH127" s="72"/>
      <c r="BI127" s="72"/>
      <c r="BJ127" s="72"/>
      <c r="BK127" s="72"/>
      <c r="BL127" s="72"/>
      <c r="BM127" s="72"/>
      <c r="BN127" s="72"/>
      <c r="BO127" s="72"/>
      <c r="BP127" s="72"/>
      <c r="BQ127" s="72"/>
      <c r="BR127" s="72"/>
      <c r="BS127" s="72"/>
      <c r="BT127" s="72"/>
      <c r="BU127" s="72"/>
      <c r="BV127" s="72"/>
      <c r="BW127" s="72"/>
      <c r="BX127" s="72"/>
      <c r="BY127" s="72"/>
    </row>
    <row r="128" ht="19.5" customHeight="1">
      <c r="A128" s="69" t="str">
        <f>IF(Roster!$A$126&lt;&gt;"",Roster!$A$126,"")</f>
        <v/>
      </c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  <c r="AH128" s="70"/>
      <c r="AI128" s="70"/>
      <c r="AJ128" s="70"/>
      <c r="AK128" s="70"/>
      <c r="AL128" s="70"/>
      <c r="AM128" s="70"/>
      <c r="AN128" s="70"/>
      <c r="AO128" s="70"/>
      <c r="AP128" s="70"/>
      <c r="AQ128" s="70"/>
      <c r="AR128" s="70"/>
      <c r="AS128" s="70"/>
      <c r="AT128" s="70"/>
      <c r="AU128" s="70"/>
      <c r="AV128" s="73"/>
      <c r="AW128" s="73"/>
      <c r="AX128" s="73"/>
      <c r="AY128" s="73"/>
      <c r="AZ128" s="73"/>
      <c r="BA128" s="73"/>
      <c r="BB128" s="73"/>
      <c r="BC128" s="73"/>
      <c r="BD128" s="73"/>
      <c r="BE128" s="73"/>
      <c r="BF128" s="73"/>
      <c r="BG128" s="73"/>
      <c r="BH128" s="73"/>
      <c r="BI128" s="73"/>
      <c r="BJ128" s="73"/>
      <c r="BK128" s="73"/>
      <c r="BL128" s="73"/>
      <c r="BM128" s="73"/>
      <c r="BN128" s="73"/>
      <c r="BO128" s="73"/>
      <c r="BP128" s="73"/>
      <c r="BQ128" s="73"/>
      <c r="BR128" s="73"/>
      <c r="BS128" s="73"/>
      <c r="BT128" s="73"/>
      <c r="BU128" s="73"/>
      <c r="BV128" s="73"/>
      <c r="BW128" s="73"/>
      <c r="BX128" s="73"/>
      <c r="BY128" s="73"/>
    </row>
    <row r="129" ht="19.5" customHeight="1">
      <c r="A129" s="69" t="str">
        <f>IF(Roster!$A$127&lt;&gt;"",Roster!$A$127,"")</f>
        <v/>
      </c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  <c r="AK129" s="70"/>
      <c r="AL129" s="70"/>
      <c r="AM129" s="70"/>
      <c r="AN129" s="70"/>
      <c r="AO129" s="70"/>
      <c r="AP129" s="70"/>
      <c r="AQ129" s="70"/>
      <c r="AR129" s="70"/>
      <c r="AS129" s="70"/>
      <c r="AT129" s="70"/>
      <c r="AU129" s="70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72"/>
      <c r="BJ129" s="72"/>
      <c r="BK129" s="72"/>
      <c r="BL129" s="72"/>
      <c r="BM129" s="72"/>
      <c r="BN129" s="72"/>
      <c r="BO129" s="72"/>
      <c r="BP129" s="72"/>
      <c r="BQ129" s="72"/>
      <c r="BR129" s="72"/>
      <c r="BS129" s="72"/>
      <c r="BT129" s="72"/>
      <c r="BU129" s="72"/>
      <c r="BV129" s="72"/>
      <c r="BW129" s="72"/>
      <c r="BX129" s="72"/>
      <c r="BY129" s="72"/>
    </row>
    <row r="130" ht="19.5" customHeight="1">
      <c r="A130" s="69" t="str">
        <f>IF(Roster!$A$128&lt;&gt;"",Roster!$A$128,"")</f>
        <v/>
      </c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3"/>
      <c r="AW130" s="73"/>
      <c r="AX130" s="73"/>
      <c r="AY130" s="73"/>
      <c r="AZ130" s="73"/>
      <c r="BA130" s="73"/>
      <c r="BB130" s="73"/>
      <c r="BC130" s="73"/>
      <c r="BD130" s="73"/>
      <c r="BE130" s="73"/>
      <c r="BF130" s="73"/>
      <c r="BG130" s="73"/>
      <c r="BH130" s="73"/>
      <c r="BI130" s="73"/>
      <c r="BJ130" s="73"/>
      <c r="BK130" s="73"/>
      <c r="BL130" s="73"/>
      <c r="BM130" s="73"/>
      <c r="BN130" s="73"/>
      <c r="BO130" s="73"/>
      <c r="BP130" s="73"/>
      <c r="BQ130" s="73"/>
      <c r="BR130" s="73"/>
      <c r="BS130" s="73"/>
      <c r="BT130" s="73"/>
      <c r="BU130" s="73"/>
      <c r="BV130" s="73"/>
      <c r="BW130" s="73"/>
      <c r="BX130" s="73"/>
      <c r="BY130" s="73"/>
    </row>
    <row r="131" ht="19.5" customHeight="1">
      <c r="A131" s="69" t="str">
        <f>IF(Roster!$A$129&lt;&gt;"",Roster!$A$129,"")</f>
        <v/>
      </c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  <c r="AI131" s="70"/>
      <c r="AJ131" s="70"/>
      <c r="AK131" s="70"/>
      <c r="AL131" s="70"/>
      <c r="AM131" s="70"/>
      <c r="AN131" s="70"/>
      <c r="AO131" s="70"/>
      <c r="AP131" s="70"/>
      <c r="AQ131" s="70"/>
      <c r="AR131" s="70"/>
      <c r="AS131" s="70"/>
      <c r="AT131" s="70"/>
      <c r="AU131" s="70"/>
      <c r="AV131" s="72"/>
      <c r="AW131" s="72"/>
      <c r="AX131" s="72"/>
      <c r="AY131" s="72"/>
      <c r="AZ131" s="72"/>
      <c r="BA131" s="72"/>
      <c r="BB131" s="72"/>
      <c r="BC131" s="72"/>
      <c r="BD131" s="72"/>
      <c r="BE131" s="72"/>
      <c r="BF131" s="72"/>
      <c r="BG131" s="72"/>
      <c r="BH131" s="72"/>
      <c r="BI131" s="72"/>
      <c r="BJ131" s="72"/>
      <c r="BK131" s="72"/>
      <c r="BL131" s="72"/>
      <c r="BM131" s="72"/>
      <c r="BN131" s="72"/>
      <c r="BO131" s="72"/>
      <c r="BP131" s="72"/>
      <c r="BQ131" s="72"/>
      <c r="BR131" s="72"/>
      <c r="BS131" s="72"/>
      <c r="BT131" s="72"/>
      <c r="BU131" s="72"/>
      <c r="BV131" s="72"/>
      <c r="BW131" s="72"/>
      <c r="BX131" s="72"/>
      <c r="BY131" s="72"/>
    </row>
    <row r="132" ht="19.5" customHeight="1">
      <c r="A132" s="69" t="str">
        <f>IF(Roster!$A$130&lt;&gt;"",Roster!$A$130,"")</f>
        <v/>
      </c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70"/>
      <c r="AE132" s="70"/>
      <c r="AF132" s="70"/>
      <c r="AG132" s="70"/>
      <c r="AH132" s="70"/>
      <c r="AI132" s="70"/>
      <c r="AJ132" s="70"/>
      <c r="AK132" s="70"/>
      <c r="AL132" s="70"/>
      <c r="AM132" s="70"/>
      <c r="AN132" s="70"/>
      <c r="AO132" s="70"/>
      <c r="AP132" s="70"/>
      <c r="AQ132" s="70"/>
      <c r="AR132" s="70"/>
      <c r="AS132" s="70"/>
      <c r="AT132" s="70"/>
      <c r="AU132" s="70"/>
      <c r="AV132" s="73"/>
      <c r="AW132" s="73"/>
      <c r="AX132" s="73"/>
      <c r="AY132" s="73"/>
      <c r="AZ132" s="73"/>
      <c r="BA132" s="73"/>
      <c r="BB132" s="73"/>
      <c r="BC132" s="73"/>
      <c r="BD132" s="73"/>
      <c r="BE132" s="73"/>
      <c r="BF132" s="73"/>
      <c r="BG132" s="73"/>
      <c r="BH132" s="73"/>
      <c r="BI132" s="73"/>
      <c r="BJ132" s="73"/>
      <c r="BK132" s="73"/>
      <c r="BL132" s="73"/>
      <c r="BM132" s="73"/>
      <c r="BN132" s="73"/>
      <c r="BO132" s="73"/>
      <c r="BP132" s="73"/>
      <c r="BQ132" s="73"/>
      <c r="BR132" s="73"/>
      <c r="BS132" s="73"/>
      <c r="BT132" s="73"/>
      <c r="BU132" s="73"/>
      <c r="BV132" s="73"/>
      <c r="BW132" s="73"/>
      <c r="BX132" s="73"/>
      <c r="BY132" s="73"/>
    </row>
    <row r="133" ht="19.5" customHeight="1">
      <c r="A133" s="69" t="str">
        <f>IF(Roster!$A$131&lt;&gt;"",Roster!$A$131,"")</f>
        <v/>
      </c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  <c r="AK133" s="70"/>
      <c r="AL133" s="70"/>
      <c r="AM133" s="70"/>
      <c r="AN133" s="70"/>
      <c r="AO133" s="70"/>
      <c r="AP133" s="70"/>
      <c r="AQ133" s="70"/>
      <c r="AR133" s="70"/>
      <c r="AS133" s="70"/>
      <c r="AT133" s="70"/>
      <c r="AU133" s="70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72"/>
      <c r="BJ133" s="72"/>
      <c r="BK133" s="72"/>
      <c r="BL133" s="72"/>
      <c r="BM133" s="72"/>
      <c r="BN133" s="72"/>
      <c r="BO133" s="72"/>
      <c r="BP133" s="72"/>
      <c r="BQ133" s="72"/>
      <c r="BR133" s="72"/>
      <c r="BS133" s="72"/>
      <c r="BT133" s="72"/>
      <c r="BU133" s="72"/>
      <c r="BV133" s="72"/>
      <c r="BW133" s="72"/>
      <c r="BX133" s="72"/>
      <c r="BY133" s="72"/>
    </row>
    <row r="134" ht="19.5" customHeight="1">
      <c r="A134" s="69" t="str">
        <f>IF(Roster!$A$132&lt;&gt;"",Roster!$A$132,"")</f>
        <v/>
      </c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</row>
    <row r="135" ht="19.5" customHeight="1">
      <c r="A135" s="69" t="str">
        <f>IF(Roster!$A$133&lt;&gt;"",Roster!$A$133,"")</f>
        <v/>
      </c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70"/>
      <c r="AE135" s="70"/>
      <c r="AF135" s="70"/>
      <c r="AG135" s="70"/>
      <c r="AH135" s="70"/>
      <c r="AI135" s="70"/>
      <c r="AJ135" s="70"/>
      <c r="AK135" s="70"/>
      <c r="AL135" s="70"/>
      <c r="AM135" s="70"/>
      <c r="AN135" s="70"/>
      <c r="AO135" s="70"/>
      <c r="AP135" s="70"/>
      <c r="AQ135" s="70"/>
      <c r="AR135" s="70"/>
      <c r="AS135" s="70"/>
      <c r="AT135" s="70"/>
      <c r="AU135" s="70"/>
      <c r="AV135" s="72"/>
      <c r="AW135" s="72"/>
      <c r="AX135" s="72"/>
      <c r="AY135" s="72"/>
      <c r="AZ135" s="72"/>
      <c r="BA135" s="72"/>
      <c r="BB135" s="72"/>
      <c r="BC135" s="72"/>
      <c r="BD135" s="72"/>
      <c r="BE135" s="72"/>
      <c r="BF135" s="72"/>
      <c r="BG135" s="72"/>
      <c r="BH135" s="72"/>
      <c r="BI135" s="72"/>
      <c r="BJ135" s="72"/>
      <c r="BK135" s="72"/>
      <c r="BL135" s="72"/>
      <c r="BM135" s="72"/>
      <c r="BN135" s="72"/>
      <c r="BO135" s="72"/>
      <c r="BP135" s="72"/>
      <c r="BQ135" s="72"/>
      <c r="BR135" s="72"/>
      <c r="BS135" s="72"/>
      <c r="BT135" s="72"/>
      <c r="BU135" s="72"/>
      <c r="BV135" s="72"/>
      <c r="BW135" s="72"/>
      <c r="BX135" s="72"/>
      <c r="BY135" s="72"/>
    </row>
    <row r="136" ht="19.5" customHeight="1">
      <c r="A136" s="69" t="str">
        <f>IF(Roster!$A$134&lt;&gt;"",Roster!$A$134,"")</f>
        <v/>
      </c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70"/>
      <c r="AE136" s="70"/>
      <c r="AF136" s="70"/>
      <c r="AG136" s="70"/>
      <c r="AH136" s="70"/>
      <c r="AI136" s="70"/>
      <c r="AJ136" s="70"/>
      <c r="AK136" s="70"/>
      <c r="AL136" s="70"/>
      <c r="AM136" s="70"/>
      <c r="AN136" s="70"/>
      <c r="AO136" s="70"/>
      <c r="AP136" s="70"/>
      <c r="AQ136" s="70"/>
      <c r="AR136" s="70"/>
      <c r="AS136" s="70"/>
      <c r="AT136" s="70"/>
      <c r="AU136" s="70"/>
      <c r="AV136" s="73"/>
      <c r="AW136" s="73"/>
      <c r="AX136" s="73"/>
      <c r="AY136" s="73"/>
      <c r="AZ136" s="73"/>
      <c r="BA136" s="73"/>
      <c r="BB136" s="73"/>
      <c r="BC136" s="73"/>
      <c r="BD136" s="73"/>
      <c r="BE136" s="73"/>
      <c r="BF136" s="73"/>
      <c r="BG136" s="73"/>
      <c r="BH136" s="73"/>
      <c r="BI136" s="73"/>
      <c r="BJ136" s="73"/>
      <c r="BK136" s="73"/>
      <c r="BL136" s="73"/>
      <c r="BM136" s="73"/>
      <c r="BN136" s="73"/>
      <c r="BO136" s="73"/>
      <c r="BP136" s="73"/>
      <c r="BQ136" s="73"/>
      <c r="BR136" s="73"/>
      <c r="BS136" s="73"/>
      <c r="BT136" s="73"/>
      <c r="BU136" s="73"/>
      <c r="BV136" s="73"/>
      <c r="BW136" s="73"/>
      <c r="BX136" s="73"/>
      <c r="BY136" s="73"/>
    </row>
    <row r="137" ht="19.5" customHeight="1">
      <c r="A137" s="69" t="str">
        <f>IF(Roster!$A$135&lt;&gt;"",Roster!$A$135,"")</f>
        <v/>
      </c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  <c r="AG137" s="70"/>
      <c r="AH137" s="70"/>
      <c r="AI137" s="70"/>
      <c r="AJ137" s="70"/>
      <c r="AK137" s="70"/>
      <c r="AL137" s="70"/>
      <c r="AM137" s="70"/>
      <c r="AN137" s="70"/>
      <c r="AO137" s="70"/>
      <c r="AP137" s="70"/>
      <c r="AQ137" s="70"/>
      <c r="AR137" s="70"/>
      <c r="AS137" s="70"/>
      <c r="AT137" s="70"/>
      <c r="AU137" s="70"/>
      <c r="AV137" s="72"/>
      <c r="AW137" s="72"/>
      <c r="AX137" s="72"/>
      <c r="AY137" s="72"/>
      <c r="AZ137" s="72"/>
      <c r="BA137" s="72"/>
      <c r="BB137" s="72"/>
      <c r="BC137" s="72"/>
      <c r="BD137" s="72"/>
      <c r="BE137" s="72"/>
      <c r="BF137" s="72"/>
      <c r="BG137" s="72"/>
      <c r="BH137" s="72"/>
      <c r="BI137" s="72"/>
      <c r="BJ137" s="72"/>
      <c r="BK137" s="72"/>
      <c r="BL137" s="72"/>
      <c r="BM137" s="72"/>
      <c r="BN137" s="72"/>
      <c r="BO137" s="72"/>
      <c r="BP137" s="72"/>
      <c r="BQ137" s="72"/>
      <c r="BR137" s="72"/>
      <c r="BS137" s="72"/>
      <c r="BT137" s="72"/>
      <c r="BU137" s="72"/>
      <c r="BV137" s="72"/>
      <c r="BW137" s="72"/>
      <c r="BX137" s="72"/>
      <c r="BY137" s="72"/>
    </row>
    <row r="138" ht="19.5" customHeight="1">
      <c r="A138" s="69" t="str">
        <f>IF(Roster!$A$136&lt;&gt;"",Roster!$A$136,"")</f>
        <v/>
      </c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  <c r="AA138" s="70"/>
      <c r="AB138" s="70"/>
      <c r="AC138" s="70"/>
      <c r="AD138" s="70"/>
      <c r="AE138" s="70"/>
      <c r="AF138" s="70"/>
      <c r="AG138" s="70"/>
      <c r="AH138" s="70"/>
      <c r="AI138" s="70"/>
      <c r="AJ138" s="70"/>
      <c r="AK138" s="70"/>
      <c r="AL138" s="70"/>
      <c r="AM138" s="70"/>
      <c r="AN138" s="70"/>
      <c r="AO138" s="70"/>
      <c r="AP138" s="70"/>
      <c r="AQ138" s="70"/>
      <c r="AR138" s="70"/>
      <c r="AS138" s="70"/>
      <c r="AT138" s="70"/>
      <c r="AU138" s="70"/>
      <c r="AV138" s="73"/>
      <c r="AW138" s="73"/>
      <c r="AX138" s="73"/>
      <c r="AY138" s="73"/>
      <c r="AZ138" s="73"/>
      <c r="BA138" s="73"/>
      <c r="BB138" s="73"/>
      <c r="BC138" s="73"/>
      <c r="BD138" s="73"/>
      <c r="BE138" s="73"/>
      <c r="BF138" s="73"/>
      <c r="BG138" s="73"/>
      <c r="BH138" s="73"/>
      <c r="BI138" s="73"/>
      <c r="BJ138" s="73"/>
      <c r="BK138" s="73"/>
      <c r="BL138" s="73"/>
      <c r="BM138" s="73"/>
      <c r="BN138" s="73"/>
      <c r="BO138" s="73"/>
      <c r="BP138" s="73"/>
      <c r="BQ138" s="73"/>
      <c r="BR138" s="73"/>
      <c r="BS138" s="73"/>
      <c r="BT138" s="73"/>
      <c r="BU138" s="73"/>
      <c r="BV138" s="73"/>
      <c r="BW138" s="73"/>
      <c r="BX138" s="73"/>
      <c r="BY138" s="73"/>
    </row>
    <row r="139" ht="19.5" customHeight="1">
      <c r="A139" s="69" t="str">
        <f>IF(Roster!$A$137&lt;&gt;"",Roster!$A$137,"")</f>
        <v/>
      </c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  <c r="AA139" s="70"/>
      <c r="AB139" s="70"/>
      <c r="AC139" s="70"/>
      <c r="AD139" s="70"/>
      <c r="AE139" s="70"/>
      <c r="AF139" s="70"/>
      <c r="AG139" s="70"/>
      <c r="AH139" s="70"/>
      <c r="AI139" s="70"/>
      <c r="AJ139" s="70"/>
      <c r="AK139" s="70"/>
      <c r="AL139" s="70"/>
      <c r="AM139" s="70"/>
      <c r="AN139" s="70"/>
      <c r="AO139" s="70"/>
      <c r="AP139" s="70"/>
      <c r="AQ139" s="70"/>
      <c r="AR139" s="70"/>
      <c r="AS139" s="70"/>
      <c r="AT139" s="70"/>
      <c r="AU139" s="70"/>
      <c r="AV139" s="72"/>
      <c r="AW139" s="72"/>
      <c r="AX139" s="72"/>
      <c r="AY139" s="72"/>
      <c r="AZ139" s="72"/>
      <c r="BA139" s="72"/>
      <c r="BB139" s="72"/>
      <c r="BC139" s="72"/>
      <c r="BD139" s="72"/>
      <c r="BE139" s="72"/>
      <c r="BF139" s="72"/>
      <c r="BG139" s="72"/>
      <c r="BH139" s="72"/>
      <c r="BI139" s="72"/>
      <c r="BJ139" s="72"/>
      <c r="BK139" s="72"/>
      <c r="BL139" s="72"/>
      <c r="BM139" s="72"/>
      <c r="BN139" s="72"/>
      <c r="BO139" s="72"/>
      <c r="BP139" s="72"/>
      <c r="BQ139" s="72"/>
      <c r="BR139" s="72"/>
      <c r="BS139" s="72"/>
      <c r="BT139" s="72"/>
      <c r="BU139" s="72"/>
      <c r="BV139" s="72"/>
      <c r="BW139" s="72"/>
      <c r="BX139" s="72"/>
      <c r="BY139" s="72"/>
    </row>
    <row r="140" ht="19.5" customHeight="1">
      <c r="A140" s="69" t="str">
        <f>IF(Roster!$A$138&lt;&gt;"",Roster!$A$138,"")</f>
        <v/>
      </c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  <c r="AA140" s="70"/>
      <c r="AB140" s="70"/>
      <c r="AC140" s="70"/>
      <c r="AD140" s="70"/>
      <c r="AE140" s="70"/>
      <c r="AF140" s="70"/>
      <c r="AG140" s="70"/>
      <c r="AH140" s="70"/>
      <c r="AI140" s="70"/>
      <c r="AJ140" s="70"/>
      <c r="AK140" s="70"/>
      <c r="AL140" s="70"/>
      <c r="AM140" s="70"/>
      <c r="AN140" s="70"/>
      <c r="AO140" s="70"/>
      <c r="AP140" s="70"/>
      <c r="AQ140" s="70"/>
      <c r="AR140" s="70"/>
      <c r="AS140" s="70"/>
      <c r="AT140" s="70"/>
      <c r="AU140" s="70"/>
      <c r="AV140" s="73"/>
      <c r="AW140" s="73"/>
      <c r="AX140" s="73"/>
      <c r="AY140" s="73"/>
      <c r="AZ140" s="73"/>
      <c r="BA140" s="73"/>
      <c r="BB140" s="73"/>
      <c r="BC140" s="73"/>
      <c r="BD140" s="73"/>
      <c r="BE140" s="73"/>
      <c r="BF140" s="73"/>
      <c r="BG140" s="73"/>
      <c r="BH140" s="73"/>
      <c r="BI140" s="73"/>
      <c r="BJ140" s="73"/>
      <c r="BK140" s="73"/>
      <c r="BL140" s="73"/>
      <c r="BM140" s="73"/>
      <c r="BN140" s="73"/>
      <c r="BO140" s="73"/>
      <c r="BP140" s="73"/>
      <c r="BQ140" s="73"/>
      <c r="BR140" s="73"/>
      <c r="BS140" s="73"/>
      <c r="BT140" s="73"/>
      <c r="BU140" s="73"/>
      <c r="BV140" s="73"/>
      <c r="BW140" s="73"/>
      <c r="BX140" s="73"/>
      <c r="BY140" s="73"/>
    </row>
    <row r="141" ht="19.5" customHeight="1">
      <c r="A141" s="69" t="str">
        <f>IF(Roster!$A$139&lt;&gt;"",Roster!$A$139,"")</f>
        <v/>
      </c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  <c r="AA141" s="70"/>
      <c r="AB141" s="70"/>
      <c r="AC141" s="70"/>
      <c r="AD141" s="70"/>
      <c r="AE141" s="70"/>
      <c r="AF141" s="70"/>
      <c r="AG141" s="70"/>
      <c r="AH141" s="70"/>
      <c r="AI141" s="70"/>
      <c r="AJ141" s="70"/>
      <c r="AK141" s="70"/>
      <c r="AL141" s="70"/>
      <c r="AM141" s="70"/>
      <c r="AN141" s="70"/>
      <c r="AO141" s="70"/>
      <c r="AP141" s="70"/>
      <c r="AQ141" s="70"/>
      <c r="AR141" s="70"/>
      <c r="AS141" s="70"/>
      <c r="AT141" s="70"/>
      <c r="AU141" s="70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72"/>
      <c r="BJ141" s="72"/>
      <c r="BK141" s="72"/>
      <c r="BL141" s="72"/>
      <c r="BM141" s="72"/>
      <c r="BN141" s="72"/>
      <c r="BO141" s="72"/>
      <c r="BP141" s="72"/>
      <c r="BQ141" s="72"/>
      <c r="BR141" s="72"/>
      <c r="BS141" s="72"/>
      <c r="BT141" s="72"/>
      <c r="BU141" s="72"/>
      <c r="BV141" s="72"/>
      <c r="BW141" s="72"/>
      <c r="BX141" s="72"/>
      <c r="BY141" s="72"/>
    </row>
    <row r="142" ht="19.5" customHeight="1">
      <c r="A142" s="69" t="str">
        <f>IF(Roster!$A$140&lt;&gt;"",Roster!$A$140,"")</f>
        <v/>
      </c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  <c r="AI142" s="70"/>
      <c r="AJ142" s="70"/>
      <c r="AK142" s="70"/>
      <c r="AL142" s="70"/>
      <c r="AM142" s="70"/>
      <c r="AN142" s="70"/>
      <c r="AO142" s="70"/>
      <c r="AP142" s="70"/>
      <c r="AQ142" s="70"/>
      <c r="AR142" s="70"/>
      <c r="AS142" s="70"/>
      <c r="AT142" s="70"/>
      <c r="AU142" s="70"/>
      <c r="AV142" s="73"/>
      <c r="AW142" s="73"/>
      <c r="AX142" s="73"/>
      <c r="AY142" s="73"/>
      <c r="AZ142" s="73"/>
      <c r="BA142" s="73"/>
      <c r="BB142" s="73"/>
      <c r="BC142" s="73"/>
      <c r="BD142" s="73"/>
      <c r="BE142" s="73"/>
      <c r="BF142" s="73"/>
      <c r="BG142" s="73"/>
      <c r="BH142" s="73"/>
      <c r="BI142" s="73"/>
      <c r="BJ142" s="73"/>
      <c r="BK142" s="73"/>
      <c r="BL142" s="73"/>
      <c r="BM142" s="73"/>
      <c r="BN142" s="73"/>
      <c r="BO142" s="73"/>
      <c r="BP142" s="73"/>
      <c r="BQ142" s="73"/>
      <c r="BR142" s="73"/>
      <c r="BS142" s="73"/>
      <c r="BT142" s="73"/>
      <c r="BU142" s="73"/>
      <c r="BV142" s="73"/>
      <c r="BW142" s="73"/>
      <c r="BX142" s="73"/>
      <c r="BY142" s="73"/>
    </row>
    <row r="143" ht="19.5" customHeight="1">
      <c r="A143" s="69" t="str">
        <f>IF(Roster!$A$141&lt;&gt;"",Roster!$A$141,"")</f>
        <v/>
      </c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  <c r="AA143" s="70"/>
      <c r="AB143" s="70"/>
      <c r="AC143" s="70"/>
      <c r="AD143" s="70"/>
      <c r="AE143" s="70"/>
      <c r="AF143" s="70"/>
      <c r="AG143" s="70"/>
      <c r="AH143" s="70"/>
      <c r="AI143" s="70"/>
      <c r="AJ143" s="70"/>
      <c r="AK143" s="70"/>
      <c r="AL143" s="70"/>
      <c r="AM143" s="70"/>
      <c r="AN143" s="70"/>
      <c r="AO143" s="70"/>
      <c r="AP143" s="70"/>
      <c r="AQ143" s="70"/>
      <c r="AR143" s="70"/>
      <c r="AS143" s="70"/>
      <c r="AT143" s="70"/>
      <c r="AU143" s="70"/>
      <c r="AV143" s="72"/>
      <c r="AW143" s="72"/>
      <c r="AX143" s="72"/>
      <c r="AY143" s="72"/>
      <c r="AZ143" s="72"/>
      <c r="BA143" s="72"/>
      <c r="BB143" s="72"/>
      <c r="BC143" s="72"/>
      <c r="BD143" s="72"/>
      <c r="BE143" s="72"/>
      <c r="BF143" s="72"/>
      <c r="BG143" s="72"/>
      <c r="BH143" s="72"/>
      <c r="BI143" s="72"/>
      <c r="BJ143" s="72"/>
      <c r="BK143" s="72"/>
      <c r="BL143" s="72"/>
      <c r="BM143" s="72"/>
      <c r="BN143" s="72"/>
      <c r="BO143" s="72"/>
      <c r="BP143" s="72"/>
      <c r="BQ143" s="72"/>
      <c r="BR143" s="72"/>
      <c r="BS143" s="72"/>
      <c r="BT143" s="72"/>
      <c r="BU143" s="72"/>
      <c r="BV143" s="72"/>
      <c r="BW143" s="72"/>
      <c r="BX143" s="72"/>
      <c r="BY143" s="72"/>
    </row>
    <row r="144" ht="19.5" customHeight="1">
      <c r="A144" s="69" t="str">
        <f>IF(Roster!$A$142&lt;&gt;"",Roster!$A$142,"")</f>
        <v/>
      </c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  <c r="AA144" s="70"/>
      <c r="AB144" s="70"/>
      <c r="AC144" s="70"/>
      <c r="AD144" s="70"/>
      <c r="AE144" s="70"/>
      <c r="AF144" s="70"/>
      <c r="AG144" s="70"/>
      <c r="AH144" s="70"/>
      <c r="AI144" s="70"/>
      <c r="AJ144" s="70"/>
      <c r="AK144" s="70"/>
      <c r="AL144" s="70"/>
      <c r="AM144" s="70"/>
      <c r="AN144" s="70"/>
      <c r="AO144" s="70"/>
      <c r="AP144" s="70"/>
      <c r="AQ144" s="70"/>
      <c r="AR144" s="70"/>
      <c r="AS144" s="70"/>
      <c r="AT144" s="70"/>
      <c r="AU144" s="70"/>
      <c r="AV144" s="73"/>
      <c r="AW144" s="73"/>
      <c r="AX144" s="73"/>
      <c r="AY144" s="73"/>
      <c r="AZ144" s="73"/>
      <c r="BA144" s="73"/>
      <c r="BB144" s="73"/>
      <c r="BC144" s="73"/>
      <c r="BD144" s="73"/>
      <c r="BE144" s="73"/>
      <c r="BF144" s="73"/>
      <c r="BG144" s="73"/>
      <c r="BH144" s="73"/>
      <c r="BI144" s="73"/>
      <c r="BJ144" s="73"/>
      <c r="BK144" s="73"/>
      <c r="BL144" s="73"/>
      <c r="BM144" s="73"/>
      <c r="BN144" s="73"/>
      <c r="BO144" s="73"/>
      <c r="BP144" s="73"/>
      <c r="BQ144" s="73"/>
      <c r="BR144" s="73"/>
      <c r="BS144" s="73"/>
      <c r="BT144" s="73"/>
      <c r="BU144" s="73"/>
      <c r="BV144" s="73"/>
      <c r="BW144" s="73"/>
      <c r="BX144" s="73"/>
      <c r="BY144" s="73"/>
    </row>
    <row r="145" ht="19.5" customHeight="1">
      <c r="A145" s="69" t="str">
        <f>IF(Roster!$A$143&lt;&gt;"",Roster!$A$143,"")</f>
        <v/>
      </c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  <c r="AA145" s="70"/>
      <c r="AB145" s="70"/>
      <c r="AC145" s="70"/>
      <c r="AD145" s="70"/>
      <c r="AE145" s="70"/>
      <c r="AF145" s="70"/>
      <c r="AG145" s="70"/>
      <c r="AH145" s="70"/>
      <c r="AI145" s="70"/>
      <c r="AJ145" s="70"/>
      <c r="AK145" s="70"/>
      <c r="AL145" s="70"/>
      <c r="AM145" s="70"/>
      <c r="AN145" s="70"/>
      <c r="AO145" s="70"/>
      <c r="AP145" s="70"/>
      <c r="AQ145" s="70"/>
      <c r="AR145" s="70"/>
      <c r="AS145" s="70"/>
      <c r="AT145" s="70"/>
      <c r="AU145" s="70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72"/>
      <c r="BJ145" s="72"/>
      <c r="BK145" s="72"/>
      <c r="BL145" s="72"/>
      <c r="BM145" s="72"/>
      <c r="BN145" s="72"/>
      <c r="BO145" s="72"/>
      <c r="BP145" s="72"/>
      <c r="BQ145" s="72"/>
      <c r="BR145" s="72"/>
      <c r="BS145" s="72"/>
      <c r="BT145" s="72"/>
      <c r="BU145" s="72"/>
      <c r="BV145" s="72"/>
      <c r="BW145" s="72"/>
      <c r="BX145" s="72"/>
      <c r="BY145" s="72"/>
    </row>
    <row r="146" ht="19.5" customHeight="1">
      <c r="A146" s="69" t="str">
        <f>IF(Roster!$A$144&lt;&gt;"",Roster!$A$144,"")</f>
        <v/>
      </c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  <c r="AA146" s="70"/>
      <c r="AB146" s="70"/>
      <c r="AC146" s="70"/>
      <c r="AD146" s="70"/>
      <c r="AE146" s="70"/>
      <c r="AF146" s="70"/>
      <c r="AG146" s="70"/>
      <c r="AH146" s="70"/>
      <c r="AI146" s="70"/>
      <c r="AJ146" s="70"/>
      <c r="AK146" s="70"/>
      <c r="AL146" s="70"/>
      <c r="AM146" s="70"/>
      <c r="AN146" s="70"/>
      <c r="AO146" s="70"/>
      <c r="AP146" s="70"/>
      <c r="AQ146" s="70"/>
      <c r="AR146" s="70"/>
      <c r="AS146" s="70"/>
      <c r="AT146" s="70"/>
      <c r="AU146" s="70"/>
      <c r="AV146" s="73"/>
      <c r="AW146" s="73"/>
      <c r="AX146" s="73"/>
      <c r="AY146" s="73"/>
      <c r="AZ146" s="73"/>
      <c r="BA146" s="73"/>
      <c r="BB146" s="73"/>
      <c r="BC146" s="73"/>
      <c r="BD146" s="73"/>
      <c r="BE146" s="73"/>
      <c r="BF146" s="73"/>
      <c r="BG146" s="73"/>
      <c r="BH146" s="73"/>
      <c r="BI146" s="73"/>
      <c r="BJ146" s="73"/>
      <c r="BK146" s="73"/>
      <c r="BL146" s="73"/>
      <c r="BM146" s="73"/>
      <c r="BN146" s="73"/>
      <c r="BO146" s="73"/>
      <c r="BP146" s="73"/>
      <c r="BQ146" s="73"/>
      <c r="BR146" s="73"/>
      <c r="BS146" s="73"/>
      <c r="BT146" s="73"/>
      <c r="BU146" s="73"/>
      <c r="BV146" s="73"/>
      <c r="BW146" s="73"/>
      <c r="BX146" s="73"/>
      <c r="BY146" s="73"/>
    </row>
    <row r="147" ht="19.5" customHeight="1">
      <c r="A147" s="69" t="str">
        <f>IF(Roster!$A$145&lt;&gt;"",Roster!$A$145,"")</f>
        <v/>
      </c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  <c r="AA147" s="70"/>
      <c r="AB147" s="70"/>
      <c r="AC147" s="70"/>
      <c r="AD147" s="70"/>
      <c r="AE147" s="70"/>
      <c r="AF147" s="70"/>
      <c r="AG147" s="70"/>
      <c r="AH147" s="70"/>
      <c r="AI147" s="70"/>
      <c r="AJ147" s="70"/>
      <c r="AK147" s="70"/>
      <c r="AL147" s="70"/>
      <c r="AM147" s="70"/>
      <c r="AN147" s="70"/>
      <c r="AO147" s="70"/>
      <c r="AP147" s="70"/>
      <c r="AQ147" s="70"/>
      <c r="AR147" s="70"/>
      <c r="AS147" s="70"/>
      <c r="AT147" s="70"/>
      <c r="AU147" s="70"/>
      <c r="AV147" s="72"/>
      <c r="AW147" s="72"/>
      <c r="AX147" s="72"/>
      <c r="AY147" s="72"/>
      <c r="AZ147" s="72"/>
      <c r="BA147" s="72"/>
      <c r="BB147" s="72"/>
      <c r="BC147" s="72"/>
      <c r="BD147" s="72"/>
      <c r="BE147" s="72"/>
      <c r="BF147" s="72"/>
      <c r="BG147" s="72"/>
      <c r="BH147" s="72"/>
      <c r="BI147" s="72"/>
      <c r="BJ147" s="72"/>
      <c r="BK147" s="72"/>
      <c r="BL147" s="72"/>
      <c r="BM147" s="72"/>
      <c r="BN147" s="72"/>
      <c r="BO147" s="72"/>
      <c r="BP147" s="72"/>
      <c r="BQ147" s="72"/>
      <c r="BR147" s="72"/>
      <c r="BS147" s="72"/>
      <c r="BT147" s="72"/>
      <c r="BU147" s="72"/>
      <c r="BV147" s="72"/>
      <c r="BW147" s="72"/>
      <c r="BX147" s="72"/>
      <c r="BY147" s="72"/>
    </row>
    <row r="148" ht="19.5" customHeight="1">
      <c r="A148" s="69" t="str">
        <f>IF(Roster!$A$146&lt;&gt;"",Roster!$A$146,"")</f>
        <v/>
      </c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  <c r="AA148" s="70"/>
      <c r="AB148" s="70"/>
      <c r="AC148" s="70"/>
      <c r="AD148" s="70"/>
      <c r="AE148" s="70"/>
      <c r="AF148" s="70"/>
      <c r="AG148" s="70"/>
      <c r="AH148" s="70"/>
      <c r="AI148" s="70"/>
      <c r="AJ148" s="70"/>
      <c r="AK148" s="70"/>
      <c r="AL148" s="70"/>
      <c r="AM148" s="70"/>
      <c r="AN148" s="70"/>
      <c r="AO148" s="70"/>
      <c r="AP148" s="70"/>
      <c r="AQ148" s="70"/>
      <c r="AR148" s="70"/>
      <c r="AS148" s="70"/>
      <c r="AT148" s="70"/>
      <c r="AU148" s="70"/>
      <c r="AV148" s="73"/>
      <c r="AW148" s="73"/>
      <c r="AX148" s="73"/>
      <c r="AY148" s="73"/>
      <c r="AZ148" s="73"/>
      <c r="BA148" s="73"/>
      <c r="BB148" s="73"/>
      <c r="BC148" s="73"/>
      <c r="BD148" s="73"/>
      <c r="BE148" s="73"/>
      <c r="BF148" s="73"/>
      <c r="BG148" s="73"/>
      <c r="BH148" s="73"/>
      <c r="BI148" s="73"/>
      <c r="BJ148" s="73"/>
      <c r="BK148" s="73"/>
      <c r="BL148" s="73"/>
      <c r="BM148" s="73"/>
      <c r="BN148" s="73"/>
      <c r="BO148" s="73"/>
      <c r="BP148" s="73"/>
      <c r="BQ148" s="73"/>
      <c r="BR148" s="73"/>
      <c r="BS148" s="73"/>
      <c r="BT148" s="73"/>
      <c r="BU148" s="73"/>
      <c r="BV148" s="73"/>
      <c r="BW148" s="73"/>
      <c r="BX148" s="73"/>
      <c r="BY148" s="73"/>
    </row>
    <row r="149" ht="19.5" customHeight="1">
      <c r="A149" s="69" t="str">
        <f>IF(Roster!$A$147&lt;&gt;"",Roster!$A$147,"")</f>
        <v/>
      </c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  <c r="AI149" s="70"/>
      <c r="AJ149" s="70"/>
      <c r="AK149" s="70"/>
      <c r="AL149" s="70"/>
      <c r="AM149" s="70"/>
      <c r="AN149" s="70"/>
      <c r="AO149" s="70"/>
      <c r="AP149" s="70"/>
      <c r="AQ149" s="70"/>
      <c r="AR149" s="70"/>
      <c r="AS149" s="70"/>
      <c r="AT149" s="70"/>
      <c r="AU149" s="70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72"/>
      <c r="BJ149" s="72"/>
      <c r="BK149" s="72"/>
      <c r="BL149" s="72"/>
      <c r="BM149" s="72"/>
      <c r="BN149" s="72"/>
      <c r="BO149" s="72"/>
      <c r="BP149" s="72"/>
      <c r="BQ149" s="72"/>
      <c r="BR149" s="72"/>
      <c r="BS149" s="72"/>
      <c r="BT149" s="72"/>
      <c r="BU149" s="72"/>
      <c r="BV149" s="72"/>
      <c r="BW149" s="72"/>
      <c r="BX149" s="72"/>
      <c r="BY149" s="72"/>
    </row>
    <row r="150" ht="19.5" customHeight="1">
      <c r="A150" s="69" t="str">
        <f>IF(Roster!$A$148&lt;&gt;"",Roster!$A$148,"")</f>
        <v/>
      </c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  <c r="AA150" s="70"/>
      <c r="AB150" s="70"/>
      <c r="AC150" s="70"/>
      <c r="AD150" s="70"/>
      <c r="AE150" s="70"/>
      <c r="AF150" s="70"/>
      <c r="AG150" s="70"/>
      <c r="AH150" s="70"/>
      <c r="AI150" s="70"/>
      <c r="AJ150" s="70"/>
      <c r="AK150" s="70"/>
      <c r="AL150" s="70"/>
      <c r="AM150" s="70"/>
      <c r="AN150" s="70"/>
      <c r="AO150" s="70"/>
      <c r="AP150" s="70"/>
      <c r="AQ150" s="70"/>
      <c r="AR150" s="70"/>
      <c r="AS150" s="70"/>
      <c r="AT150" s="70"/>
      <c r="AU150" s="70"/>
      <c r="AV150" s="73"/>
      <c r="AW150" s="73"/>
      <c r="AX150" s="73"/>
      <c r="AY150" s="73"/>
      <c r="AZ150" s="73"/>
      <c r="BA150" s="73"/>
      <c r="BB150" s="73"/>
      <c r="BC150" s="73"/>
      <c r="BD150" s="73"/>
      <c r="BE150" s="73"/>
      <c r="BF150" s="73"/>
      <c r="BG150" s="73"/>
      <c r="BH150" s="73"/>
      <c r="BI150" s="73"/>
      <c r="BJ150" s="73"/>
      <c r="BK150" s="73"/>
      <c r="BL150" s="73"/>
      <c r="BM150" s="73"/>
      <c r="BN150" s="73"/>
      <c r="BO150" s="73"/>
      <c r="BP150" s="73"/>
      <c r="BQ150" s="73"/>
      <c r="BR150" s="73"/>
      <c r="BS150" s="73"/>
      <c r="BT150" s="73"/>
      <c r="BU150" s="73"/>
      <c r="BV150" s="73"/>
      <c r="BW150" s="73"/>
      <c r="BX150" s="73"/>
      <c r="BY150" s="73"/>
    </row>
    <row r="151" ht="19.5" customHeight="1">
      <c r="A151" s="69" t="str">
        <f>IF(Roster!$A$149&lt;&gt;"",Roster!$A$149,"")</f>
        <v/>
      </c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  <c r="AA151" s="70"/>
      <c r="AB151" s="70"/>
      <c r="AC151" s="70"/>
      <c r="AD151" s="70"/>
      <c r="AE151" s="70"/>
      <c r="AF151" s="70"/>
      <c r="AG151" s="70"/>
      <c r="AH151" s="70"/>
      <c r="AI151" s="70"/>
      <c r="AJ151" s="70"/>
      <c r="AK151" s="70"/>
      <c r="AL151" s="70"/>
      <c r="AM151" s="70"/>
      <c r="AN151" s="70"/>
      <c r="AO151" s="70"/>
      <c r="AP151" s="70"/>
      <c r="AQ151" s="70"/>
      <c r="AR151" s="70"/>
      <c r="AS151" s="70"/>
      <c r="AT151" s="70"/>
      <c r="AU151" s="70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72"/>
      <c r="BJ151" s="72"/>
      <c r="BK151" s="72"/>
      <c r="BL151" s="72"/>
      <c r="BM151" s="72"/>
      <c r="BN151" s="72"/>
      <c r="BO151" s="72"/>
      <c r="BP151" s="72"/>
      <c r="BQ151" s="72"/>
      <c r="BR151" s="72"/>
      <c r="BS151" s="72"/>
      <c r="BT151" s="72"/>
      <c r="BU151" s="72"/>
      <c r="BV151" s="72"/>
      <c r="BW151" s="72"/>
      <c r="BX151" s="72"/>
      <c r="BY151" s="72"/>
    </row>
    <row r="152" ht="19.5" customHeight="1">
      <c r="A152" s="69" t="str">
        <f>IF(Roster!$A$150&lt;&gt;"",Roster!$A$150,"")</f>
        <v/>
      </c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  <c r="AA152" s="70"/>
      <c r="AB152" s="70"/>
      <c r="AC152" s="70"/>
      <c r="AD152" s="70"/>
      <c r="AE152" s="70"/>
      <c r="AF152" s="70"/>
      <c r="AG152" s="70"/>
      <c r="AH152" s="70"/>
      <c r="AI152" s="70"/>
      <c r="AJ152" s="70"/>
      <c r="AK152" s="70"/>
      <c r="AL152" s="70"/>
      <c r="AM152" s="70"/>
      <c r="AN152" s="70"/>
      <c r="AO152" s="70"/>
      <c r="AP152" s="70"/>
      <c r="AQ152" s="70"/>
      <c r="AR152" s="70"/>
      <c r="AS152" s="70"/>
      <c r="AT152" s="70"/>
      <c r="AU152" s="70"/>
      <c r="AV152" s="73"/>
      <c r="AW152" s="73"/>
      <c r="AX152" s="73"/>
      <c r="AY152" s="73"/>
      <c r="AZ152" s="73"/>
      <c r="BA152" s="73"/>
      <c r="BB152" s="73"/>
      <c r="BC152" s="73"/>
      <c r="BD152" s="73"/>
      <c r="BE152" s="73"/>
      <c r="BF152" s="73"/>
      <c r="BG152" s="73"/>
      <c r="BH152" s="73"/>
      <c r="BI152" s="73"/>
      <c r="BJ152" s="73"/>
      <c r="BK152" s="73"/>
      <c r="BL152" s="73"/>
      <c r="BM152" s="73"/>
      <c r="BN152" s="73"/>
      <c r="BO152" s="73"/>
      <c r="BP152" s="73"/>
      <c r="BQ152" s="73"/>
      <c r="BR152" s="73"/>
      <c r="BS152" s="73"/>
      <c r="BT152" s="73"/>
      <c r="BU152" s="73"/>
      <c r="BV152" s="73"/>
      <c r="BW152" s="73"/>
      <c r="BX152" s="73"/>
      <c r="BY152" s="73"/>
    </row>
    <row r="153" ht="19.5" customHeight="1">
      <c r="A153" s="69" t="str">
        <f>IF(Roster!$A$151&lt;&gt;"",Roster!$A$151,"")</f>
        <v/>
      </c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  <c r="AA153" s="70"/>
      <c r="AB153" s="70"/>
      <c r="AC153" s="70"/>
      <c r="AD153" s="70"/>
      <c r="AE153" s="70"/>
      <c r="AF153" s="70"/>
      <c r="AG153" s="70"/>
      <c r="AH153" s="70"/>
      <c r="AI153" s="70"/>
      <c r="AJ153" s="70"/>
      <c r="AK153" s="70"/>
      <c r="AL153" s="70"/>
      <c r="AM153" s="70"/>
      <c r="AN153" s="70"/>
      <c r="AO153" s="70"/>
      <c r="AP153" s="70"/>
      <c r="AQ153" s="70"/>
      <c r="AR153" s="70"/>
      <c r="AS153" s="70"/>
      <c r="AT153" s="70"/>
      <c r="AU153" s="70"/>
      <c r="AV153" s="72"/>
      <c r="AW153" s="72"/>
      <c r="AX153" s="72"/>
      <c r="AY153" s="72"/>
      <c r="AZ153" s="72"/>
      <c r="BA153" s="72"/>
      <c r="BB153" s="72"/>
      <c r="BC153" s="72"/>
      <c r="BD153" s="72"/>
      <c r="BE153" s="72"/>
      <c r="BF153" s="72"/>
      <c r="BG153" s="72"/>
      <c r="BH153" s="72"/>
      <c r="BI153" s="72"/>
      <c r="BJ153" s="72"/>
      <c r="BK153" s="72"/>
      <c r="BL153" s="72"/>
      <c r="BM153" s="72"/>
      <c r="BN153" s="72"/>
      <c r="BO153" s="72"/>
      <c r="BP153" s="72"/>
      <c r="BQ153" s="72"/>
      <c r="BR153" s="72"/>
      <c r="BS153" s="72"/>
      <c r="BT153" s="72"/>
      <c r="BU153" s="72"/>
      <c r="BV153" s="72"/>
      <c r="BW153" s="72"/>
      <c r="BX153" s="72"/>
      <c r="BY153" s="72"/>
    </row>
    <row r="154" ht="19.5" customHeight="1">
      <c r="A154" s="69" t="str">
        <f>IF(Roster!$A$152&lt;&gt;"",Roster!$A$152,"")</f>
        <v/>
      </c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  <c r="AA154" s="70"/>
      <c r="AB154" s="70"/>
      <c r="AC154" s="70"/>
      <c r="AD154" s="70"/>
      <c r="AE154" s="70"/>
      <c r="AF154" s="70"/>
      <c r="AG154" s="70"/>
      <c r="AH154" s="70"/>
      <c r="AI154" s="70"/>
      <c r="AJ154" s="70"/>
      <c r="AK154" s="70"/>
      <c r="AL154" s="70"/>
      <c r="AM154" s="70"/>
      <c r="AN154" s="70"/>
      <c r="AO154" s="70"/>
      <c r="AP154" s="70"/>
      <c r="AQ154" s="70"/>
      <c r="AR154" s="70"/>
      <c r="AS154" s="70"/>
      <c r="AT154" s="70"/>
      <c r="AU154" s="70"/>
      <c r="AV154" s="73"/>
      <c r="AW154" s="73"/>
      <c r="AX154" s="73"/>
      <c r="AY154" s="73"/>
      <c r="AZ154" s="73"/>
      <c r="BA154" s="73"/>
      <c r="BB154" s="73"/>
      <c r="BC154" s="73"/>
      <c r="BD154" s="73"/>
      <c r="BE154" s="73"/>
      <c r="BF154" s="73"/>
      <c r="BG154" s="73"/>
      <c r="BH154" s="73"/>
      <c r="BI154" s="73"/>
      <c r="BJ154" s="73"/>
      <c r="BK154" s="73"/>
      <c r="BL154" s="73"/>
      <c r="BM154" s="73"/>
      <c r="BN154" s="73"/>
      <c r="BO154" s="73"/>
      <c r="BP154" s="73"/>
      <c r="BQ154" s="73"/>
      <c r="BR154" s="73"/>
      <c r="BS154" s="73"/>
      <c r="BT154" s="73"/>
      <c r="BU154" s="73"/>
      <c r="BV154" s="73"/>
      <c r="BW154" s="73"/>
      <c r="BX154" s="73"/>
      <c r="BY154" s="73"/>
    </row>
    <row r="155" ht="19.5" customHeight="1">
      <c r="A155" s="69" t="str">
        <f>IF(Roster!$A$153&lt;&gt;"",Roster!$A$153,"")</f>
        <v/>
      </c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  <c r="AA155" s="70"/>
      <c r="AB155" s="70"/>
      <c r="AC155" s="70"/>
      <c r="AD155" s="70"/>
      <c r="AE155" s="70"/>
      <c r="AF155" s="70"/>
      <c r="AG155" s="70"/>
      <c r="AH155" s="70"/>
      <c r="AI155" s="70"/>
      <c r="AJ155" s="70"/>
      <c r="AK155" s="70"/>
      <c r="AL155" s="70"/>
      <c r="AM155" s="70"/>
      <c r="AN155" s="70"/>
      <c r="AO155" s="70"/>
      <c r="AP155" s="70"/>
      <c r="AQ155" s="70"/>
      <c r="AR155" s="70"/>
      <c r="AS155" s="70"/>
      <c r="AT155" s="70"/>
      <c r="AU155" s="70"/>
      <c r="AV155" s="72"/>
      <c r="AW155" s="72"/>
      <c r="AX155" s="72"/>
      <c r="AY155" s="72"/>
      <c r="AZ155" s="72"/>
      <c r="BA155" s="72"/>
      <c r="BB155" s="72"/>
      <c r="BC155" s="72"/>
      <c r="BD155" s="72"/>
      <c r="BE155" s="72"/>
      <c r="BF155" s="72"/>
      <c r="BG155" s="72"/>
      <c r="BH155" s="72"/>
      <c r="BI155" s="72"/>
      <c r="BJ155" s="72"/>
      <c r="BK155" s="72"/>
      <c r="BL155" s="72"/>
      <c r="BM155" s="72"/>
      <c r="BN155" s="72"/>
      <c r="BO155" s="72"/>
      <c r="BP155" s="72"/>
      <c r="BQ155" s="72"/>
      <c r="BR155" s="72"/>
      <c r="BS155" s="72"/>
      <c r="BT155" s="72"/>
      <c r="BU155" s="72"/>
      <c r="BV155" s="72"/>
      <c r="BW155" s="72"/>
      <c r="BX155" s="72"/>
      <c r="BY155" s="72"/>
    </row>
    <row r="156" ht="19.5" customHeight="1">
      <c r="A156" s="69" t="str">
        <f>IF(Roster!$A$154&lt;&gt;"",Roster!$A$154,"")</f>
        <v/>
      </c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  <c r="AA156" s="70"/>
      <c r="AB156" s="70"/>
      <c r="AC156" s="70"/>
      <c r="AD156" s="70"/>
      <c r="AE156" s="70"/>
      <c r="AF156" s="70"/>
      <c r="AG156" s="70"/>
      <c r="AH156" s="70"/>
      <c r="AI156" s="70"/>
      <c r="AJ156" s="70"/>
      <c r="AK156" s="70"/>
      <c r="AL156" s="70"/>
      <c r="AM156" s="70"/>
      <c r="AN156" s="70"/>
      <c r="AO156" s="70"/>
      <c r="AP156" s="70"/>
      <c r="AQ156" s="70"/>
      <c r="AR156" s="70"/>
      <c r="AS156" s="70"/>
      <c r="AT156" s="70"/>
      <c r="AU156" s="70"/>
      <c r="AV156" s="73"/>
      <c r="AW156" s="73"/>
      <c r="AX156" s="73"/>
      <c r="AY156" s="73"/>
      <c r="AZ156" s="73"/>
      <c r="BA156" s="73"/>
      <c r="BB156" s="73"/>
      <c r="BC156" s="73"/>
      <c r="BD156" s="73"/>
      <c r="BE156" s="73"/>
      <c r="BF156" s="73"/>
      <c r="BG156" s="73"/>
      <c r="BH156" s="73"/>
      <c r="BI156" s="73"/>
      <c r="BJ156" s="73"/>
      <c r="BK156" s="73"/>
      <c r="BL156" s="73"/>
      <c r="BM156" s="73"/>
      <c r="BN156" s="73"/>
      <c r="BO156" s="73"/>
      <c r="BP156" s="73"/>
      <c r="BQ156" s="73"/>
      <c r="BR156" s="73"/>
      <c r="BS156" s="73"/>
      <c r="BT156" s="73"/>
      <c r="BU156" s="73"/>
      <c r="BV156" s="73"/>
      <c r="BW156" s="73"/>
      <c r="BX156" s="73"/>
      <c r="BY156" s="73"/>
    </row>
    <row r="157" ht="19.5" customHeight="1">
      <c r="A157" s="69" t="str">
        <f>IF(Roster!$A$155&lt;&gt;"",Roster!$A$155,"")</f>
        <v/>
      </c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  <c r="AA157" s="70"/>
      <c r="AB157" s="70"/>
      <c r="AC157" s="70"/>
      <c r="AD157" s="70"/>
      <c r="AE157" s="70"/>
      <c r="AF157" s="70"/>
      <c r="AG157" s="70"/>
      <c r="AH157" s="70"/>
      <c r="AI157" s="70"/>
      <c r="AJ157" s="70"/>
      <c r="AK157" s="70"/>
      <c r="AL157" s="70"/>
      <c r="AM157" s="70"/>
      <c r="AN157" s="70"/>
      <c r="AO157" s="70"/>
      <c r="AP157" s="70"/>
      <c r="AQ157" s="70"/>
      <c r="AR157" s="70"/>
      <c r="AS157" s="70"/>
      <c r="AT157" s="70"/>
      <c r="AU157" s="70"/>
      <c r="AV157" s="72"/>
      <c r="AW157" s="72"/>
      <c r="AX157" s="72"/>
      <c r="AY157" s="72"/>
      <c r="AZ157" s="72"/>
      <c r="BA157" s="72"/>
      <c r="BB157" s="72"/>
      <c r="BC157" s="72"/>
      <c r="BD157" s="72"/>
      <c r="BE157" s="72"/>
      <c r="BF157" s="72"/>
      <c r="BG157" s="72"/>
      <c r="BH157" s="72"/>
      <c r="BI157" s="72"/>
      <c r="BJ157" s="72"/>
      <c r="BK157" s="72"/>
      <c r="BL157" s="72"/>
      <c r="BM157" s="72"/>
      <c r="BN157" s="72"/>
      <c r="BO157" s="72"/>
      <c r="BP157" s="72"/>
      <c r="BQ157" s="72"/>
      <c r="BR157" s="72"/>
      <c r="BS157" s="72"/>
      <c r="BT157" s="72"/>
      <c r="BU157" s="72"/>
      <c r="BV157" s="72"/>
      <c r="BW157" s="72"/>
      <c r="BX157" s="72"/>
      <c r="BY157" s="72"/>
    </row>
    <row r="158" ht="19.5" customHeight="1">
      <c r="A158" s="69" t="str">
        <f>IF(Roster!$A$156&lt;&gt;"",Roster!$A$156,"")</f>
        <v/>
      </c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  <c r="AT158" s="70"/>
      <c r="AU158" s="70"/>
      <c r="AV158" s="73"/>
      <c r="AW158" s="73"/>
      <c r="AX158" s="73"/>
      <c r="AY158" s="73"/>
      <c r="AZ158" s="73"/>
      <c r="BA158" s="73"/>
      <c r="BB158" s="73"/>
      <c r="BC158" s="73"/>
      <c r="BD158" s="73"/>
      <c r="BE158" s="73"/>
      <c r="BF158" s="73"/>
      <c r="BG158" s="73"/>
      <c r="BH158" s="73"/>
      <c r="BI158" s="73"/>
      <c r="BJ158" s="73"/>
      <c r="BK158" s="73"/>
      <c r="BL158" s="73"/>
      <c r="BM158" s="73"/>
      <c r="BN158" s="73"/>
      <c r="BO158" s="73"/>
      <c r="BP158" s="73"/>
      <c r="BQ158" s="73"/>
      <c r="BR158" s="73"/>
      <c r="BS158" s="73"/>
      <c r="BT158" s="73"/>
      <c r="BU158" s="73"/>
      <c r="BV158" s="73"/>
      <c r="BW158" s="73"/>
      <c r="BX158" s="73"/>
      <c r="BY158" s="73"/>
    </row>
    <row r="159" ht="19.5" customHeight="1">
      <c r="A159" s="69" t="str">
        <f>IF(Roster!$A$157&lt;&gt;"",Roster!$A$157,"")</f>
        <v/>
      </c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  <c r="AT159" s="70"/>
      <c r="AU159" s="70"/>
      <c r="AV159" s="72"/>
      <c r="AW159" s="72"/>
      <c r="AX159" s="72"/>
      <c r="AY159" s="72"/>
      <c r="AZ159" s="72"/>
      <c r="BA159" s="72"/>
      <c r="BB159" s="72"/>
      <c r="BC159" s="72"/>
      <c r="BD159" s="72"/>
      <c r="BE159" s="72"/>
      <c r="BF159" s="72"/>
      <c r="BG159" s="72"/>
      <c r="BH159" s="72"/>
      <c r="BI159" s="72"/>
      <c r="BJ159" s="72"/>
      <c r="BK159" s="72"/>
      <c r="BL159" s="72"/>
      <c r="BM159" s="72"/>
      <c r="BN159" s="72"/>
      <c r="BO159" s="72"/>
      <c r="BP159" s="72"/>
      <c r="BQ159" s="72"/>
      <c r="BR159" s="72"/>
      <c r="BS159" s="72"/>
      <c r="BT159" s="72"/>
      <c r="BU159" s="72"/>
      <c r="BV159" s="72"/>
      <c r="BW159" s="72"/>
      <c r="BX159" s="72"/>
      <c r="BY159" s="72"/>
    </row>
    <row r="160" ht="19.5" customHeight="1">
      <c r="A160" s="69" t="str">
        <f>IF(Roster!$A$158&lt;&gt;"",Roster!$A$158,"")</f>
        <v/>
      </c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  <c r="AT160" s="70"/>
      <c r="AU160" s="70"/>
      <c r="AV160" s="73"/>
      <c r="AW160" s="73"/>
      <c r="AX160" s="73"/>
      <c r="AY160" s="73"/>
      <c r="AZ160" s="73"/>
      <c r="BA160" s="73"/>
      <c r="BB160" s="73"/>
      <c r="BC160" s="73"/>
      <c r="BD160" s="73"/>
      <c r="BE160" s="73"/>
      <c r="BF160" s="73"/>
      <c r="BG160" s="73"/>
      <c r="BH160" s="73"/>
      <c r="BI160" s="73"/>
      <c r="BJ160" s="73"/>
      <c r="BK160" s="73"/>
      <c r="BL160" s="73"/>
      <c r="BM160" s="73"/>
      <c r="BN160" s="73"/>
      <c r="BO160" s="73"/>
      <c r="BP160" s="73"/>
      <c r="BQ160" s="73"/>
      <c r="BR160" s="73"/>
      <c r="BS160" s="73"/>
      <c r="BT160" s="73"/>
      <c r="BU160" s="73"/>
      <c r="BV160" s="73"/>
      <c r="BW160" s="73"/>
      <c r="BX160" s="73"/>
      <c r="BY160" s="73"/>
    </row>
    <row r="161" ht="19.5" customHeight="1">
      <c r="A161" s="69" t="str">
        <f>IF(Roster!$A$159&lt;&gt;"",Roster!$A$159,"")</f>
        <v/>
      </c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  <c r="AT161" s="70"/>
      <c r="AU161" s="70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72"/>
      <c r="BJ161" s="72"/>
      <c r="BK161" s="72"/>
      <c r="BL161" s="72"/>
      <c r="BM161" s="72"/>
      <c r="BN161" s="72"/>
      <c r="BO161" s="72"/>
      <c r="BP161" s="72"/>
      <c r="BQ161" s="72"/>
      <c r="BR161" s="72"/>
      <c r="BS161" s="72"/>
      <c r="BT161" s="72"/>
      <c r="BU161" s="72"/>
      <c r="BV161" s="72"/>
      <c r="BW161" s="72"/>
      <c r="BX161" s="72"/>
      <c r="BY161" s="72"/>
    </row>
    <row r="162" ht="19.5" customHeight="1">
      <c r="A162" s="69" t="str">
        <f>IF(Roster!$A$160&lt;&gt;"",Roster!$A$160,"")</f>
        <v/>
      </c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  <c r="AT162" s="70"/>
      <c r="AU162" s="70"/>
      <c r="AV162" s="73"/>
      <c r="AW162" s="73"/>
      <c r="AX162" s="73"/>
      <c r="AY162" s="73"/>
      <c r="AZ162" s="73"/>
      <c r="BA162" s="73"/>
      <c r="BB162" s="73"/>
      <c r="BC162" s="73"/>
      <c r="BD162" s="73"/>
      <c r="BE162" s="73"/>
      <c r="BF162" s="73"/>
      <c r="BG162" s="73"/>
      <c r="BH162" s="73"/>
      <c r="BI162" s="73"/>
      <c r="BJ162" s="73"/>
      <c r="BK162" s="73"/>
      <c r="BL162" s="73"/>
      <c r="BM162" s="73"/>
      <c r="BN162" s="73"/>
      <c r="BO162" s="73"/>
      <c r="BP162" s="73"/>
      <c r="BQ162" s="73"/>
      <c r="BR162" s="73"/>
      <c r="BS162" s="73"/>
      <c r="BT162" s="73"/>
      <c r="BU162" s="73"/>
      <c r="BV162" s="73"/>
      <c r="BW162" s="73"/>
      <c r="BX162" s="73"/>
      <c r="BY162" s="73"/>
    </row>
    <row r="163" ht="19.5" customHeight="1">
      <c r="A163" s="69" t="str">
        <f>IF(Roster!$A$161&lt;&gt;"",Roster!$A$161,"")</f>
        <v/>
      </c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  <c r="AT163" s="70"/>
      <c r="AU163" s="70"/>
      <c r="AV163" s="72"/>
      <c r="AW163" s="72"/>
      <c r="AX163" s="72"/>
      <c r="AY163" s="72"/>
      <c r="AZ163" s="72"/>
      <c r="BA163" s="72"/>
      <c r="BB163" s="72"/>
      <c r="BC163" s="72"/>
      <c r="BD163" s="72"/>
      <c r="BE163" s="72"/>
      <c r="BF163" s="72"/>
      <c r="BG163" s="72"/>
      <c r="BH163" s="72"/>
      <c r="BI163" s="72"/>
      <c r="BJ163" s="72"/>
      <c r="BK163" s="72"/>
      <c r="BL163" s="72"/>
      <c r="BM163" s="72"/>
      <c r="BN163" s="72"/>
      <c r="BO163" s="72"/>
      <c r="BP163" s="72"/>
      <c r="BQ163" s="72"/>
      <c r="BR163" s="72"/>
      <c r="BS163" s="72"/>
      <c r="BT163" s="72"/>
      <c r="BU163" s="72"/>
      <c r="BV163" s="72"/>
      <c r="BW163" s="72"/>
      <c r="BX163" s="72"/>
      <c r="BY163" s="72"/>
    </row>
    <row r="164" ht="19.5" customHeight="1">
      <c r="A164" s="69" t="str">
        <f>IF(Roster!$A$162&lt;&gt;"",Roster!$A$162,"")</f>
        <v/>
      </c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  <c r="AT164" s="70"/>
      <c r="AU164" s="70"/>
      <c r="AV164" s="73"/>
      <c r="AW164" s="73"/>
      <c r="AX164" s="73"/>
      <c r="AY164" s="73"/>
      <c r="AZ164" s="73"/>
      <c r="BA164" s="73"/>
      <c r="BB164" s="73"/>
      <c r="BC164" s="73"/>
      <c r="BD164" s="73"/>
      <c r="BE164" s="73"/>
      <c r="BF164" s="73"/>
      <c r="BG164" s="73"/>
      <c r="BH164" s="73"/>
      <c r="BI164" s="73"/>
      <c r="BJ164" s="73"/>
      <c r="BK164" s="73"/>
      <c r="BL164" s="73"/>
      <c r="BM164" s="73"/>
      <c r="BN164" s="73"/>
      <c r="BO164" s="73"/>
      <c r="BP164" s="73"/>
      <c r="BQ164" s="73"/>
      <c r="BR164" s="73"/>
      <c r="BS164" s="73"/>
      <c r="BT164" s="73"/>
      <c r="BU164" s="73"/>
      <c r="BV164" s="73"/>
      <c r="BW164" s="73"/>
      <c r="BX164" s="73"/>
      <c r="BY164" s="73"/>
    </row>
    <row r="165" ht="19.5" customHeight="1">
      <c r="A165" s="69" t="str">
        <f>IF(Roster!$A$163&lt;&gt;"",Roster!$A$163,"")</f>
        <v/>
      </c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  <c r="AT165" s="70"/>
      <c r="AU165" s="70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72"/>
      <c r="BJ165" s="72"/>
      <c r="BK165" s="72"/>
      <c r="BL165" s="72"/>
      <c r="BM165" s="72"/>
      <c r="BN165" s="72"/>
      <c r="BO165" s="72"/>
      <c r="BP165" s="72"/>
      <c r="BQ165" s="72"/>
      <c r="BR165" s="72"/>
      <c r="BS165" s="72"/>
      <c r="BT165" s="72"/>
      <c r="BU165" s="72"/>
      <c r="BV165" s="72"/>
      <c r="BW165" s="72"/>
      <c r="BX165" s="72"/>
      <c r="BY165" s="72"/>
    </row>
    <row r="166" ht="19.5" customHeight="1">
      <c r="A166" s="69" t="str">
        <f>IF(Roster!$A$164&lt;&gt;"",Roster!$A$164,"")</f>
        <v/>
      </c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  <c r="AT166" s="70"/>
      <c r="AU166" s="70"/>
      <c r="AV166" s="73"/>
      <c r="AW166" s="73"/>
      <c r="AX166" s="73"/>
      <c r="AY166" s="73"/>
      <c r="AZ166" s="73"/>
      <c r="BA166" s="73"/>
      <c r="BB166" s="73"/>
      <c r="BC166" s="73"/>
      <c r="BD166" s="73"/>
      <c r="BE166" s="73"/>
      <c r="BF166" s="73"/>
      <c r="BG166" s="73"/>
      <c r="BH166" s="73"/>
      <c r="BI166" s="73"/>
      <c r="BJ166" s="73"/>
      <c r="BK166" s="73"/>
      <c r="BL166" s="73"/>
      <c r="BM166" s="73"/>
      <c r="BN166" s="73"/>
      <c r="BO166" s="73"/>
      <c r="BP166" s="73"/>
      <c r="BQ166" s="73"/>
      <c r="BR166" s="73"/>
      <c r="BS166" s="73"/>
      <c r="BT166" s="73"/>
      <c r="BU166" s="73"/>
      <c r="BV166" s="73"/>
      <c r="BW166" s="73"/>
      <c r="BX166" s="73"/>
      <c r="BY166" s="73"/>
    </row>
    <row r="167" ht="19.5" customHeight="1">
      <c r="A167" s="69" t="str">
        <f>IF(Roster!$A$165&lt;&gt;"",Roster!$A$165,"")</f>
        <v/>
      </c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  <c r="AA167" s="70"/>
      <c r="AB167" s="70"/>
      <c r="AC167" s="70"/>
      <c r="AD167" s="70"/>
      <c r="AE167" s="70"/>
      <c r="AF167" s="70"/>
      <c r="AG167" s="70"/>
      <c r="AH167" s="70"/>
      <c r="AI167" s="70"/>
      <c r="AJ167" s="70"/>
      <c r="AK167" s="70"/>
      <c r="AL167" s="70"/>
      <c r="AM167" s="70"/>
      <c r="AN167" s="70"/>
      <c r="AO167" s="70"/>
      <c r="AP167" s="70"/>
      <c r="AQ167" s="70"/>
      <c r="AR167" s="70"/>
      <c r="AS167" s="70"/>
      <c r="AT167" s="70"/>
      <c r="AU167" s="70"/>
      <c r="AV167" s="72"/>
      <c r="AW167" s="72"/>
      <c r="AX167" s="72"/>
      <c r="AY167" s="72"/>
      <c r="AZ167" s="72"/>
      <c r="BA167" s="72"/>
      <c r="BB167" s="72"/>
      <c r="BC167" s="72"/>
      <c r="BD167" s="72"/>
      <c r="BE167" s="72"/>
      <c r="BF167" s="72"/>
      <c r="BG167" s="72"/>
      <c r="BH167" s="72"/>
      <c r="BI167" s="72"/>
      <c r="BJ167" s="72"/>
      <c r="BK167" s="72"/>
      <c r="BL167" s="72"/>
      <c r="BM167" s="72"/>
      <c r="BN167" s="72"/>
      <c r="BO167" s="72"/>
      <c r="BP167" s="72"/>
      <c r="BQ167" s="72"/>
      <c r="BR167" s="72"/>
      <c r="BS167" s="72"/>
      <c r="BT167" s="72"/>
      <c r="BU167" s="72"/>
      <c r="BV167" s="72"/>
      <c r="BW167" s="72"/>
      <c r="BX167" s="72"/>
      <c r="BY167" s="72"/>
    </row>
    <row r="168" ht="19.5" customHeight="1">
      <c r="A168" s="69" t="str">
        <f>IF(Roster!$A$166&lt;&gt;"",Roster!$A$166,"")</f>
        <v/>
      </c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  <c r="AA168" s="70"/>
      <c r="AB168" s="70"/>
      <c r="AC168" s="70"/>
      <c r="AD168" s="70"/>
      <c r="AE168" s="70"/>
      <c r="AF168" s="70"/>
      <c r="AG168" s="70"/>
      <c r="AH168" s="70"/>
      <c r="AI168" s="70"/>
      <c r="AJ168" s="70"/>
      <c r="AK168" s="70"/>
      <c r="AL168" s="70"/>
      <c r="AM168" s="70"/>
      <c r="AN168" s="70"/>
      <c r="AO168" s="70"/>
      <c r="AP168" s="70"/>
      <c r="AQ168" s="70"/>
      <c r="AR168" s="70"/>
      <c r="AS168" s="70"/>
      <c r="AT168" s="70"/>
      <c r="AU168" s="70"/>
      <c r="AV168" s="73"/>
      <c r="AW168" s="73"/>
      <c r="AX168" s="73"/>
      <c r="AY168" s="73"/>
      <c r="AZ168" s="73"/>
      <c r="BA168" s="73"/>
      <c r="BB168" s="73"/>
      <c r="BC168" s="73"/>
      <c r="BD168" s="73"/>
      <c r="BE168" s="73"/>
      <c r="BF168" s="73"/>
      <c r="BG168" s="73"/>
      <c r="BH168" s="73"/>
      <c r="BI168" s="73"/>
      <c r="BJ168" s="73"/>
      <c r="BK168" s="73"/>
      <c r="BL168" s="73"/>
      <c r="BM168" s="73"/>
      <c r="BN168" s="73"/>
      <c r="BO168" s="73"/>
      <c r="BP168" s="73"/>
      <c r="BQ168" s="73"/>
      <c r="BR168" s="73"/>
      <c r="BS168" s="73"/>
      <c r="BT168" s="73"/>
      <c r="BU168" s="73"/>
      <c r="BV168" s="73"/>
      <c r="BW168" s="73"/>
      <c r="BX168" s="73"/>
      <c r="BY168" s="73"/>
    </row>
    <row r="169" ht="19.5" customHeight="1">
      <c r="A169" s="69" t="str">
        <f>IF(Roster!$A$167&lt;&gt;"",Roster!$A$167,"")</f>
        <v/>
      </c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  <c r="AA169" s="70"/>
      <c r="AB169" s="70"/>
      <c r="AC169" s="70"/>
      <c r="AD169" s="70"/>
      <c r="AE169" s="70"/>
      <c r="AF169" s="70"/>
      <c r="AG169" s="70"/>
      <c r="AH169" s="70"/>
      <c r="AI169" s="70"/>
      <c r="AJ169" s="70"/>
      <c r="AK169" s="70"/>
      <c r="AL169" s="70"/>
      <c r="AM169" s="70"/>
      <c r="AN169" s="70"/>
      <c r="AO169" s="70"/>
      <c r="AP169" s="70"/>
      <c r="AQ169" s="70"/>
      <c r="AR169" s="70"/>
      <c r="AS169" s="70"/>
      <c r="AT169" s="70"/>
      <c r="AU169" s="70"/>
      <c r="AV169" s="72"/>
      <c r="AW169" s="72"/>
      <c r="AX169" s="72"/>
      <c r="AY169" s="72"/>
      <c r="AZ169" s="72"/>
      <c r="BA169" s="72"/>
      <c r="BB169" s="72"/>
      <c r="BC169" s="72"/>
      <c r="BD169" s="72"/>
      <c r="BE169" s="72"/>
      <c r="BF169" s="72"/>
      <c r="BG169" s="72"/>
      <c r="BH169" s="72"/>
      <c r="BI169" s="72"/>
      <c r="BJ169" s="72"/>
      <c r="BK169" s="72"/>
      <c r="BL169" s="72"/>
      <c r="BM169" s="72"/>
      <c r="BN169" s="72"/>
      <c r="BO169" s="72"/>
      <c r="BP169" s="72"/>
      <c r="BQ169" s="72"/>
      <c r="BR169" s="72"/>
      <c r="BS169" s="72"/>
      <c r="BT169" s="72"/>
      <c r="BU169" s="72"/>
      <c r="BV169" s="72"/>
      <c r="BW169" s="72"/>
      <c r="BX169" s="72"/>
      <c r="BY169" s="72"/>
    </row>
    <row r="170" ht="19.5" customHeight="1">
      <c r="A170" s="69" t="str">
        <f>IF(Roster!$A$168&lt;&gt;"",Roster!$A$168,"")</f>
        <v/>
      </c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  <c r="AA170" s="70"/>
      <c r="AB170" s="70"/>
      <c r="AC170" s="70"/>
      <c r="AD170" s="70"/>
      <c r="AE170" s="70"/>
      <c r="AF170" s="70"/>
      <c r="AG170" s="70"/>
      <c r="AH170" s="70"/>
      <c r="AI170" s="70"/>
      <c r="AJ170" s="70"/>
      <c r="AK170" s="70"/>
      <c r="AL170" s="70"/>
      <c r="AM170" s="70"/>
      <c r="AN170" s="70"/>
      <c r="AO170" s="70"/>
      <c r="AP170" s="70"/>
      <c r="AQ170" s="70"/>
      <c r="AR170" s="70"/>
      <c r="AS170" s="70"/>
      <c r="AT170" s="70"/>
      <c r="AU170" s="70"/>
      <c r="AV170" s="73"/>
      <c r="AW170" s="73"/>
      <c r="AX170" s="73"/>
      <c r="AY170" s="73"/>
      <c r="AZ170" s="73"/>
      <c r="BA170" s="73"/>
      <c r="BB170" s="73"/>
      <c r="BC170" s="73"/>
      <c r="BD170" s="73"/>
      <c r="BE170" s="73"/>
      <c r="BF170" s="73"/>
      <c r="BG170" s="73"/>
      <c r="BH170" s="73"/>
      <c r="BI170" s="73"/>
      <c r="BJ170" s="73"/>
      <c r="BK170" s="73"/>
      <c r="BL170" s="73"/>
      <c r="BM170" s="73"/>
      <c r="BN170" s="73"/>
      <c r="BO170" s="73"/>
      <c r="BP170" s="73"/>
      <c r="BQ170" s="73"/>
      <c r="BR170" s="73"/>
      <c r="BS170" s="73"/>
      <c r="BT170" s="73"/>
      <c r="BU170" s="73"/>
      <c r="BV170" s="73"/>
      <c r="BW170" s="73"/>
      <c r="BX170" s="73"/>
      <c r="BY170" s="73"/>
    </row>
    <row r="171" ht="19.5" customHeight="1">
      <c r="A171" s="69" t="str">
        <f>IF(Roster!$A$169&lt;&gt;"",Roster!$A$169,"")</f>
        <v/>
      </c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  <c r="AA171" s="70"/>
      <c r="AB171" s="70"/>
      <c r="AC171" s="70"/>
      <c r="AD171" s="70"/>
      <c r="AE171" s="70"/>
      <c r="AF171" s="70"/>
      <c r="AG171" s="70"/>
      <c r="AH171" s="70"/>
      <c r="AI171" s="70"/>
      <c r="AJ171" s="70"/>
      <c r="AK171" s="70"/>
      <c r="AL171" s="70"/>
      <c r="AM171" s="70"/>
      <c r="AN171" s="70"/>
      <c r="AO171" s="70"/>
      <c r="AP171" s="70"/>
      <c r="AQ171" s="70"/>
      <c r="AR171" s="70"/>
      <c r="AS171" s="70"/>
      <c r="AT171" s="70"/>
      <c r="AU171" s="70"/>
      <c r="AV171" s="72"/>
      <c r="AW171" s="72"/>
      <c r="AX171" s="72"/>
      <c r="AY171" s="72"/>
      <c r="AZ171" s="72"/>
      <c r="BA171" s="72"/>
      <c r="BB171" s="72"/>
      <c r="BC171" s="72"/>
      <c r="BD171" s="72"/>
      <c r="BE171" s="72"/>
      <c r="BF171" s="72"/>
      <c r="BG171" s="72"/>
      <c r="BH171" s="72"/>
      <c r="BI171" s="72"/>
      <c r="BJ171" s="72"/>
      <c r="BK171" s="72"/>
      <c r="BL171" s="72"/>
      <c r="BM171" s="72"/>
      <c r="BN171" s="72"/>
      <c r="BO171" s="72"/>
      <c r="BP171" s="72"/>
      <c r="BQ171" s="72"/>
      <c r="BR171" s="72"/>
      <c r="BS171" s="72"/>
      <c r="BT171" s="72"/>
      <c r="BU171" s="72"/>
      <c r="BV171" s="72"/>
      <c r="BW171" s="72"/>
      <c r="BX171" s="72"/>
      <c r="BY171" s="72"/>
    </row>
    <row r="172" ht="19.5" customHeight="1">
      <c r="A172" s="69" t="str">
        <f>IF(Roster!$A$170&lt;&gt;"",Roster!$A$170,"")</f>
        <v/>
      </c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  <c r="AA172" s="70"/>
      <c r="AB172" s="70"/>
      <c r="AC172" s="70"/>
      <c r="AD172" s="70"/>
      <c r="AE172" s="70"/>
      <c r="AF172" s="70"/>
      <c r="AG172" s="70"/>
      <c r="AH172" s="70"/>
      <c r="AI172" s="70"/>
      <c r="AJ172" s="70"/>
      <c r="AK172" s="70"/>
      <c r="AL172" s="70"/>
      <c r="AM172" s="70"/>
      <c r="AN172" s="70"/>
      <c r="AO172" s="70"/>
      <c r="AP172" s="70"/>
      <c r="AQ172" s="70"/>
      <c r="AR172" s="70"/>
      <c r="AS172" s="70"/>
      <c r="AT172" s="70"/>
      <c r="AU172" s="70"/>
      <c r="AV172" s="73"/>
      <c r="AW172" s="73"/>
      <c r="AX172" s="73"/>
      <c r="AY172" s="73"/>
      <c r="AZ172" s="73"/>
      <c r="BA172" s="73"/>
      <c r="BB172" s="73"/>
      <c r="BC172" s="73"/>
      <c r="BD172" s="73"/>
      <c r="BE172" s="73"/>
      <c r="BF172" s="73"/>
      <c r="BG172" s="73"/>
      <c r="BH172" s="73"/>
      <c r="BI172" s="73"/>
      <c r="BJ172" s="73"/>
      <c r="BK172" s="73"/>
      <c r="BL172" s="73"/>
      <c r="BM172" s="73"/>
      <c r="BN172" s="73"/>
      <c r="BO172" s="73"/>
      <c r="BP172" s="73"/>
      <c r="BQ172" s="73"/>
      <c r="BR172" s="73"/>
      <c r="BS172" s="73"/>
      <c r="BT172" s="73"/>
      <c r="BU172" s="73"/>
      <c r="BV172" s="73"/>
      <c r="BW172" s="73"/>
      <c r="BX172" s="73"/>
      <c r="BY172" s="73"/>
    </row>
    <row r="173" ht="19.5" customHeight="1">
      <c r="A173" s="69" t="str">
        <f>IF(Roster!$A$171&lt;&gt;"",Roster!$A$171,"")</f>
        <v/>
      </c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  <c r="AA173" s="70"/>
      <c r="AB173" s="70"/>
      <c r="AC173" s="70"/>
      <c r="AD173" s="70"/>
      <c r="AE173" s="70"/>
      <c r="AF173" s="70"/>
      <c r="AG173" s="70"/>
      <c r="AH173" s="70"/>
      <c r="AI173" s="70"/>
      <c r="AJ173" s="70"/>
      <c r="AK173" s="70"/>
      <c r="AL173" s="70"/>
      <c r="AM173" s="70"/>
      <c r="AN173" s="70"/>
      <c r="AO173" s="70"/>
      <c r="AP173" s="70"/>
      <c r="AQ173" s="70"/>
      <c r="AR173" s="70"/>
      <c r="AS173" s="70"/>
      <c r="AT173" s="70"/>
      <c r="AU173" s="70"/>
      <c r="AV173" s="72"/>
      <c r="AW173" s="72"/>
      <c r="AX173" s="72"/>
      <c r="AY173" s="72"/>
      <c r="AZ173" s="72"/>
      <c r="BA173" s="72"/>
      <c r="BB173" s="72"/>
      <c r="BC173" s="72"/>
      <c r="BD173" s="72"/>
      <c r="BE173" s="72"/>
      <c r="BF173" s="72"/>
      <c r="BG173" s="72"/>
      <c r="BH173" s="72"/>
      <c r="BI173" s="72"/>
      <c r="BJ173" s="72"/>
      <c r="BK173" s="72"/>
      <c r="BL173" s="72"/>
      <c r="BM173" s="72"/>
      <c r="BN173" s="72"/>
      <c r="BO173" s="72"/>
      <c r="BP173" s="72"/>
      <c r="BQ173" s="72"/>
      <c r="BR173" s="72"/>
      <c r="BS173" s="72"/>
      <c r="BT173" s="72"/>
      <c r="BU173" s="72"/>
      <c r="BV173" s="72"/>
      <c r="BW173" s="72"/>
      <c r="BX173" s="72"/>
      <c r="BY173" s="72"/>
    </row>
    <row r="174" ht="19.5" customHeight="1">
      <c r="A174" s="69" t="str">
        <f>IF(Roster!$A$172&lt;&gt;"",Roster!$A$172,"")</f>
        <v/>
      </c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  <c r="AA174" s="70"/>
      <c r="AB174" s="70"/>
      <c r="AC174" s="70"/>
      <c r="AD174" s="70"/>
      <c r="AE174" s="70"/>
      <c r="AF174" s="70"/>
      <c r="AG174" s="70"/>
      <c r="AH174" s="70"/>
      <c r="AI174" s="70"/>
      <c r="AJ174" s="70"/>
      <c r="AK174" s="70"/>
      <c r="AL174" s="70"/>
      <c r="AM174" s="70"/>
      <c r="AN174" s="70"/>
      <c r="AO174" s="70"/>
      <c r="AP174" s="70"/>
      <c r="AQ174" s="70"/>
      <c r="AR174" s="70"/>
      <c r="AS174" s="70"/>
      <c r="AT174" s="70"/>
      <c r="AU174" s="70"/>
      <c r="AV174" s="73"/>
      <c r="AW174" s="73"/>
      <c r="AX174" s="73"/>
      <c r="AY174" s="73"/>
      <c r="AZ174" s="73"/>
      <c r="BA174" s="73"/>
      <c r="BB174" s="73"/>
      <c r="BC174" s="73"/>
      <c r="BD174" s="73"/>
      <c r="BE174" s="73"/>
      <c r="BF174" s="73"/>
      <c r="BG174" s="73"/>
      <c r="BH174" s="73"/>
      <c r="BI174" s="73"/>
      <c r="BJ174" s="73"/>
      <c r="BK174" s="73"/>
      <c r="BL174" s="73"/>
      <c r="BM174" s="73"/>
      <c r="BN174" s="73"/>
      <c r="BO174" s="73"/>
      <c r="BP174" s="73"/>
      <c r="BQ174" s="73"/>
      <c r="BR174" s="73"/>
      <c r="BS174" s="73"/>
      <c r="BT174" s="73"/>
      <c r="BU174" s="73"/>
      <c r="BV174" s="73"/>
      <c r="BW174" s="73"/>
      <c r="BX174" s="73"/>
      <c r="BY174" s="73"/>
    </row>
    <row r="175" ht="19.5" customHeight="1">
      <c r="A175" s="69" t="str">
        <f>IF(Roster!$A$173&lt;&gt;"",Roster!$A$173,"")</f>
        <v/>
      </c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  <c r="AA175" s="70"/>
      <c r="AB175" s="70"/>
      <c r="AC175" s="70"/>
      <c r="AD175" s="70"/>
      <c r="AE175" s="70"/>
      <c r="AF175" s="70"/>
      <c r="AG175" s="70"/>
      <c r="AH175" s="70"/>
      <c r="AI175" s="70"/>
      <c r="AJ175" s="70"/>
      <c r="AK175" s="70"/>
      <c r="AL175" s="70"/>
      <c r="AM175" s="70"/>
      <c r="AN175" s="70"/>
      <c r="AO175" s="70"/>
      <c r="AP175" s="70"/>
      <c r="AQ175" s="70"/>
      <c r="AR175" s="70"/>
      <c r="AS175" s="70"/>
      <c r="AT175" s="70"/>
      <c r="AU175" s="70"/>
      <c r="AV175" s="72"/>
      <c r="AW175" s="72"/>
      <c r="AX175" s="72"/>
      <c r="AY175" s="72"/>
      <c r="AZ175" s="72"/>
      <c r="BA175" s="72"/>
      <c r="BB175" s="72"/>
      <c r="BC175" s="72"/>
      <c r="BD175" s="72"/>
      <c r="BE175" s="72"/>
      <c r="BF175" s="72"/>
      <c r="BG175" s="72"/>
      <c r="BH175" s="72"/>
      <c r="BI175" s="72"/>
      <c r="BJ175" s="72"/>
      <c r="BK175" s="72"/>
      <c r="BL175" s="72"/>
      <c r="BM175" s="72"/>
      <c r="BN175" s="72"/>
      <c r="BO175" s="72"/>
      <c r="BP175" s="72"/>
      <c r="BQ175" s="72"/>
      <c r="BR175" s="72"/>
      <c r="BS175" s="72"/>
      <c r="BT175" s="72"/>
      <c r="BU175" s="72"/>
      <c r="BV175" s="72"/>
      <c r="BW175" s="72"/>
      <c r="BX175" s="72"/>
      <c r="BY175" s="72"/>
    </row>
    <row r="176" ht="19.5" customHeight="1">
      <c r="A176" s="69" t="str">
        <f>IF(Roster!$A$174&lt;&gt;"",Roster!$A$174,"")</f>
        <v/>
      </c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  <c r="AA176" s="70"/>
      <c r="AB176" s="70"/>
      <c r="AC176" s="70"/>
      <c r="AD176" s="70"/>
      <c r="AE176" s="70"/>
      <c r="AF176" s="70"/>
      <c r="AG176" s="70"/>
      <c r="AH176" s="70"/>
      <c r="AI176" s="70"/>
      <c r="AJ176" s="70"/>
      <c r="AK176" s="70"/>
      <c r="AL176" s="70"/>
      <c r="AM176" s="70"/>
      <c r="AN176" s="70"/>
      <c r="AO176" s="70"/>
      <c r="AP176" s="70"/>
      <c r="AQ176" s="70"/>
      <c r="AR176" s="70"/>
      <c r="AS176" s="70"/>
      <c r="AT176" s="70"/>
      <c r="AU176" s="70"/>
      <c r="AV176" s="73"/>
      <c r="AW176" s="73"/>
      <c r="AX176" s="73"/>
      <c r="AY176" s="73"/>
      <c r="AZ176" s="73"/>
      <c r="BA176" s="73"/>
      <c r="BB176" s="73"/>
      <c r="BC176" s="73"/>
      <c r="BD176" s="73"/>
      <c r="BE176" s="73"/>
      <c r="BF176" s="73"/>
      <c r="BG176" s="73"/>
      <c r="BH176" s="73"/>
      <c r="BI176" s="73"/>
      <c r="BJ176" s="73"/>
      <c r="BK176" s="73"/>
      <c r="BL176" s="73"/>
      <c r="BM176" s="73"/>
      <c r="BN176" s="73"/>
      <c r="BO176" s="73"/>
      <c r="BP176" s="73"/>
      <c r="BQ176" s="73"/>
      <c r="BR176" s="73"/>
      <c r="BS176" s="73"/>
      <c r="BT176" s="73"/>
      <c r="BU176" s="73"/>
      <c r="BV176" s="73"/>
      <c r="BW176" s="73"/>
      <c r="BX176" s="73"/>
      <c r="BY176" s="73"/>
    </row>
    <row r="177" ht="19.5" customHeight="1">
      <c r="A177" s="69" t="str">
        <f>IF(Roster!$A$175&lt;&gt;"",Roster!$A$175,"")</f>
        <v/>
      </c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  <c r="AA177" s="70"/>
      <c r="AB177" s="70"/>
      <c r="AC177" s="70"/>
      <c r="AD177" s="70"/>
      <c r="AE177" s="70"/>
      <c r="AF177" s="70"/>
      <c r="AG177" s="70"/>
      <c r="AH177" s="70"/>
      <c r="AI177" s="70"/>
      <c r="AJ177" s="70"/>
      <c r="AK177" s="70"/>
      <c r="AL177" s="70"/>
      <c r="AM177" s="70"/>
      <c r="AN177" s="70"/>
      <c r="AO177" s="70"/>
      <c r="AP177" s="70"/>
      <c r="AQ177" s="70"/>
      <c r="AR177" s="70"/>
      <c r="AS177" s="70"/>
      <c r="AT177" s="70"/>
      <c r="AU177" s="70"/>
      <c r="AV177" s="72"/>
      <c r="AW177" s="72"/>
      <c r="AX177" s="72"/>
      <c r="AY177" s="72"/>
      <c r="AZ177" s="72"/>
      <c r="BA177" s="72"/>
      <c r="BB177" s="72"/>
      <c r="BC177" s="72"/>
      <c r="BD177" s="72"/>
      <c r="BE177" s="72"/>
      <c r="BF177" s="72"/>
      <c r="BG177" s="72"/>
      <c r="BH177" s="72"/>
      <c r="BI177" s="72"/>
      <c r="BJ177" s="72"/>
      <c r="BK177" s="72"/>
      <c r="BL177" s="72"/>
      <c r="BM177" s="72"/>
      <c r="BN177" s="72"/>
      <c r="BO177" s="72"/>
      <c r="BP177" s="72"/>
      <c r="BQ177" s="72"/>
      <c r="BR177" s="72"/>
      <c r="BS177" s="72"/>
      <c r="BT177" s="72"/>
      <c r="BU177" s="72"/>
      <c r="BV177" s="72"/>
      <c r="BW177" s="72"/>
      <c r="BX177" s="72"/>
      <c r="BY177" s="72"/>
    </row>
    <row r="178" ht="19.5" customHeight="1">
      <c r="A178" s="69" t="str">
        <f>IF(Roster!$A$176&lt;&gt;"",Roster!$A$176,"")</f>
        <v/>
      </c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  <c r="AA178" s="70"/>
      <c r="AB178" s="70"/>
      <c r="AC178" s="70"/>
      <c r="AD178" s="70"/>
      <c r="AE178" s="70"/>
      <c r="AF178" s="70"/>
      <c r="AG178" s="70"/>
      <c r="AH178" s="70"/>
      <c r="AI178" s="70"/>
      <c r="AJ178" s="70"/>
      <c r="AK178" s="70"/>
      <c r="AL178" s="70"/>
      <c r="AM178" s="70"/>
      <c r="AN178" s="70"/>
      <c r="AO178" s="70"/>
      <c r="AP178" s="70"/>
      <c r="AQ178" s="70"/>
      <c r="AR178" s="70"/>
      <c r="AS178" s="70"/>
      <c r="AT178" s="70"/>
      <c r="AU178" s="70"/>
      <c r="AV178" s="73"/>
      <c r="AW178" s="73"/>
      <c r="AX178" s="73"/>
      <c r="AY178" s="73"/>
      <c r="AZ178" s="73"/>
      <c r="BA178" s="73"/>
      <c r="BB178" s="73"/>
      <c r="BC178" s="73"/>
      <c r="BD178" s="73"/>
      <c r="BE178" s="73"/>
      <c r="BF178" s="73"/>
      <c r="BG178" s="73"/>
      <c r="BH178" s="73"/>
      <c r="BI178" s="73"/>
      <c r="BJ178" s="73"/>
      <c r="BK178" s="73"/>
      <c r="BL178" s="73"/>
      <c r="BM178" s="73"/>
      <c r="BN178" s="73"/>
      <c r="BO178" s="73"/>
      <c r="BP178" s="73"/>
      <c r="BQ178" s="73"/>
      <c r="BR178" s="73"/>
      <c r="BS178" s="73"/>
      <c r="BT178" s="73"/>
      <c r="BU178" s="73"/>
      <c r="BV178" s="73"/>
      <c r="BW178" s="73"/>
      <c r="BX178" s="73"/>
      <c r="BY178" s="73"/>
    </row>
    <row r="179" ht="19.5" customHeight="1">
      <c r="A179" s="69" t="str">
        <f>IF(Roster!$A$177&lt;&gt;"",Roster!$A$177,"")</f>
        <v/>
      </c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  <c r="AA179" s="70"/>
      <c r="AB179" s="70"/>
      <c r="AC179" s="70"/>
      <c r="AD179" s="70"/>
      <c r="AE179" s="70"/>
      <c r="AF179" s="70"/>
      <c r="AG179" s="70"/>
      <c r="AH179" s="70"/>
      <c r="AI179" s="70"/>
      <c r="AJ179" s="70"/>
      <c r="AK179" s="70"/>
      <c r="AL179" s="70"/>
      <c r="AM179" s="70"/>
      <c r="AN179" s="70"/>
      <c r="AO179" s="70"/>
      <c r="AP179" s="70"/>
      <c r="AQ179" s="70"/>
      <c r="AR179" s="70"/>
      <c r="AS179" s="70"/>
      <c r="AT179" s="70"/>
      <c r="AU179" s="70"/>
      <c r="AV179" s="72"/>
      <c r="AW179" s="72"/>
      <c r="AX179" s="72"/>
      <c r="AY179" s="72"/>
      <c r="AZ179" s="72"/>
      <c r="BA179" s="72"/>
      <c r="BB179" s="72"/>
      <c r="BC179" s="72"/>
      <c r="BD179" s="72"/>
      <c r="BE179" s="72"/>
      <c r="BF179" s="72"/>
      <c r="BG179" s="72"/>
      <c r="BH179" s="72"/>
      <c r="BI179" s="72"/>
      <c r="BJ179" s="72"/>
      <c r="BK179" s="72"/>
      <c r="BL179" s="72"/>
      <c r="BM179" s="72"/>
      <c r="BN179" s="72"/>
      <c r="BO179" s="72"/>
      <c r="BP179" s="72"/>
      <c r="BQ179" s="72"/>
      <c r="BR179" s="72"/>
      <c r="BS179" s="72"/>
      <c r="BT179" s="72"/>
      <c r="BU179" s="72"/>
      <c r="BV179" s="72"/>
      <c r="BW179" s="72"/>
      <c r="BX179" s="72"/>
      <c r="BY179" s="72"/>
    </row>
    <row r="180" ht="19.5" customHeight="1">
      <c r="A180" s="69" t="str">
        <f>IF(Roster!$A$178&lt;&gt;"",Roster!$A$178,"")</f>
        <v/>
      </c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  <c r="AA180" s="70"/>
      <c r="AB180" s="70"/>
      <c r="AC180" s="70"/>
      <c r="AD180" s="70"/>
      <c r="AE180" s="70"/>
      <c r="AF180" s="70"/>
      <c r="AG180" s="70"/>
      <c r="AH180" s="70"/>
      <c r="AI180" s="70"/>
      <c r="AJ180" s="70"/>
      <c r="AK180" s="70"/>
      <c r="AL180" s="70"/>
      <c r="AM180" s="70"/>
      <c r="AN180" s="70"/>
      <c r="AO180" s="70"/>
      <c r="AP180" s="70"/>
      <c r="AQ180" s="70"/>
      <c r="AR180" s="70"/>
      <c r="AS180" s="70"/>
      <c r="AT180" s="70"/>
      <c r="AU180" s="70"/>
      <c r="AV180" s="73"/>
      <c r="AW180" s="73"/>
      <c r="AX180" s="73"/>
      <c r="AY180" s="73"/>
      <c r="AZ180" s="73"/>
      <c r="BA180" s="73"/>
      <c r="BB180" s="73"/>
      <c r="BC180" s="73"/>
      <c r="BD180" s="73"/>
      <c r="BE180" s="73"/>
      <c r="BF180" s="73"/>
      <c r="BG180" s="73"/>
      <c r="BH180" s="73"/>
      <c r="BI180" s="73"/>
      <c r="BJ180" s="73"/>
      <c r="BK180" s="73"/>
      <c r="BL180" s="73"/>
      <c r="BM180" s="73"/>
      <c r="BN180" s="73"/>
      <c r="BO180" s="73"/>
      <c r="BP180" s="73"/>
      <c r="BQ180" s="73"/>
      <c r="BR180" s="73"/>
      <c r="BS180" s="73"/>
      <c r="BT180" s="73"/>
      <c r="BU180" s="73"/>
      <c r="BV180" s="73"/>
      <c r="BW180" s="73"/>
      <c r="BX180" s="73"/>
      <c r="BY180" s="73"/>
    </row>
    <row r="181" ht="19.5" customHeight="1">
      <c r="A181" s="69" t="str">
        <f>IF(Roster!$A$179&lt;&gt;"",Roster!$A$179,"")</f>
        <v/>
      </c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  <c r="AA181" s="70"/>
      <c r="AB181" s="70"/>
      <c r="AC181" s="70"/>
      <c r="AD181" s="70"/>
      <c r="AE181" s="70"/>
      <c r="AF181" s="70"/>
      <c r="AG181" s="70"/>
      <c r="AH181" s="70"/>
      <c r="AI181" s="70"/>
      <c r="AJ181" s="70"/>
      <c r="AK181" s="70"/>
      <c r="AL181" s="70"/>
      <c r="AM181" s="70"/>
      <c r="AN181" s="70"/>
      <c r="AO181" s="70"/>
      <c r="AP181" s="70"/>
      <c r="AQ181" s="70"/>
      <c r="AR181" s="70"/>
      <c r="AS181" s="70"/>
      <c r="AT181" s="70"/>
      <c r="AU181" s="70"/>
      <c r="AV181" s="72"/>
      <c r="AW181" s="72"/>
      <c r="AX181" s="72"/>
      <c r="AY181" s="72"/>
      <c r="AZ181" s="72"/>
      <c r="BA181" s="72"/>
      <c r="BB181" s="72"/>
      <c r="BC181" s="72"/>
      <c r="BD181" s="72"/>
      <c r="BE181" s="72"/>
      <c r="BF181" s="72"/>
      <c r="BG181" s="72"/>
      <c r="BH181" s="72"/>
      <c r="BI181" s="72"/>
      <c r="BJ181" s="72"/>
      <c r="BK181" s="72"/>
      <c r="BL181" s="72"/>
      <c r="BM181" s="72"/>
      <c r="BN181" s="72"/>
      <c r="BO181" s="72"/>
      <c r="BP181" s="72"/>
      <c r="BQ181" s="72"/>
      <c r="BR181" s="72"/>
      <c r="BS181" s="72"/>
      <c r="BT181" s="72"/>
      <c r="BU181" s="72"/>
      <c r="BV181" s="72"/>
      <c r="BW181" s="72"/>
      <c r="BX181" s="72"/>
      <c r="BY181" s="72"/>
    </row>
    <row r="182" ht="19.5" customHeight="1">
      <c r="A182" s="69" t="str">
        <f>IF(Roster!$A$180&lt;&gt;"",Roster!$A$180,"")</f>
        <v/>
      </c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  <c r="AA182" s="70"/>
      <c r="AB182" s="70"/>
      <c r="AC182" s="70"/>
      <c r="AD182" s="70"/>
      <c r="AE182" s="70"/>
      <c r="AF182" s="70"/>
      <c r="AG182" s="70"/>
      <c r="AH182" s="70"/>
      <c r="AI182" s="70"/>
      <c r="AJ182" s="70"/>
      <c r="AK182" s="70"/>
      <c r="AL182" s="70"/>
      <c r="AM182" s="70"/>
      <c r="AN182" s="70"/>
      <c r="AO182" s="70"/>
      <c r="AP182" s="70"/>
      <c r="AQ182" s="70"/>
      <c r="AR182" s="70"/>
      <c r="AS182" s="70"/>
      <c r="AT182" s="70"/>
      <c r="AU182" s="70"/>
      <c r="AV182" s="73"/>
      <c r="AW182" s="73"/>
      <c r="AX182" s="73"/>
      <c r="AY182" s="73"/>
      <c r="AZ182" s="73"/>
      <c r="BA182" s="73"/>
      <c r="BB182" s="73"/>
      <c r="BC182" s="73"/>
      <c r="BD182" s="73"/>
      <c r="BE182" s="73"/>
      <c r="BF182" s="73"/>
      <c r="BG182" s="73"/>
      <c r="BH182" s="73"/>
      <c r="BI182" s="73"/>
      <c r="BJ182" s="73"/>
      <c r="BK182" s="73"/>
      <c r="BL182" s="73"/>
      <c r="BM182" s="73"/>
      <c r="BN182" s="73"/>
      <c r="BO182" s="73"/>
      <c r="BP182" s="73"/>
      <c r="BQ182" s="73"/>
      <c r="BR182" s="73"/>
      <c r="BS182" s="73"/>
      <c r="BT182" s="73"/>
      <c r="BU182" s="73"/>
      <c r="BV182" s="73"/>
      <c r="BW182" s="73"/>
      <c r="BX182" s="73"/>
      <c r="BY182" s="73"/>
    </row>
    <row r="183" ht="19.5" customHeight="1">
      <c r="A183" s="69" t="str">
        <f>IF(Roster!$A$181&lt;&gt;"",Roster!$A$181,"")</f>
        <v/>
      </c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  <c r="AA183" s="70"/>
      <c r="AB183" s="70"/>
      <c r="AC183" s="70"/>
      <c r="AD183" s="70"/>
      <c r="AE183" s="70"/>
      <c r="AF183" s="70"/>
      <c r="AG183" s="70"/>
      <c r="AH183" s="70"/>
      <c r="AI183" s="70"/>
      <c r="AJ183" s="70"/>
      <c r="AK183" s="70"/>
      <c r="AL183" s="70"/>
      <c r="AM183" s="70"/>
      <c r="AN183" s="70"/>
      <c r="AO183" s="70"/>
      <c r="AP183" s="70"/>
      <c r="AQ183" s="70"/>
      <c r="AR183" s="70"/>
      <c r="AS183" s="70"/>
      <c r="AT183" s="70"/>
      <c r="AU183" s="70"/>
      <c r="AV183" s="72"/>
      <c r="AW183" s="72"/>
      <c r="AX183" s="72"/>
      <c r="AY183" s="72"/>
      <c r="AZ183" s="72"/>
      <c r="BA183" s="72"/>
      <c r="BB183" s="72"/>
      <c r="BC183" s="72"/>
      <c r="BD183" s="72"/>
      <c r="BE183" s="72"/>
      <c r="BF183" s="72"/>
      <c r="BG183" s="72"/>
      <c r="BH183" s="72"/>
      <c r="BI183" s="72"/>
      <c r="BJ183" s="72"/>
      <c r="BK183" s="72"/>
      <c r="BL183" s="72"/>
      <c r="BM183" s="72"/>
      <c r="BN183" s="72"/>
      <c r="BO183" s="72"/>
      <c r="BP183" s="72"/>
      <c r="BQ183" s="72"/>
      <c r="BR183" s="72"/>
      <c r="BS183" s="72"/>
      <c r="BT183" s="72"/>
      <c r="BU183" s="72"/>
      <c r="BV183" s="72"/>
      <c r="BW183" s="72"/>
      <c r="BX183" s="72"/>
      <c r="BY183" s="72"/>
    </row>
    <row r="184" ht="19.5" customHeight="1">
      <c r="A184" s="69" t="str">
        <f>IF(Roster!$A$182&lt;&gt;"",Roster!$A$182,"")</f>
        <v/>
      </c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  <c r="AA184" s="70"/>
      <c r="AB184" s="70"/>
      <c r="AC184" s="70"/>
      <c r="AD184" s="70"/>
      <c r="AE184" s="70"/>
      <c r="AF184" s="70"/>
      <c r="AG184" s="70"/>
      <c r="AH184" s="70"/>
      <c r="AI184" s="70"/>
      <c r="AJ184" s="70"/>
      <c r="AK184" s="70"/>
      <c r="AL184" s="70"/>
      <c r="AM184" s="70"/>
      <c r="AN184" s="70"/>
      <c r="AO184" s="70"/>
      <c r="AP184" s="70"/>
      <c r="AQ184" s="70"/>
      <c r="AR184" s="70"/>
      <c r="AS184" s="70"/>
      <c r="AT184" s="70"/>
      <c r="AU184" s="70"/>
      <c r="AV184" s="73"/>
      <c r="AW184" s="73"/>
      <c r="AX184" s="73"/>
      <c r="AY184" s="73"/>
      <c r="AZ184" s="73"/>
      <c r="BA184" s="73"/>
      <c r="BB184" s="73"/>
      <c r="BC184" s="73"/>
      <c r="BD184" s="73"/>
      <c r="BE184" s="73"/>
      <c r="BF184" s="73"/>
      <c r="BG184" s="73"/>
      <c r="BH184" s="73"/>
      <c r="BI184" s="73"/>
      <c r="BJ184" s="73"/>
      <c r="BK184" s="73"/>
      <c r="BL184" s="73"/>
      <c r="BM184" s="73"/>
      <c r="BN184" s="73"/>
      <c r="BO184" s="73"/>
      <c r="BP184" s="73"/>
      <c r="BQ184" s="73"/>
      <c r="BR184" s="73"/>
      <c r="BS184" s="73"/>
      <c r="BT184" s="73"/>
      <c r="BU184" s="73"/>
      <c r="BV184" s="73"/>
      <c r="BW184" s="73"/>
      <c r="BX184" s="73"/>
      <c r="BY184" s="73"/>
    </row>
    <row r="185" ht="19.5" customHeight="1">
      <c r="A185" s="69" t="str">
        <f>IF(Roster!$A$183&lt;&gt;"",Roster!$A$183,"")</f>
        <v/>
      </c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  <c r="AA185" s="70"/>
      <c r="AB185" s="70"/>
      <c r="AC185" s="70"/>
      <c r="AD185" s="70"/>
      <c r="AE185" s="70"/>
      <c r="AF185" s="70"/>
      <c r="AG185" s="70"/>
      <c r="AH185" s="70"/>
      <c r="AI185" s="70"/>
      <c r="AJ185" s="70"/>
      <c r="AK185" s="70"/>
      <c r="AL185" s="70"/>
      <c r="AM185" s="70"/>
      <c r="AN185" s="70"/>
      <c r="AO185" s="70"/>
      <c r="AP185" s="70"/>
      <c r="AQ185" s="70"/>
      <c r="AR185" s="70"/>
      <c r="AS185" s="70"/>
      <c r="AT185" s="70"/>
      <c r="AU185" s="70"/>
      <c r="AV185" s="72"/>
      <c r="AW185" s="72"/>
      <c r="AX185" s="72"/>
      <c r="AY185" s="72"/>
      <c r="AZ185" s="72"/>
      <c r="BA185" s="72"/>
      <c r="BB185" s="72"/>
      <c r="BC185" s="72"/>
      <c r="BD185" s="72"/>
      <c r="BE185" s="72"/>
      <c r="BF185" s="72"/>
      <c r="BG185" s="72"/>
      <c r="BH185" s="72"/>
      <c r="BI185" s="72"/>
      <c r="BJ185" s="72"/>
      <c r="BK185" s="72"/>
      <c r="BL185" s="72"/>
      <c r="BM185" s="72"/>
      <c r="BN185" s="72"/>
      <c r="BO185" s="72"/>
      <c r="BP185" s="72"/>
      <c r="BQ185" s="72"/>
      <c r="BR185" s="72"/>
      <c r="BS185" s="72"/>
      <c r="BT185" s="72"/>
      <c r="BU185" s="72"/>
      <c r="BV185" s="72"/>
      <c r="BW185" s="72"/>
      <c r="BX185" s="72"/>
      <c r="BY185" s="72"/>
    </row>
    <row r="186" ht="19.5" customHeight="1">
      <c r="A186" s="69" t="str">
        <f>IF(Roster!$A$184&lt;&gt;"",Roster!$A$184,"")</f>
        <v/>
      </c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  <c r="AA186" s="70"/>
      <c r="AB186" s="70"/>
      <c r="AC186" s="70"/>
      <c r="AD186" s="70"/>
      <c r="AE186" s="70"/>
      <c r="AF186" s="70"/>
      <c r="AG186" s="70"/>
      <c r="AH186" s="70"/>
      <c r="AI186" s="70"/>
      <c r="AJ186" s="70"/>
      <c r="AK186" s="70"/>
      <c r="AL186" s="70"/>
      <c r="AM186" s="70"/>
      <c r="AN186" s="70"/>
      <c r="AO186" s="70"/>
      <c r="AP186" s="70"/>
      <c r="AQ186" s="70"/>
      <c r="AR186" s="70"/>
      <c r="AS186" s="70"/>
      <c r="AT186" s="70"/>
      <c r="AU186" s="70"/>
      <c r="AV186" s="73"/>
      <c r="AW186" s="73"/>
      <c r="AX186" s="73"/>
      <c r="AY186" s="73"/>
      <c r="AZ186" s="73"/>
      <c r="BA186" s="73"/>
      <c r="BB186" s="73"/>
      <c r="BC186" s="73"/>
      <c r="BD186" s="73"/>
      <c r="BE186" s="73"/>
      <c r="BF186" s="73"/>
      <c r="BG186" s="73"/>
      <c r="BH186" s="73"/>
      <c r="BI186" s="73"/>
      <c r="BJ186" s="73"/>
      <c r="BK186" s="73"/>
      <c r="BL186" s="73"/>
      <c r="BM186" s="73"/>
      <c r="BN186" s="73"/>
      <c r="BO186" s="73"/>
      <c r="BP186" s="73"/>
      <c r="BQ186" s="73"/>
      <c r="BR186" s="73"/>
      <c r="BS186" s="73"/>
      <c r="BT186" s="73"/>
      <c r="BU186" s="73"/>
      <c r="BV186" s="73"/>
      <c r="BW186" s="73"/>
      <c r="BX186" s="73"/>
      <c r="BY186" s="73"/>
    </row>
    <row r="187" ht="19.5" customHeight="1">
      <c r="A187" s="69" t="str">
        <f>IF(Roster!$A$185&lt;&gt;"",Roster!$A$185,"")</f>
        <v/>
      </c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  <c r="AA187" s="70"/>
      <c r="AB187" s="70"/>
      <c r="AC187" s="70"/>
      <c r="AD187" s="70"/>
      <c r="AE187" s="70"/>
      <c r="AF187" s="70"/>
      <c r="AG187" s="70"/>
      <c r="AH187" s="70"/>
      <c r="AI187" s="70"/>
      <c r="AJ187" s="70"/>
      <c r="AK187" s="70"/>
      <c r="AL187" s="70"/>
      <c r="AM187" s="70"/>
      <c r="AN187" s="70"/>
      <c r="AO187" s="70"/>
      <c r="AP187" s="70"/>
      <c r="AQ187" s="70"/>
      <c r="AR187" s="70"/>
      <c r="AS187" s="70"/>
      <c r="AT187" s="70"/>
      <c r="AU187" s="70"/>
      <c r="AV187" s="72"/>
      <c r="AW187" s="72"/>
      <c r="AX187" s="72"/>
      <c r="AY187" s="72"/>
      <c r="AZ187" s="72"/>
      <c r="BA187" s="72"/>
      <c r="BB187" s="72"/>
      <c r="BC187" s="72"/>
      <c r="BD187" s="72"/>
      <c r="BE187" s="72"/>
      <c r="BF187" s="72"/>
      <c r="BG187" s="72"/>
      <c r="BH187" s="72"/>
      <c r="BI187" s="72"/>
      <c r="BJ187" s="72"/>
      <c r="BK187" s="72"/>
      <c r="BL187" s="72"/>
      <c r="BM187" s="72"/>
      <c r="BN187" s="72"/>
      <c r="BO187" s="72"/>
      <c r="BP187" s="72"/>
      <c r="BQ187" s="72"/>
      <c r="BR187" s="72"/>
      <c r="BS187" s="72"/>
      <c r="BT187" s="72"/>
      <c r="BU187" s="72"/>
      <c r="BV187" s="72"/>
      <c r="BW187" s="72"/>
      <c r="BX187" s="72"/>
      <c r="BY187" s="72"/>
    </row>
    <row r="188" ht="19.5" customHeight="1">
      <c r="A188" s="69" t="str">
        <f>IF(Roster!$A$186&lt;&gt;"",Roster!$A$186,"")</f>
        <v/>
      </c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  <c r="AA188" s="70"/>
      <c r="AB188" s="70"/>
      <c r="AC188" s="70"/>
      <c r="AD188" s="70"/>
      <c r="AE188" s="70"/>
      <c r="AF188" s="70"/>
      <c r="AG188" s="70"/>
      <c r="AH188" s="70"/>
      <c r="AI188" s="70"/>
      <c r="AJ188" s="70"/>
      <c r="AK188" s="70"/>
      <c r="AL188" s="70"/>
      <c r="AM188" s="70"/>
      <c r="AN188" s="70"/>
      <c r="AO188" s="70"/>
      <c r="AP188" s="70"/>
      <c r="AQ188" s="70"/>
      <c r="AR188" s="70"/>
      <c r="AS188" s="70"/>
      <c r="AT188" s="70"/>
      <c r="AU188" s="70"/>
      <c r="AV188" s="73"/>
      <c r="AW188" s="73"/>
      <c r="AX188" s="73"/>
      <c r="AY188" s="73"/>
      <c r="AZ188" s="73"/>
      <c r="BA188" s="73"/>
      <c r="BB188" s="73"/>
      <c r="BC188" s="73"/>
      <c r="BD188" s="73"/>
      <c r="BE188" s="73"/>
      <c r="BF188" s="73"/>
      <c r="BG188" s="73"/>
      <c r="BH188" s="73"/>
      <c r="BI188" s="73"/>
      <c r="BJ188" s="73"/>
      <c r="BK188" s="73"/>
      <c r="BL188" s="73"/>
      <c r="BM188" s="73"/>
      <c r="BN188" s="73"/>
      <c r="BO188" s="73"/>
      <c r="BP188" s="73"/>
      <c r="BQ188" s="73"/>
      <c r="BR188" s="73"/>
      <c r="BS188" s="73"/>
      <c r="BT188" s="73"/>
      <c r="BU188" s="73"/>
      <c r="BV188" s="73"/>
      <c r="BW188" s="73"/>
      <c r="BX188" s="73"/>
      <c r="BY188" s="73"/>
    </row>
    <row r="189" ht="19.5" customHeight="1">
      <c r="A189" s="69" t="str">
        <f>IF(Roster!$A$187&lt;&gt;"",Roster!$A$187,"")</f>
        <v/>
      </c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  <c r="AA189" s="70"/>
      <c r="AB189" s="70"/>
      <c r="AC189" s="70"/>
      <c r="AD189" s="70"/>
      <c r="AE189" s="70"/>
      <c r="AF189" s="70"/>
      <c r="AG189" s="70"/>
      <c r="AH189" s="70"/>
      <c r="AI189" s="70"/>
      <c r="AJ189" s="70"/>
      <c r="AK189" s="70"/>
      <c r="AL189" s="70"/>
      <c r="AM189" s="70"/>
      <c r="AN189" s="70"/>
      <c r="AO189" s="70"/>
      <c r="AP189" s="70"/>
      <c r="AQ189" s="70"/>
      <c r="AR189" s="70"/>
      <c r="AS189" s="70"/>
      <c r="AT189" s="70"/>
      <c r="AU189" s="70"/>
      <c r="AV189" s="72"/>
      <c r="AW189" s="72"/>
      <c r="AX189" s="72"/>
      <c r="AY189" s="72"/>
      <c r="AZ189" s="72"/>
      <c r="BA189" s="72"/>
      <c r="BB189" s="72"/>
      <c r="BC189" s="72"/>
      <c r="BD189" s="72"/>
      <c r="BE189" s="72"/>
      <c r="BF189" s="72"/>
      <c r="BG189" s="72"/>
      <c r="BH189" s="72"/>
      <c r="BI189" s="72"/>
      <c r="BJ189" s="72"/>
      <c r="BK189" s="72"/>
      <c r="BL189" s="72"/>
      <c r="BM189" s="72"/>
      <c r="BN189" s="72"/>
      <c r="BO189" s="72"/>
      <c r="BP189" s="72"/>
      <c r="BQ189" s="72"/>
      <c r="BR189" s="72"/>
      <c r="BS189" s="72"/>
      <c r="BT189" s="72"/>
      <c r="BU189" s="72"/>
      <c r="BV189" s="72"/>
      <c r="BW189" s="72"/>
      <c r="BX189" s="72"/>
      <c r="BY189" s="72"/>
    </row>
    <row r="190" ht="19.5" customHeight="1">
      <c r="A190" s="69" t="str">
        <f>IF(Roster!$A$188&lt;&gt;"",Roster!$A$188,"")</f>
        <v/>
      </c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  <c r="AA190" s="70"/>
      <c r="AB190" s="70"/>
      <c r="AC190" s="70"/>
      <c r="AD190" s="70"/>
      <c r="AE190" s="70"/>
      <c r="AF190" s="70"/>
      <c r="AG190" s="70"/>
      <c r="AH190" s="70"/>
      <c r="AI190" s="70"/>
      <c r="AJ190" s="70"/>
      <c r="AK190" s="70"/>
      <c r="AL190" s="70"/>
      <c r="AM190" s="70"/>
      <c r="AN190" s="70"/>
      <c r="AO190" s="70"/>
      <c r="AP190" s="70"/>
      <c r="AQ190" s="70"/>
      <c r="AR190" s="70"/>
      <c r="AS190" s="70"/>
      <c r="AT190" s="70"/>
      <c r="AU190" s="70"/>
      <c r="AV190" s="73"/>
      <c r="AW190" s="73"/>
      <c r="AX190" s="73"/>
      <c r="AY190" s="73"/>
      <c r="AZ190" s="73"/>
      <c r="BA190" s="73"/>
      <c r="BB190" s="73"/>
      <c r="BC190" s="73"/>
      <c r="BD190" s="73"/>
      <c r="BE190" s="73"/>
      <c r="BF190" s="73"/>
      <c r="BG190" s="73"/>
      <c r="BH190" s="73"/>
      <c r="BI190" s="73"/>
      <c r="BJ190" s="73"/>
      <c r="BK190" s="73"/>
      <c r="BL190" s="73"/>
      <c r="BM190" s="73"/>
      <c r="BN190" s="73"/>
      <c r="BO190" s="73"/>
      <c r="BP190" s="73"/>
      <c r="BQ190" s="73"/>
      <c r="BR190" s="73"/>
      <c r="BS190" s="73"/>
      <c r="BT190" s="73"/>
      <c r="BU190" s="73"/>
      <c r="BV190" s="73"/>
      <c r="BW190" s="73"/>
      <c r="BX190" s="73"/>
      <c r="BY190" s="73"/>
    </row>
    <row r="191" ht="19.5" customHeight="1">
      <c r="A191" s="69" t="str">
        <f>IF(Roster!$A$189&lt;&gt;"",Roster!$A$189,"")</f>
        <v/>
      </c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  <c r="AA191" s="70"/>
      <c r="AB191" s="70"/>
      <c r="AC191" s="70"/>
      <c r="AD191" s="70"/>
      <c r="AE191" s="70"/>
      <c r="AF191" s="70"/>
      <c r="AG191" s="70"/>
      <c r="AH191" s="70"/>
      <c r="AI191" s="70"/>
      <c r="AJ191" s="70"/>
      <c r="AK191" s="70"/>
      <c r="AL191" s="70"/>
      <c r="AM191" s="70"/>
      <c r="AN191" s="70"/>
      <c r="AO191" s="70"/>
      <c r="AP191" s="70"/>
      <c r="AQ191" s="70"/>
      <c r="AR191" s="70"/>
      <c r="AS191" s="70"/>
      <c r="AT191" s="70"/>
      <c r="AU191" s="70"/>
      <c r="AV191" s="72"/>
      <c r="AW191" s="72"/>
      <c r="AX191" s="72"/>
      <c r="AY191" s="72"/>
      <c r="AZ191" s="72"/>
      <c r="BA191" s="72"/>
      <c r="BB191" s="72"/>
      <c r="BC191" s="72"/>
      <c r="BD191" s="72"/>
      <c r="BE191" s="72"/>
      <c r="BF191" s="72"/>
      <c r="BG191" s="72"/>
      <c r="BH191" s="72"/>
      <c r="BI191" s="72"/>
      <c r="BJ191" s="72"/>
      <c r="BK191" s="72"/>
      <c r="BL191" s="72"/>
      <c r="BM191" s="72"/>
      <c r="BN191" s="72"/>
      <c r="BO191" s="72"/>
      <c r="BP191" s="72"/>
      <c r="BQ191" s="72"/>
      <c r="BR191" s="72"/>
      <c r="BS191" s="72"/>
      <c r="BT191" s="72"/>
      <c r="BU191" s="72"/>
      <c r="BV191" s="72"/>
      <c r="BW191" s="72"/>
      <c r="BX191" s="72"/>
      <c r="BY191" s="72"/>
    </row>
    <row r="192" ht="19.5" customHeight="1">
      <c r="A192" s="69" t="str">
        <f>IF(Roster!$A$190&lt;&gt;"",Roster!$A$190,"")</f>
        <v/>
      </c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  <c r="AA192" s="70"/>
      <c r="AB192" s="70"/>
      <c r="AC192" s="70"/>
      <c r="AD192" s="70"/>
      <c r="AE192" s="70"/>
      <c r="AF192" s="70"/>
      <c r="AG192" s="70"/>
      <c r="AH192" s="70"/>
      <c r="AI192" s="70"/>
      <c r="AJ192" s="70"/>
      <c r="AK192" s="70"/>
      <c r="AL192" s="70"/>
      <c r="AM192" s="70"/>
      <c r="AN192" s="70"/>
      <c r="AO192" s="70"/>
      <c r="AP192" s="70"/>
      <c r="AQ192" s="70"/>
      <c r="AR192" s="70"/>
      <c r="AS192" s="70"/>
      <c r="AT192" s="70"/>
      <c r="AU192" s="70"/>
      <c r="AV192" s="73"/>
      <c r="AW192" s="73"/>
      <c r="AX192" s="73"/>
      <c r="AY192" s="73"/>
      <c r="AZ192" s="73"/>
      <c r="BA192" s="73"/>
      <c r="BB192" s="73"/>
      <c r="BC192" s="73"/>
      <c r="BD192" s="73"/>
      <c r="BE192" s="73"/>
      <c r="BF192" s="73"/>
      <c r="BG192" s="73"/>
      <c r="BH192" s="73"/>
      <c r="BI192" s="73"/>
      <c r="BJ192" s="73"/>
      <c r="BK192" s="73"/>
      <c r="BL192" s="73"/>
      <c r="BM192" s="73"/>
      <c r="BN192" s="73"/>
      <c r="BO192" s="73"/>
      <c r="BP192" s="73"/>
      <c r="BQ192" s="73"/>
      <c r="BR192" s="73"/>
      <c r="BS192" s="73"/>
      <c r="BT192" s="73"/>
      <c r="BU192" s="73"/>
      <c r="BV192" s="73"/>
      <c r="BW192" s="73"/>
      <c r="BX192" s="73"/>
      <c r="BY192" s="73"/>
    </row>
    <row r="193" ht="19.5" customHeight="1">
      <c r="A193" s="69" t="str">
        <f>IF(Roster!$A$191&lt;&gt;"",Roster!$A$191,"")</f>
        <v/>
      </c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  <c r="AA193" s="70"/>
      <c r="AB193" s="70"/>
      <c r="AC193" s="70"/>
      <c r="AD193" s="70"/>
      <c r="AE193" s="70"/>
      <c r="AF193" s="70"/>
      <c r="AG193" s="70"/>
      <c r="AH193" s="70"/>
      <c r="AI193" s="70"/>
      <c r="AJ193" s="70"/>
      <c r="AK193" s="70"/>
      <c r="AL193" s="70"/>
      <c r="AM193" s="70"/>
      <c r="AN193" s="70"/>
      <c r="AO193" s="70"/>
      <c r="AP193" s="70"/>
      <c r="AQ193" s="70"/>
      <c r="AR193" s="70"/>
      <c r="AS193" s="70"/>
      <c r="AT193" s="70"/>
      <c r="AU193" s="70"/>
      <c r="AV193" s="72"/>
      <c r="AW193" s="72"/>
      <c r="AX193" s="72"/>
      <c r="AY193" s="72"/>
      <c r="AZ193" s="72"/>
      <c r="BA193" s="72"/>
      <c r="BB193" s="72"/>
      <c r="BC193" s="72"/>
      <c r="BD193" s="72"/>
      <c r="BE193" s="72"/>
      <c r="BF193" s="72"/>
      <c r="BG193" s="72"/>
      <c r="BH193" s="72"/>
      <c r="BI193" s="72"/>
      <c r="BJ193" s="72"/>
      <c r="BK193" s="72"/>
      <c r="BL193" s="72"/>
      <c r="BM193" s="72"/>
      <c r="BN193" s="72"/>
      <c r="BO193" s="72"/>
      <c r="BP193" s="72"/>
      <c r="BQ193" s="72"/>
      <c r="BR193" s="72"/>
      <c r="BS193" s="72"/>
      <c r="BT193" s="72"/>
      <c r="BU193" s="72"/>
      <c r="BV193" s="72"/>
      <c r="BW193" s="72"/>
      <c r="BX193" s="72"/>
      <c r="BY193" s="72"/>
    </row>
    <row r="194" ht="19.5" customHeight="1">
      <c r="A194" s="69" t="str">
        <f>IF(Roster!$A$192&lt;&gt;"",Roster!$A$192,"")</f>
        <v/>
      </c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  <c r="AA194" s="70"/>
      <c r="AB194" s="70"/>
      <c r="AC194" s="70"/>
      <c r="AD194" s="70"/>
      <c r="AE194" s="70"/>
      <c r="AF194" s="70"/>
      <c r="AG194" s="70"/>
      <c r="AH194" s="70"/>
      <c r="AI194" s="70"/>
      <c r="AJ194" s="70"/>
      <c r="AK194" s="70"/>
      <c r="AL194" s="70"/>
      <c r="AM194" s="70"/>
      <c r="AN194" s="70"/>
      <c r="AO194" s="70"/>
      <c r="AP194" s="70"/>
      <c r="AQ194" s="70"/>
      <c r="AR194" s="70"/>
      <c r="AS194" s="70"/>
      <c r="AT194" s="70"/>
      <c r="AU194" s="70"/>
      <c r="AV194" s="73"/>
      <c r="AW194" s="73"/>
      <c r="AX194" s="73"/>
      <c r="AY194" s="73"/>
      <c r="AZ194" s="73"/>
      <c r="BA194" s="73"/>
      <c r="BB194" s="73"/>
      <c r="BC194" s="73"/>
      <c r="BD194" s="73"/>
      <c r="BE194" s="73"/>
      <c r="BF194" s="73"/>
      <c r="BG194" s="73"/>
      <c r="BH194" s="73"/>
      <c r="BI194" s="73"/>
      <c r="BJ194" s="73"/>
      <c r="BK194" s="73"/>
      <c r="BL194" s="73"/>
      <c r="BM194" s="73"/>
      <c r="BN194" s="73"/>
      <c r="BO194" s="73"/>
      <c r="BP194" s="73"/>
      <c r="BQ194" s="73"/>
      <c r="BR194" s="73"/>
      <c r="BS194" s="73"/>
      <c r="BT194" s="73"/>
      <c r="BU194" s="73"/>
      <c r="BV194" s="73"/>
      <c r="BW194" s="73"/>
      <c r="BX194" s="73"/>
      <c r="BY194" s="73"/>
    </row>
    <row r="195" ht="19.5" customHeight="1">
      <c r="A195" s="69" t="str">
        <f>IF(Roster!$A$193&lt;&gt;"",Roster!$A$193,"")</f>
        <v/>
      </c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  <c r="AI195" s="70"/>
      <c r="AJ195" s="70"/>
      <c r="AK195" s="70"/>
      <c r="AL195" s="70"/>
      <c r="AM195" s="70"/>
      <c r="AN195" s="70"/>
      <c r="AO195" s="70"/>
      <c r="AP195" s="70"/>
      <c r="AQ195" s="70"/>
      <c r="AR195" s="70"/>
      <c r="AS195" s="70"/>
      <c r="AT195" s="70"/>
      <c r="AU195" s="70"/>
      <c r="AV195" s="72"/>
      <c r="AW195" s="72"/>
      <c r="AX195" s="72"/>
      <c r="AY195" s="72"/>
      <c r="AZ195" s="72"/>
      <c r="BA195" s="72"/>
      <c r="BB195" s="72"/>
      <c r="BC195" s="72"/>
      <c r="BD195" s="72"/>
      <c r="BE195" s="72"/>
      <c r="BF195" s="72"/>
      <c r="BG195" s="72"/>
      <c r="BH195" s="72"/>
      <c r="BI195" s="72"/>
      <c r="BJ195" s="72"/>
      <c r="BK195" s="72"/>
      <c r="BL195" s="72"/>
      <c r="BM195" s="72"/>
      <c r="BN195" s="72"/>
      <c r="BO195" s="72"/>
      <c r="BP195" s="72"/>
      <c r="BQ195" s="72"/>
      <c r="BR195" s="72"/>
      <c r="BS195" s="72"/>
      <c r="BT195" s="72"/>
      <c r="BU195" s="72"/>
      <c r="BV195" s="72"/>
      <c r="BW195" s="72"/>
      <c r="BX195" s="72"/>
      <c r="BY195" s="72"/>
    </row>
    <row r="196" ht="19.5" customHeight="1">
      <c r="A196" s="69" t="str">
        <f>IF(Roster!$A$194&lt;&gt;"",Roster!$A$194,"")</f>
        <v/>
      </c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  <c r="AI196" s="70"/>
      <c r="AJ196" s="70"/>
      <c r="AK196" s="70"/>
      <c r="AL196" s="70"/>
      <c r="AM196" s="70"/>
      <c r="AN196" s="70"/>
      <c r="AO196" s="70"/>
      <c r="AP196" s="70"/>
      <c r="AQ196" s="70"/>
      <c r="AR196" s="70"/>
      <c r="AS196" s="70"/>
      <c r="AT196" s="70"/>
      <c r="AU196" s="70"/>
      <c r="AV196" s="73"/>
      <c r="AW196" s="73"/>
      <c r="AX196" s="73"/>
      <c r="AY196" s="73"/>
      <c r="AZ196" s="73"/>
      <c r="BA196" s="73"/>
      <c r="BB196" s="73"/>
      <c r="BC196" s="73"/>
      <c r="BD196" s="73"/>
      <c r="BE196" s="73"/>
      <c r="BF196" s="73"/>
      <c r="BG196" s="73"/>
      <c r="BH196" s="73"/>
      <c r="BI196" s="73"/>
      <c r="BJ196" s="73"/>
      <c r="BK196" s="73"/>
      <c r="BL196" s="73"/>
      <c r="BM196" s="73"/>
      <c r="BN196" s="73"/>
      <c r="BO196" s="73"/>
      <c r="BP196" s="73"/>
      <c r="BQ196" s="73"/>
      <c r="BR196" s="73"/>
      <c r="BS196" s="73"/>
      <c r="BT196" s="73"/>
      <c r="BU196" s="73"/>
      <c r="BV196" s="73"/>
      <c r="BW196" s="73"/>
      <c r="BX196" s="73"/>
      <c r="BY196" s="73"/>
    </row>
    <row r="197" ht="19.5" customHeight="1">
      <c r="A197" s="69" t="str">
        <f>IF(Roster!$A$195&lt;&gt;"",Roster!$A$195,"")</f>
        <v/>
      </c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  <c r="AI197" s="70"/>
      <c r="AJ197" s="70"/>
      <c r="AK197" s="70"/>
      <c r="AL197" s="70"/>
      <c r="AM197" s="70"/>
      <c r="AN197" s="70"/>
      <c r="AO197" s="70"/>
      <c r="AP197" s="70"/>
      <c r="AQ197" s="70"/>
      <c r="AR197" s="70"/>
      <c r="AS197" s="70"/>
      <c r="AT197" s="70"/>
      <c r="AU197" s="70"/>
      <c r="AV197" s="72"/>
      <c r="AW197" s="72"/>
      <c r="AX197" s="72"/>
      <c r="AY197" s="72"/>
      <c r="AZ197" s="72"/>
      <c r="BA197" s="72"/>
      <c r="BB197" s="72"/>
      <c r="BC197" s="72"/>
      <c r="BD197" s="72"/>
      <c r="BE197" s="72"/>
      <c r="BF197" s="72"/>
      <c r="BG197" s="72"/>
      <c r="BH197" s="72"/>
      <c r="BI197" s="72"/>
      <c r="BJ197" s="72"/>
      <c r="BK197" s="72"/>
      <c r="BL197" s="72"/>
      <c r="BM197" s="72"/>
      <c r="BN197" s="72"/>
      <c r="BO197" s="72"/>
      <c r="BP197" s="72"/>
      <c r="BQ197" s="72"/>
      <c r="BR197" s="72"/>
      <c r="BS197" s="72"/>
      <c r="BT197" s="72"/>
      <c r="BU197" s="72"/>
      <c r="BV197" s="72"/>
      <c r="BW197" s="72"/>
      <c r="BX197" s="72"/>
      <c r="BY197" s="72"/>
    </row>
    <row r="198" ht="19.5" customHeight="1">
      <c r="A198" s="69" t="str">
        <f>IF(Roster!$A$196&lt;&gt;"",Roster!$A$196,"")</f>
        <v/>
      </c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  <c r="AI198" s="70"/>
      <c r="AJ198" s="70"/>
      <c r="AK198" s="70"/>
      <c r="AL198" s="70"/>
      <c r="AM198" s="70"/>
      <c r="AN198" s="70"/>
      <c r="AO198" s="70"/>
      <c r="AP198" s="70"/>
      <c r="AQ198" s="70"/>
      <c r="AR198" s="70"/>
      <c r="AS198" s="70"/>
      <c r="AT198" s="70"/>
      <c r="AU198" s="70"/>
      <c r="AV198" s="73"/>
      <c r="AW198" s="73"/>
      <c r="AX198" s="73"/>
      <c r="AY198" s="73"/>
      <c r="AZ198" s="73"/>
      <c r="BA198" s="73"/>
      <c r="BB198" s="73"/>
      <c r="BC198" s="73"/>
      <c r="BD198" s="73"/>
      <c r="BE198" s="73"/>
      <c r="BF198" s="73"/>
      <c r="BG198" s="73"/>
      <c r="BH198" s="73"/>
      <c r="BI198" s="73"/>
      <c r="BJ198" s="73"/>
      <c r="BK198" s="73"/>
      <c r="BL198" s="73"/>
      <c r="BM198" s="73"/>
      <c r="BN198" s="73"/>
      <c r="BO198" s="73"/>
      <c r="BP198" s="73"/>
      <c r="BQ198" s="73"/>
      <c r="BR198" s="73"/>
      <c r="BS198" s="73"/>
      <c r="BT198" s="73"/>
      <c r="BU198" s="73"/>
      <c r="BV198" s="73"/>
      <c r="BW198" s="73"/>
      <c r="BX198" s="73"/>
      <c r="BY198" s="73"/>
    </row>
    <row r="199" ht="19.5" customHeight="1">
      <c r="A199" s="69" t="str">
        <f>IF(Roster!$A$197&lt;&gt;"",Roster!$A$197,"")</f>
        <v/>
      </c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  <c r="AA199" s="70"/>
      <c r="AB199" s="70"/>
      <c r="AC199" s="70"/>
      <c r="AD199" s="70"/>
      <c r="AE199" s="70"/>
      <c r="AF199" s="70"/>
      <c r="AG199" s="70"/>
      <c r="AH199" s="70"/>
      <c r="AI199" s="70"/>
      <c r="AJ199" s="70"/>
      <c r="AK199" s="70"/>
      <c r="AL199" s="70"/>
      <c r="AM199" s="70"/>
      <c r="AN199" s="70"/>
      <c r="AO199" s="70"/>
      <c r="AP199" s="70"/>
      <c r="AQ199" s="70"/>
      <c r="AR199" s="70"/>
      <c r="AS199" s="70"/>
      <c r="AT199" s="70"/>
      <c r="AU199" s="70"/>
      <c r="AV199" s="72"/>
      <c r="AW199" s="72"/>
      <c r="AX199" s="72"/>
      <c r="AY199" s="72"/>
      <c r="AZ199" s="72"/>
      <c r="BA199" s="72"/>
      <c r="BB199" s="72"/>
      <c r="BC199" s="72"/>
      <c r="BD199" s="72"/>
      <c r="BE199" s="72"/>
      <c r="BF199" s="72"/>
      <c r="BG199" s="72"/>
      <c r="BH199" s="72"/>
      <c r="BI199" s="72"/>
      <c r="BJ199" s="72"/>
      <c r="BK199" s="72"/>
      <c r="BL199" s="72"/>
      <c r="BM199" s="72"/>
      <c r="BN199" s="72"/>
      <c r="BO199" s="72"/>
      <c r="BP199" s="72"/>
      <c r="BQ199" s="72"/>
      <c r="BR199" s="72"/>
      <c r="BS199" s="72"/>
      <c r="BT199" s="72"/>
      <c r="BU199" s="72"/>
      <c r="BV199" s="72"/>
      <c r="BW199" s="72"/>
      <c r="BX199" s="72"/>
      <c r="BY199" s="72"/>
    </row>
    <row r="200" ht="19.5" customHeight="1">
      <c r="A200" s="69" t="str">
        <f>IF(Roster!$A$198&lt;&gt;"",Roster!$A$198,"")</f>
        <v/>
      </c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  <c r="AA200" s="70"/>
      <c r="AB200" s="70"/>
      <c r="AC200" s="70"/>
      <c r="AD200" s="70"/>
      <c r="AE200" s="70"/>
      <c r="AF200" s="70"/>
      <c r="AG200" s="70"/>
      <c r="AH200" s="70"/>
      <c r="AI200" s="70"/>
      <c r="AJ200" s="70"/>
      <c r="AK200" s="70"/>
      <c r="AL200" s="70"/>
      <c r="AM200" s="70"/>
      <c r="AN200" s="70"/>
      <c r="AO200" s="70"/>
      <c r="AP200" s="70"/>
      <c r="AQ200" s="70"/>
      <c r="AR200" s="70"/>
      <c r="AS200" s="70"/>
      <c r="AT200" s="70"/>
      <c r="AU200" s="70"/>
      <c r="AV200" s="73"/>
      <c r="AW200" s="73"/>
      <c r="AX200" s="73"/>
      <c r="AY200" s="73"/>
      <c r="AZ200" s="73"/>
      <c r="BA200" s="73"/>
      <c r="BB200" s="73"/>
      <c r="BC200" s="73"/>
      <c r="BD200" s="73"/>
      <c r="BE200" s="73"/>
      <c r="BF200" s="73"/>
      <c r="BG200" s="73"/>
      <c r="BH200" s="73"/>
      <c r="BI200" s="73"/>
      <c r="BJ200" s="73"/>
      <c r="BK200" s="73"/>
      <c r="BL200" s="73"/>
      <c r="BM200" s="73"/>
      <c r="BN200" s="73"/>
      <c r="BO200" s="73"/>
      <c r="BP200" s="73"/>
      <c r="BQ200" s="73"/>
      <c r="BR200" s="73"/>
      <c r="BS200" s="73"/>
      <c r="BT200" s="73"/>
      <c r="BU200" s="73"/>
      <c r="BV200" s="73"/>
      <c r="BW200" s="73"/>
      <c r="BX200" s="73"/>
      <c r="BY200" s="73"/>
    </row>
    <row r="201" ht="19.5" customHeight="1">
      <c r="A201" s="69" t="str">
        <f>IF(Roster!$A$199&lt;&gt;"",Roster!$A$199,"")</f>
        <v/>
      </c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  <c r="AA201" s="70"/>
      <c r="AB201" s="70"/>
      <c r="AC201" s="70"/>
      <c r="AD201" s="70"/>
      <c r="AE201" s="70"/>
      <c r="AF201" s="70"/>
      <c r="AG201" s="70"/>
      <c r="AH201" s="70"/>
      <c r="AI201" s="70"/>
      <c r="AJ201" s="70"/>
      <c r="AK201" s="70"/>
      <c r="AL201" s="70"/>
      <c r="AM201" s="70"/>
      <c r="AN201" s="70"/>
      <c r="AO201" s="70"/>
      <c r="AP201" s="70"/>
      <c r="AQ201" s="70"/>
      <c r="AR201" s="70"/>
      <c r="AS201" s="70"/>
      <c r="AT201" s="70"/>
      <c r="AU201" s="70"/>
      <c r="AV201" s="72"/>
      <c r="AW201" s="72"/>
      <c r="AX201" s="72"/>
      <c r="AY201" s="72"/>
      <c r="AZ201" s="72"/>
      <c r="BA201" s="72"/>
      <c r="BB201" s="72"/>
      <c r="BC201" s="72"/>
      <c r="BD201" s="72"/>
      <c r="BE201" s="72"/>
      <c r="BF201" s="72"/>
      <c r="BG201" s="72"/>
      <c r="BH201" s="72"/>
      <c r="BI201" s="72"/>
      <c r="BJ201" s="72"/>
      <c r="BK201" s="72"/>
      <c r="BL201" s="72"/>
      <c r="BM201" s="72"/>
      <c r="BN201" s="72"/>
      <c r="BO201" s="72"/>
      <c r="BP201" s="72"/>
      <c r="BQ201" s="72"/>
      <c r="BR201" s="72"/>
      <c r="BS201" s="72"/>
      <c r="BT201" s="72"/>
      <c r="BU201" s="72"/>
      <c r="BV201" s="72"/>
      <c r="BW201" s="72"/>
      <c r="BX201" s="72"/>
      <c r="BY201" s="72"/>
    </row>
    <row r="202" ht="19.5" customHeight="1">
      <c r="A202" s="69" t="str">
        <f>IF(Roster!$A$200&lt;&gt;"",Roster!$A$200,"")</f>
        <v/>
      </c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  <c r="AA202" s="70"/>
      <c r="AB202" s="70"/>
      <c r="AC202" s="70"/>
      <c r="AD202" s="70"/>
      <c r="AE202" s="70"/>
      <c r="AF202" s="70"/>
      <c r="AG202" s="70"/>
      <c r="AH202" s="70"/>
      <c r="AI202" s="70"/>
      <c r="AJ202" s="70"/>
      <c r="AK202" s="70"/>
      <c r="AL202" s="70"/>
      <c r="AM202" s="70"/>
      <c r="AN202" s="70"/>
      <c r="AO202" s="70"/>
      <c r="AP202" s="70"/>
      <c r="AQ202" s="70"/>
      <c r="AR202" s="70"/>
      <c r="AS202" s="70"/>
      <c r="AT202" s="70"/>
      <c r="AU202" s="70"/>
      <c r="AV202" s="73"/>
      <c r="AW202" s="73"/>
      <c r="AX202" s="73"/>
      <c r="AY202" s="73"/>
      <c r="AZ202" s="73"/>
      <c r="BA202" s="73"/>
      <c r="BB202" s="73"/>
      <c r="BC202" s="73"/>
      <c r="BD202" s="73"/>
      <c r="BE202" s="73"/>
      <c r="BF202" s="73"/>
      <c r="BG202" s="73"/>
      <c r="BH202" s="73"/>
      <c r="BI202" s="73"/>
      <c r="BJ202" s="73"/>
      <c r="BK202" s="73"/>
      <c r="BL202" s="73"/>
      <c r="BM202" s="73"/>
      <c r="BN202" s="73"/>
      <c r="BO202" s="73"/>
      <c r="BP202" s="73"/>
      <c r="BQ202" s="73"/>
      <c r="BR202" s="73"/>
      <c r="BS202" s="73"/>
      <c r="BT202" s="73"/>
      <c r="BU202" s="73"/>
      <c r="BV202" s="73"/>
      <c r="BW202" s="73"/>
      <c r="BX202" s="73"/>
      <c r="BY202" s="73"/>
    </row>
    <row r="203" ht="19.5" customHeight="1">
      <c r="A203" s="69" t="str">
        <f>IF(Roster!$A$201&lt;&gt;"",Roster!$A$201,"")</f>
        <v/>
      </c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  <c r="AA203" s="70"/>
      <c r="AB203" s="70"/>
      <c r="AC203" s="70"/>
      <c r="AD203" s="70"/>
      <c r="AE203" s="70"/>
      <c r="AF203" s="70"/>
      <c r="AG203" s="70"/>
      <c r="AH203" s="70"/>
      <c r="AI203" s="70"/>
      <c r="AJ203" s="70"/>
      <c r="AK203" s="70"/>
      <c r="AL203" s="70"/>
      <c r="AM203" s="70"/>
      <c r="AN203" s="70"/>
      <c r="AO203" s="70"/>
      <c r="AP203" s="70"/>
      <c r="AQ203" s="70"/>
      <c r="AR203" s="70"/>
      <c r="AS203" s="70"/>
      <c r="AT203" s="70"/>
      <c r="AU203" s="70"/>
      <c r="AV203" s="72"/>
      <c r="AW203" s="72"/>
      <c r="AX203" s="72"/>
      <c r="AY203" s="72"/>
      <c r="AZ203" s="72"/>
      <c r="BA203" s="72"/>
      <c r="BB203" s="72"/>
      <c r="BC203" s="72"/>
      <c r="BD203" s="72"/>
      <c r="BE203" s="72"/>
      <c r="BF203" s="72"/>
      <c r="BG203" s="72"/>
      <c r="BH203" s="72"/>
      <c r="BI203" s="72"/>
      <c r="BJ203" s="72"/>
      <c r="BK203" s="72"/>
      <c r="BL203" s="72"/>
      <c r="BM203" s="72"/>
      <c r="BN203" s="72"/>
      <c r="BO203" s="72"/>
      <c r="BP203" s="72"/>
      <c r="BQ203" s="72"/>
      <c r="BR203" s="72"/>
      <c r="BS203" s="72"/>
      <c r="BT203" s="72"/>
      <c r="BU203" s="72"/>
      <c r="BV203" s="72"/>
      <c r="BW203" s="72"/>
      <c r="BX203" s="72"/>
      <c r="BY203" s="72"/>
    </row>
    <row r="204" ht="19.5" customHeight="1">
      <c r="A204" s="69" t="str">
        <f>IF(Roster!$A$202&lt;&gt;"",Roster!$A$202,"")</f>
        <v/>
      </c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  <c r="AA204" s="70"/>
      <c r="AB204" s="70"/>
      <c r="AC204" s="70"/>
      <c r="AD204" s="70"/>
      <c r="AE204" s="70"/>
      <c r="AF204" s="70"/>
      <c r="AG204" s="70"/>
      <c r="AH204" s="70"/>
      <c r="AI204" s="70"/>
      <c r="AJ204" s="70"/>
      <c r="AK204" s="70"/>
      <c r="AL204" s="70"/>
      <c r="AM204" s="70"/>
      <c r="AN204" s="70"/>
      <c r="AO204" s="70"/>
      <c r="AP204" s="70"/>
      <c r="AQ204" s="70"/>
      <c r="AR204" s="70"/>
      <c r="AS204" s="70"/>
      <c r="AT204" s="70"/>
      <c r="AU204" s="70"/>
      <c r="AV204" s="73"/>
      <c r="AW204" s="73"/>
      <c r="AX204" s="73"/>
      <c r="AY204" s="73"/>
      <c r="AZ204" s="73"/>
      <c r="BA204" s="73"/>
      <c r="BB204" s="73"/>
      <c r="BC204" s="73"/>
      <c r="BD204" s="73"/>
      <c r="BE204" s="73"/>
      <c r="BF204" s="73"/>
      <c r="BG204" s="73"/>
      <c r="BH204" s="73"/>
      <c r="BI204" s="73"/>
      <c r="BJ204" s="73"/>
      <c r="BK204" s="73"/>
      <c r="BL204" s="73"/>
      <c r="BM204" s="73"/>
      <c r="BN204" s="73"/>
      <c r="BO204" s="73"/>
      <c r="BP204" s="73"/>
      <c r="BQ204" s="73"/>
      <c r="BR204" s="73"/>
      <c r="BS204" s="73"/>
      <c r="BT204" s="73"/>
      <c r="BU204" s="73"/>
      <c r="BV204" s="73"/>
      <c r="BW204" s="73"/>
      <c r="BX204" s="73"/>
      <c r="BY204" s="73"/>
    </row>
    <row r="205" ht="19.5" customHeight="1">
      <c r="A205" s="69" t="str">
        <f>IF(Roster!$A$203&lt;&gt;"",Roster!$A$203,"")</f>
        <v/>
      </c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  <c r="AA205" s="70"/>
      <c r="AB205" s="70"/>
      <c r="AC205" s="70"/>
      <c r="AD205" s="70"/>
      <c r="AE205" s="70"/>
      <c r="AF205" s="70"/>
      <c r="AG205" s="70"/>
      <c r="AH205" s="70"/>
      <c r="AI205" s="70"/>
      <c r="AJ205" s="70"/>
      <c r="AK205" s="70"/>
      <c r="AL205" s="70"/>
      <c r="AM205" s="70"/>
      <c r="AN205" s="70"/>
      <c r="AO205" s="70"/>
      <c r="AP205" s="70"/>
      <c r="AQ205" s="70"/>
      <c r="AR205" s="70"/>
      <c r="AS205" s="70"/>
      <c r="AT205" s="70"/>
      <c r="AU205" s="70"/>
      <c r="AV205" s="72"/>
      <c r="AW205" s="72"/>
      <c r="AX205" s="72"/>
      <c r="AY205" s="72"/>
      <c r="AZ205" s="72"/>
      <c r="BA205" s="72"/>
      <c r="BB205" s="72"/>
      <c r="BC205" s="72"/>
      <c r="BD205" s="72"/>
      <c r="BE205" s="72"/>
      <c r="BF205" s="72"/>
      <c r="BG205" s="72"/>
      <c r="BH205" s="72"/>
      <c r="BI205" s="72"/>
      <c r="BJ205" s="72"/>
      <c r="BK205" s="72"/>
      <c r="BL205" s="72"/>
      <c r="BM205" s="72"/>
      <c r="BN205" s="72"/>
      <c r="BO205" s="72"/>
      <c r="BP205" s="72"/>
      <c r="BQ205" s="72"/>
      <c r="BR205" s="72"/>
      <c r="BS205" s="72"/>
      <c r="BT205" s="72"/>
      <c r="BU205" s="72"/>
      <c r="BV205" s="72"/>
      <c r="BW205" s="72"/>
      <c r="BX205" s="72"/>
      <c r="BY205" s="72"/>
    </row>
    <row r="206" ht="19.5" customHeight="1">
      <c r="A206" s="69" t="str">
        <f>IF(Roster!$A$204&lt;&gt;"",Roster!$A$204,"")</f>
        <v/>
      </c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  <c r="AA206" s="70"/>
      <c r="AB206" s="70"/>
      <c r="AC206" s="70"/>
      <c r="AD206" s="70"/>
      <c r="AE206" s="70"/>
      <c r="AF206" s="70"/>
      <c r="AG206" s="70"/>
      <c r="AH206" s="70"/>
      <c r="AI206" s="70"/>
      <c r="AJ206" s="70"/>
      <c r="AK206" s="70"/>
      <c r="AL206" s="70"/>
      <c r="AM206" s="70"/>
      <c r="AN206" s="70"/>
      <c r="AO206" s="70"/>
      <c r="AP206" s="70"/>
      <c r="AQ206" s="70"/>
      <c r="AR206" s="70"/>
      <c r="AS206" s="70"/>
      <c r="AT206" s="70"/>
      <c r="AU206" s="70"/>
      <c r="AV206" s="73"/>
      <c r="AW206" s="73"/>
      <c r="AX206" s="73"/>
      <c r="AY206" s="73"/>
      <c r="AZ206" s="73"/>
      <c r="BA206" s="73"/>
      <c r="BB206" s="73"/>
      <c r="BC206" s="73"/>
      <c r="BD206" s="73"/>
      <c r="BE206" s="73"/>
      <c r="BF206" s="73"/>
      <c r="BG206" s="73"/>
      <c r="BH206" s="73"/>
      <c r="BI206" s="73"/>
      <c r="BJ206" s="73"/>
      <c r="BK206" s="73"/>
      <c r="BL206" s="73"/>
      <c r="BM206" s="73"/>
      <c r="BN206" s="73"/>
      <c r="BO206" s="73"/>
      <c r="BP206" s="73"/>
      <c r="BQ206" s="73"/>
      <c r="BR206" s="73"/>
      <c r="BS206" s="73"/>
      <c r="BT206" s="73"/>
      <c r="BU206" s="73"/>
      <c r="BV206" s="73"/>
      <c r="BW206" s="73"/>
      <c r="BX206" s="73"/>
      <c r="BY206" s="73"/>
    </row>
    <row r="207" ht="19.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</row>
    <row r="208" ht="19.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</row>
    <row r="209" ht="19.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</row>
  </sheetData>
  <mergeCells count="1">
    <mergeCell ref="B1:G1"/>
  </mergeCells>
  <dataValidations>
    <dataValidation type="list" allowBlank="1" sqref="B7:AV50 D51:AV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9" t="s">
        <v>3</v>
      </c>
      <c r="B1" s="10"/>
      <c r="C1" s="10"/>
      <c r="D1" s="10"/>
      <c r="E1" s="10"/>
      <c r="F1" s="10"/>
      <c r="G1" s="10"/>
      <c r="H1" s="10"/>
      <c r="I1" s="1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3.5" customHeight="1">
      <c r="A2" s="7"/>
      <c r="B2" s="7"/>
      <c r="C2" s="7"/>
      <c r="D2" s="7"/>
      <c r="E2" s="7"/>
      <c r="F2" s="12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14" t="s">
        <v>11</v>
      </c>
      <c r="B3" s="14" t="s">
        <v>12</v>
      </c>
      <c r="C3" s="14" t="s">
        <v>13</v>
      </c>
      <c r="D3" s="14" t="s">
        <v>14</v>
      </c>
      <c r="E3" s="14" t="s">
        <v>15</v>
      </c>
      <c r="F3" s="15"/>
      <c r="G3" s="14"/>
      <c r="H3" s="14"/>
      <c r="I3" s="14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17">
        <f>SUMIF(D7:D991,"Income",F7:F991)+SUMIF(D7:D991,"Fundraiser",F7:F991)</f>
        <v>5191.33</v>
      </c>
      <c r="B4" s="20">
        <f>SUMIF(D7:D991,"Expense",F7:F991)</f>
        <v>12167.63</v>
      </c>
      <c r="C4" s="21">
        <f>A4-B4</f>
        <v>-6976.3</v>
      </c>
      <c r="D4" s="23">
        <f>IFERROR(AVERAGE(F7:F991),0)</f>
        <v>500.4168571</v>
      </c>
      <c r="E4" s="25">
        <f>COUNTIF(I7:I991,"Pending")</f>
        <v>0</v>
      </c>
      <c r="F4" s="12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7.5" customHeight="1">
      <c r="A5" s="7"/>
      <c r="B5" s="7"/>
      <c r="C5" s="7"/>
      <c r="D5" s="7"/>
      <c r="E5" s="7"/>
      <c r="F5" s="12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28" t="s">
        <v>29</v>
      </c>
      <c r="B6" s="28" t="s">
        <v>30</v>
      </c>
      <c r="C6" s="28" t="s">
        <v>19</v>
      </c>
      <c r="D6" s="28" t="s">
        <v>32</v>
      </c>
      <c r="E6" s="28" t="s">
        <v>33</v>
      </c>
      <c r="F6" s="30" t="s">
        <v>35</v>
      </c>
      <c r="G6" s="28" t="s">
        <v>36</v>
      </c>
      <c r="H6" s="28" t="s">
        <v>37</v>
      </c>
      <c r="I6" s="28" t="s">
        <v>8</v>
      </c>
      <c r="J6" s="13" t="s">
        <v>38</v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9.5" customHeight="1">
      <c r="A7" s="31"/>
      <c r="B7" s="32" t="s">
        <v>40</v>
      </c>
      <c r="C7" s="32" t="s">
        <v>41</v>
      </c>
      <c r="D7" s="32" t="s">
        <v>43</v>
      </c>
      <c r="E7" s="32" t="s">
        <v>44</v>
      </c>
      <c r="F7" s="33">
        <v>920.0</v>
      </c>
      <c r="G7" s="32" t="s">
        <v>39</v>
      </c>
      <c r="H7" s="32"/>
      <c r="I7" s="32" t="s">
        <v>46</v>
      </c>
      <c r="J7" s="36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9.5" customHeight="1">
      <c r="A8" s="31"/>
      <c r="B8" s="32" t="s">
        <v>55</v>
      </c>
      <c r="C8" s="32" t="s">
        <v>41</v>
      </c>
      <c r="D8" s="32" t="s">
        <v>43</v>
      </c>
      <c r="E8" s="32" t="s">
        <v>44</v>
      </c>
      <c r="F8" s="33">
        <v>1150.0</v>
      </c>
      <c r="G8" s="32" t="s">
        <v>47</v>
      </c>
      <c r="H8" s="32"/>
      <c r="I8" s="32" t="s">
        <v>46</v>
      </c>
      <c r="J8" s="36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9.5" customHeight="1">
      <c r="A9" s="31"/>
      <c r="B9" s="32" t="s">
        <v>54</v>
      </c>
      <c r="C9" s="32" t="s">
        <v>61</v>
      </c>
      <c r="D9" s="32" t="s">
        <v>50</v>
      </c>
      <c r="E9" s="32" t="s">
        <v>44</v>
      </c>
      <c r="F9" s="33">
        <v>956.0</v>
      </c>
      <c r="G9" s="32" t="s">
        <v>54</v>
      </c>
      <c r="H9" s="32"/>
      <c r="I9" s="32" t="s">
        <v>46</v>
      </c>
      <c r="J9" s="36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9.5" customHeight="1">
      <c r="A10" s="42"/>
      <c r="B10" s="43" t="s">
        <v>49</v>
      </c>
      <c r="C10" s="43" t="s">
        <v>61</v>
      </c>
      <c r="D10" s="43" t="s">
        <v>50</v>
      </c>
      <c r="E10" s="43" t="s">
        <v>44</v>
      </c>
      <c r="F10" s="44">
        <v>123.0</v>
      </c>
      <c r="G10" s="43" t="s">
        <v>49</v>
      </c>
      <c r="H10" s="43"/>
      <c r="I10" s="43" t="s">
        <v>46</v>
      </c>
      <c r="J10" s="36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9.5" customHeight="1">
      <c r="A11" s="45"/>
      <c r="B11" s="46" t="s">
        <v>63</v>
      </c>
      <c r="C11" s="46" t="s">
        <v>61</v>
      </c>
      <c r="D11" s="46" t="s">
        <v>50</v>
      </c>
      <c r="E11" s="46" t="s">
        <v>44</v>
      </c>
      <c r="F11" s="44">
        <v>1030.0</v>
      </c>
      <c r="G11" s="46" t="s">
        <v>56</v>
      </c>
      <c r="H11" s="46"/>
      <c r="I11" s="46" t="s">
        <v>46</v>
      </c>
      <c r="J11" s="36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9.5" customHeight="1">
      <c r="A12" s="42"/>
      <c r="B12" s="43" t="s">
        <v>64</v>
      </c>
      <c r="C12" s="43" t="s">
        <v>65</v>
      </c>
      <c r="D12" s="43" t="s">
        <v>43</v>
      </c>
      <c r="E12" s="43" t="s">
        <v>44</v>
      </c>
      <c r="F12" s="44">
        <v>69.0</v>
      </c>
      <c r="G12" s="43" t="s">
        <v>25</v>
      </c>
      <c r="H12" s="43"/>
      <c r="I12" s="43" t="s">
        <v>46</v>
      </c>
      <c r="J12" s="36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9.5" customHeight="1">
      <c r="A13" s="48">
        <v>46192.0</v>
      </c>
      <c r="B13" s="46" t="s">
        <v>67</v>
      </c>
      <c r="C13" s="46" t="s">
        <v>68</v>
      </c>
      <c r="D13" s="46" t="s">
        <v>43</v>
      </c>
      <c r="E13" s="49" t="s">
        <v>69</v>
      </c>
      <c r="F13" s="50">
        <v>185.69</v>
      </c>
      <c r="G13" s="46" t="s">
        <v>39</v>
      </c>
      <c r="H13" s="46"/>
      <c r="I13" s="46" t="s">
        <v>46</v>
      </c>
      <c r="J13" s="36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9.5" customHeight="1">
      <c r="A14" s="51">
        <v>46195.0</v>
      </c>
      <c r="B14" s="43" t="s">
        <v>70</v>
      </c>
      <c r="C14" s="43" t="s">
        <v>71</v>
      </c>
      <c r="D14" s="43" t="s">
        <v>43</v>
      </c>
      <c r="E14" s="52" t="s">
        <v>44</v>
      </c>
      <c r="F14" s="53">
        <v>228.44</v>
      </c>
      <c r="G14" s="43" t="s">
        <v>39</v>
      </c>
      <c r="H14" s="43"/>
      <c r="I14" s="43" t="s">
        <v>46</v>
      </c>
      <c r="J14" s="36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9.5" customHeight="1">
      <c r="A15" s="42">
        <v>46196.0</v>
      </c>
      <c r="B15" s="43" t="s">
        <v>72</v>
      </c>
      <c r="C15" s="43" t="s">
        <v>73</v>
      </c>
      <c r="D15" s="43" t="s">
        <v>74</v>
      </c>
      <c r="E15" s="43" t="s">
        <v>75</v>
      </c>
      <c r="F15" s="44">
        <v>68.75</v>
      </c>
      <c r="G15" s="43"/>
      <c r="H15" s="43" t="s">
        <v>44</v>
      </c>
      <c r="I15" s="43" t="s">
        <v>46</v>
      </c>
      <c r="J15" s="36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9.5" customHeight="1">
      <c r="A16" s="45">
        <v>46195.0</v>
      </c>
      <c r="B16" s="46" t="s">
        <v>76</v>
      </c>
      <c r="C16" s="46" t="s">
        <v>71</v>
      </c>
      <c r="D16" s="46" t="s">
        <v>43</v>
      </c>
      <c r="E16" s="46" t="s">
        <v>77</v>
      </c>
      <c r="F16" s="54"/>
      <c r="G16" s="46" t="s">
        <v>39</v>
      </c>
      <c r="H16" s="46"/>
      <c r="I16" s="46" t="s">
        <v>46</v>
      </c>
      <c r="J16" s="36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>1310</v>
      </c>
      <c r="K16" s="55" t="s">
        <v>78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9.5" customHeight="1">
      <c r="A17" s="42">
        <v>46201.0</v>
      </c>
      <c r="B17" s="43" t="s">
        <v>79</v>
      </c>
      <c r="C17" s="43" t="s">
        <v>80</v>
      </c>
      <c r="D17" s="43" t="s">
        <v>43</v>
      </c>
      <c r="E17" s="43" t="s">
        <v>81</v>
      </c>
      <c r="F17" s="44">
        <v>3487.59</v>
      </c>
      <c r="G17" s="43" t="s">
        <v>39</v>
      </c>
      <c r="H17" s="43"/>
      <c r="I17" s="43" t="s">
        <v>46</v>
      </c>
      <c r="J17" s="36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9.5" customHeight="1">
      <c r="A18" s="45"/>
      <c r="B18" s="46" t="s">
        <v>82</v>
      </c>
      <c r="C18" s="46" t="s">
        <v>71</v>
      </c>
      <c r="D18" s="49" t="s">
        <v>83</v>
      </c>
      <c r="E18" s="46" t="s">
        <v>44</v>
      </c>
      <c r="F18" s="57">
        <v>59.99</v>
      </c>
      <c r="G18" s="46" t="s">
        <v>39</v>
      </c>
      <c r="H18" s="46" t="s">
        <v>84</v>
      </c>
      <c r="I18" s="46" t="s">
        <v>46</v>
      </c>
      <c r="J18" s="36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7" t="s">
        <v>85</v>
      </c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9.5" customHeight="1">
      <c r="A19" s="58">
        <v>46201.0</v>
      </c>
      <c r="B19" s="43" t="s">
        <v>86</v>
      </c>
      <c r="C19" s="43" t="s">
        <v>71</v>
      </c>
      <c r="D19" s="43" t="s">
        <v>43</v>
      </c>
      <c r="E19" s="43" t="s">
        <v>87</v>
      </c>
      <c r="F19" s="44">
        <v>15.26</v>
      </c>
      <c r="G19" s="43" t="s">
        <v>39</v>
      </c>
      <c r="H19" s="43"/>
      <c r="I19" s="43" t="s">
        <v>46</v>
      </c>
      <c r="J19" s="36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9.5" customHeight="1">
      <c r="A20" s="59">
        <v>46201.0</v>
      </c>
      <c r="B20" s="46" t="s">
        <v>88</v>
      </c>
      <c r="C20" s="46" t="s">
        <v>71</v>
      </c>
      <c r="D20" s="46" t="s">
        <v>43</v>
      </c>
      <c r="E20" s="46" t="s">
        <v>87</v>
      </c>
      <c r="F20" s="54">
        <v>83.64</v>
      </c>
      <c r="G20" s="46" t="s">
        <v>39</v>
      </c>
      <c r="H20" s="46"/>
      <c r="I20" s="46" t="s">
        <v>46</v>
      </c>
      <c r="J20" s="36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9.5" customHeight="1">
      <c r="A21" s="42">
        <v>46930.0</v>
      </c>
      <c r="B21" s="43" t="s">
        <v>90</v>
      </c>
      <c r="C21" s="43" t="s">
        <v>73</v>
      </c>
      <c r="D21" s="43" t="s">
        <v>74</v>
      </c>
      <c r="E21" s="43" t="s">
        <v>91</v>
      </c>
      <c r="F21" s="44">
        <v>68.75</v>
      </c>
      <c r="G21" s="43"/>
      <c r="H21" s="43" t="s">
        <v>44</v>
      </c>
      <c r="I21" s="43" t="s">
        <v>46</v>
      </c>
      <c r="J21" s="36" t="str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/>
      </c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9.5" customHeight="1">
      <c r="A22" s="45">
        <v>46201.0</v>
      </c>
      <c r="B22" s="46" t="s">
        <v>92</v>
      </c>
      <c r="C22" s="46" t="s">
        <v>73</v>
      </c>
      <c r="D22" s="46" t="s">
        <v>74</v>
      </c>
      <c r="E22" s="46" t="s">
        <v>93</v>
      </c>
      <c r="F22" s="54">
        <v>400.0</v>
      </c>
      <c r="G22" s="46"/>
      <c r="H22" s="46" t="s">
        <v>44</v>
      </c>
      <c r="I22" s="46" t="s">
        <v>46</v>
      </c>
      <c r="J22" s="36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9.5" customHeight="1">
      <c r="A23" s="45">
        <v>46201.0</v>
      </c>
      <c r="B23" s="46" t="s">
        <v>94</v>
      </c>
      <c r="C23" s="46" t="s">
        <v>73</v>
      </c>
      <c r="D23" s="46" t="s">
        <v>74</v>
      </c>
      <c r="E23" s="46" t="s">
        <v>95</v>
      </c>
      <c r="F23" s="54">
        <v>400.0</v>
      </c>
      <c r="G23" s="46"/>
      <c r="H23" s="46" t="s">
        <v>44</v>
      </c>
      <c r="I23" s="43" t="s">
        <v>46</v>
      </c>
      <c r="J23" s="36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9.5" customHeight="1">
      <c r="A24" s="45">
        <v>46203.0</v>
      </c>
      <c r="B24" s="46" t="s">
        <v>96</v>
      </c>
      <c r="C24" s="46" t="s">
        <v>73</v>
      </c>
      <c r="D24" s="46" t="s">
        <v>74</v>
      </c>
      <c r="E24" s="46" t="s">
        <v>97</v>
      </c>
      <c r="F24" s="54">
        <v>202.89</v>
      </c>
      <c r="G24" s="46"/>
      <c r="H24" s="46" t="s">
        <v>44</v>
      </c>
      <c r="I24" s="46" t="s">
        <v>46</v>
      </c>
      <c r="J24" s="36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9.5" customHeight="1">
      <c r="A25" s="45">
        <v>46203.0</v>
      </c>
      <c r="B25" s="46" t="s">
        <v>98</v>
      </c>
      <c r="C25" s="46" t="s">
        <v>73</v>
      </c>
      <c r="D25" s="46" t="s">
        <v>74</v>
      </c>
      <c r="E25" s="46" t="s">
        <v>99</v>
      </c>
      <c r="F25" s="54">
        <v>202.89</v>
      </c>
      <c r="G25" s="46"/>
      <c r="H25" s="46" t="s">
        <v>44</v>
      </c>
      <c r="I25" s="43" t="s">
        <v>46</v>
      </c>
      <c r="J25" s="36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9.5" customHeight="1">
      <c r="A26" s="45">
        <v>46203.0</v>
      </c>
      <c r="B26" s="46" t="s">
        <v>100</v>
      </c>
      <c r="C26" s="46" t="s">
        <v>73</v>
      </c>
      <c r="D26" s="46" t="s">
        <v>74</v>
      </c>
      <c r="E26" s="46" t="s">
        <v>101</v>
      </c>
      <c r="F26" s="54">
        <v>202.89</v>
      </c>
      <c r="G26" s="46"/>
      <c r="H26" s="46" t="s">
        <v>44</v>
      </c>
      <c r="I26" s="46" t="s">
        <v>46</v>
      </c>
      <c r="J26" s="36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9.5" customHeight="1">
      <c r="A27" s="45">
        <v>46203.0</v>
      </c>
      <c r="B27" s="46" t="s">
        <v>102</v>
      </c>
      <c r="C27" s="46" t="s">
        <v>73</v>
      </c>
      <c r="D27" s="46" t="s">
        <v>74</v>
      </c>
      <c r="E27" s="46" t="s">
        <v>103</v>
      </c>
      <c r="F27" s="54">
        <v>202.89</v>
      </c>
      <c r="G27" s="46"/>
      <c r="H27" s="46" t="s">
        <v>44</v>
      </c>
      <c r="I27" s="43" t="s">
        <v>46</v>
      </c>
      <c r="J27" s="36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9.5" customHeight="1">
      <c r="A28" s="45">
        <v>46204.0</v>
      </c>
      <c r="B28" s="46" t="s">
        <v>104</v>
      </c>
      <c r="C28" s="46" t="s">
        <v>73</v>
      </c>
      <c r="D28" s="46" t="s">
        <v>74</v>
      </c>
      <c r="E28" s="46" t="s">
        <v>105</v>
      </c>
      <c r="F28" s="54">
        <v>28.75</v>
      </c>
      <c r="G28" s="46"/>
      <c r="H28" s="46" t="s">
        <v>44</v>
      </c>
      <c r="I28" s="46" t="s">
        <v>46</v>
      </c>
      <c r="J28" s="36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9.5" customHeight="1">
      <c r="A29" s="45">
        <v>46206.0</v>
      </c>
      <c r="B29" s="46" t="s">
        <v>106</v>
      </c>
      <c r="C29" s="46" t="s">
        <v>73</v>
      </c>
      <c r="D29" s="46" t="s">
        <v>74</v>
      </c>
      <c r="E29" s="46" t="s">
        <v>106</v>
      </c>
      <c r="F29" s="54">
        <v>202.89</v>
      </c>
      <c r="G29" s="46"/>
      <c r="H29" s="46" t="s">
        <v>44</v>
      </c>
      <c r="I29" s="43" t="s">
        <v>46</v>
      </c>
      <c r="J29" s="36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9.5" customHeight="1">
      <c r="A30" s="45">
        <v>46206.0</v>
      </c>
      <c r="B30" s="46" t="s">
        <v>107</v>
      </c>
      <c r="C30" s="46" t="s">
        <v>73</v>
      </c>
      <c r="D30" s="46" t="s">
        <v>74</v>
      </c>
      <c r="E30" s="46" t="s">
        <v>108</v>
      </c>
      <c r="F30" s="54">
        <v>202.89</v>
      </c>
      <c r="G30" s="46"/>
      <c r="H30" s="46" t="s">
        <v>44</v>
      </c>
      <c r="I30" s="43" t="s">
        <v>46</v>
      </c>
      <c r="J30" s="36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9.5" customHeight="1">
      <c r="A31" s="42">
        <v>46203.0</v>
      </c>
      <c r="B31" s="43" t="s">
        <v>109</v>
      </c>
      <c r="C31" s="43" t="s">
        <v>73</v>
      </c>
      <c r="D31" s="43" t="s">
        <v>74</v>
      </c>
      <c r="E31" s="43" t="s">
        <v>110</v>
      </c>
      <c r="F31" s="44">
        <v>202.89</v>
      </c>
      <c r="G31" s="43"/>
      <c r="H31" s="43" t="s">
        <v>44</v>
      </c>
      <c r="I31" s="43" t="s">
        <v>46</v>
      </c>
      <c r="J31" s="36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9.5" customHeight="1">
      <c r="A32" s="59">
        <v>46198.0</v>
      </c>
      <c r="B32" s="46" t="s">
        <v>111</v>
      </c>
      <c r="C32" s="46" t="s">
        <v>68</v>
      </c>
      <c r="D32" s="46" t="s">
        <v>43</v>
      </c>
      <c r="E32" s="46" t="s">
        <v>113</v>
      </c>
      <c r="F32" s="54">
        <v>152.13</v>
      </c>
      <c r="G32" s="46" t="s">
        <v>39</v>
      </c>
      <c r="H32" s="46"/>
      <c r="I32" s="46" t="s">
        <v>46</v>
      </c>
      <c r="J32" s="36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>1310</v>
      </c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9.5" customHeight="1">
      <c r="A33" s="62">
        <v>46209.0</v>
      </c>
      <c r="B33" s="52" t="s">
        <v>114</v>
      </c>
      <c r="C33" s="52" t="s">
        <v>71</v>
      </c>
      <c r="D33" s="52" t="s">
        <v>83</v>
      </c>
      <c r="E33" s="52" t="s">
        <v>115</v>
      </c>
      <c r="F33" s="63">
        <f>17.1+19.7</f>
        <v>36.8</v>
      </c>
      <c r="G33" s="43"/>
      <c r="H33" s="52" t="s">
        <v>91</v>
      </c>
      <c r="I33" s="52" t="s">
        <v>46</v>
      </c>
      <c r="J33" s="36" t="str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/>
      </c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9.5" customHeight="1">
      <c r="A34" s="64">
        <v>46209.0</v>
      </c>
      <c r="B34" s="49" t="s">
        <v>116</v>
      </c>
      <c r="C34" s="49" t="s">
        <v>41</v>
      </c>
      <c r="D34" s="49" t="s">
        <v>43</v>
      </c>
      <c r="E34" s="49" t="s">
        <v>115</v>
      </c>
      <c r="F34" s="57">
        <v>1000.0</v>
      </c>
      <c r="G34" s="49" t="s">
        <v>62</v>
      </c>
      <c r="H34" s="46"/>
      <c r="I34" s="49" t="s">
        <v>46</v>
      </c>
      <c r="J34" s="36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>1000</v>
      </c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9.5" customHeight="1">
      <c r="A35" s="65">
        <v>46208.0</v>
      </c>
      <c r="B35" s="52" t="s">
        <v>117</v>
      </c>
      <c r="C35" s="52" t="s">
        <v>73</v>
      </c>
      <c r="D35" s="52" t="s">
        <v>74</v>
      </c>
      <c r="E35" s="52" t="s">
        <v>112</v>
      </c>
      <c r="F35" s="63">
        <v>500.0</v>
      </c>
      <c r="G35" s="43"/>
      <c r="H35" s="52" t="s">
        <v>44</v>
      </c>
      <c r="I35" s="52" t="s">
        <v>46</v>
      </c>
      <c r="J35" s="36" t="str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/>
      </c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9.5" customHeight="1">
      <c r="A36" s="64">
        <v>46209.0</v>
      </c>
      <c r="B36" s="49" t="s">
        <v>118</v>
      </c>
      <c r="C36" s="49" t="s">
        <v>73</v>
      </c>
      <c r="D36" s="49" t="s">
        <v>74</v>
      </c>
      <c r="E36" s="49" t="s">
        <v>113</v>
      </c>
      <c r="F36" s="57">
        <v>56.24</v>
      </c>
      <c r="G36" s="46"/>
      <c r="H36" s="49" t="s">
        <v>44</v>
      </c>
      <c r="I36" s="49" t="s">
        <v>46</v>
      </c>
      <c r="J36" s="36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9.5" customHeight="1">
      <c r="A37" s="65">
        <v>46218.0</v>
      </c>
      <c r="B37" s="52" t="s">
        <v>119</v>
      </c>
      <c r="C37" s="52" t="s">
        <v>68</v>
      </c>
      <c r="D37" s="52" t="s">
        <v>83</v>
      </c>
      <c r="E37" s="52" t="s">
        <v>115</v>
      </c>
      <c r="F37" s="63">
        <v>58.84</v>
      </c>
      <c r="G37" s="43"/>
      <c r="H37" s="52" t="s">
        <v>44</v>
      </c>
      <c r="I37" s="52" t="s">
        <v>46</v>
      </c>
      <c r="J37" s="36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9.5" customHeight="1">
      <c r="A38" s="64">
        <v>46230.0</v>
      </c>
      <c r="B38" s="49" t="s">
        <v>120</v>
      </c>
      <c r="C38" s="49" t="s">
        <v>73</v>
      </c>
      <c r="D38" s="49" t="s">
        <v>74</v>
      </c>
      <c r="E38" s="49" t="s">
        <v>75</v>
      </c>
      <c r="F38" s="57">
        <v>139.61</v>
      </c>
      <c r="G38" s="46"/>
      <c r="H38" s="49" t="s">
        <v>44</v>
      </c>
      <c r="I38" s="49" t="s">
        <v>46</v>
      </c>
      <c r="J38" s="36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9.5" customHeight="1">
      <c r="A39" s="58">
        <v>46227.0</v>
      </c>
      <c r="B39" s="43" t="s">
        <v>121</v>
      </c>
      <c r="C39" s="52" t="s">
        <v>68</v>
      </c>
      <c r="D39" s="43" t="s">
        <v>43</v>
      </c>
      <c r="E39" s="52" t="s">
        <v>110</v>
      </c>
      <c r="F39" s="44">
        <v>202.26</v>
      </c>
      <c r="G39" s="43" t="s">
        <v>47</v>
      </c>
      <c r="H39" s="43"/>
      <c r="I39" s="52" t="s">
        <v>46</v>
      </c>
      <c r="J39" s="36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>1050</v>
      </c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9.5" customHeight="1">
      <c r="A40" s="59">
        <v>46227.0</v>
      </c>
      <c r="B40" s="46" t="s">
        <v>122</v>
      </c>
      <c r="C40" s="46" t="s">
        <v>80</v>
      </c>
      <c r="D40" s="46" t="s">
        <v>43</v>
      </c>
      <c r="E40" s="46" t="s">
        <v>77</v>
      </c>
      <c r="F40" s="66">
        <v>2389.2</v>
      </c>
      <c r="G40" s="46" t="s">
        <v>47</v>
      </c>
      <c r="H40" s="46"/>
      <c r="I40" s="49" t="s">
        <v>46</v>
      </c>
      <c r="J40" s="36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9.5" customHeight="1">
      <c r="A41" s="58">
        <v>46201.0</v>
      </c>
      <c r="B41" s="43" t="s">
        <v>123</v>
      </c>
      <c r="C41" s="43" t="s">
        <v>71</v>
      </c>
      <c r="D41" s="43" t="s">
        <v>43</v>
      </c>
      <c r="E41" s="43" t="s">
        <v>77</v>
      </c>
      <c r="F41" s="44">
        <v>27.42</v>
      </c>
      <c r="G41" s="43" t="s">
        <v>39</v>
      </c>
      <c r="H41" s="43"/>
      <c r="I41" s="52" t="s">
        <v>46</v>
      </c>
      <c r="J41" s="36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1310</v>
      </c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9.5" customHeight="1">
      <c r="A42" s="64">
        <v>46603.0</v>
      </c>
      <c r="B42" s="49" t="s">
        <v>124</v>
      </c>
      <c r="C42" s="49" t="s">
        <v>65</v>
      </c>
      <c r="D42" s="49" t="s">
        <v>43</v>
      </c>
      <c r="E42" s="49" t="s">
        <v>44</v>
      </c>
      <c r="F42" s="57">
        <v>2257.0</v>
      </c>
      <c r="G42" s="49" t="s">
        <v>25</v>
      </c>
      <c r="H42" s="46"/>
      <c r="I42" s="49" t="s">
        <v>46</v>
      </c>
      <c r="J42" s="36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2326</v>
      </c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9.5" customHeight="1">
      <c r="A43" s="42"/>
      <c r="B43" s="43"/>
      <c r="C43" s="43"/>
      <c r="D43" s="43"/>
      <c r="E43" s="43"/>
      <c r="F43" s="44"/>
      <c r="G43" s="43"/>
      <c r="H43" s="43"/>
      <c r="I43" s="43"/>
      <c r="J43" s="36" t="str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/>
      </c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9.5" customHeight="1">
      <c r="A44" s="45"/>
      <c r="B44" s="46"/>
      <c r="C44" s="46"/>
      <c r="D44" s="46"/>
      <c r="E44" s="46"/>
      <c r="F44" s="54"/>
      <c r="G44" s="46"/>
      <c r="H44" s="46"/>
      <c r="I44" s="46"/>
      <c r="J44" s="36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9.5" customHeight="1">
      <c r="A45" s="42"/>
      <c r="B45" s="43"/>
      <c r="C45" s="43"/>
      <c r="D45" s="43"/>
      <c r="E45" s="43"/>
      <c r="F45" s="44"/>
      <c r="G45" s="43"/>
      <c r="H45" s="43"/>
      <c r="I45" s="43"/>
      <c r="J45" s="36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9.5" customHeight="1">
      <c r="A46" s="45"/>
      <c r="B46" s="46"/>
      <c r="C46" s="46"/>
      <c r="D46" s="46"/>
      <c r="E46" s="46"/>
      <c r="F46" s="54"/>
      <c r="G46" s="46"/>
      <c r="H46" s="46"/>
      <c r="I46" s="46"/>
      <c r="J46" s="36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9.5" customHeight="1">
      <c r="A47" s="42"/>
      <c r="B47" s="43"/>
      <c r="C47" s="43"/>
      <c r="D47" s="43"/>
      <c r="E47" s="43"/>
      <c r="F47" s="44"/>
      <c r="G47" s="43"/>
      <c r="H47" s="43"/>
      <c r="I47" s="43"/>
      <c r="J47" s="36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9.5" customHeight="1">
      <c r="A48" s="45"/>
      <c r="B48" s="46"/>
      <c r="C48" s="46"/>
      <c r="D48" s="46"/>
      <c r="E48" s="46"/>
      <c r="F48" s="54"/>
      <c r="G48" s="46"/>
      <c r="H48" s="46"/>
      <c r="I48" s="46"/>
      <c r="J48" s="36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9.5" customHeight="1">
      <c r="A49" s="42"/>
      <c r="B49" s="43"/>
      <c r="C49" s="43"/>
      <c r="D49" s="43"/>
      <c r="E49" s="43"/>
      <c r="F49" s="44"/>
      <c r="G49" s="43"/>
      <c r="H49" s="43"/>
      <c r="I49" s="43"/>
      <c r="J49" s="36" t="str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/>
      </c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9.5" customHeight="1">
      <c r="A50" s="45"/>
      <c r="B50" s="46"/>
      <c r="C50" s="46"/>
      <c r="D50" s="46"/>
      <c r="E50" s="46"/>
      <c r="F50" s="54"/>
      <c r="G50" s="46"/>
      <c r="H50" s="46"/>
      <c r="I50" s="46"/>
      <c r="J50" s="36" t="str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/>
      </c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9.5" customHeight="1">
      <c r="A51" s="42"/>
      <c r="B51" s="43"/>
      <c r="C51" s="43"/>
      <c r="D51" s="43"/>
      <c r="E51" s="43"/>
      <c r="F51" s="44"/>
      <c r="G51" s="43"/>
      <c r="H51" s="43"/>
      <c r="I51" s="43"/>
      <c r="J51" s="36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9.5" customHeight="1">
      <c r="A52" s="45"/>
      <c r="B52" s="46"/>
      <c r="C52" s="46"/>
      <c r="D52" s="46"/>
      <c r="E52" s="46"/>
      <c r="F52" s="54"/>
      <c r="G52" s="46"/>
      <c r="H52" s="46"/>
      <c r="I52" s="46"/>
      <c r="J52" s="36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9.5" customHeight="1">
      <c r="A53" s="42"/>
      <c r="B53" s="43"/>
      <c r="C53" s="43"/>
      <c r="D53" s="43"/>
      <c r="E53" s="43"/>
      <c r="F53" s="44"/>
      <c r="G53" s="43"/>
      <c r="H53" s="43"/>
      <c r="I53" s="43"/>
      <c r="J53" s="36" t="str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/>
      </c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9.5" customHeight="1">
      <c r="A54" s="45"/>
      <c r="B54" s="46"/>
      <c r="C54" s="46"/>
      <c r="D54" s="46"/>
      <c r="E54" s="46"/>
      <c r="F54" s="54"/>
      <c r="G54" s="46"/>
      <c r="H54" s="46"/>
      <c r="I54" s="46"/>
      <c r="J54" s="36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9.5" customHeight="1">
      <c r="A55" s="42"/>
      <c r="B55" s="43"/>
      <c r="C55" s="43"/>
      <c r="D55" s="43"/>
      <c r="E55" s="43"/>
      <c r="F55" s="44"/>
      <c r="G55" s="43"/>
      <c r="H55" s="43"/>
      <c r="I55" s="43"/>
      <c r="J55" s="36" t="str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/>
      </c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9.5" customHeight="1">
      <c r="A56" s="45"/>
      <c r="B56" s="46"/>
      <c r="C56" s="46"/>
      <c r="D56" s="46"/>
      <c r="E56" s="46"/>
      <c r="F56" s="54"/>
      <c r="G56" s="46"/>
      <c r="H56" s="46"/>
      <c r="I56" s="46"/>
      <c r="J56" s="36" t="str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/>
      </c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9.5" customHeight="1">
      <c r="A57" s="42"/>
      <c r="B57" s="43"/>
      <c r="C57" s="43"/>
      <c r="D57" s="43"/>
      <c r="E57" s="43"/>
      <c r="F57" s="44"/>
      <c r="G57" s="43"/>
      <c r="H57" s="43"/>
      <c r="I57" s="43"/>
      <c r="J57" s="36" t="str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/>
      </c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9.5" customHeight="1">
      <c r="A58" s="45"/>
      <c r="B58" s="46"/>
      <c r="C58" s="46"/>
      <c r="D58" s="46"/>
      <c r="E58" s="46"/>
      <c r="F58" s="54"/>
      <c r="G58" s="46"/>
      <c r="H58" s="46"/>
      <c r="I58" s="46"/>
      <c r="J58" s="36" t="str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/>
      </c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9.5" customHeight="1">
      <c r="A59" s="42"/>
      <c r="B59" s="43"/>
      <c r="C59" s="43"/>
      <c r="D59" s="43"/>
      <c r="E59" s="43"/>
      <c r="F59" s="44"/>
      <c r="G59" s="43"/>
      <c r="H59" s="43"/>
      <c r="I59" s="43"/>
      <c r="J59" s="36" t="str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/>
      </c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9.5" customHeight="1">
      <c r="A60" s="45"/>
      <c r="B60" s="46"/>
      <c r="C60" s="46"/>
      <c r="D60" s="46"/>
      <c r="E60" s="46"/>
      <c r="F60" s="54"/>
      <c r="G60" s="46"/>
      <c r="H60" s="46"/>
      <c r="I60" s="46"/>
      <c r="J60" s="36" t="str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/>
      </c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9.5" customHeight="1">
      <c r="A61" s="42"/>
      <c r="B61" s="43"/>
      <c r="C61" s="43"/>
      <c r="D61" s="43"/>
      <c r="E61" s="43"/>
      <c r="F61" s="44"/>
      <c r="G61" s="43"/>
      <c r="H61" s="43"/>
      <c r="I61" s="43"/>
      <c r="J61" s="36" t="str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/>
      </c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9.5" customHeight="1">
      <c r="A62" s="45"/>
      <c r="B62" s="46"/>
      <c r="C62" s="46"/>
      <c r="D62" s="46"/>
      <c r="E62" s="46"/>
      <c r="F62" s="54"/>
      <c r="G62" s="46"/>
      <c r="H62" s="46"/>
      <c r="I62" s="46"/>
      <c r="J62" s="36" t="str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/>
      </c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9.5" customHeight="1">
      <c r="A63" s="42"/>
      <c r="B63" s="43"/>
      <c r="C63" s="43"/>
      <c r="D63" s="43"/>
      <c r="E63" s="43"/>
      <c r="F63" s="44"/>
      <c r="G63" s="43"/>
      <c r="H63" s="43"/>
      <c r="I63" s="43"/>
      <c r="J63" s="36" t="str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/>
      </c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9.5" customHeight="1">
      <c r="A64" s="45"/>
      <c r="B64" s="46"/>
      <c r="C64" s="46"/>
      <c r="D64" s="46"/>
      <c r="E64" s="46"/>
      <c r="F64" s="54"/>
      <c r="G64" s="46"/>
      <c r="H64" s="46"/>
      <c r="I64" s="46"/>
      <c r="J64" s="36" t="str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/>
      </c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9.5" customHeight="1">
      <c r="A65" s="42"/>
      <c r="B65" s="43"/>
      <c r="C65" s="43"/>
      <c r="D65" s="43"/>
      <c r="E65" s="43"/>
      <c r="F65" s="44"/>
      <c r="G65" s="43"/>
      <c r="H65" s="43"/>
      <c r="I65" s="43"/>
      <c r="J65" s="36" t="str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/>
      </c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9.5" customHeight="1">
      <c r="A66" s="45"/>
      <c r="B66" s="46"/>
      <c r="C66" s="46"/>
      <c r="D66" s="46"/>
      <c r="E66" s="46"/>
      <c r="F66" s="54"/>
      <c r="G66" s="46"/>
      <c r="H66" s="46"/>
      <c r="I66" s="46"/>
      <c r="J66" s="36" t="str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/>
      </c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9.5" customHeight="1">
      <c r="A67" s="42"/>
      <c r="B67" s="43"/>
      <c r="C67" s="43"/>
      <c r="D67" s="43"/>
      <c r="E67" s="43"/>
      <c r="F67" s="44"/>
      <c r="G67" s="43"/>
      <c r="H67" s="43"/>
      <c r="I67" s="43"/>
      <c r="J67" s="36" t="str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/>
      </c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9.5" customHeight="1">
      <c r="A68" s="45"/>
      <c r="B68" s="46"/>
      <c r="C68" s="46"/>
      <c r="D68" s="46"/>
      <c r="E68" s="46"/>
      <c r="F68" s="54"/>
      <c r="G68" s="46"/>
      <c r="H68" s="46"/>
      <c r="I68" s="46"/>
      <c r="J68" s="36" t="str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/>
      </c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9.5" customHeight="1">
      <c r="A69" s="42"/>
      <c r="B69" s="43"/>
      <c r="C69" s="43"/>
      <c r="D69" s="43"/>
      <c r="E69" s="43"/>
      <c r="F69" s="44"/>
      <c r="G69" s="43"/>
      <c r="H69" s="43"/>
      <c r="I69" s="43"/>
      <c r="J69" s="36" t="str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/>
      </c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9.5" customHeight="1">
      <c r="A70" s="45"/>
      <c r="B70" s="46"/>
      <c r="C70" s="46"/>
      <c r="D70" s="46"/>
      <c r="E70" s="46"/>
      <c r="F70" s="54"/>
      <c r="G70" s="46"/>
      <c r="H70" s="46"/>
      <c r="I70" s="46"/>
      <c r="J70" s="36" t="str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/>
      </c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9.5" customHeight="1">
      <c r="A71" s="42"/>
      <c r="B71" s="43"/>
      <c r="C71" s="43"/>
      <c r="D71" s="43"/>
      <c r="E71" s="43"/>
      <c r="F71" s="44"/>
      <c r="G71" s="43"/>
      <c r="H71" s="43"/>
      <c r="I71" s="43"/>
      <c r="J71" s="36" t="str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/>
      </c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9.5" customHeight="1">
      <c r="A72" s="45"/>
      <c r="B72" s="46"/>
      <c r="C72" s="46"/>
      <c r="D72" s="46"/>
      <c r="E72" s="46"/>
      <c r="F72" s="54"/>
      <c r="G72" s="46"/>
      <c r="H72" s="46"/>
      <c r="I72" s="46"/>
      <c r="J72" s="36" t="str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/>
      </c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9.5" customHeight="1">
      <c r="A73" s="42"/>
      <c r="B73" s="43"/>
      <c r="C73" s="43"/>
      <c r="D73" s="43"/>
      <c r="E73" s="43"/>
      <c r="F73" s="44"/>
      <c r="G73" s="43"/>
      <c r="H73" s="43"/>
      <c r="I73" s="43"/>
      <c r="J73" s="36" t="str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/>
      </c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9.5" customHeight="1">
      <c r="A74" s="45"/>
      <c r="B74" s="46"/>
      <c r="C74" s="46"/>
      <c r="D74" s="46"/>
      <c r="E74" s="46"/>
      <c r="F74" s="54"/>
      <c r="G74" s="46"/>
      <c r="H74" s="46"/>
      <c r="I74" s="46"/>
      <c r="J74" s="36" t="str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/>
      </c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9.5" customHeight="1">
      <c r="A75" s="42"/>
      <c r="B75" s="43"/>
      <c r="C75" s="43"/>
      <c r="D75" s="43"/>
      <c r="E75" s="43"/>
      <c r="F75" s="44"/>
      <c r="G75" s="43"/>
      <c r="H75" s="43"/>
      <c r="I75" s="43"/>
      <c r="J75" s="36" t="str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/>
      </c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9.5" customHeight="1">
      <c r="A76" s="45"/>
      <c r="B76" s="46"/>
      <c r="C76" s="46"/>
      <c r="D76" s="46"/>
      <c r="E76" s="46"/>
      <c r="F76" s="54"/>
      <c r="G76" s="46"/>
      <c r="H76" s="46"/>
      <c r="I76" s="46"/>
      <c r="J76" s="36" t="str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/>
      </c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9.5" customHeight="1">
      <c r="A77" s="42"/>
      <c r="B77" s="43"/>
      <c r="C77" s="43"/>
      <c r="D77" s="43"/>
      <c r="E77" s="43"/>
      <c r="F77" s="44"/>
      <c r="G77" s="43"/>
      <c r="H77" s="43"/>
      <c r="I77" s="43"/>
      <c r="J77" s="36" t="str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/>
      </c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9.5" customHeight="1">
      <c r="A78" s="45"/>
      <c r="B78" s="46"/>
      <c r="C78" s="46"/>
      <c r="D78" s="46"/>
      <c r="E78" s="46"/>
      <c r="F78" s="54"/>
      <c r="G78" s="46"/>
      <c r="H78" s="46"/>
      <c r="I78" s="46"/>
      <c r="J78" s="36" t="str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/>
      </c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9.5" customHeight="1">
      <c r="A79" s="42"/>
      <c r="B79" s="43"/>
      <c r="C79" s="43"/>
      <c r="D79" s="43"/>
      <c r="E79" s="43"/>
      <c r="F79" s="44"/>
      <c r="G79" s="43"/>
      <c r="H79" s="43"/>
      <c r="I79" s="43"/>
      <c r="J79" s="36" t="str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/>
      </c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9.5" customHeight="1">
      <c r="A80" s="45"/>
      <c r="B80" s="46"/>
      <c r="C80" s="46"/>
      <c r="D80" s="46"/>
      <c r="E80" s="46"/>
      <c r="F80" s="54"/>
      <c r="G80" s="46"/>
      <c r="H80" s="46"/>
      <c r="I80" s="46"/>
      <c r="J80" s="36" t="str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/>
      </c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9.5" customHeight="1">
      <c r="A81" s="42"/>
      <c r="B81" s="43"/>
      <c r="C81" s="43"/>
      <c r="D81" s="43"/>
      <c r="E81" s="43"/>
      <c r="F81" s="44"/>
      <c r="G81" s="43"/>
      <c r="H81" s="43"/>
      <c r="I81" s="43"/>
      <c r="J81" s="36" t="str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/>
      </c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9.5" customHeight="1">
      <c r="A82" s="45"/>
      <c r="B82" s="46"/>
      <c r="C82" s="46"/>
      <c r="D82" s="46"/>
      <c r="E82" s="46"/>
      <c r="F82" s="54"/>
      <c r="G82" s="46"/>
      <c r="H82" s="46"/>
      <c r="I82" s="46"/>
      <c r="J82" s="36" t="str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/>
      </c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9.5" customHeight="1">
      <c r="A83" s="42"/>
      <c r="B83" s="43"/>
      <c r="C83" s="43"/>
      <c r="D83" s="43"/>
      <c r="E83" s="43"/>
      <c r="F83" s="44"/>
      <c r="G83" s="43"/>
      <c r="H83" s="43"/>
      <c r="I83" s="43"/>
      <c r="J83" s="36" t="str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/>
      </c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9.5" customHeight="1">
      <c r="A84" s="45"/>
      <c r="B84" s="46"/>
      <c r="C84" s="46"/>
      <c r="D84" s="46"/>
      <c r="E84" s="46"/>
      <c r="F84" s="54"/>
      <c r="G84" s="46"/>
      <c r="H84" s="46"/>
      <c r="I84" s="46"/>
      <c r="J84" s="36" t="str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/>
      </c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9.5" customHeight="1">
      <c r="A85" s="42"/>
      <c r="B85" s="43"/>
      <c r="C85" s="43"/>
      <c r="D85" s="43"/>
      <c r="E85" s="43"/>
      <c r="F85" s="44"/>
      <c r="G85" s="43"/>
      <c r="H85" s="43"/>
      <c r="I85" s="43"/>
      <c r="J85" s="36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9.5" customHeight="1">
      <c r="A86" s="45"/>
      <c r="B86" s="46"/>
      <c r="C86" s="46"/>
      <c r="D86" s="46"/>
      <c r="E86" s="46"/>
      <c r="F86" s="54"/>
      <c r="G86" s="46"/>
      <c r="H86" s="46"/>
      <c r="I86" s="46"/>
      <c r="J86" s="36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9.5" customHeight="1">
      <c r="A87" s="42"/>
      <c r="B87" s="43"/>
      <c r="C87" s="43"/>
      <c r="D87" s="43"/>
      <c r="E87" s="43"/>
      <c r="F87" s="44"/>
      <c r="G87" s="43"/>
      <c r="H87" s="43"/>
      <c r="I87" s="43"/>
      <c r="J87" s="36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9.5" customHeight="1">
      <c r="A88" s="45"/>
      <c r="B88" s="46"/>
      <c r="C88" s="46"/>
      <c r="D88" s="46"/>
      <c r="E88" s="46"/>
      <c r="F88" s="54"/>
      <c r="G88" s="46"/>
      <c r="H88" s="46"/>
      <c r="I88" s="46"/>
      <c r="J88" s="36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9.5" customHeight="1">
      <c r="A89" s="42"/>
      <c r="B89" s="43"/>
      <c r="C89" s="43"/>
      <c r="D89" s="43"/>
      <c r="E89" s="43"/>
      <c r="F89" s="44"/>
      <c r="G89" s="43"/>
      <c r="H89" s="43"/>
      <c r="I89" s="43"/>
      <c r="J89" s="36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9.5" customHeight="1">
      <c r="A90" s="45"/>
      <c r="B90" s="46"/>
      <c r="C90" s="46"/>
      <c r="D90" s="46"/>
      <c r="E90" s="46"/>
      <c r="F90" s="54"/>
      <c r="G90" s="46"/>
      <c r="H90" s="46"/>
      <c r="I90" s="46"/>
      <c r="J90" s="36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9.5" customHeight="1">
      <c r="A91" s="42"/>
      <c r="B91" s="43"/>
      <c r="C91" s="43"/>
      <c r="D91" s="43"/>
      <c r="E91" s="43"/>
      <c r="F91" s="44"/>
      <c r="G91" s="43"/>
      <c r="H91" s="43"/>
      <c r="I91" s="43"/>
      <c r="J91" s="36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9.5" customHeight="1">
      <c r="A92" s="45"/>
      <c r="B92" s="46"/>
      <c r="C92" s="46"/>
      <c r="D92" s="46"/>
      <c r="E92" s="46"/>
      <c r="F92" s="54"/>
      <c r="G92" s="46"/>
      <c r="H92" s="46"/>
      <c r="I92" s="46"/>
      <c r="J92" s="36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9.5" customHeight="1">
      <c r="A93" s="42"/>
      <c r="B93" s="43"/>
      <c r="C93" s="43"/>
      <c r="D93" s="43"/>
      <c r="E93" s="43"/>
      <c r="F93" s="44"/>
      <c r="G93" s="43"/>
      <c r="H93" s="43"/>
      <c r="I93" s="43"/>
      <c r="J93" s="36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9.5" customHeight="1">
      <c r="A94" s="45"/>
      <c r="B94" s="46"/>
      <c r="C94" s="46"/>
      <c r="D94" s="46"/>
      <c r="E94" s="46"/>
      <c r="F94" s="54"/>
      <c r="G94" s="46"/>
      <c r="H94" s="46"/>
      <c r="I94" s="46"/>
      <c r="J94" s="36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9.5" customHeight="1">
      <c r="A95" s="42"/>
      <c r="B95" s="43"/>
      <c r="C95" s="43"/>
      <c r="D95" s="43"/>
      <c r="E95" s="43"/>
      <c r="F95" s="44"/>
      <c r="G95" s="43"/>
      <c r="H95" s="43"/>
      <c r="I95" s="43"/>
      <c r="J95" s="36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9.5" customHeight="1">
      <c r="A96" s="45"/>
      <c r="B96" s="46"/>
      <c r="C96" s="46"/>
      <c r="D96" s="46"/>
      <c r="E96" s="46"/>
      <c r="F96" s="54"/>
      <c r="G96" s="46"/>
      <c r="H96" s="46"/>
      <c r="I96" s="46"/>
      <c r="J96" s="36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9.5" customHeight="1">
      <c r="A97" s="42"/>
      <c r="B97" s="43"/>
      <c r="C97" s="43"/>
      <c r="D97" s="43"/>
      <c r="E97" s="43"/>
      <c r="F97" s="44"/>
      <c r="G97" s="43"/>
      <c r="H97" s="43"/>
      <c r="I97" s="43"/>
      <c r="J97" s="36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9.5" customHeight="1">
      <c r="A98" s="45"/>
      <c r="B98" s="46"/>
      <c r="C98" s="46"/>
      <c r="D98" s="46"/>
      <c r="E98" s="46"/>
      <c r="F98" s="54"/>
      <c r="G98" s="46"/>
      <c r="H98" s="46"/>
      <c r="I98" s="46"/>
      <c r="J98" s="36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9.5" customHeight="1">
      <c r="A99" s="42"/>
      <c r="B99" s="43"/>
      <c r="C99" s="43"/>
      <c r="D99" s="43"/>
      <c r="E99" s="43"/>
      <c r="F99" s="44"/>
      <c r="G99" s="43"/>
      <c r="H99" s="43"/>
      <c r="I99" s="43"/>
      <c r="J99" s="36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9.5" customHeight="1">
      <c r="A100" s="45"/>
      <c r="B100" s="46"/>
      <c r="C100" s="46"/>
      <c r="D100" s="46"/>
      <c r="E100" s="46"/>
      <c r="F100" s="54"/>
      <c r="G100" s="46"/>
      <c r="H100" s="46"/>
      <c r="I100" s="46"/>
      <c r="J100" s="36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9.5" customHeight="1">
      <c r="A101" s="42"/>
      <c r="B101" s="43"/>
      <c r="C101" s="43"/>
      <c r="D101" s="43"/>
      <c r="E101" s="43"/>
      <c r="F101" s="44"/>
      <c r="G101" s="43"/>
      <c r="H101" s="43"/>
      <c r="I101" s="43"/>
      <c r="J101" s="36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9.5" customHeight="1">
      <c r="A102" s="45"/>
      <c r="B102" s="46"/>
      <c r="C102" s="46"/>
      <c r="D102" s="46"/>
      <c r="E102" s="46"/>
      <c r="F102" s="54"/>
      <c r="G102" s="46"/>
      <c r="H102" s="46"/>
      <c r="I102" s="46"/>
      <c r="J102" s="36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9.5" customHeight="1">
      <c r="A103" s="42"/>
      <c r="B103" s="43"/>
      <c r="C103" s="43"/>
      <c r="D103" s="43"/>
      <c r="E103" s="43"/>
      <c r="F103" s="44"/>
      <c r="G103" s="43"/>
      <c r="H103" s="43"/>
      <c r="I103" s="43"/>
      <c r="J103" s="36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9.5" customHeight="1">
      <c r="A104" s="45"/>
      <c r="B104" s="46"/>
      <c r="C104" s="46"/>
      <c r="D104" s="46"/>
      <c r="E104" s="46"/>
      <c r="F104" s="54"/>
      <c r="G104" s="46"/>
      <c r="H104" s="46"/>
      <c r="I104" s="46"/>
      <c r="J104" s="36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9.5" customHeight="1">
      <c r="A105" s="42"/>
      <c r="B105" s="43"/>
      <c r="C105" s="43"/>
      <c r="D105" s="43"/>
      <c r="E105" s="43"/>
      <c r="F105" s="44"/>
      <c r="G105" s="43"/>
      <c r="H105" s="43"/>
      <c r="I105" s="43"/>
      <c r="J105" s="36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9.5" customHeight="1">
      <c r="A106" s="45"/>
      <c r="B106" s="46"/>
      <c r="C106" s="46"/>
      <c r="D106" s="46"/>
      <c r="E106" s="46"/>
      <c r="F106" s="54"/>
      <c r="G106" s="46"/>
      <c r="H106" s="46"/>
      <c r="I106" s="46"/>
      <c r="J106" s="36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9.5" customHeight="1">
      <c r="A107" s="42"/>
      <c r="B107" s="43"/>
      <c r="C107" s="43"/>
      <c r="D107" s="43"/>
      <c r="E107" s="43"/>
      <c r="F107" s="44"/>
      <c r="G107" s="43"/>
      <c r="H107" s="43"/>
      <c r="I107" s="43"/>
      <c r="J107" s="36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9.5" customHeight="1">
      <c r="A108" s="45"/>
      <c r="B108" s="46"/>
      <c r="C108" s="46"/>
      <c r="D108" s="46"/>
      <c r="E108" s="46"/>
      <c r="F108" s="54"/>
      <c r="G108" s="46"/>
      <c r="H108" s="46"/>
      <c r="I108" s="46"/>
      <c r="J108" s="36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9.5" customHeight="1">
      <c r="A109" s="42"/>
      <c r="B109" s="43"/>
      <c r="C109" s="43"/>
      <c r="D109" s="43"/>
      <c r="E109" s="43"/>
      <c r="F109" s="44"/>
      <c r="G109" s="43"/>
      <c r="H109" s="43"/>
      <c r="I109" s="43"/>
      <c r="J109" s="36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9.5" customHeight="1">
      <c r="A110" s="45"/>
      <c r="B110" s="46"/>
      <c r="C110" s="46"/>
      <c r="D110" s="46"/>
      <c r="E110" s="46"/>
      <c r="F110" s="54"/>
      <c r="G110" s="46"/>
      <c r="H110" s="46"/>
      <c r="I110" s="46"/>
      <c r="J110" s="36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9.5" customHeight="1">
      <c r="A111" s="42"/>
      <c r="B111" s="43"/>
      <c r="C111" s="43"/>
      <c r="D111" s="43"/>
      <c r="E111" s="43"/>
      <c r="F111" s="44"/>
      <c r="G111" s="43"/>
      <c r="H111" s="43"/>
      <c r="I111" s="43"/>
      <c r="J111" s="36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9.5" customHeight="1">
      <c r="A112" s="45"/>
      <c r="B112" s="46"/>
      <c r="C112" s="46"/>
      <c r="D112" s="46"/>
      <c r="E112" s="46"/>
      <c r="F112" s="54"/>
      <c r="G112" s="46"/>
      <c r="H112" s="46"/>
      <c r="I112" s="46"/>
      <c r="J112" s="36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9.5" customHeight="1">
      <c r="A113" s="42"/>
      <c r="B113" s="43"/>
      <c r="C113" s="43"/>
      <c r="D113" s="43"/>
      <c r="E113" s="43"/>
      <c r="F113" s="44"/>
      <c r="G113" s="43"/>
      <c r="H113" s="43"/>
      <c r="I113" s="43"/>
      <c r="J113" s="36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9.5" customHeight="1">
      <c r="A114" s="45"/>
      <c r="B114" s="46"/>
      <c r="C114" s="46"/>
      <c r="D114" s="46"/>
      <c r="E114" s="46"/>
      <c r="F114" s="54"/>
      <c r="G114" s="46"/>
      <c r="H114" s="46"/>
      <c r="I114" s="46"/>
      <c r="J114" s="36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9.5" customHeight="1">
      <c r="A115" s="42"/>
      <c r="B115" s="43"/>
      <c r="C115" s="43"/>
      <c r="D115" s="43"/>
      <c r="E115" s="43"/>
      <c r="F115" s="44"/>
      <c r="G115" s="43"/>
      <c r="H115" s="43"/>
      <c r="I115" s="43"/>
      <c r="J115" s="36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9.5" customHeight="1">
      <c r="A116" s="45"/>
      <c r="B116" s="46"/>
      <c r="C116" s="46"/>
      <c r="D116" s="46"/>
      <c r="E116" s="46"/>
      <c r="F116" s="54"/>
      <c r="G116" s="46"/>
      <c r="H116" s="46"/>
      <c r="I116" s="46"/>
      <c r="J116" s="36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9.5" customHeight="1">
      <c r="A117" s="42"/>
      <c r="B117" s="43"/>
      <c r="C117" s="43"/>
      <c r="D117" s="43"/>
      <c r="E117" s="43"/>
      <c r="F117" s="44"/>
      <c r="G117" s="43"/>
      <c r="H117" s="43"/>
      <c r="I117" s="43"/>
      <c r="J117" s="36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9.5" customHeight="1">
      <c r="A118" s="45"/>
      <c r="B118" s="46"/>
      <c r="C118" s="46"/>
      <c r="D118" s="46"/>
      <c r="E118" s="46"/>
      <c r="F118" s="54"/>
      <c r="G118" s="46"/>
      <c r="H118" s="46"/>
      <c r="I118" s="46"/>
      <c r="J118" s="36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9.5" customHeight="1">
      <c r="A119" s="42"/>
      <c r="B119" s="43"/>
      <c r="C119" s="43"/>
      <c r="D119" s="43"/>
      <c r="E119" s="43"/>
      <c r="F119" s="44"/>
      <c r="G119" s="43"/>
      <c r="H119" s="43"/>
      <c r="I119" s="43"/>
      <c r="J119" s="36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9.5" customHeight="1">
      <c r="A120" s="45"/>
      <c r="B120" s="46"/>
      <c r="C120" s="46"/>
      <c r="D120" s="46"/>
      <c r="E120" s="46"/>
      <c r="F120" s="54"/>
      <c r="G120" s="46"/>
      <c r="H120" s="46"/>
      <c r="I120" s="46"/>
      <c r="J120" s="36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9.5" customHeight="1">
      <c r="A121" s="42"/>
      <c r="B121" s="43"/>
      <c r="C121" s="43"/>
      <c r="D121" s="43"/>
      <c r="E121" s="43"/>
      <c r="F121" s="44"/>
      <c r="G121" s="43"/>
      <c r="H121" s="43"/>
      <c r="I121" s="43"/>
      <c r="J121" s="36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9.5" customHeight="1">
      <c r="A122" s="45"/>
      <c r="B122" s="46"/>
      <c r="C122" s="46"/>
      <c r="D122" s="46"/>
      <c r="E122" s="46"/>
      <c r="F122" s="54"/>
      <c r="G122" s="46"/>
      <c r="H122" s="46"/>
      <c r="I122" s="46"/>
      <c r="J122" s="36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9.5" customHeight="1">
      <c r="A123" s="42"/>
      <c r="B123" s="43"/>
      <c r="C123" s="43"/>
      <c r="D123" s="43"/>
      <c r="E123" s="43"/>
      <c r="F123" s="44"/>
      <c r="G123" s="43"/>
      <c r="H123" s="43"/>
      <c r="I123" s="43"/>
      <c r="J123" s="36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9.5" customHeight="1">
      <c r="A124" s="45"/>
      <c r="B124" s="46"/>
      <c r="C124" s="46"/>
      <c r="D124" s="46"/>
      <c r="E124" s="46"/>
      <c r="F124" s="54"/>
      <c r="G124" s="46"/>
      <c r="H124" s="46"/>
      <c r="I124" s="46"/>
      <c r="J124" s="36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9.5" customHeight="1">
      <c r="A125" s="42"/>
      <c r="B125" s="43"/>
      <c r="C125" s="43"/>
      <c r="D125" s="43"/>
      <c r="E125" s="43"/>
      <c r="F125" s="44"/>
      <c r="G125" s="43"/>
      <c r="H125" s="43"/>
      <c r="I125" s="43"/>
      <c r="J125" s="36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9.5" customHeight="1">
      <c r="A126" s="45"/>
      <c r="B126" s="46"/>
      <c r="C126" s="46"/>
      <c r="D126" s="46"/>
      <c r="E126" s="46"/>
      <c r="F126" s="54"/>
      <c r="G126" s="46"/>
      <c r="H126" s="46"/>
      <c r="I126" s="46"/>
      <c r="J126" s="36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9.5" customHeight="1">
      <c r="A127" s="42"/>
      <c r="B127" s="43"/>
      <c r="C127" s="43"/>
      <c r="D127" s="43"/>
      <c r="E127" s="43"/>
      <c r="F127" s="44"/>
      <c r="G127" s="43"/>
      <c r="H127" s="43"/>
      <c r="I127" s="43"/>
      <c r="J127" s="36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9.5" customHeight="1">
      <c r="A128" s="45"/>
      <c r="B128" s="46"/>
      <c r="C128" s="46"/>
      <c r="D128" s="46"/>
      <c r="E128" s="46"/>
      <c r="F128" s="54"/>
      <c r="G128" s="46"/>
      <c r="H128" s="46"/>
      <c r="I128" s="46"/>
      <c r="J128" s="36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9.5" customHeight="1">
      <c r="A129" s="42"/>
      <c r="B129" s="43"/>
      <c r="C129" s="43"/>
      <c r="D129" s="43"/>
      <c r="E129" s="43"/>
      <c r="F129" s="44"/>
      <c r="G129" s="43"/>
      <c r="H129" s="43"/>
      <c r="I129" s="43"/>
      <c r="J129" s="36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9.5" customHeight="1">
      <c r="A130" s="45"/>
      <c r="B130" s="46"/>
      <c r="C130" s="46"/>
      <c r="D130" s="46"/>
      <c r="E130" s="46"/>
      <c r="F130" s="54"/>
      <c r="G130" s="46"/>
      <c r="H130" s="46"/>
      <c r="I130" s="46"/>
      <c r="J130" s="36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9.5" customHeight="1">
      <c r="A131" s="42"/>
      <c r="B131" s="43"/>
      <c r="C131" s="43"/>
      <c r="D131" s="43"/>
      <c r="E131" s="43"/>
      <c r="F131" s="44"/>
      <c r="G131" s="43"/>
      <c r="H131" s="43"/>
      <c r="I131" s="43"/>
      <c r="J131" s="36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9.5" customHeight="1">
      <c r="A132" s="45"/>
      <c r="B132" s="46"/>
      <c r="C132" s="46"/>
      <c r="D132" s="46"/>
      <c r="E132" s="46"/>
      <c r="F132" s="54"/>
      <c r="G132" s="46"/>
      <c r="H132" s="46"/>
      <c r="I132" s="46"/>
      <c r="J132" s="36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9.5" customHeight="1">
      <c r="A133" s="42"/>
      <c r="B133" s="43"/>
      <c r="C133" s="43"/>
      <c r="D133" s="43"/>
      <c r="E133" s="43"/>
      <c r="F133" s="44"/>
      <c r="G133" s="43"/>
      <c r="H133" s="43"/>
      <c r="I133" s="43"/>
      <c r="J133" s="36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9.5" customHeight="1">
      <c r="A134" s="45"/>
      <c r="B134" s="46"/>
      <c r="C134" s="46"/>
      <c r="D134" s="46"/>
      <c r="E134" s="46"/>
      <c r="F134" s="54"/>
      <c r="G134" s="46"/>
      <c r="H134" s="46"/>
      <c r="I134" s="46"/>
      <c r="J134" s="36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9.5" customHeight="1">
      <c r="A135" s="42"/>
      <c r="B135" s="43"/>
      <c r="C135" s="43"/>
      <c r="D135" s="43"/>
      <c r="E135" s="43"/>
      <c r="F135" s="44"/>
      <c r="G135" s="43"/>
      <c r="H135" s="43"/>
      <c r="I135" s="43"/>
      <c r="J135" s="36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9.5" customHeight="1">
      <c r="A136" s="45"/>
      <c r="B136" s="46"/>
      <c r="C136" s="46"/>
      <c r="D136" s="46"/>
      <c r="E136" s="46"/>
      <c r="F136" s="54"/>
      <c r="G136" s="46"/>
      <c r="H136" s="46"/>
      <c r="I136" s="46"/>
      <c r="J136" s="36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9.5" customHeight="1">
      <c r="A137" s="42"/>
      <c r="B137" s="43"/>
      <c r="C137" s="43"/>
      <c r="D137" s="43"/>
      <c r="E137" s="43"/>
      <c r="F137" s="44"/>
      <c r="G137" s="43"/>
      <c r="H137" s="43"/>
      <c r="I137" s="43"/>
      <c r="J137" s="36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9.5" customHeight="1">
      <c r="A138" s="45"/>
      <c r="B138" s="46"/>
      <c r="C138" s="46"/>
      <c r="D138" s="46"/>
      <c r="E138" s="46"/>
      <c r="F138" s="54"/>
      <c r="G138" s="46"/>
      <c r="H138" s="46"/>
      <c r="I138" s="46"/>
      <c r="J138" s="36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9.5" customHeight="1">
      <c r="A139" s="42"/>
      <c r="B139" s="43"/>
      <c r="C139" s="43"/>
      <c r="D139" s="43"/>
      <c r="E139" s="43"/>
      <c r="F139" s="44"/>
      <c r="G139" s="43"/>
      <c r="H139" s="43"/>
      <c r="I139" s="43"/>
      <c r="J139" s="36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9.5" customHeight="1">
      <c r="A140" s="45"/>
      <c r="B140" s="46"/>
      <c r="C140" s="46"/>
      <c r="D140" s="46"/>
      <c r="E140" s="46"/>
      <c r="F140" s="54"/>
      <c r="G140" s="46"/>
      <c r="H140" s="46"/>
      <c r="I140" s="46"/>
      <c r="J140" s="36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9.5" customHeight="1">
      <c r="A141" s="42"/>
      <c r="B141" s="43"/>
      <c r="C141" s="43"/>
      <c r="D141" s="43"/>
      <c r="E141" s="43"/>
      <c r="F141" s="44"/>
      <c r="G141" s="43"/>
      <c r="H141" s="43"/>
      <c r="I141" s="43"/>
      <c r="J141" s="36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9.5" customHeight="1">
      <c r="A142" s="45"/>
      <c r="B142" s="46"/>
      <c r="C142" s="46"/>
      <c r="D142" s="46"/>
      <c r="E142" s="46"/>
      <c r="F142" s="54"/>
      <c r="G142" s="46"/>
      <c r="H142" s="46"/>
      <c r="I142" s="46"/>
      <c r="J142" s="36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9.5" customHeight="1">
      <c r="A143" s="42"/>
      <c r="B143" s="43"/>
      <c r="C143" s="43"/>
      <c r="D143" s="43"/>
      <c r="E143" s="43"/>
      <c r="F143" s="44"/>
      <c r="G143" s="43"/>
      <c r="H143" s="43"/>
      <c r="I143" s="43"/>
      <c r="J143" s="36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9.5" customHeight="1">
      <c r="A144" s="45"/>
      <c r="B144" s="46"/>
      <c r="C144" s="46"/>
      <c r="D144" s="46"/>
      <c r="E144" s="46"/>
      <c r="F144" s="54"/>
      <c r="G144" s="46"/>
      <c r="H144" s="46"/>
      <c r="I144" s="46"/>
      <c r="J144" s="36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9.5" customHeight="1">
      <c r="A145" s="42"/>
      <c r="B145" s="43"/>
      <c r="C145" s="43"/>
      <c r="D145" s="43"/>
      <c r="E145" s="43"/>
      <c r="F145" s="44"/>
      <c r="G145" s="43"/>
      <c r="H145" s="43"/>
      <c r="I145" s="43"/>
      <c r="J145" s="36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9.5" customHeight="1">
      <c r="A146" s="45"/>
      <c r="B146" s="46"/>
      <c r="C146" s="46"/>
      <c r="D146" s="46"/>
      <c r="E146" s="46"/>
      <c r="F146" s="54"/>
      <c r="G146" s="46"/>
      <c r="H146" s="46"/>
      <c r="I146" s="46"/>
      <c r="J146" s="36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9.5" customHeight="1">
      <c r="A147" s="42"/>
      <c r="B147" s="43"/>
      <c r="C147" s="43"/>
      <c r="D147" s="43"/>
      <c r="E147" s="43"/>
      <c r="F147" s="44"/>
      <c r="G147" s="43"/>
      <c r="H147" s="43"/>
      <c r="I147" s="43"/>
      <c r="J147" s="36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9.5" customHeight="1">
      <c r="A148" s="45"/>
      <c r="B148" s="46"/>
      <c r="C148" s="46"/>
      <c r="D148" s="46"/>
      <c r="E148" s="46"/>
      <c r="F148" s="54"/>
      <c r="G148" s="46"/>
      <c r="H148" s="46"/>
      <c r="I148" s="46"/>
      <c r="J148" s="36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9.5" customHeight="1">
      <c r="A149" s="42"/>
      <c r="B149" s="43"/>
      <c r="C149" s="43"/>
      <c r="D149" s="43"/>
      <c r="E149" s="43"/>
      <c r="F149" s="44"/>
      <c r="G149" s="43"/>
      <c r="H149" s="43"/>
      <c r="I149" s="43"/>
      <c r="J149" s="36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9.5" customHeight="1">
      <c r="A150" s="45"/>
      <c r="B150" s="46"/>
      <c r="C150" s="46"/>
      <c r="D150" s="46"/>
      <c r="E150" s="46"/>
      <c r="F150" s="54"/>
      <c r="G150" s="46"/>
      <c r="H150" s="46"/>
      <c r="I150" s="46"/>
      <c r="J150" s="36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9.5" customHeight="1">
      <c r="A151" s="42"/>
      <c r="B151" s="43"/>
      <c r="C151" s="43"/>
      <c r="D151" s="43"/>
      <c r="E151" s="43"/>
      <c r="F151" s="44"/>
      <c r="G151" s="43"/>
      <c r="H151" s="43"/>
      <c r="I151" s="43"/>
      <c r="J151" s="36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9.5" customHeight="1">
      <c r="A152" s="45"/>
      <c r="B152" s="46"/>
      <c r="C152" s="46"/>
      <c r="D152" s="46"/>
      <c r="E152" s="46"/>
      <c r="F152" s="54"/>
      <c r="G152" s="46"/>
      <c r="H152" s="46"/>
      <c r="I152" s="46"/>
      <c r="J152" s="36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9.5" customHeight="1">
      <c r="A153" s="42"/>
      <c r="B153" s="43"/>
      <c r="C153" s="43"/>
      <c r="D153" s="43"/>
      <c r="E153" s="43"/>
      <c r="F153" s="44"/>
      <c r="G153" s="43"/>
      <c r="H153" s="43"/>
      <c r="I153" s="43"/>
      <c r="J153" s="36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9.5" customHeight="1">
      <c r="A154" s="45"/>
      <c r="B154" s="46"/>
      <c r="C154" s="46"/>
      <c r="D154" s="46"/>
      <c r="E154" s="46"/>
      <c r="F154" s="54"/>
      <c r="G154" s="46"/>
      <c r="H154" s="46"/>
      <c r="I154" s="46"/>
      <c r="J154" s="36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9.5" customHeight="1">
      <c r="A155" s="42"/>
      <c r="B155" s="43"/>
      <c r="C155" s="43"/>
      <c r="D155" s="43"/>
      <c r="E155" s="43"/>
      <c r="F155" s="44"/>
      <c r="G155" s="43"/>
      <c r="H155" s="43"/>
      <c r="I155" s="43"/>
      <c r="J155" s="36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9.5" customHeight="1">
      <c r="A156" s="45"/>
      <c r="B156" s="46"/>
      <c r="C156" s="46"/>
      <c r="D156" s="46"/>
      <c r="E156" s="46"/>
      <c r="F156" s="54"/>
      <c r="G156" s="46"/>
      <c r="H156" s="46"/>
      <c r="I156" s="46"/>
      <c r="J156" s="36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9.5" customHeight="1">
      <c r="A157" s="42"/>
      <c r="B157" s="43"/>
      <c r="C157" s="43"/>
      <c r="D157" s="43"/>
      <c r="E157" s="43"/>
      <c r="F157" s="44"/>
      <c r="G157" s="43"/>
      <c r="H157" s="43"/>
      <c r="I157" s="43"/>
      <c r="J157" s="36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9.5" customHeight="1">
      <c r="A158" s="45"/>
      <c r="B158" s="46"/>
      <c r="C158" s="46"/>
      <c r="D158" s="46"/>
      <c r="E158" s="46"/>
      <c r="F158" s="54"/>
      <c r="G158" s="46"/>
      <c r="H158" s="46"/>
      <c r="I158" s="46"/>
      <c r="J158" s="36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9.5" customHeight="1">
      <c r="A159" s="42"/>
      <c r="B159" s="43"/>
      <c r="C159" s="43"/>
      <c r="D159" s="43"/>
      <c r="E159" s="43"/>
      <c r="F159" s="44"/>
      <c r="G159" s="43"/>
      <c r="H159" s="43"/>
      <c r="I159" s="43"/>
      <c r="J159" s="36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9.5" customHeight="1">
      <c r="A160" s="45"/>
      <c r="B160" s="46"/>
      <c r="C160" s="46"/>
      <c r="D160" s="46"/>
      <c r="E160" s="46"/>
      <c r="F160" s="54"/>
      <c r="G160" s="46"/>
      <c r="H160" s="46"/>
      <c r="I160" s="46"/>
      <c r="J160" s="36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9.5" customHeight="1">
      <c r="A161" s="42"/>
      <c r="B161" s="43"/>
      <c r="C161" s="43"/>
      <c r="D161" s="43"/>
      <c r="E161" s="43"/>
      <c r="F161" s="44"/>
      <c r="G161" s="43"/>
      <c r="H161" s="43"/>
      <c r="I161" s="43"/>
      <c r="J161" s="36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9.5" customHeight="1">
      <c r="A162" s="45"/>
      <c r="B162" s="46"/>
      <c r="C162" s="46"/>
      <c r="D162" s="46"/>
      <c r="E162" s="46"/>
      <c r="F162" s="54"/>
      <c r="G162" s="46"/>
      <c r="H162" s="46"/>
      <c r="I162" s="46"/>
      <c r="J162" s="36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9.5" customHeight="1">
      <c r="A163" s="42"/>
      <c r="B163" s="43"/>
      <c r="C163" s="43"/>
      <c r="D163" s="43"/>
      <c r="E163" s="43"/>
      <c r="F163" s="44"/>
      <c r="G163" s="43"/>
      <c r="H163" s="43"/>
      <c r="I163" s="43"/>
      <c r="J163" s="36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9.5" customHeight="1">
      <c r="A164" s="45"/>
      <c r="B164" s="46"/>
      <c r="C164" s="46"/>
      <c r="D164" s="46"/>
      <c r="E164" s="46"/>
      <c r="F164" s="54"/>
      <c r="G164" s="46"/>
      <c r="H164" s="46"/>
      <c r="I164" s="46"/>
      <c r="J164" s="36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9.5" customHeight="1">
      <c r="A165" s="42"/>
      <c r="B165" s="43"/>
      <c r="C165" s="43"/>
      <c r="D165" s="43"/>
      <c r="E165" s="43"/>
      <c r="F165" s="44"/>
      <c r="G165" s="43"/>
      <c r="H165" s="43"/>
      <c r="I165" s="43"/>
      <c r="J165" s="36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9.5" customHeight="1">
      <c r="A166" s="45"/>
      <c r="B166" s="46"/>
      <c r="C166" s="46"/>
      <c r="D166" s="46"/>
      <c r="E166" s="46"/>
      <c r="F166" s="54"/>
      <c r="G166" s="46"/>
      <c r="H166" s="46"/>
      <c r="I166" s="46"/>
      <c r="J166" s="36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9.5" customHeight="1">
      <c r="A167" s="42"/>
      <c r="B167" s="43"/>
      <c r="C167" s="43"/>
      <c r="D167" s="43"/>
      <c r="E167" s="43"/>
      <c r="F167" s="44"/>
      <c r="G167" s="43"/>
      <c r="H167" s="43"/>
      <c r="I167" s="43"/>
      <c r="J167" s="36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9.5" customHeight="1">
      <c r="A168" s="45"/>
      <c r="B168" s="46"/>
      <c r="C168" s="46"/>
      <c r="D168" s="46"/>
      <c r="E168" s="46"/>
      <c r="F168" s="54"/>
      <c r="G168" s="46"/>
      <c r="H168" s="46"/>
      <c r="I168" s="46"/>
      <c r="J168" s="36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9.5" customHeight="1">
      <c r="A169" s="42"/>
      <c r="B169" s="43"/>
      <c r="C169" s="43"/>
      <c r="D169" s="43"/>
      <c r="E169" s="43"/>
      <c r="F169" s="44"/>
      <c r="G169" s="43"/>
      <c r="H169" s="43"/>
      <c r="I169" s="43"/>
      <c r="J169" s="36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9.5" customHeight="1">
      <c r="A170" s="45"/>
      <c r="B170" s="46"/>
      <c r="C170" s="46"/>
      <c r="D170" s="46"/>
      <c r="E170" s="46"/>
      <c r="F170" s="54"/>
      <c r="G170" s="46"/>
      <c r="H170" s="46"/>
      <c r="I170" s="46"/>
      <c r="J170" s="36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9.5" customHeight="1">
      <c r="A171" s="42"/>
      <c r="B171" s="43"/>
      <c r="C171" s="43"/>
      <c r="D171" s="43"/>
      <c r="E171" s="43"/>
      <c r="F171" s="44"/>
      <c r="G171" s="43"/>
      <c r="H171" s="43"/>
      <c r="I171" s="43"/>
      <c r="J171" s="36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9.5" customHeight="1">
      <c r="A172" s="45"/>
      <c r="B172" s="46"/>
      <c r="C172" s="46"/>
      <c r="D172" s="46"/>
      <c r="E172" s="46"/>
      <c r="F172" s="54"/>
      <c r="G172" s="46"/>
      <c r="H172" s="46"/>
      <c r="I172" s="46"/>
      <c r="J172" s="36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9.5" customHeight="1">
      <c r="A173" s="42"/>
      <c r="B173" s="43"/>
      <c r="C173" s="43"/>
      <c r="D173" s="43"/>
      <c r="E173" s="43"/>
      <c r="F173" s="44"/>
      <c r="G173" s="43"/>
      <c r="H173" s="43"/>
      <c r="I173" s="43"/>
      <c r="J173" s="36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9.5" customHeight="1">
      <c r="A174" s="45"/>
      <c r="B174" s="46"/>
      <c r="C174" s="46"/>
      <c r="D174" s="46"/>
      <c r="E174" s="46"/>
      <c r="F174" s="54"/>
      <c r="G174" s="46"/>
      <c r="H174" s="46"/>
      <c r="I174" s="46"/>
      <c r="J174" s="36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9.5" customHeight="1">
      <c r="A175" s="42"/>
      <c r="B175" s="43"/>
      <c r="C175" s="43"/>
      <c r="D175" s="43"/>
      <c r="E175" s="43"/>
      <c r="F175" s="44"/>
      <c r="G175" s="43"/>
      <c r="H175" s="43"/>
      <c r="I175" s="43"/>
      <c r="J175" s="36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9.5" customHeight="1">
      <c r="A176" s="45"/>
      <c r="B176" s="46"/>
      <c r="C176" s="46"/>
      <c r="D176" s="46"/>
      <c r="E176" s="46"/>
      <c r="F176" s="54"/>
      <c r="G176" s="46"/>
      <c r="H176" s="46"/>
      <c r="I176" s="46"/>
      <c r="J176" s="36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9.5" customHeight="1">
      <c r="A177" s="42"/>
      <c r="B177" s="43"/>
      <c r="C177" s="43"/>
      <c r="D177" s="43"/>
      <c r="E177" s="43"/>
      <c r="F177" s="44"/>
      <c r="G177" s="43"/>
      <c r="H177" s="43"/>
      <c r="I177" s="43"/>
      <c r="J177" s="36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9.5" customHeight="1">
      <c r="A178" s="45"/>
      <c r="B178" s="46"/>
      <c r="C178" s="46"/>
      <c r="D178" s="46"/>
      <c r="E178" s="46"/>
      <c r="F178" s="54"/>
      <c r="G178" s="46"/>
      <c r="H178" s="46"/>
      <c r="I178" s="46"/>
      <c r="J178" s="36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9.5" customHeight="1">
      <c r="A179" s="42"/>
      <c r="B179" s="43"/>
      <c r="C179" s="43"/>
      <c r="D179" s="43"/>
      <c r="E179" s="43"/>
      <c r="F179" s="44"/>
      <c r="G179" s="43"/>
      <c r="H179" s="43"/>
      <c r="I179" s="43"/>
      <c r="J179" s="36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9.5" customHeight="1">
      <c r="A180" s="45"/>
      <c r="B180" s="46"/>
      <c r="C180" s="46"/>
      <c r="D180" s="46"/>
      <c r="E180" s="46"/>
      <c r="F180" s="54"/>
      <c r="G180" s="46"/>
      <c r="H180" s="46"/>
      <c r="I180" s="46"/>
      <c r="J180" s="36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9.5" customHeight="1">
      <c r="A181" s="42"/>
      <c r="B181" s="43"/>
      <c r="C181" s="43"/>
      <c r="D181" s="43"/>
      <c r="E181" s="43"/>
      <c r="F181" s="44"/>
      <c r="G181" s="43"/>
      <c r="H181" s="43"/>
      <c r="I181" s="43"/>
      <c r="J181" s="36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9.5" customHeight="1">
      <c r="A182" s="45"/>
      <c r="B182" s="46"/>
      <c r="C182" s="46"/>
      <c r="D182" s="46"/>
      <c r="E182" s="46"/>
      <c r="F182" s="54"/>
      <c r="G182" s="46"/>
      <c r="H182" s="46"/>
      <c r="I182" s="46"/>
      <c r="J182" s="36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9.5" customHeight="1">
      <c r="A183" s="42"/>
      <c r="B183" s="43"/>
      <c r="C183" s="43"/>
      <c r="D183" s="43"/>
      <c r="E183" s="43"/>
      <c r="F183" s="44"/>
      <c r="G183" s="43"/>
      <c r="H183" s="43"/>
      <c r="I183" s="43"/>
      <c r="J183" s="36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9.5" customHeight="1">
      <c r="A184" s="45"/>
      <c r="B184" s="46"/>
      <c r="C184" s="46"/>
      <c r="D184" s="46"/>
      <c r="E184" s="46"/>
      <c r="F184" s="54"/>
      <c r="G184" s="46"/>
      <c r="H184" s="46"/>
      <c r="I184" s="46"/>
      <c r="J184" s="36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9.5" customHeight="1">
      <c r="A185" s="42"/>
      <c r="B185" s="43"/>
      <c r="C185" s="43"/>
      <c r="D185" s="43"/>
      <c r="E185" s="43"/>
      <c r="F185" s="44"/>
      <c r="G185" s="43"/>
      <c r="H185" s="43"/>
      <c r="I185" s="43"/>
      <c r="J185" s="36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9.5" customHeight="1">
      <c r="A186" s="45"/>
      <c r="B186" s="46"/>
      <c r="C186" s="46"/>
      <c r="D186" s="46"/>
      <c r="E186" s="46"/>
      <c r="F186" s="54"/>
      <c r="G186" s="46"/>
      <c r="H186" s="46"/>
      <c r="I186" s="46"/>
      <c r="J186" s="36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9.5" customHeight="1">
      <c r="A187" s="42"/>
      <c r="B187" s="43"/>
      <c r="C187" s="43"/>
      <c r="D187" s="43"/>
      <c r="E187" s="43"/>
      <c r="F187" s="44"/>
      <c r="G187" s="43"/>
      <c r="H187" s="43"/>
      <c r="I187" s="43"/>
      <c r="J187" s="36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9.5" customHeight="1">
      <c r="A188" s="45"/>
      <c r="B188" s="46"/>
      <c r="C188" s="46"/>
      <c r="D188" s="46"/>
      <c r="E188" s="46"/>
      <c r="F188" s="54"/>
      <c r="G188" s="46"/>
      <c r="H188" s="46"/>
      <c r="I188" s="46"/>
      <c r="J188" s="36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9.5" customHeight="1">
      <c r="A189" s="42"/>
      <c r="B189" s="43"/>
      <c r="C189" s="43"/>
      <c r="D189" s="43"/>
      <c r="E189" s="43"/>
      <c r="F189" s="44"/>
      <c r="G189" s="43"/>
      <c r="H189" s="43"/>
      <c r="I189" s="43"/>
      <c r="J189" s="36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9.5" customHeight="1">
      <c r="A190" s="45"/>
      <c r="B190" s="46"/>
      <c r="C190" s="46"/>
      <c r="D190" s="46"/>
      <c r="E190" s="46"/>
      <c r="F190" s="54"/>
      <c r="G190" s="46"/>
      <c r="H190" s="46"/>
      <c r="I190" s="46"/>
      <c r="J190" s="36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9.5" customHeight="1">
      <c r="A191" s="42"/>
      <c r="B191" s="43"/>
      <c r="C191" s="43"/>
      <c r="D191" s="43"/>
      <c r="E191" s="43"/>
      <c r="F191" s="44"/>
      <c r="G191" s="43"/>
      <c r="H191" s="43"/>
      <c r="I191" s="43"/>
      <c r="J191" s="36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9.5" customHeight="1">
      <c r="A192" s="45"/>
      <c r="B192" s="46"/>
      <c r="C192" s="46"/>
      <c r="D192" s="46"/>
      <c r="E192" s="46"/>
      <c r="F192" s="54"/>
      <c r="G192" s="46"/>
      <c r="H192" s="46"/>
      <c r="I192" s="46"/>
      <c r="J192" s="36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9.5" customHeight="1">
      <c r="A193" s="42"/>
      <c r="B193" s="43"/>
      <c r="C193" s="43"/>
      <c r="D193" s="43"/>
      <c r="E193" s="43"/>
      <c r="F193" s="44"/>
      <c r="G193" s="43"/>
      <c r="H193" s="43"/>
      <c r="I193" s="43"/>
      <c r="J193" s="36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9.5" customHeight="1">
      <c r="A194" s="45"/>
      <c r="B194" s="46"/>
      <c r="C194" s="46"/>
      <c r="D194" s="46"/>
      <c r="E194" s="46"/>
      <c r="F194" s="54"/>
      <c r="G194" s="46"/>
      <c r="H194" s="46"/>
      <c r="I194" s="46"/>
      <c r="J194" s="36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9.5" customHeight="1">
      <c r="A195" s="42"/>
      <c r="B195" s="43"/>
      <c r="C195" s="43"/>
      <c r="D195" s="43"/>
      <c r="E195" s="43"/>
      <c r="F195" s="44"/>
      <c r="G195" s="43"/>
      <c r="H195" s="43"/>
      <c r="I195" s="43"/>
      <c r="J195" s="36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9.5" customHeight="1">
      <c r="A196" s="45"/>
      <c r="B196" s="46"/>
      <c r="C196" s="46"/>
      <c r="D196" s="46"/>
      <c r="E196" s="46"/>
      <c r="F196" s="54"/>
      <c r="G196" s="46"/>
      <c r="H196" s="46"/>
      <c r="I196" s="46"/>
      <c r="J196" s="36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9.5" customHeight="1">
      <c r="A197" s="42"/>
      <c r="B197" s="43"/>
      <c r="C197" s="43"/>
      <c r="D197" s="43"/>
      <c r="E197" s="43"/>
      <c r="F197" s="44"/>
      <c r="G197" s="43"/>
      <c r="H197" s="43"/>
      <c r="I197" s="43"/>
      <c r="J197" s="36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9.5" customHeight="1">
      <c r="A198" s="45"/>
      <c r="B198" s="46"/>
      <c r="C198" s="46"/>
      <c r="D198" s="46"/>
      <c r="E198" s="46"/>
      <c r="F198" s="54"/>
      <c r="G198" s="46"/>
      <c r="H198" s="46"/>
      <c r="I198" s="46"/>
      <c r="J198" s="36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9.5" customHeight="1">
      <c r="A199" s="42"/>
      <c r="B199" s="43"/>
      <c r="C199" s="43"/>
      <c r="D199" s="43"/>
      <c r="E199" s="43"/>
      <c r="F199" s="44"/>
      <c r="G199" s="43"/>
      <c r="H199" s="43"/>
      <c r="I199" s="43"/>
      <c r="J199" s="36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9.5" customHeight="1">
      <c r="A200" s="45"/>
      <c r="B200" s="46"/>
      <c r="C200" s="46"/>
      <c r="D200" s="46"/>
      <c r="E200" s="46"/>
      <c r="F200" s="54"/>
      <c r="G200" s="46"/>
      <c r="H200" s="46"/>
      <c r="I200" s="46"/>
      <c r="J200" s="36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9.5" customHeight="1">
      <c r="A201" s="42"/>
      <c r="B201" s="43"/>
      <c r="C201" s="43"/>
      <c r="D201" s="43"/>
      <c r="E201" s="43"/>
      <c r="F201" s="44"/>
      <c r="G201" s="43"/>
      <c r="H201" s="43"/>
      <c r="I201" s="43"/>
      <c r="J201" s="36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9.5" customHeight="1">
      <c r="A202" s="45"/>
      <c r="B202" s="46"/>
      <c r="C202" s="46"/>
      <c r="D202" s="46"/>
      <c r="E202" s="46"/>
      <c r="F202" s="54"/>
      <c r="G202" s="46"/>
      <c r="H202" s="46"/>
      <c r="I202" s="46"/>
      <c r="J202" s="36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9.5" customHeight="1">
      <c r="A203" s="42"/>
      <c r="B203" s="43"/>
      <c r="C203" s="43"/>
      <c r="D203" s="43"/>
      <c r="E203" s="43"/>
      <c r="F203" s="44"/>
      <c r="G203" s="43"/>
      <c r="H203" s="43"/>
      <c r="I203" s="43"/>
      <c r="J203" s="36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9.5" customHeight="1">
      <c r="A204" s="45"/>
      <c r="B204" s="46"/>
      <c r="C204" s="46"/>
      <c r="D204" s="46"/>
      <c r="E204" s="46"/>
      <c r="F204" s="54"/>
      <c r="G204" s="46"/>
      <c r="H204" s="46"/>
      <c r="I204" s="46"/>
      <c r="J204" s="36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9.5" customHeight="1">
      <c r="A205" s="42"/>
      <c r="B205" s="43"/>
      <c r="C205" s="43"/>
      <c r="D205" s="43"/>
      <c r="E205" s="43"/>
      <c r="F205" s="44"/>
      <c r="G205" s="43"/>
      <c r="H205" s="43"/>
      <c r="I205" s="43"/>
      <c r="J205" s="36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9.5" customHeight="1">
      <c r="A206" s="45"/>
      <c r="B206" s="46"/>
      <c r="C206" s="46"/>
      <c r="D206" s="46"/>
      <c r="E206" s="46"/>
      <c r="F206" s="54"/>
      <c r="G206" s="46"/>
      <c r="H206" s="46"/>
      <c r="I206" s="46"/>
      <c r="J206" s="36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9.5" customHeight="1">
      <c r="A207" s="42"/>
      <c r="B207" s="43"/>
      <c r="C207" s="43"/>
      <c r="D207" s="43"/>
      <c r="E207" s="43"/>
      <c r="F207" s="44"/>
      <c r="G207" s="43"/>
      <c r="H207" s="43"/>
      <c r="I207" s="43"/>
      <c r="J207" s="36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9.5" customHeight="1">
      <c r="A208" s="45"/>
      <c r="B208" s="46"/>
      <c r="C208" s="46"/>
      <c r="D208" s="46"/>
      <c r="E208" s="46"/>
      <c r="F208" s="54"/>
      <c r="G208" s="46"/>
      <c r="H208" s="46"/>
      <c r="I208" s="46"/>
      <c r="J208" s="36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9.5" customHeight="1">
      <c r="A209" s="42"/>
      <c r="B209" s="43"/>
      <c r="C209" s="43"/>
      <c r="D209" s="43"/>
      <c r="E209" s="43"/>
      <c r="F209" s="44"/>
      <c r="G209" s="43"/>
      <c r="H209" s="43"/>
      <c r="I209" s="43"/>
      <c r="J209" s="36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9.5" customHeight="1">
      <c r="A210" s="45"/>
      <c r="B210" s="46"/>
      <c r="C210" s="46"/>
      <c r="D210" s="46"/>
      <c r="E210" s="46"/>
      <c r="F210" s="54"/>
      <c r="G210" s="46"/>
      <c r="H210" s="46"/>
      <c r="I210" s="46"/>
      <c r="J210" s="36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9.5" customHeight="1">
      <c r="A211" s="42"/>
      <c r="B211" s="43"/>
      <c r="C211" s="43"/>
      <c r="D211" s="43"/>
      <c r="E211" s="43"/>
      <c r="F211" s="44"/>
      <c r="G211" s="43"/>
      <c r="H211" s="43"/>
      <c r="I211" s="43"/>
      <c r="J211" s="36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9.5" customHeight="1">
      <c r="A212" s="45"/>
      <c r="B212" s="46"/>
      <c r="C212" s="46"/>
      <c r="D212" s="46"/>
      <c r="E212" s="46"/>
      <c r="F212" s="54"/>
      <c r="G212" s="46"/>
      <c r="H212" s="46"/>
      <c r="I212" s="46"/>
      <c r="J212" s="36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9.5" customHeight="1">
      <c r="A213" s="42"/>
      <c r="B213" s="43"/>
      <c r="C213" s="43"/>
      <c r="D213" s="43"/>
      <c r="E213" s="43"/>
      <c r="F213" s="44"/>
      <c r="G213" s="43"/>
      <c r="H213" s="43"/>
      <c r="I213" s="43"/>
      <c r="J213" s="36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9.5" customHeight="1">
      <c r="A214" s="45"/>
      <c r="B214" s="46"/>
      <c r="C214" s="46"/>
      <c r="D214" s="46"/>
      <c r="E214" s="46"/>
      <c r="F214" s="54"/>
      <c r="G214" s="46"/>
      <c r="H214" s="46"/>
      <c r="I214" s="46"/>
      <c r="J214" s="36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9.5" customHeight="1">
      <c r="A215" s="42"/>
      <c r="B215" s="43"/>
      <c r="C215" s="43"/>
      <c r="D215" s="43"/>
      <c r="E215" s="43"/>
      <c r="F215" s="44"/>
      <c r="G215" s="43"/>
      <c r="H215" s="43"/>
      <c r="I215" s="43"/>
      <c r="J215" s="36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9.5" customHeight="1">
      <c r="A216" s="45"/>
      <c r="B216" s="46"/>
      <c r="C216" s="46"/>
      <c r="D216" s="46"/>
      <c r="E216" s="46"/>
      <c r="F216" s="54"/>
      <c r="G216" s="46"/>
      <c r="H216" s="46"/>
      <c r="I216" s="46"/>
      <c r="J216" s="36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9.5" customHeight="1">
      <c r="A217" s="42"/>
      <c r="B217" s="43"/>
      <c r="C217" s="43"/>
      <c r="D217" s="43"/>
      <c r="E217" s="43"/>
      <c r="F217" s="44"/>
      <c r="G217" s="43"/>
      <c r="H217" s="43"/>
      <c r="I217" s="43"/>
      <c r="J217" s="36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9.5" customHeight="1">
      <c r="A218" s="45"/>
      <c r="B218" s="46"/>
      <c r="C218" s="46"/>
      <c r="D218" s="46"/>
      <c r="E218" s="46"/>
      <c r="F218" s="54"/>
      <c r="G218" s="46"/>
      <c r="H218" s="46"/>
      <c r="I218" s="46"/>
      <c r="J218" s="36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9.5" customHeight="1">
      <c r="A219" s="42"/>
      <c r="B219" s="43"/>
      <c r="C219" s="43"/>
      <c r="D219" s="43"/>
      <c r="E219" s="43"/>
      <c r="F219" s="44"/>
      <c r="G219" s="43"/>
      <c r="H219" s="43"/>
      <c r="I219" s="43"/>
      <c r="J219" s="36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9.5" customHeight="1">
      <c r="A220" s="45"/>
      <c r="B220" s="46"/>
      <c r="C220" s="46"/>
      <c r="D220" s="46"/>
      <c r="E220" s="46"/>
      <c r="F220" s="54"/>
      <c r="G220" s="46"/>
      <c r="H220" s="46"/>
      <c r="I220" s="46"/>
      <c r="J220" s="36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9.5" customHeight="1">
      <c r="A221" s="42"/>
      <c r="B221" s="43"/>
      <c r="C221" s="43"/>
      <c r="D221" s="43"/>
      <c r="E221" s="43"/>
      <c r="F221" s="44"/>
      <c r="G221" s="43"/>
      <c r="H221" s="43"/>
      <c r="I221" s="43"/>
      <c r="J221" s="36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9.5" customHeight="1">
      <c r="A222" s="45"/>
      <c r="B222" s="46"/>
      <c r="C222" s="46"/>
      <c r="D222" s="46"/>
      <c r="E222" s="46"/>
      <c r="F222" s="54"/>
      <c r="G222" s="46"/>
      <c r="H222" s="46"/>
      <c r="I222" s="46"/>
      <c r="J222" s="36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9.5" customHeight="1">
      <c r="A223" s="42"/>
      <c r="B223" s="43"/>
      <c r="C223" s="43"/>
      <c r="D223" s="43"/>
      <c r="E223" s="43"/>
      <c r="F223" s="44"/>
      <c r="G223" s="43"/>
      <c r="H223" s="43"/>
      <c r="I223" s="43"/>
      <c r="J223" s="36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9.5" customHeight="1">
      <c r="A224" s="45"/>
      <c r="B224" s="46"/>
      <c r="C224" s="46"/>
      <c r="D224" s="46"/>
      <c r="E224" s="46"/>
      <c r="F224" s="54"/>
      <c r="G224" s="46"/>
      <c r="H224" s="46"/>
      <c r="I224" s="46"/>
      <c r="J224" s="36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9.5" customHeight="1">
      <c r="A225" s="42"/>
      <c r="B225" s="43"/>
      <c r="C225" s="43"/>
      <c r="D225" s="43"/>
      <c r="E225" s="43"/>
      <c r="F225" s="44"/>
      <c r="G225" s="43"/>
      <c r="H225" s="43"/>
      <c r="I225" s="43"/>
      <c r="J225" s="36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9.5" customHeight="1">
      <c r="A226" s="45"/>
      <c r="B226" s="46"/>
      <c r="C226" s="46"/>
      <c r="D226" s="46"/>
      <c r="E226" s="46"/>
      <c r="F226" s="54"/>
      <c r="G226" s="46"/>
      <c r="H226" s="46"/>
      <c r="I226" s="46"/>
      <c r="J226" s="36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9.5" customHeight="1">
      <c r="A227" s="42"/>
      <c r="B227" s="43"/>
      <c r="C227" s="43"/>
      <c r="D227" s="43"/>
      <c r="E227" s="43"/>
      <c r="F227" s="44"/>
      <c r="G227" s="43"/>
      <c r="H227" s="43"/>
      <c r="I227" s="43"/>
      <c r="J227" s="36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9.5" customHeight="1">
      <c r="A228" s="45"/>
      <c r="B228" s="46"/>
      <c r="C228" s="46"/>
      <c r="D228" s="46"/>
      <c r="E228" s="46"/>
      <c r="F228" s="54"/>
      <c r="G228" s="46"/>
      <c r="H228" s="46"/>
      <c r="I228" s="46"/>
      <c r="J228" s="36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9.5" customHeight="1">
      <c r="A229" s="42"/>
      <c r="B229" s="43"/>
      <c r="C229" s="43"/>
      <c r="D229" s="43"/>
      <c r="E229" s="43"/>
      <c r="F229" s="44"/>
      <c r="G229" s="43"/>
      <c r="H229" s="43"/>
      <c r="I229" s="43"/>
      <c r="J229" s="36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9.5" customHeight="1">
      <c r="A230" s="45"/>
      <c r="B230" s="46"/>
      <c r="C230" s="46"/>
      <c r="D230" s="46"/>
      <c r="E230" s="46"/>
      <c r="F230" s="54"/>
      <c r="G230" s="46"/>
      <c r="H230" s="46"/>
      <c r="I230" s="46"/>
      <c r="J230" s="36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9.5" customHeight="1">
      <c r="A231" s="42"/>
      <c r="B231" s="43"/>
      <c r="C231" s="43"/>
      <c r="D231" s="43"/>
      <c r="E231" s="43"/>
      <c r="F231" s="44"/>
      <c r="G231" s="43"/>
      <c r="H231" s="43"/>
      <c r="I231" s="43"/>
      <c r="J231" s="36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9.5" customHeight="1">
      <c r="A232" s="45"/>
      <c r="B232" s="46"/>
      <c r="C232" s="46"/>
      <c r="D232" s="46"/>
      <c r="E232" s="46"/>
      <c r="F232" s="54"/>
      <c r="G232" s="46"/>
      <c r="H232" s="46"/>
      <c r="I232" s="46"/>
      <c r="J232" s="36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9.5" customHeight="1">
      <c r="A233" s="42"/>
      <c r="B233" s="43"/>
      <c r="C233" s="43"/>
      <c r="D233" s="43"/>
      <c r="E233" s="43"/>
      <c r="F233" s="44"/>
      <c r="G233" s="43"/>
      <c r="H233" s="43"/>
      <c r="I233" s="43"/>
      <c r="J233" s="36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9.5" customHeight="1">
      <c r="A234" s="45"/>
      <c r="B234" s="46"/>
      <c r="C234" s="46"/>
      <c r="D234" s="46"/>
      <c r="E234" s="46"/>
      <c r="F234" s="54"/>
      <c r="G234" s="46"/>
      <c r="H234" s="46"/>
      <c r="I234" s="46"/>
      <c r="J234" s="36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9.5" customHeight="1">
      <c r="A235" s="42"/>
      <c r="B235" s="43"/>
      <c r="C235" s="43"/>
      <c r="D235" s="43"/>
      <c r="E235" s="43"/>
      <c r="F235" s="44"/>
      <c r="G235" s="43"/>
      <c r="H235" s="43"/>
      <c r="I235" s="43"/>
      <c r="J235" s="36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9.5" customHeight="1">
      <c r="A236" s="45"/>
      <c r="B236" s="46"/>
      <c r="C236" s="46"/>
      <c r="D236" s="46"/>
      <c r="E236" s="46"/>
      <c r="F236" s="54"/>
      <c r="G236" s="46"/>
      <c r="H236" s="46"/>
      <c r="I236" s="46"/>
      <c r="J236" s="36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9.5" customHeight="1">
      <c r="A237" s="42"/>
      <c r="B237" s="43"/>
      <c r="C237" s="43"/>
      <c r="D237" s="43"/>
      <c r="E237" s="43"/>
      <c r="F237" s="44"/>
      <c r="G237" s="43"/>
      <c r="H237" s="43"/>
      <c r="I237" s="43"/>
      <c r="J237" s="36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9.5" customHeight="1">
      <c r="A238" s="45"/>
      <c r="B238" s="46"/>
      <c r="C238" s="46"/>
      <c r="D238" s="46"/>
      <c r="E238" s="46"/>
      <c r="F238" s="54"/>
      <c r="G238" s="46"/>
      <c r="H238" s="46"/>
      <c r="I238" s="46"/>
      <c r="J238" s="36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9.5" customHeight="1">
      <c r="A239" s="42"/>
      <c r="B239" s="43"/>
      <c r="C239" s="43"/>
      <c r="D239" s="43"/>
      <c r="E239" s="43"/>
      <c r="F239" s="44"/>
      <c r="G239" s="43"/>
      <c r="H239" s="43"/>
      <c r="I239" s="43"/>
      <c r="J239" s="36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9.5" customHeight="1">
      <c r="A240" s="45"/>
      <c r="B240" s="46"/>
      <c r="C240" s="46"/>
      <c r="D240" s="46"/>
      <c r="E240" s="46"/>
      <c r="F240" s="54"/>
      <c r="G240" s="46"/>
      <c r="H240" s="46"/>
      <c r="I240" s="46"/>
      <c r="J240" s="36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9.5" customHeight="1">
      <c r="A241" s="42"/>
      <c r="B241" s="43"/>
      <c r="C241" s="43"/>
      <c r="D241" s="43"/>
      <c r="E241" s="43"/>
      <c r="F241" s="44"/>
      <c r="G241" s="43"/>
      <c r="H241" s="43"/>
      <c r="I241" s="43"/>
      <c r="J241" s="36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9.5" customHeight="1">
      <c r="A242" s="45"/>
      <c r="B242" s="46"/>
      <c r="C242" s="46"/>
      <c r="D242" s="46"/>
      <c r="E242" s="46"/>
      <c r="F242" s="54"/>
      <c r="G242" s="46"/>
      <c r="H242" s="46"/>
      <c r="I242" s="46"/>
      <c r="J242" s="36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9.5" customHeight="1">
      <c r="A243" s="42"/>
      <c r="B243" s="43"/>
      <c r="C243" s="43"/>
      <c r="D243" s="43"/>
      <c r="E243" s="43"/>
      <c r="F243" s="44"/>
      <c r="G243" s="43"/>
      <c r="H243" s="43"/>
      <c r="I243" s="43"/>
      <c r="J243" s="36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9.5" customHeight="1">
      <c r="A244" s="45"/>
      <c r="B244" s="46"/>
      <c r="C244" s="46"/>
      <c r="D244" s="46"/>
      <c r="E244" s="46"/>
      <c r="F244" s="54"/>
      <c r="G244" s="46"/>
      <c r="H244" s="46"/>
      <c r="I244" s="46"/>
      <c r="J244" s="36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9.5" customHeight="1">
      <c r="A245" s="42"/>
      <c r="B245" s="43"/>
      <c r="C245" s="43"/>
      <c r="D245" s="43"/>
      <c r="E245" s="43"/>
      <c r="F245" s="44"/>
      <c r="G245" s="43"/>
      <c r="H245" s="43"/>
      <c r="I245" s="43"/>
      <c r="J245" s="36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9.5" customHeight="1">
      <c r="A246" s="45"/>
      <c r="B246" s="46"/>
      <c r="C246" s="46"/>
      <c r="D246" s="46"/>
      <c r="E246" s="46"/>
      <c r="F246" s="54"/>
      <c r="G246" s="46"/>
      <c r="H246" s="46"/>
      <c r="I246" s="46"/>
      <c r="J246" s="36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9.5" customHeight="1">
      <c r="A247" s="42"/>
      <c r="B247" s="43"/>
      <c r="C247" s="43"/>
      <c r="D247" s="43"/>
      <c r="E247" s="43"/>
      <c r="F247" s="44"/>
      <c r="G247" s="43"/>
      <c r="H247" s="43"/>
      <c r="I247" s="43"/>
      <c r="J247" s="36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9.5" customHeight="1">
      <c r="A248" s="45"/>
      <c r="B248" s="46"/>
      <c r="C248" s="46"/>
      <c r="D248" s="46"/>
      <c r="E248" s="46"/>
      <c r="F248" s="54"/>
      <c r="G248" s="46"/>
      <c r="H248" s="46"/>
      <c r="I248" s="46"/>
      <c r="J248" s="36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9.5" customHeight="1">
      <c r="A249" s="42"/>
      <c r="B249" s="43"/>
      <c r="C249" s="43"/>
      <c r="D249" s="43"/>
      <c r="E249" s="43"/>
      <c r="F249" s="44"/>
      <c r="G249" s="43"/>
      <c r="H249" s="43"/>
      <c r="I249" s="43"/>
      <c r="J249" s="36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9.5" customHeight="1">
      <c r="A250" s="45"/>
      <c r="B250" s="46"/>
      <c r="C250" s="46"/>
      <c r="D250" s="46"/>
      <c r="E250" s="46"/>
      <c r="F250" s="54"/>
      <c r="G250" s="46"/>
      <c r="H250" s="46"/>
      <c r="I250" s="46"/>
      <c r="J250" s="36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9.5" customHeight="1">
      <c r="A251" s="42"/>
      <c r="B251" s="43"/>
      <c r="C251" s="43"/>
      <c r="D251" s="43"/>
      <c r="E251" s="43"/>
      <c r="F251" s="44"/>
      <c r="G251" s="43"/>
      <c r="H251" s="43"/>
      <c r="I251" s="43"/>
      <c r="J251" s="36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9.5" customHeight="1">
      <c r="A252" s="45"/>
      <c r="B252" s="46"/>
      <c r="C252" s="46"/>
      <c r="D252" s="46"/>
      <c r="E252" s="46"/>
      <c r="F252" s="54"/>
      <c r="G252" s="46"/>
      <c r="H252" s="46"/>
      <c r="I252" s="46"/>
      <c r="J252" s="36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9.5" customHeight="1">
      <c r="A253" s="42"/>
      <c r="B253" s="43"/>
      <c r="C253" s="43"/>
      <c r="D253" s="43"/>
      <c r="E253" s="43"/>
      <c r="F253" s="44"/>
      <c r="G253" s="43"/>
      <c r="H253" s="43"/>
      <c r="I253" s="43"/>
      <c r="J253" s="36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9.5" customHeight="1">
      <c r="A254" s="45"/>
      <c r="B254" s="46"/>
      <c r="C254" s="46"/>
      <c r="D254" s="46"/>
      <c r="E254" s="46"/>
      <c r="F254" s="54"/>
      <c r="G254" s="46"/>
      <c r="H254" s="46"/>
      <c r="I254" s="46"/>
      <c r="J254" s="36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9.5" customHeight="1">
      <c r="A255" s="42"/>
      <c r="B255" s="43"/>
      <c r="C255" s="43"/>
      <c r="D255" s="43"/>
      <c r="E255" s="43"/>
      <c r="F255" s="44"/>
      <c r="G255" s="43"/>
      <c r="H255" s="43"/>
      <c r="I255" s="43"/>
      <c r="J255" s="36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9.5" customHeight="1">
      <c r="A256" s="45"/>
      <c r="B256" s="46"/>
      <c r="C256" s="46"/>
      <c r="D256" s="46"/>
      <c r="E256" s="46"/>
      <c r="F256" s="54"/>
      <c r="G256" s="46"/>
      <c r="H256" s="46"/>
      <c r="I256" s="46"/>
      <c r="J256" s="36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9.5" customHeight="1">
      <c r="A257" s="42"/>
      <c r="B257" s="43"/>
      <c r="C257" s="43"/>
      <c r="D257" s="43"/>
      <c r="E257" s="43"/>
      <c r="F257" s="44"/>
      <c r="G257" s="43"/>
      <c r="H257" s="43"/>
      <c r="I257" s="43"/>
      <c r="J257" s="36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9.5" customHeight="1">
      <c r="A258" s="45"/>
      <c r="B258" s="46"/>
      <c r="C258" s="46"/>
      <c r="D258" s="46"/>
      <c r="E258" s="46"/>
      <c r="F258" s="54"/>
      <c r="G258" s="46"/>
      <c r="H258" s="46"/>
      <c r="I258" s="46"/>
      <c r="J258" s="36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9.5" customHeight="1">
      <c r="A259" s="42"/>
      <c r="B259" s="43"/>
      <c r="C259" s="43"/>
      <c r="D259" s="43"/>
      <c r="E259" s="43"/>
      <c r="F259" s="44"/>
      <c r="G259" s="43"/>
      <c r="H259" s="43"/>
      <c r="I259" s="43"/>
      <c r="J259" s="36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9.5" customHeight="1">
      <c r="A260" s="45"/>
      <c r="B260" s="46"/>
      <c r="C260" s="46"/>
      <c r="D260" s="46"/>
      <c r="E260" s="46"/>
      <c r="F260" s="54"/>
      <c r="G260" s="46"/>
      <c r="H260" s="46"/>
      <c r="I260" s="46"/>
      <c r="J260" s="36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9.5" customHeight="1">
      <c r="A261" s="42"/>
      <c r="B261" s="43"/>
      <c r="C261" s="43"/>
      <c r="D261" s="43"/>
      <c r="E261" s="43"/>
      <c r="F261" s="44"/>
      <c r="G261" s="43"/>
      <c r="H261" s="43"/>
      <c r="I261" s="43"/>
      <c r="J261" s="36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9.5" customHeight="1">
      <c r="A262" s="45"/>
      <c r="B262" s="46"/>
      <c r="C262" s="46"/>
      <c r="D262" s="46"/>
      <c r="E262" s="46"/>
      <c r="F262" s="54"/>
      <c r="G262" s="46"/>
      <c r="H262" s="46"/>
      <c r="I262" s="46"/>
      <c r="J262" s="36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9.5" customHeight="1">
      <c r="A263" s="42"/>
      <c r="B263" s="43"/>
      <c r="C263" s="43"/>
      <c r="D263" s="43"/>
      <c r="E263" s="43"/>
      <c r="F263" s="44"/>
      <c r="G263" s="43"/>
      <c r="H263" s="43"/>
      <c r="I263" s="43"/>
      <c r="J263" s="36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9.5" customHeight="1">
      <c r="A264" s="45"/>
      <c r="B264" s="46"/>
      <c r="C264" s="46"/>
      <c r="D264" s="46"/>
      <c r="E264" s="46"/>
      <c r="F264" s="54"/>
      <c r="G264" s="46"/>
      <c r="H264" s="46"/>
      <c r="I264" s="46"/>
      <c r="J264" s="36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9.5" customHeight="1">
      <c r="A265" s="42"/>
      <c r="B265" s="43"/>
      <c r="C265" s="43"/>
      <c r="D265" s="43"/>
      <c r="E265" s="43"/>
      <c r="F265" s="44"/>
      <c r="G265" s="43"/>
      <c r="H265" s="43"/>
      <c r="I265" s="43"/>
      <c r="J265" s="36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9.5" customHeight="1">
      <c r="A266" s="45"/>
      <c r="B266" s="46"/>
      <c r="C266" s="46"/>
      <c r="D266" s="46"/>
      <c r="E266" s="46"/>
      <c r="F266" s="54"/>
      <c r="G266" s="46"/>
      <c r="H266" s="46"/>
      <c r="I266" s="46"/>
      <c r="J266" s="36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9.5" customHeight="1">
      <c r="A267" s="42"/>
      <c r="B267" s="43"/>
      <c r="C267" s="43"/>
      <c r="D267" s="43"/>
      <c r="E267" s="43"/>
      <c r="F267" s="44"/>
      <c r="G267" s="43"/>
      <c r="H267" s="43"/>
      <c r="I267" s="43"/>
      <c r="J267" s="36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9.5" customHeight="1">
      <c r="A268" s="45"/>
      <c r="B268" s="46"/>
      <c r="C268" s="46"/>
      <c r="D268" s="46"/>
      <c r="E268" s="46"/>
      <c r="F268" s="54"/>
      <c r="G268" s="46"/>
      <c r="H268" s="46"/>
      <c r="I268" s="46"/>
      <c r="J268" s="36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9.5" customHeight="1">
      <c r="A269" s="42"/>
      <c r="B269" s="43"/>
      <c r="C269" s="43"/>
      <c r="D269" s="43"/>
      <c r="E269" s="43"/>
      <c r="F269" s="44"/>
      <c r="G269" s="43"/>
      <c r="H269" s="43"/>
      <c r="I269" s="43"/>
      <c r="J269" s="36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9.5" customHeight="1">
      <c r="A270" s="45"/>
      <c r="B270" s="46"/>
      <c r="C270" s="46"/>
      <c r="D270" s="46"/>
      <c r="E270" s="46"/>
      <c r="F270" s="54"/>
      <c r="G270" s="46"/>
      <c r="H270" s="46"/>
      <c r="I270" s="46"/>
      <c r="J270" s="36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9.5" customHeight="1">
      <c r="A271" s="42"/>
      <c r="B271" s="43"/>
      <c r="C271" s="43"/>
      <c r="D271" s="43"/>
      <c r="E271" s="43"/>
      <c r="F271" s="44"/>
      <c r="G271" s="43"/>
      <c r="H271" s="43"/>
      <c r="I271" s="43"/>
      <c r="J271" s="36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9.5" customHeight="1">
      <c r="A272" s="45"/>
      <c r="B272" s="46"/>
      <c r="C272" s="46"/>
      <c r="D272" s="46"/>
      <c r="E272" s="46"/>
      <c r="F272" s="54"/>
      <c r="G272" s="46"/>
      <c r="H272" s="46"/>
      <c r="I272" s="46"/>
      <c r="J272" s="36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9.5" customHeight="1">
      <c r="A273" s="42"/>
      <c r="B273" s="43"/>
      <c r="C273" s="43"/>
      <c r="D273" s="43"/>
      <c r="E273" s="43"/>
      <c r="F273" s="44"/>
      <c r="G273" s="43"/>
      <c r="H273" s="43"/>
      <c r="I273" s="43"/>
      <c r="J273" s="36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9.5" customHeight="1">
      <c r="A274" s="45"/>
      <c r="B274" s="46"/>
      <c r="C274" s="46"/>
      <c r="D274" s="46"/>
      <c r="E274" s="46"/>
      <c r="F274" s="54"/>
      <c r="G274" s="46"/>
      <c r="H274" s="46"/>
      <c r="I274" s="46"/>
      <c r="J274" s="36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9.5" customHeight="1">
      <c r="A275" s="42"/>
      <c r="B275" s="43"/>
      <c r="C275" s="43"/>
      <c r="D275" s="43"/>
      <c r="E275" s="43"/>
      <c r="F275" s="44"/>
      <c r="G275" s="43"/>
      <c r="H275" s="43"/>
      <c r="I275" s="43"/>
      <c r="J275" s="36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9.5" customHeight="1">
      <c r="A276" s="45"/>
      <c r="B276" s="46"/>
      <c r="C276" s="46"/>
      <c r="D276" s="46"/>
      <c r="E276" s="46"/>
      <c r="F276" s="54"/>
      <c r="G276" s="46"/>
      <c r="H276" s="46"/>
      <c r="I276" s="46"/>
      <c r="J276" s="36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9.5" customHeight="1">
      <c r="A277" s="42"/>
      <c r="B277" s="43"/>
      <c r="C277" s="43"/>
      <c r="D277" s="43"/>
      <c r="E277" s="43"/>
      <c r="F277" s="44"/>
      <c r="G277" s="43"/>
      <c r="H277" s="43"/>
      <c r="I277" s="43"/>
      <c r="J277" s="36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9.5" customHeight="1">
      <c r="A278" s="45"/>
      <c r="B278" s="46"/>
      <c r="C278" s="46"/>
      <c r="D278" s="46"/>
      <c r="E278" s="46"/>
      <c r="F278" s="54"/>
      <c r="G278" s="46"/>
      <c r="H278" s="46"/>
      <c r="I278" s="46"/>
      <c r="J278" s="36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9.5" customHeight="1">
      <c r="A279" s="42"/>
      <c r="B279" s="43"/>
      <c r="C279" s="43"/>
      <c r="D279" s="43"/>
      <c r="E279" s="43"/>
      <c r="F279" s="44"/>
      <c r="G279" s="43"/>
      <c r="H279" s="43"/>
      <c r="I279" s="43"/>
      <c r="J279" s="36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9.5" customHeight="1">
      <c r="A280" s="45"/>
      <c r="B280" s="46"/>
      <c r="C280" s="46"/>
      <c r="D280" s="46"/>
      <c r="E280" s="46"/>
      <c r="F280" s="54"/>
      <c r="G280" s="46"/>
      <c r="H280" s="46"/>
      <c r="I280" s="46"/>
      <c r="J280" s="36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9.5" customHeight="1">
      <c r="A281" s="42"/>
      <c r="B281" s="43"/>
      <c r="C281" s="43"/>
      <c r="D281" s="43"/>
      <c r="E281" s="43"/>
      <c r="F281" s="44"/>
      <c r="G281" s="43"/>
      <c r="H281" s="43"/>
      <c r="I281" s="43"/>
      <c r="J281" s="36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9.5" customHeight="1">
      <c r="A282" s="45"/>
      <c r="B282" s="46"/>
      <c r="C282" s="46"/>
      <c r="D282" s="46"/>
      <c r="E282" s="46"/>
      <c r="F282" s="54"/>
      <c r="G282" s="46"/>
      <c r="H282" s="46"/>
      <c r="I282" s="46"/>
      <c r="J282" s="36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9.5" customHeight="1">
      <c r="A283" s="42"/>
      <c r="B283" s="43"/>
      <c r="C283" s="43"/>
      <c r="D283" s="43"/>
      <c r="E283" s="43"/>
      <c r="F283" s="44"/>
      <c r="G283" s="43"/>
      <c r="H283" s="43"/>
      <c r="I283" s="43"/>
      <c r="J283" s="36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9.5" customHeight="1">
      <c r="A284" s="45"/>
      <c r="B284" s="46"/>
      <c r="C284" s="46"/>
      <c r="D284" s="46"/>
      <c r="E284" s="46"/>
      <c r="F284" s="54"/>
      <c r="G284" s="46"/>
      <c r="H284" s="46"/>
      <c r="I284" s="46"/>
      <c r="J284" s="36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9.5" customHeight="1">
      <c r="A285" s="42"/>
      <c r="B285" s="43"/>
      <c r="C285" s="43"/>
      <c r="D285" s="43"/>
      <c r="E285" s="43"/>
      <c r="F285" s="44"/>
      <c r="G285" s="43"/>
      <c r="H285" s="43"/>
      <c r="I285" s="43"/>
      <c r="J285" s="36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9.5" customHeight="1">
      <c r="A286" s="45"/>
      <c r="B286" s="46"/>
      <c r="C286" s="46"/>
      <c r="D286" s="46"/>
      <c r="E286" s="46"/>
      <c r="F286" s="54"/>
      <c r="G286" s="46"/>
      <c r="H286" s="46"/>
      <c r="I286" s="46"/>
      <c r="J286" s="36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9.5" customHeight="1">
      <c r="A287" s="42"/>
      <c r="B287" s="43"/>
      <c r="C287" s="43"/>
      <c r="D287" s="43"/>
      <c r="E287" s="43"/>
      <c r="F287" s="44"/>
      <c r="G287" s="43"/>
      <c r="H287" s="43"/>
      <c r="I287" s="43"/>
      <c r="J287" s="36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9.5" customHeight="1">
      <c r="A288" s="45"/>
      <c r="B288" s="46"/>
      <c r="C288" s="46"/>
      <c r="D288" s="46"/>
      <c r="E288" s="46"/>
      <c r="F288" s="54"/>
      <c r="G288" s="46"/>
      <c r="H288" s="46"/>
      <c r="I288" s="46"/>
      <c r="J288" s="36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9.5" customHeight="1">
      <c r="A289" s="42"/>
      <c r="B289" s="43"/>
      <c r="C289" s="43"/>
      <c r="D289" s="43"/>
      <c r="E289" s="43"/>
      <c r="F289" s="44"/>
      <c r="G289" s="43"/>
      <c r="H289" s="43"/>
      <c r="I289" s="43"/>
      <c r="J289" s="36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9.5" customHeight="1">
      <c r="A290" s="45"/>
      <c r="B290" s="46"/>
      <c r="C290" s="46"/>
      <c r="D290" s="46"/>
      <c r="E290" s="46"/>
      <c r="F290" s="54"/>
      <c r="G290" s="46"/>
      <c r="H290" s="46"/>
      <c r="I290" s="46"/>
      <c r="J290" s="36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9.5" customHeight="1">
      <c r="A291" s="42"/>
      <c r="B291" s="43"/>
      <c r="C291" s="43"/>
      <c r="D291" s="43"/>
      <c r="E291" s="43"/>
      <c r="F291" s="44"/>
      <c r="G291" s="43"/>
      <c r="H291" s="43"/>
      <c r="I291" s="43"/>
      <c r="J291" s="36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9.5" customHeight="1">
      <c r="A292" s="45"/>
      <c r="B292" s="46"/>
      <c r="C292" s="46"/>
      <c r="D292" s="46"/>
      <c r="E292" s="46"/>
      <c r="F292" s="54"/>
      <c r="G292" s="46"/>
      <c r="H292" s="46"/>
      <c r="I292" s="46"/>
      <c r="J292" s="36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9.5" customHeight="1">
      <c r="A293" s="42"/>
      <c r="B293" s="43"/>
      <c r="C293" s="43"/>
      <c r="D293" s="43"/>
      <c r="E293" s="43"/>
      <c r="F293" s="44"/>
      <c r="G293" s="43"/>
      <c r="H293" s="43"/>
      <c r="I293" s="43"/>
      <c r="J293" s="36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9.5" customHeight="1">
      <c r="A294" s="45"/>
      <c r="B294" s="46"/>
      <c r="C294" s="46"/>
      <c r="D294" s="46"/>
      <c r="E294" s="46"/>
      <c r="F294" s="54"/>
      <c r="G294" s="46"/>
      <c r="H294" s="46"/>
      <c r="I294" s="46"/>
      <c r="J294" s="36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9.5" customHeight="1">
      <c r="A295" s="42"/>
      <c r="B295" s="43"/>
      <c r="C295" s="43"/>
      <c r="D295" s="43"/>
      <c r="E295" s="43"/>
      <c r="F295" s="44"/>
      <c r="G295" s="43"/>
      <c r="H295" s="43"/>
      <c r="I295" s="43"/>
      <c r="J295" s="36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9.5" customHeight="1">
      <c r="A296" s="45"/>
      <c r="B296" s="46"/>
      <c r="C296" s="46"/>
      <c r="D296" s="46"/>
      <c r="E296" s="46"/>
      <c r="F296" s="54"/>
      <c r="G296" s="46"/>
      <c r="H296" s="46"/>
      <c r="I296" s="46"/>
      <c r="J296" s="36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9.5" customHeight="1">
      <c r="A297" s="42"/>
      <c r="B297" s="43"/>
      <c r="C297" s="43"/>
      <c r="D297" s="43"/>
      <c r="E297" s="43"/>
      <c r="F297" s="44"/>
      <c r="G297" s="43"/>
      <c r="H297" s="43"/>
      <c r="I297" s="43"/>
      <c r="J297" s="36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9.5" customHeight="1">
      <c r="A298" s="45"/>
      <c r="B298" s="46"/>
      <c r="C298" s="46"/>
      <c r="D298" s="46"/>
      <c r="E298" s="46"/>
      <c r="F298" s="54"/>
      <c r="G298" s="46"/>
      <c r="H298" s="46"/>
      <c r="I298" s="46"/>
      <c r="J298" s="36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9.5" customHeight="1">
      <c r="A299" s="42"/>
      <c r="B299" s="43"/>
      <c r="C299" s="43"/>
      <c r="D299" s="43"/>
      <c r="E299" s="43"/>
      <c r="F299" s="44"/>
      <c r="G299" s="43"/>
      <c r="H299" s="43"/>
      <c r="I299" s="43"/>
      <c r="J299" s="36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9.5" customHeight="1">
      <c r="A300" s="45"/>
      <c r="B300" s="46"/>
      <c r="C300" s="46"/>
      <c r="D300" s="46"/>
      <c r="E300" s="46"/>
      <c r="F300" s="54"/>
      <c r="G300" s="46"/>
      <c r="H300" s="46"/>
      <c r="I300" s="46"/>
      <c r="J300" s="36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9.5" customHeight="1">
      <c r="A301" s="42"/>
      <c r="B301" s="43"/>
      <c r="C301" s="43"/>
      <c r="D301" s="43"/>
      <c r="E301" s="43"/>
      <c r="F301" s="44"/>
      <c r="G301" s="43"/>
      <c r="H301" s="43"/>
      <c r="I301" s="43"/>
      <c r="J301" s="36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9.5" customHeight="1">
      <c r="A302" s="45"/>
      <c r="B302" s="46"/>
      <c r="C302" s="46"/>
      <c r="D302" s="46"/>
      <c r="E302" s="46"/>
      <c r="F302" s="54"/>
      <c r="G302" s="46"/>
      <c r="H302" s="46"/>
      <c r="I302" s="46"/>
      <c r="J302" s="36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9.5" customHeight="1">
      <c r="A303" s="42"/>
      <c r="B303" s="43"/>
      <c r="C303" s="43"/>
      <c r="D303" s="43"/>
      <c r="E303" s="43"/>
      <c r="F303" s="44"/>
      <c r="G303" s="43"/>
      <c r="H303" s="43"/>
      <c r="I303" s="43"/>
      <c r="J303" s="36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9.5" customHeight="1">
      <c r="A304" s="45"/>
      <c r="B304" s="46"/>
      <c r="C304" s="46"/>
      <c r="D304" s="46"/>
      <c r="E304" s="46"/>
      <c r="F304" s="54"/>
      <c r="G304" s="46"/>
      <c r="H304" s="46"/>
      <c r="I304" s="46"/>
      <c r="J304" s="36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9.5" customHeight="1">
      <c r="A305" s="42"/>
      <c r="B305" s="43"/>
      <c r="C305" s="43"/>
      <c r="D305" s="43"/>
      <c r="E305" s="43"/>
      <c r="F305" s="44"/>
      <c r="G305" s="43"/>
      <c r="H305" s="43"/>
      <c r="I305" s="43"/>
      <c r="J305" s="36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9.5" customHeight="1">
      <c r="A306" s="45"/>
      <c r="B306" s="46"/>
      <c r="C306" s="46"/>
      <c r="D306" s="46"/>
      <c r="E306" s="46"/>
      <c r="F306" s="54"/>
      <c r="G306" s="46"/>
      <c r="H306" s="46"/>
      <c r="I306" s="46"/>
      <c r="J306" s="36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9.5" customHeight="1">
      <c r="A307" s="42"/>
      <c r="B307" s="43"/>
      <c r="C307" s="43"/>
      <c r="D307" s="43"/>
      <c r="E307" s="43"/>
      <c r="F307" s="44"/>
      <c r="G307" s="43"/>
      <c r="H307" s="43"/>
      <c r="I307" s="43"/>
      <c r="J307" s="36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9.5" customHeight="1">
      <c r="A308" s="45"/>
      <c r="B308" s="46"/>
      <c r="C308" s="46"/>
      <c r="D308" s="46"/>
      <c r="E308" s="46"/>
      <c r="F308" s="54"/>
      <c r="G308" s="46"/>
      <c r="H308" s="46"/>
      <c r="I308" s="46"/>
      <c r="J308" s="36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9.5" customHeight="1">
      <c r="A309" s="42"/>
      <c r="B309" s="43"/>
      <c r="C309" s="43"/>
      <c r="D309" s="43"/>
      <c r="E309" s="43"/>
      <c r="F309" s="44"/>
      <c r="G309" s="43"/>
      <c r="H309" s="43"/>
      <c r="I309" s="43"/>
      <c r="J309" s="36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9.5" customHeight="1">
      <c r="A310" s="45"/>
      <c r="B310" s="46"/>
      <c r="C310" s="46"/>
      <c r="D310" s="46"/>
      <c r="E310" s="46"/>
      <c r="F310" s="54"/>
      <c r="G310" s="46"/>
      <c r="H310" s="46"/>
      <c r="I310" s="46"/>
      <c r="J310" s="36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9.5" customHeight="1">
      <c r="A311" s="42"/>
      <c r="B311" s="43"/>
      <c r="C311" s="43"/>
      <c r="D311" s="43"/>
      <c r="E311" s="43"/>
      <c r="F311" s="44"/>
      <c r="G311" s="43"/>
      <c r="H311" s="43"/>
      <c r="I311" s="43"/>
      <c r="J311" s="36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9.5" customHeight="1">
      <c r="A312" s="45"/>
      <c r="B312" s="46"/>
      <c r="C312" s="46"/>
      <c r="D312" s="46"/>
      <c r="E312" s="46"/>
      <c r="F312" s="54"/>
      <c r="G312" s="46"/>
      <c r="H312" s="46"/>
      <c r="I312" s="46"/>
      <c r="J312" s="36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9.5" customHeight="1">
      <c r="A313" s="42"/>
      <c r="B313" s="43"/>
      <c r="C313" s="43"/>
      <c r="D313" s="43"/>
      <c r="E313" s="43"/>
      <c r="F313" s="44"/>
      <c r="G313" s="43"/>
      <c r="H313" s="43"/>
      <c r="I313" s="43"/>
      <c r="J313" s="36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9.5" customHeight="1">
      <c r="A314" s="45"/>
      <c r="B314" s="46"/>
      <c r="C314" s="46"/>
      <c r="D314" s="46"/>
      <c r="E314" s="46"/>
      <c r="F314" s="54"/>
      <c r="G314" s="46"/>
      <c r="H314" s="46"/>
      <c r="I314" s="46"/>
      <c r="J314" s="36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9.5" customHeight="1">
      <c r="A315" s="42"/>
      <c r="B315" s="43"/>
      <c r="C315" s="43"/>
      <c r="D315" s="43"/>
      <c r="E315" s="43"/>
      <c r="F315" s="44"/>
      <c r="G315" s="43"/>
      <c r="H315" s="43"/>
      <c r="I315" s="43"/>
      <c r="J315" s="36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9.5" customHeight="1">
      <c r="A316" s="45"/>
      <c r="B316" s="46"/>
      <c r="C316" s="46"/>
      <c r="D316" s="46"/>
      <c r="E316" s="46"/>
      <c r="F316" s="54"/>
      <c r="G316" s="46"/>
      <c r="H316" s="46"/>
      <c r="I316" s="46"/>
      <c r="J316" s="36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9.5" customHeight="1">
      <c r="A317" s="42"/>
      <c r="B317" s="43"/>
      <c r="C317" s="43"/>
      <c r="D317" s="43"/>
      <c r="E317" s="43"/>
      <c r="F317" s="44"/>
      <c r="G317" s="43"/>
      <c r="H317" s="43"/>
      <c r="I317" s="43"/>
      <c r="J317" s="36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9.5" customHeight="1">
      <c r="A318" s="45"/>
      <c r="B318" s="46"/>
      <c r="C318" s="46"/>
      <c r="D318" s="46"/>
      <c r="E318" s="46"/>
      <c r="F318" s="54"/>
      <c r="G318" s="46"/>
      <c r="H318" s="46"/>
      <c r="I318" s="46"/>
      <c r="J318" s="36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9.5" customHeight="1">
      <c r="A319" s="42"/>
      <c r="B319" s="43"/>
      <c r="C319" s="43"/>
      <c r="D319" s="43"/>
      <c r="E319" s="43"/>
      <c r="F319" s="44"/>
      <c r="G319" s="43"/>
      <c r="H319" s="43"/>
      <c r="I319" s="43"/>
      <c r="J319" s="36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9.5" customHeight="1">
      <c r="A320" s="45"/>
      <c r="B320" s="46"/>
      <c r="C320" s="46"/>
      <c r="D320" s="46"/>
      <c r="E320" s="46"/>
      <c r="F320" s="54"/>
      <c r="G320" s="46"/>
      <c r="H320" s="46"/>
      <c r="I320" s="46"/>
      <c r="J320" s="36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9.5" customHeight="1">
      <c r="A321" s="42"/>
      <c r="B321" s="43"/>
      <c r="C321" s="43"/>
      <c r="D321" s="43"/>
      <c r="E321" s="43"/>
      <c r="F321" s="44"/>
      <c r="G321" s="43"/>
      <c r="H321" s="43"/>
      <c r="I321" s="43"/>
      <c r="J321" s="36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9.5" customHeight="1">
      <c r="A322" s="45"/>
      <c r="B322" s="46"/>
      <c r="C322" s="46"/>
      <c r="D322" s="46"/>
      <c r="E322" s="46"/>
      <c r="F322" s="54"/>
      <c r="G322" s="46"/>
      <c r="H322" s="46"/>
      <c r="I322" s="46"/>
      <c r="J322" s="36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9.5" customHeight="1">
      <c r="A323" s="42"/>
      <c r="B323" s="43"/>
      <c r="C323" s="43"/>
      <c r="D323" s="43"/>
      <c r="E323" s="43"/>
      <c r="F323" s="44"/>
      <c r="G323" s="43"/>
      <c r="H323" s="43"/>
      <c r="I323" s="43"/>
      <c r="J323" s="36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9.5" customHeight="1">
      <c r="A324" s="45"/>
      <c r="B324" s="46"/>
      <c r="C324" s="46"/>
      <c r="D324" s="46"/>
      <c r="E324" s="46"/>
      <c r="F324" s="54"/>
      <c r="G324" s="46"/>
      <c r="H324" s="46"/>
      <c r="I324" s="46"/>
      <c r="J324" s="36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9.5" customHeight="1">
      <c r="A325" s="42"/>
      <c r="B325" s="43"/>
      <c r="C325" s="43"/>
      <c r="D325" s="43"/>
      <c r="E325" s="43"/>
      <c r="F325" s="44"/>
      <c r="G325" s="43"/>
      <c r="H325" s="43"/>
      <c r="I325" s="43"/>
      <c r="J325" s="36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9.5" customHeight="1">
      <c r="A326" s="45"/>
      <c r="B326" s="46"/>
      <c r="C326" s="46"/>
      <c r="D326" s="46"/>
      <c r="E326" s="46"/>
      <c r="F326" s="54"/>
      <c r="G326" s="46"/>
      <c r="H326" s="46"/>
      <c r="I326" s="46"/>
      <c r="J326" s="36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9.5" customHeight="1">
      <c r="A327" s="42"/>
      <c r="B327" s="43"/>
      <c r="C327" s="43"/>
      <c r="D327" s="43"/>
      <c r="E327" s="43"/>
      <c r="F327" s="44"/>
      <c r="G327" s="43"/>
      <c r="H327" s="43"/>
      <c r="I327" s="43"/>
      <c r="J327" s="36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9.5" customHeight="1">
      <c r="A328" s="45"/>
      <c r="B328" s="46"/>
      <c r="C328" s="46"/>
      <c r="D328" s="46"/>
      <c r="E328" s="46"/>
      <c r="F328" s="54"/>
      <c r="G328" s="46"/>
      <c r="H328" s="46"/>
      <c r="I328" s="46"/>
      <c r="J328" s="36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9.5" customHeight="1">
      <c r="A329" s="42"/>
      <c r="B329" s="43"/>
      <c r="C329" s="43"/>
      <c r="D329" s="43"/>
      <c r="E329" s="43"/>
      <c r="F329" s="44"/>
      <c r="G329" s="43"/>
      <c r="H329" s="43"/>
      <c r="I329" s="43"/>
      <c r="J329" s="36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9.5" customHeight="1">
      <c r="A330" s="45"/>
      <c r="B330" s="46"/>
      <c r="C330" s="46"/>
      <c r="D330" s="46"/>
      <c r="E330" s="46"/>
      <c r="F330" s="54"/>
      <c r="G330" s="46"/>
      <c r="H330" s="46"/>
      <c r="I330" s="46"/>
      <c r="J330" s="36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9.5" customHeight="1">
      <c r="A331" s="42"/>
      <c r="B331" s="43"/>
      <c r="C331" s="43"/>
      <c r="D331" s="43"/>
      <c r="E331" s="43"/>
      <c r="F331" s="44"/>
      <c r="G331" s="43"/>
      <c r="H331" s="43"/>
      <c r="I331" s="43"/>
      <c r="J331" s="36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9.5" customHeight="1">
      <c r="A332" s="45"/>
      <c r="B332" s="46"/>
      <c r="C332" s="46"/>
      <c r="D332" s="46"/>
      <c r="E332" s="46"/>
      <c r="F332" s="54"/>
      <c r="G332" s="46"/>
      <c r="H332" s="46"/>
      <c r="I332" s="46"/>
      <c r="J332" s="36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9.5" customHeight="1">
      <c r="A333" s="42"/>
      <c r="B333" s="43"/>
      <c r="C333" s="43"/>
      <c r="D333" s="43"/>
      <c r="E333" s="43"/>
      <c r="F333" s="44"/>
      <c r="G333" s="43"/>
      <c r="H333" s="43"/>
      <c r="I333" s="43"/>
      <c r="J333" s="36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9.5" customHeight="1">
      <c r="A334" s="45"/>
      <c r="B334" s="46"/>
      <c r="C334" s="46"/>
      <c r="D334" s="46"/>
      <c r="E334" s="46"/>
      <c r="F334" s="54"/>
      <c r="G334" s="46"/>
      <c r="H334" s="46"/>
      <c r="I334" s="46"/>
      <c r="J334" s="36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9.5" customHeight="1">
      <c r="A335" s="42"/>
      <c r="B335" s="43"/>
      <c r="C335" s="43"/>
      <c r="D335" s="43"/>
      <c r="E335" s="43"/>
      <c r="F335" s="44"/>
      <c r="G335" s="43"/>
      <c r="H335" s="43"/>
      <c r="I335" s="43"/>
      <c r="J335" s="36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9.5" customHeight="1">
      <c r="A336" s="45"/>
      <c r="B336" s="46"/>
      <c r="C336" s="46"/>
      <c r="D336" s="46"/>
      <c r="E336" s="46"/>
      <c r="F336" s="54"/>
      <c r="G336" s="46"/>
      <c r="H336" s="46"/>
      <c r="I336" s="46"/>
      <c r="J336" s="36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9.5" customHeight="1">
      <c r="A337" s="42"/>
      <c r="B337" s="43"/>
      <c r="C337" s="43"/>
      <c r="D337" s="43"/>
      <c r="E337" s="43"/>
      <c r="F337" s="44"/>
      <c r="G337" s="43"/>
      <c r="H337" s="43"/>
      <c r="I337" s="43"/>
      <c r="J337" s="36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9.5" customHeight="1">
      <c r="A338" s="45"/>
      <c r="B338" s="46"/>
      <c r="C338" s="46"/>
      <c r="D338" s="46"/>
      <c r="E338" s="46"/>
      <c r="F338" s="54"/>
      <c r="G338" s="46"/>
      <c r="H338" s="46"/>
      <c r="I338" s="46"/>
      <c r="J338" s="36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9.5" customHeight="1">
      <c r="A339" s="42"/>
      <c r="B339" s="43"/>
      <c r="C339" s="43"/>
      <c r="D339" s="43"/>
      <c r="E339" s="43"/>
      <c r="F339" s="44"/>
      <c r="G339" s="43"/>
      <c r="H339" s="43"/>
      <c r="I339" s="43"/>
      <c r="J339" s="36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9.5" customHeight="1">
      <c r="A340" s="45"/>
      <c r="B340" s="46"/>
      <c r="C340" s="46"/>
      <c r="D340" s="46"/>
      <c r="E340" s="46"/>
      <c r="F340" s="54"/>
      <c r="G340" s="46"/>
      <c r="H340" s="46"/>
      <c r="I340" s="46"/>
      <c r="J340" s="36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9.5" customHeight="1">
      <c r="A341" s="42"/>
      <c r="B341" s="43"/>
      <c r="C341" s="43"/>
      <c r="D341" s="43"/>
      <c r="E341" s="43"/>
      <c r="F341" s="44"/>
      <c r="G341" s="43"/>
      <c r="H341" s="43"/>
      <c r="I341" s="43"/>
      <c r="J341" s="36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9.5" customHeight="1">
      <c r="A342" s="45"/>
      <c r="B342" s="46"/>
      <c r="C342" s="46"/>
      <c r="D342" s="46"/>
      <c r="E342" s="46"/>
      <c r="F342" s="54"/>
      <c r="G342" s="46"/>
      <c r="H342" s="46"/>
      <c r="I342" s="46"/>
      <c r="J342" s="36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9.5" customHeight="1">
      <c r="A343" s="42"/>
      <c r="B343" s="43"/>
      <c r="C343" s="43"/>
      <c r="D343" s="43"/>
      <c r="E343" s="43"/>
      <c r="F343" s="44"/>
      <c r="G343" s="43"/>
      <c r="H343" s="43"/>
      <c r="I343" s="43"/>
      <c r="J343" s="36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9.5" customHeight="1">
      <c r="A344" s="45"/>
      <c r="B344" s="46"/>
      <c r="C344" s="46"/>
      <c r="D344" s="46"/>
      <c r="E344" s="46"/>
      <c r="F344" s="54"/>
      <c r="G344" s="46"/>
      <c r="H344" s="46"/>
      <c r="I344" s="46"/>
      <c r="J344" s="36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9.5" customHeight="1">
      <c r="A345" s="42"/>
      <c r="B345" s="43"/>
      <c r="C345" s="43"/>
      <c r="D345" s="43"/>
      <c r="E345" s="43"/>
      <c r="F345" s="44"/>
      <c r="G345" s="43"/>
      <c r="H345" s="43"/>
      <c r="I345" s="43"/>
      <c r="J345" s="36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9.5" customHeight="1">
      <c r="A346" s="45"/>
      <c r="B346" s="46"/>
      <c r="C346" s="46"/>
      <c r="D346" s="46"/>
      <c r="E346" s="46"/>
      <c r="F346" s="54"/>
      <c r="G346" s="46"/>
      <c r="H346" s="46"/>
      <c r="I346" s="46"/>
      <c r="J346" s="36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9.5" customHeight="1">
      <c r="A347" s="42"/>
      <c r="B347" s="43"/>
      <c r="C347" s="43"/>
      <c r="D347" s="43"/>
      <c r="E347" s="43"/>
      <c r="F347" s="44"/>
      <c r="G347" s="43"/>
      <c r="H347" s="43"/>
      <c r="I347" s="43"/>
      <c r="J347" s="36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9.5" customHeight="1">
      <c r="A348" s="45"/>
      <c r="B348" s="46"/>
      <c r="C348" s="46"/>
      <c r="D348" s="46"/>
      <c r="E348" s="46"/>
      <c r="F348" s="54"/>
      <c r="G348" s="46"/>
      <c r="H348" s="46"/>
      <c r="I348" s="46"/>
      <c r="J348" s="36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9.5" customHeight="1">
      <c r="A349" s="42"/>
      <c r="B349" s="43"/>
      <c r="C349" s="43"/>
      <c r="D349" s="43"/>
      <c r="E349" s="43"/>
      <c r="F349" s="44"/>
      <c r="G349" s="43"/>
      <c r="H349" s="43"/>
      <c r="I349" s="43"/>
      <c r="J349" s="36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9.5" customHeight="1">
      <c r="A350" s="45"/>
      <c r="B350" s="46"/>
      <c r="C350" s="46"/>
      <c r="D350" s="46"/>
      <c r="E350" s="46"/>
      <c r="F350" s="54"/>
      <c r="G350" s="46"/>
      <c r="H350" s="46"/>
      <c r="I350" s="46"/>
      <c r="J350" s="36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9.5" customHeight="1">
      <c r="A351" s="42"/>
      <c r="B351" s="43"/>
      <c r="C351" s="43"/>
      <c r="D351" s="43"/>
      <c r="E351" s="43"/>
      <c r="F351" s="44"/>
      <c r="G351" s="43"/>
      <c r="H351" s="43"/>
      <c r="I351" s="43"/>
      <c r="J351" s="36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9.5" customHeight="1">
      <c r="A352" s="45"/>
      <c r="B352" s="46"/>
      <c r="C352" s="46"/>
      <c r="D352" s="46"/>
      <c r="E352" s="46"/>
      <c r="F352" s="54"/>
      <c r="G352" s="46"/>
      <c r="H352" s="46"/>
      <c r="I352" s="46"/>
      <c r="J352" s="36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9.5" customHeight="1">
      <c r="A353" s="42"/>
      <c r="B353" s="43"/>
      <c r="C353" s="43"/>
      <c r="D353" s="43"/>
      <c r="E353" s="43"/>
      <c r="F353" s="44"/>
      <c r="G353" s="43"/>
      <c r="H353" s="43"/>
      <c r="I353" s="43"/>
      <c r="J353" s="36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9.5" customHeight="1">
      <c r="A354" s="45"/>
      <c r="B354" s="46"/>
      <c r="C354" s="46"/>
      <c r="D354" s="46"/>
      <c r="E354" s="46"/>
      <c r="F354" s="54"/>
      <c r="G354" s="46"/>
      <c r="H354" s="46"/>
      <c r="I354" s="46"/>
      <c r="J354" s="36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9.5" customHeight="1">
      <c r="A355" s="42"/>
      <c r="B355" s="43"/>
      <c r="C355" s="43"/>
      <c r="D355" s="43"/>
      <c r="E355" s="43"/>
      <c r="F355" s="44"/>
      <c r="G355" s="43"/>
      <c r="H355" s="43"/>
      <c r="I355" s="43"/>
      <c r="J355" s="36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9.5" customHeight="1">
      <c r="A356" s="45"/>
      <c r="B356" s="46"/>
      <c r="C356" s="46"/>
      <c r="D356" s="46"/>
      <c r="E356" s="46"/>
      <c r="F356" s="54"/>
      <c r="G356" s="46"/>
      <c r="H356" s="46"/>
      <c r="I356" s="46"/>
      <c r="J356" s="36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9.5" customHeight="1">
      <c r="A357" s="42"/>
      <c r="B357" s="43"/>
      <c r="C357" s="43"/>
      <c r="D357" s="43"/>
      <c r="E357" s="43"/>
      <c r="F357" s="44"/>
      <c r="G357" s="43"/>
      <c r="H357" s="43"/>
      <c r="I357" s="43"/>
      <c r="J357" s="36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9.5" customHeight="1">
      <c r="A358" s="45"/>
      <c r="B358" s="46"/>
      <c r="C358" s="46"/>
      <c r="D358" s="46"/>
      <c r="E358" s="46"/>
      <c r="F358" s="54"/>
      <c r="G358" s="46"/>
      <c r="H358" s="46"/>
      <c r="I358" s="46"/>
      <c r="J358" s="36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9.5" customHeight="1">
      <c r="A359" s="42"/>
      <c r="B359" s="43"/>
      <c r="C359" s="43"/>
      <c r="D359" s="43"/>
      <c r="E359" s="43"/>
      <c r="F359" s="44"/>
      <c r="G359" s="43"/>
      <c r="H359" s="43"/>
      <c r="I359" s="43"/>
      <c r="J359" s="36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9.5" customHeight="1">
      <c r="A360" s="45"/>
      <c r="B360" s="46"/>
      <c r="C360" s="46"/>
      <c r="D360" s="46"/>
      <c r="E360" s="46"/>
      <c r="F360" s="54"/>
      <c r="G360" s="46"/>
      <c r="H360" s="46"/>
      <c r="I360" s="46"/>
      <c r="J360" s="36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9.5" customHeight="1">
      <c r="A361" s="42"/>
      <c r="B361" s="43"/>
      <c r="C361" s="43"/>
      <c r="D361" s="43"/>
      <c r="E361" s="43"/>
      <c r="F361" s="44"/>
      <c r="G361" s="43"/>
      <c r="H361" s="43"/>
      <c r="I361" s="43"/>
      <c r="J361" s="36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9.5" customHeight="1">
      <c r="A362" s="45"/>
      <c r="B362" s="46"/>
      <c r="C362" s="46"/>
      <c r="D362" s="46"/>
      <c r="E362" s="46"/>
      <c r="F362" s="54"/>
      <c r="G362" s="46"/>
      <c r="H362" s="46"/>
      <c r="I362" s="46"/>
      <c r="J362" s="36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9.5" customHeight="1">
      <c r="A363" s="42"/>
      <c r="B363" s="43"/>
      <c r="C363" s="43"/>
      <c r="D363" s="43"/>
      <c r="E363" s="43"/>
      <c r="F363" s="44"/>
      <c r="G363" s="43"/>
      <c r="H363" s="43"/>
      <c r="I363" s="43"/>
      <c r="J363" s="36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9.5" customHeight="1">
      <c r="A364" s="45"/>
      <c r="B364" s="46"/>
      <c r="C364" s="46"/>
      <c r="D364" s="46"/>
      <c r="E364" s="46"/>
      <c r="F364" s="54"/>
      <c r="G364" s="46"/>
      <c r="H364" s="46"/>
      <c r="I364" s="46"/>
      <c r="J364" s="36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9.5" customHeight="1">
      <c r="A365" s="42"/>
      <c r="B365" s="43"/>
      <c r="C365" s="43"/>
      <c r="D365" s="43"/>
      <c r="E365" s="43"/>
      <c r="F365" s="44"/>
      <c r="G365" s="43"/>
      <c r="H365" s="43"/>
      <c r="I365" s="43"/>
      <c r="J365" s="36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9.5" customHeight="1">
      <c r="A366" s="45"/>
      <c r="B366" s="46"/>
      <c r="C366" s="46"/>
      <c r="D366" s="46"/>
      <c r="E366" s="46"/>
      <c r="F366" s="54"/>
      <c r="G366" s="46"/>
      <c r="H366" s="46"/>
      <c r="I366" s="46"/>
      <c r="J366" s="36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9.5" customHeight="1">
      <c r="A367" s="42"/>
      <c r="B367" s="43"/>
      <c r="C367" s="43"/>
      <c r="D367" s="43"/>
      <c r="E367" s="43"/>
      <c r="F367" s="44"/>
      <c r="G367" s="43"/>
      <c r="H367" s="43"/>
      <c r="I367" s="43"/>
      <c r="J367" s="36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9.5" customHeight="1">
      <c r="A368" s="45"/>
      <c r="B368" s="46"/>
      <c r="C368" s="46"/>
      <c r="D368" s="46"/>
      <c r="E368" s="46"/>
      <c r="F368" s="54"/>
      <c r="G368" s="46"/>
      <c r="H368" s="46"/>
      <c r="I368" s="46"/>
      <c r="J368" s="36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9.5" customHeight="1">
      <c r="A369" s="42"/>
      <c r="B369" s="43"/>
      <c r="C369" s="43"/>
      <c r="D369" s="43"/>
      <c r="E369" s="43"/>
      <c r="F369" s="44"/>
      <c r="G369" s="43"/>
      <c r="H369" s="43"/>
      <c r="I369" s="43"/>
      <c r="J369" s="36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9.5" customHeight="1">
      <c r="A370" s="45"/>
      <c r="B370" s="46"/>
      <c r="C370" s="46"/>
      <c r="D370" s="46"/>
      <c r="E370" s="46"/>
      <c r="F370" s="54"/>
      <c r="G370" s="46"/>
      <c r="H370" s="46"/>
      <c r="I370" s="46"/>
      <c r="J370" s="36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9.5" customHeight="1">
      <c r="A371" s="42"/>
      <c r="B371" s="43"/>
      <c r="C371" s="43"/>
      <c r="D371" s="43"/>
      <c r="E371" s="43"/>
      <c r="F371" s="44"/>
      <c r="G371" s="43"/>
      <c r="H371" s="43"/>
      <c r="I371" s="43"/>
      <c r="J371" s="36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9.5" customHeight="1">
      <c r="A372" s="45"/>
      <c r="B372" s="46"/>
      <c r="C372" s="46"/>
      <c r="D372" s="46"/>
      <c r="E372" s="46"/>
      <c r="F372" s="54"/>
      <c r="G372" s="46"/>
      <c r="H372" s="46"/>
      <c r="I372" s="46"/>
      <c r="J372" s="36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9.5" customHeight="1">
      <c r="A373" s="42"/>
      <c r="B373" s="43"/>
      <c r="C373" s="43"/>
      <c r="D373" s="43"/>
      <c r="E373" s="43"/>
      <c r="F373" s="44"/>
      <c r="G373" s="43"/>
      <c r="H373" s="43"/>
      <c r="I373" s="43"/>
      <c r="J373" s="36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9.5" customHeight="1">
      <c r="A374" s="45"/>
      <c r="B374" s="46"/>
      <c r="C374" s="46"/>
      <c r="D374" s="46"/>
      <c r="E374" s="46"/>
      <c r="F374" s="54"/>
      <c r="G374" s="46"/>
      <c r="H374" s="46"/>
      <c r="I374" s="46"/>
      <c r="J374" s="36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9.5" customHeight="1">
      <c r="A375" s="42"/>
      <c r="B375" s="43"/>
      <c r="C375" s="43"/>
      <c r="D375" s="43"/>
      <c r="E375" s="43"/>
      <c r="F375" s="44"/>
      <c r="G375" s="43"/>
      <c r="H375" s="43"/>
      <c r="I375" s="43"/>
      <c r="J375" s="36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9.5" customHeight="1">
      <c r="A376" s="45"/>
      <c r="B376" s="46"/>
      <c r="C376" s="46"/>
      <c r="D376" s="46"/>
      <c r="E376" s="46"/>
      <c r="F376" s="54"/>
      <c r="G376" s="46"/>
      <c r="H376" s="46"/>
      <c r="I376" s="46"/>
      <c r="J376" s="36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9.5" customHeight="1">
      <c r="A377" s="42"/>
      <c r="B377" s="43"/>
      <c r="C377" s="43"/>
      <c r="D377" s="43"/>
      <c r="E377" s="43"/>
      <c r="F377" s="44"/>
      <c r="G377" s="43"/>
      <c r="H377" s="43"/>
      <c r="I377" s="43"/>
      <c r="J377" s="36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9.5" customHeight="1">
      <c r="A378" s="45"/>
      <c r="B378" s="46"/>
      <c r="C378" s="46"/>
      <c r="D378" s="46"/>
      <c r="E378" s="46"/>
      <c r="F378" s="54"/>
      <c r="G378" s="46"/>
      <c r="H378" s="46"/>
      <c r="I378" s="46"/>
      <c r="J378" s="36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9.5" customHeight="1">
      <c r="A379" s="42"/>
      <c r="B379" s="43"/>
      <c r="C379" s="43"/>
      <c r="D379" s="43"/>
      <c r="E379" s="43"/>
      <c r="F379" s="44"/>
      <c r="G379" s="43"/>
      <c r="H379" s="43"/>
      <c r="I379" s="43"/>
      <c r="J379" s="36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9.5" customHeight="1">
      <c r="A380" s="45"/>
      <c r="B380" s="46"/>
      <c r="C380" s="46"/>
      <c r="D380" s="46"/>
      <c r="E380" s="46"/>
      <c r="F380" s="54"/>
      <c r="G380" s="46"/>
      <c r="H380" s="46"/>
      <c r="I380" s="46"/>
      <c r="J380" s="36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9.5" customHeight="1">
      <c r="A381" s="42"/>
      <c r="B381" s="43"/>
      <c r="C381" s="43"/>
      <c r="D381" s="43"/>
      <c r="E381" s="43"/>
      <c r="F381" s="44"/>
      <c r="G381" s="43"/>
      <c r="H381" s="43"/>
      <c r="I381" s="43"/>
      <c r="J381" s="36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9.5" customHeight="1">
      <c r="A382" s="45"/>
      <c r="B382" s="46"/>
      <c r="C382" s="46"/>
      <c r="D382" s="46"/>
      <c r="E382" s="46"/>
      <c r="F382" s="54"/>
      <c r="G382" s="46"/>
      <c r="H382" s="46"/>
      <c r="I382" s="46"/>
      <c r="J382" s="36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9.5" customHeight="1">
      <c r="A383" s="42"/>
      <c r="B383" s="43"/>
      <c r="C383" s="43"/>
      <c r="D383" s="43"/>
      <c r="E383" s="43"/>
      <c r="F383" s="44"/>
      <c r="G383" s="43"/>
      <c r="H383" s="43"/>
      <c r="I383" s="43"/>
      <c r="J383" s="36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9.5" customHeight="1">
      <c r="A384" s="45"/>
      <c r="B384" s="46"/>
      <c r="C384" s="46"/>
      <c r="D384" s="46"/>
      <c r="E384" s="46"/>
      <c r="F384" s="54"/>
      <c r="G384" s="46"/>
      <c r="H384" s="46"/>
      <c r="I384" s="46"/>
      <c r="J384" s="36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9.5" customHeight="1">
      <c r="A385" s="42"/>
      <c r="B385" s="43"/>
      <c r="C385" s="43"/>
      <c r="D385" s="43"/>
      <c r="E385" s="43"/>
      <c r="F385" s="44"/>
      <c r="G385" s="43"/>
      <c r="H385" s="43"/>
      <c r="I385" s="43"/>
      <c r="J385" s="36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9.5" customHeight="1">
      <c r="A386" s="45"/>
      <c r="B386" s="46"/>
      <c r="C386" s="46"/>
      <c r="D386" s="46"/>
      <c r="E386" s="46"/>
      <c r="F386" s="54"/>
      <c r="G386" s="46"/>
      <c r="H386" s="46"/>
      <c r="I386" s="46"/>
      <c r="J386" s="36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9.5" customHeight="1">
      <c r="A387" s="42"/>
      <c r="B387" s="43"/>
      <c r="C387" s="43"/>
      <c r="D387" s="43"/>
      <c r="E387" s="43"/>
      <c r="F387" s="44"/>
      <c r="G387" s="43"/>
      <c r="H387" s="43"/>
      <c r="I387" s="43"/>
      <c r="J387" s="36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9.5" customHeight="1">
      <c r="A388" s="45"/>
      <c r="B388" s="46"/>
      <c r="C388" s="46"/>
      <c r="D388" s="46"/>
      <c r="E388" s="46"/>
      <c r="F388" s="54"/>
      <c r="G388" s="46"/>
      <c r="H388" s="46"/>
      <c r="I388" s="46"/>
      <c r="J388" s="36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9.5" customHeight="1">
      <c r="A389" s="42"/>
      <c r="B389" s="43"/>
      <c r="C389" s="43"/>
      <c r="D389" s="43"/>
      <c r="E389" s="43"/>
      <c r="F389" s="44"/>
      <c r="G389" s="43"/>
      <c r="H389" s="43"/>
      <c r="I389" s="43"/>
      <c r="J389" s="36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9.5" customHeight="1">
      <c r="A390" s="45"/>
      <c r="B390" s="46"/>
      <c r="C390" s="46"/>
      <c r="D390" s="46"/>
      <c r="E390" s="46"/>
      <c r="F390" s="54"/>
      <c r="G390" s="46"/>
      <c r="H390" s="46"/>
      <c r="I390" s="46"/>
      <c r="J390" s="36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9.5" customHeight="1">
      <c r="A391" s="42"/>
      <c r="B391" s="43"/>
      <c r="C391" s="43"/>
      <c r="D391" s="43"/>
      <c r="E391" s="43"/>
      <c r="F391" s="44"/>
      <c r="G391" s="43"/>
      <c r="H391" s="43"/>
      <c r="I391" s="43"/>
      <c r="J391" s="36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9.5" customHeight="1">
      <c r="A392" s="45"/>
      <c r="B392" s="46"/>
      <c r="C392" s="46"/>
      <c r="D392" s="46"/>
      <c r="E392" s="46"/>
      <c r="F392" s="54"/>
      <c r="G392" s="46"/>
      <c r="H392" s="46"/>
      <c r="I392" s="46"/>
      <c r="J392" s="36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9.5" customHeight="1">
      <c r="A393" s="42"/>
      <c r="B393" s="43"/>
      <c r="C393" s="43"/>
      <c r="D393" s="43"/>
      <c r="E393" s="43"/>
      <c r="F393" s="44"/>
      <c r="G393" s="43"/>
      <c r="H393" s="43"/>
      <c r="I393" s="43"/>
      <c r="J393" s="36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9.5" customHeight="1">
      <c r="A394" s="45"/>
      <c r="B394" s="46"/>
      <c r="C394" s="46"/>
      <c r="D394" s="46"/>
      <c r="E394" s="46"/>
      <c r="F394" s="54"/>
      <c r="G394" s="46"/>
      <c r="H394" s="46"/>
      <c r="I394" s="46"/>
      <c r="J394" s="36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9.5" customHeight="1">
      <c r="A395" s="42"/>
      <c r="B395" s="43"/>
      <c r="C395" s="43"/>
      <c r="D395" s="43"/>
      <c r="E395" s="43"/>
      <c r="F395" s="44"/>
      <c r="G395" s="43"/>
      <c r="H395" s="43"/>
      <c r="I395" s="43"/>
      <c r="J395" s="36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9.5" customHeight="1">
      <c r="A396" s="45"/>
      <c r="B396" s="46"/>
      <c r="C396" s="46"/>
      <c r="D396" s="46"/>
      <c r="E396" s="46"/>
      <c r="F396" s="54"/>
      <c r="G396" s="46"/>
      <c r="H396" s="46"/>
      <c r="I396" s="46"/>
      <c r="J396" s="36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9.5" customHeight="1">
      <c r="A397" s="42"/>
      <c r="B397" s="43"/>
      <c r="C397" s="43"/>
      <c r="D397" s="43"/>
      <c r="E397" s="43"/>
      <c r="F397" s="44"/>
      <c r="G397" s="43"/>
      <c r="H397" s="43"/>
      <c r="I397" s="43"/>
      <c r="J397" s="36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9.5" customHeight="1">
      <c r="A398" s="45"/>
      <c r="B398" s="46"/>
      <c r="C398" s="46"/>
      <c r="D398" s="46"/>
      <c r="E398" s="46"/>
      <c r="F398" s="54"/>
      <c r="G398" s="46"/>
      <c r="H398" s="46"/>
      <c r="I398" s="46"/>
      <c r="J398" s="36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9.5" customHeight="1">
      <c r="A399" s="42"/>
      <c r="B399" s="43"/>
      <c r="C399" s="43"/>
      <c r="D399" s="43"/>
      <c r="E399" s="43"/>
      <c r="F399" s="44"/>
      <c r="G399" s="43"/>
      <c r="H399" s="43"/>
      <c r="I399" s="43"/>
      <c r="J399" s="36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9.5" customHeight="1">
      <c r="A400" s="45"/>
      <c r="B400" s="46"/>
      <c r="C400" s="46"/>
      <c r="D400" s="46"/>
      <c r="E400" s="46"/>
      <c r="F400" s="54"/>
      <c r="G400" s="46"/>
      <c r="H400" s="46"/>
      <c r="I400" s="46"/>
      <c r="J400" s="36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9.5" customHeight="1">
      <c r="A401" s="42"/>
      <c r="B401" s="43"/>
      <c r="C401" s="43"/>
      <c r="D401" s="43"/>
      <c r="E401" s="43"/>
      <c r="F401" s="44"/>
      <c r="G401" s="43"/>
      <c r="H401" s="43"/>
      <c r="I401" s="43"/>
      <c r="J401" s="36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9.5" customHeight="1">
      <c r="A402" s="45"/>
      <c r="B402" s="46"/>
      <c r="C402" s="46"/>
      <c r="D402" s="46"/>
      <c r="E402" s="46"/>
      <c r="F402" s="54"/>
      <c r="G402" s="46"/>
      <c r="H402" s="46"/>
      <c r="I402" s="46"/>
      <c r="J402" s="36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9.5" customHeight="1">
      <c r="A403" s="42"/>
      <c r="B403" s="43"/>
      <c r="C403" s="43"/>
      <c r="D403" s="43"/>
      <c r="E403" s="43"/>
      <c r="F403" s="44"/>
      <c r="G403" s="43"/>
      <c r="H403" s="43"/>
      <c r="I403" s="43"/>
      <c r="J403" s="36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9.5" customHeight="1">
      <c r="A404" s="45"/>
      <c r="B404" s="46"/>
      <c r="C404" s="46"/>
      <c r="D404" s="46"/>
      <c r="E404" s="46"/>
      <c r="F404" s="54"/>
      <c r="G404" s="46"/>
      <c r="H404" s="46"/>
      <c r="I404" s="46"/>
      <c r="J404" s="36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9.5" customHeight="1">
      <c r="A405" s="42"/>
      <c r="B405" s="43"/>
      <c r="C405" s="43"/>
      <c r="D405" s="43"/>
      <c r="E405" s="43"/>
      <c r="F405" s="44"/>
      <c r="G405" s="43"/>
      <c r="H405" s="43"/>
      <c r="I405" s="43"/>
      <c r="J405" s="36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9.5" customHeight="1">
      <c r="A406" s="45"/>
      <c r="B406" s="46"/>
      <c r="C406" s="46"/>
      <c r="D406" s="46"/>
      <c r="E406" s="46"/>
      <c r="F406" s="54"/>
      <c r="G406" s="46"/>
      <c r="H406" s="46"/>
      <c r="I406" s="46"/>
      <c r="J406" s="36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9.5" customHeight="1">
      <c r="A407" s="42"/>
      <c r="B407" s="43"/>
      <c r="C407" s="43"/>
      <c r="D407" s="43"/>
      <c r="E407" s="43"/>
      <c r="F407" s="44"/>
      <c r="G407" s="43"/>
      <c r="H407" s="43"/>
      <c r="I407" s="43"/>
      <c r="J407" s="36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9.5" customHeight="1">
      <c r="A408" s="45"/>
      <c r="B408" s="46"/>
      <c r="C408" s="46"/>
      <c r="D408" s="46"/>
      <c r="E408" s="46"/>
      <c r="F408" s="54"/>
      <c r="G408" s="46"/>
      <c r="H408" s="46"/>
      <c r="I408" s="46"/>
      <c r="J408" s="36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9.5" customHeight="1">
      <c r="A409" s="42"/>
      <c r="B409" s="43"/>
      <c r="C409" s="43"/>
      <c r="D409" s="43"/>
      <c r="E409" s="43"/>
      <c r="F409" s="44"/>
      <c r="G409" s="43"/>
      <c r="H409" s="43"/>
      <c r="I409" s="43"/>
      <c r="J409" s="36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9.5" customHeight="1">
      <c r="A410" s="45"/>
      <c r="B410" s="46"/>
      <c r="C410" s="46"/>
      <c r="D410" s="46"/>
      <c r="E410" s="46"/>
      <c r="F410" s="54"/>
      <c r="G410" s="46"/>
      <c r="H410" s="46"/>
      <c r="I410" s="46"/>
      <c r="J410" s="36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9.5" customHeight="1">
      <c r="A411" s="42"/>
      <c r="B411" s="43"/>
      <c r="C411" s="43"/>
      <c r="D411" s="43"/>
      <c r="E411" s="43"/>
      <c r="F411" s="44"/>
      <c r="G411" s="43"/>
      <c r="H411" s="43"/>
      <c r="I411" s="43"/>
      <c r="J411" s="36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9.5" customHeight="1">
      <c r="A412" s="45"/>
      <c r="B412" s="46"/>
      <c r="C412" s="46"/>
      <c r="D412" s="46"/>
      <c r="E412" s="46"/>
      <c r="F412" s="54"/>
      <c r="G412" s="46"/>
      <c r="H412" s="46"/>
      <c r="I412" s="46"/>
      <c r="J412" s="36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9.5" customHeight="1">
      <c r="A413" s="42"/>
      <c r="B413" s="43"/>
      <c r="C413" s="43"/>
      <c r="D413" s="43"/>
      <c r="E413" s="43"/>
      <c r="F413" s="44"/>
      <c r="G413" s="43"/>
      <c r="H413" s="43"/>
      <c r="I413" s="43"/>
      <c r="J413" s="36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9.5" customHeight="1">
      <c r="A414" s="45"/>
      <c r="B414" s="46"/>
      <c r="C414" s="46"/>
      <c r="D414" s="46"/>
      <c r="E414" s="46"/>
      <c r="F414" s="54"/>
      <c r="G414" s="46"/>
      <c r="H414" s="46"/>
      <c r="I414" s="46"/>
      <c r="J414" s="36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9.5" customHeight="1">
      <c r="A415" s="42"/>
      <c r="B415" s="43"/>
      <c r="C415" s="43"/>
      <c r="D415" s="43"/>
      <c r="E415" s="43"/>
      <c r="F415" s="44"/>
      <c r="G415" s="43"/>
      <c r="H415" s="43"/>
      <c r="I415" s="43"/>
      <c r="J415" s="36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9.5" customHeight="1">
      <c r="A416" s="45"/>
      <c r="B416" s="46"/>
      <c r="C416" s="46"/>
      <c r="D416" s="46"/>
      <c r="E416" s="46"/>
      <c r="F416" s="54"/>
      <c r="G416" s="46"/>
      <c r="H416" s="46"/>
      <c r="I416" s="46"/>
      <c r="J416" s="36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9.5" customHeight="1">
      <c r="A417" s="42"/>
      <c r="B417" s="43"/>
      <c r="C417" s="43"/>
      <c r="D417" s="43"/>
      <c r="E417" s="43"/>
      <c r="F417" s="44"/>
      <c r="G417" s="43"/>
      <c r="H417" s="43"/>
      <c r="I417" s="43"/>
      <c r="J417" s="36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9.5" customHeight="1">
      <c r="A418" s="45"/>
      <c r="B418" s="46"/>
      <c r="C418" s="46"/>
      <c r="D418" s="46"/>
      <c r="E418" s="46"/>
      <c r="F418" s="54"/>
      <c r="G418" s="46"/>
      <c r="H418" s="46"/>
      <c r="I418" s="46"/>
      <c r="J418" s="36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9.5" customHeight="1">
      <c r="A419" s="42"/>
      <c r="B419" s="43"/>
      <c r="C419" s="43"/>
      <c r="D419" s="43"/>
      <c r="E419" s="43"/>
      <c r="F419" s="44"/>
      <c r="G419" s="43"/>
      <c r="H419" s="43"/>
      <c r="I419" s="43"/>
      <c r="J419" s="36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9.5" customHeight="1">
      <c r="A420" s="45"/>
      <c r="B420" s="46"/>
      <c r="C420" s="46"/>
      <c r="D420" s="46"/>
      <c r="E420" s="46"/>
      <c r="F420" s="54"/>
      <c r="G420" s="46"/>
      <c r="H420" s="46"/>
      <c r="I420" s="46"/>
      <c r="J420" s="36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9.5" customHeight="1">
      <c r="A421" s="42"/>
      <c r="B421" s="43"/>
      <c r="C421" s="43"/>
      <c r="D421" s="43"/>
      <c r="E421" s="43"/>
      <c r="F421" s="44"/>
      <c r="G421" s="43"/>
      <c r="H421" s="43"/>
      <c r="I421" s="43"/>
      <c r="J421" s="36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9.5" customHeight="1">
      <c r="A422" s="45"/>
      <c r="B422" s="46"/>
      <c r="C422" s="46"/>
      <c r="D422" s="46"/>
      <c r="E422" s="46"/>
      <c r="F422" s="54"/>
      <c r="G422" s="46"/>
      <c r="H422" s="46"/>
      <c r="I422" s="46"/>
      <c r="J422" s="36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9.5" customHeight="1">
      <c r="A423" s="42"/>
      <c r="B423" s="43"/>
      <c r="C423" s="43"/>
      <c r="D423" s="43"/>
      <c r="E423" s="43"/>
      <c r="F423" s="44"/>
      <c r="G423" s="43"/>
      <c r="H423" s="43"/>
      <c r="I423" s="43"/>
      <c r="J423" s="36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9.5" customHeight="1">
      <c r="A424" s="45"/>
      <c r="B424" s="46"/>
      <c r="C424" s="46"/>
      <c r="D424" s="46"/>
      <c r="E424" s="46"/>
      <c r="F424" s="54"/>
      <c r="G424" s="46"/>
      <c r="H424" s="46"/>
      <c r="I424" s="46"/>
      <c r="J424" s="36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9.5" customHeight="1">
      <c r="A425" s="42"/>
      <c r="B425" s="43"/>
      <c r="C425" s="43"/>
      <c r="D425" s="43"/>
      <c r="E425" s="43"/>
      <c r="F425" s="44"/>
      <c r="G425" s="43"/>
      <c r="H425" s="43"/>
      <c r="I425" s="43"/>
      <c r="J425" s="36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9.5" customHeight="1">
      <c r="A426" s="45"/>
      <c r="B426" s="46"/>
      <c r="C426" s="46"/>
      <c r="D426" s="46"/>
      <c r="E426" s="46"/>
      <c r="F426" s="54"/>
      <c r="G426" s="46"/>
      <c r="H426" s="46"/>
      <c r="I426" s="46"/>
      <c r="J426" s="36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9.5" customHeight="1">
      <c r="A427" s="42"/>
      <c r="B427" s="43"/>
      <c r="C427" s="43"/>
      <c r="D427" s="43"/>
      <c r="E427" s="43"/>
      <c r="F427" s="44"/>
      <c r="G427" s="43"/>
      <c r="H427" s="43"/>
      <c r="I427" s="43"/>
      <c r="J427" s="36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9.5" customHeight="1">
      <c r="A428" s="45"/>
      <c r="B428" s="46"/>
      <c r="C428" s="46"/>
      <c r="D428" s="46"/>
      <c r="E428" s="46"/>
      <c r="F428" s="54"/>
      <c r="G428" s="46"/>
      <c r="H428" s="46"/>
      <c r="I428" s="46"/>
      <c r="J428" s="36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9.5" customHeight="1">
      <c r="A429" s="42"/>
      <c r="B429" s="43"/>
      <c r="C429" s="43"/>
      <c r="D429" s="43"/>
      <c r="E429" s="43"/>
      <c r="F429" s="44"/>
      <c r="G429" s="43"/>
      <c r="H429" s="43"/>
      <c r="I429" s="43"/>
      <c r="J429" s="36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9.5" customHeight="1">
      <c r="A430" s="45"/>
      <c r="B430" s="46"/>
      <c r="C430" s="46"/>
      <c r="D430" s="46"/>
      <c r="E430" s="46"/>
      <c r="F430" s="54"/>
      <c r="G430" s="46"/>
      <c r="H430" s="46"/>
      <c r="I430" s="46"/>
      <c r="J430" s="36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9.5" customHeight="1">
      <c r="A431" s="42"/>
      <c r="B431" s="43"/>
      <c r="C431" s="43"/>
      <c r="D431" s="43"/>
      <c r="E431" s="43"/>
      <c r="F431" s="44"/>
      <c r="G431" s="43"/>
      <c r="H431" s="43"/>
      <c r="I431" s="43"/>
      <c r="J431" s="36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9.5" customHeight="1">
      <c r="A432" s="45"/>
      <c r="B432" s="46"/>
      <c r="C432" s="46"/>
      <c r="D432" s="46"/>
      <c r="E432" s="46"/>
      <c r="F432" s="54"/>
      <c r="G432" s="46"/>
      <c r="H432" s="46"/>
      <c r="I432" s="46"/>
      <c r="J432" s="36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9.5" customHeight="1">
      <c r="A433" s="42"/>
      <c r="B433" s="43"/>
      <c r="C433" s="43"/>
      <c r="D433" s="43"/>
      <c r="E433" s="43"/>
      <c r="F433" s="44"/>
      <c r="G433" s="43"/>
      <c r="H433" s="43"/>
      <c r="I433" s="43"/>
      <c r="J433" s="36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9.5" customHeight="1">
      <c r="A434" s="45"/>
      <c r="B434" s="46"/>
      <c r="C434" s="46"/>
      <c r="D434" s="46"/>
      <c r="E434" s="46"/>
      <c r="F434" s="54"/>
      <c r="G434" s="46"/>
      <c r="H434" s="46"/>
      <c r="I434" s="46"/>
      <c r="J434" s="36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9.5" customHeight="1">
      <c r="A435" s="42"/>
      <c r="B435" s="43"/>
      <c r="C435" s="43"/>
      <c r="D435" s="43"/>
      <c r="E435" s="43"/>
      <c r="F435" s="44"/>
      <c r="G435" s="43"/>
      <c r="H435" s="43"/>
      <c r="I435" s="43"/>
      <c r="J435" s="36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9.5" customHeight="1">
      <c r="A436" s="45"/>
      <c r="B436" s="46"/>
      <c r="C436" s="46"/>
      <c r="D436" s="46"/>
      <c r="E436" s="46"/>
      <c r="F436" s="54"/>
      <c r="G436" s="46"/>
      <c r="H436" s="46"/>
      <c r="I436" s="46"/>
      <c r="J436" s="36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9.5" customHeight="1">
      <c r="A437" s="42"/>
      <c r="B437" s="43"/>
      <c r="C437" s="43"/>
      <c r="D437" s="43"/>
      <c r="E437" s="43"/>
      <c r="F437" s="44"/>
      <c r="G437" s="43"/>
      <c r="H437" s="43"/>
      <c r="I437" s="43"/>
      <c r="J437" s="36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9.5" customHeight="1">
      <c r="A438" s="45"/>
      <c r="B438" s="46"/>
      <c r="C438" s="46"/>
      <c r="D438" s="46"/>
      <c r="E438" s="46"/>
      <c r="F438" s="54"/>
      <c r="G438" s="46"/>
      <c r="H438" s="46"/>
      <c r="I438" s="46"/>
      <c r="J438" s="36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9.5" customHeight="1">
      <c r="A439" s="42"/>
      <c r="B439" s="43"/>
      <c r="C439" s="43"/>
      <c r="D439" s="43"/>
      <c r="E439" s="43"/>
      <c r="F439" s="44"/>
      <c r="G439" s="43"/>
      <c r="H439" s="43"/>
      <c r="I439" s="43"/>
      <c r="J439" s="36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9.5" customHeight="1">
      <c r="A440" s="45"/>
      <c r="B440" s="46"/>
      <c r="C440" s="46"/>
      <c r="D440" s="46"/>
      <c r="E440" s="46"/>
      <c r="F440" s="54"/>
      <c r="G440" s="46"/>
      <c r="H440" s="46"/>
      <c r="I440" s="46"/>
      <c r="J440" s="36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9.5" customHeight="1">
      <c r="A441" s="42"/>
      <c r="B441" s="43"/>
      <c r="C441" s="43"/>
      <c r="D441" s="43"/>
      <c r="E441" s="43"/>
      <c r="F441" s="44"/>
      <c r="G441" s="43"/>
      <c r="H441" s="43"/>
      <c r="I441" s="43"/>
      <c r="J441" s="36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9.5" customHeight="1">
      <c r="A442" s="45"/>
      <c r="B442" s="46"/>
      <c r="C442" s="46"/>
      <c r="D442" s="46"/>
      <c r="E442" s="46"/>
      <c r="F442" s="54"/>
      <c r="G442" s="46"/>
      <c r="H442" s="46"/>
      <c r="I442" s="46"/>
      <c r="J442" s="36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9.5" customHeight="1">
      <c r="A443" s="42"/>
      <c r="B443" s="43"/>
      <c r="C443" s="43"/>
      <c r="D443" s="43"/>
      <c r="E443" s="43"/>
      <c r="F443" s="44"/>
      <c r="G443" s="43"/>
      <c r="H443" s="43"/>
      <c r="I443" s="43"/>
      <c r="J443" s="36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9.5" customHeight="1">
      <c r="A444" s="45"/>
      <c r="B444" s="46"/>
      <c r="C444" s="46"/>
      <c r="D444" s="46"/>
      <c r="E444" s="46"/>
      <c r="F444" s="54"/>
      <c r="G444" s="46"/>
      <c r="H444" s="46"/>
      <c r="I444" s="46"/>
      <c r="J444" s="36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9.5" customHeight="1">
      <c r="A445" s="42"/>
      <c r="B445" s="43"/>
      <c r="C445" s="43"/>
      <c r="D445" s="43"/>
      <c r="E445" s="43"/>
      <c r="F445" s="44"/>
      <c r="G445" s="43"/>
      <c r="H445" s="43"/>
      <c r="I445" s="43"/>
      <c r="J445" s="36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9.5" customHeight="1">
      <c r="A446" s="45"/>
      <c r="B446" s="46"/>
      <c r="C446" s="46"/>
      <c r="D446" s="46"/>
      <c r="E446" s="46"/>
      <c r="F446" s="54"/>
      <c r="G446" s="46"/>
      <c r="H446" s="46"/>
      <c r="I446" s="46"/>
      <c r="J446" s="36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9.5" customHeight="1">
      <c r="A447" s="42"/>
      <c r="B447" s="43"/>
      <c r="C447" s="43"/>
      <c r="D447" s="43"/>
      <c r="E447" s="43"/>
      <c r="F447" s="44"/>
      <c r="G447" s="43"/>
      <c r="H447" s="43"/>
      <c r="I447" s="43"/>
      <c r="J447" s="36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9.5" customHeight="1">
      <c r="A448" s="45"/>
      <c r="B448" s="46"/>
      <c r="C448" s="46"/>
      <c r="D448" s="46"/>
      <c r="E448" s="46"/>
      <c r="F448" s="54"/>
      <c r="G448" s="46"/>
      <c r="H448" s="46"/>
      <c r="I448" s="46"/>
      <c r="J448" s="36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9.5" customHeight="1">
      <c r="A449" s="42"/>
      <c r="B449" s="43"/>
      <c r="C449" s="43"/>
      <c r="D449" s="43"/>
      <c r="E449" s="43"/>
      <c r="F449" s="44"/>
      <c r="G449" s="43"/>
      <c r="H449" s="43"/>
      <c r="I449" s="43"/>
      <c r="J449" s="36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9.5" customHeight="1">
      <c r="A450" s="45"/>
      <c r="B450" s="46"/>
      <c r="C450" s="46"/>
      <c r="D450" s="46"/>
      <c r="E450" s="46"/>
      <c r="F450" s="54"/>
      <c r="G450" s="46"/>
      <c r="H450" s="46"/>
      <c r="I450" s="46"/>
      <c r="J450" s="36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9.5" customHeight="1">
      <c r="A451" s="42"/>
      <c r="B451" s="43"/>
      <c r="C451" s="43"/>
      <c r="D451" s="43"/>
      <c r="E451" s="43"/>
      <c r="F451" s="44"/>
      <c r="G451" s="43"/>
      <c r="H451" s="43"/>
      <c r="I451" s="43"/>
      <c r="J451" s="36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9.5" customHeight="1">
      <c r="A452" s="45"/>
      <c r="B452" s="46"/>
      <c r="C452" s="46"/>
      <c r="D452" s="46"/>
      <c r="E452" s="46"/>
      <c r="F452" s="54"/>
      <c r="G452" s="46"/>
      <c r="H452" s="46"/>
      <c r="I452" s="46"/>
      <c r="J452" s="36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9.5" customHeight="1">
      <c r="A453" s="42"/>
      <c r="B453" s="43"/>
      <c r="C453" s="43"/>
      <c r="D453" s="43"/>
      <c r="E453" s="43"/>
      <c r="F453" s="44"/>
      <c r="G453" s="43"/>
      <c r="H453" s="43"/>
      <c r="I453" s="43"/>
      <c r="J453" s="36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9.5" customHeight="1">
      <c r="A454" s="45"/>
      <c r="B454" s="46"/>
      <c r="C454" s="46"/>
      <c r="D454" s="46"/>
      <c r="E454" s="46"/>
      <c r="F454" s="54"/>
      <c r="G454" s="46"/>
      <c r="H454" s="46"/>
      <c r="I454" s="46"/>
      <c r="J454" s="36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9.5" customHeight="1">
      <c r="A455" s="42"/>
      <c r="B455" s="43"/>
      <c r="C455" s="43"/>
      <c r="D455" s="43"/>
      <c r="E455" s="43"/>
      <c r="F455" s="44"/>
      <c r="G455" s="43"/>
      <c r="H455" s="43"/>
      <c r="I455" s="43"/>
      <c r="J455" s="36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9.5" customHeight="1">
      <c r="A456" s="45"/>
      <c r="B456" s="46"/>
      <c r="C456" s="46"/>
      <c r="D456" s="46"/>
      <c r="E456" s="46"/>
      <c r="F456" s="54"/>
      <c r="G456" s="46"/>
      <c r="H456" s="46"/>
      <c r="I456" s="46"/>
      <c r="J456" s="36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9.5" customHeight="1">
      <c r="A457" s="42"/>
      <c r="B457" s="43"/>
      <c r="C457" s="43"/>
      <c r="D457" s="43"/>
      <c r="E457" s="43"/>
      <c r="F457" s="44"/>
      <c r="G457" s="43"/>
      <c r="H457" s="43"/>
      <c r="I457" s="43"/>
      <c r="J457" s="36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9.5" customHeight="1">
      <c r="A458" s="45"/>
      <c r="B458" s="46"/>
      <c r="C458" s="46"/>
      <c r="D458" s="46"/>
      <c r="E458" s="46"/>
      <c r="F458" s="54"/>
      <c r="G458" s="46"/>
      <c r="H458" s="46"/>
      <c r="I458" s="46"/>
      <c r="J458" s="36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9.5" customHeight="1">
      <c r="A459" s="42"/>
      <c r="B459" s="43"/>
      <c r="C459" s="43"/>
      <c r="D459" s="43"/>
      <c r="E459" s="43"/>
      <c r="F459" s="44"/>
      <c r="G459" s="43"/>
      <c r="H459" s="43"/>
      <c r="I459" s="43"/>
      <c r="J459" s="36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9.5" customHeight="1">
      <c r="A460" s="45"/>
      <c r="B460" s="46"/>
      <c r="C460" s="46"/>
      <c r="D460" s="46"/>
      <c r="E460" s="46"/>
      <c r="F460" s="54"/>
      <c r="G460" s="46"/>
      <c r="H460" s="46"/>
      <c r="I460" s="46"/>
      <c r="J460" s="36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9.5" customHeight="1">
      <c r="A461" s="42"/>
      <c r="B461" s="43"/>
      <c r="C461" s="43"/>
      <c r="D461" s="43"/>
      <c r="E461" s="43"/>
      <c r="F461" s="44"/>
      <c r="G461" s="43"/>
      <c r="H461" s="43"/>
      <c r="I461" s="43"/>
      <c r="J461" s="36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9.5" customHeight="1">
      <c r="A462" s="45"/>
      <c r="B462" s="46"/>
      <c r="C462" s="46"/>
      <c r="D462" s="46"/>
      <c r="E462" s="46"/>
      <c r="F462" s="54"/>
      <c r="G462" s="46"/>
      <c r="H462" s="46"/>
      <c r="I462" s="46"/>
      <c r="J462" s="36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9.5" customHeight="1">
      <c r="A463" s="42"/>
      <c r="B463" s="43"/>
      <c r="C463" s="43"/>
      <c r="D463" s="43"/>
      <c r="E463" s="43"/>
      <c r="F463" s="44"/>
      <c r="G463" s="43"/>
      <c r="H463" s="43"/>
      <c r="I463" s="43"/>
      <c r="J463" s="36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9.5" customHeight="1">
      <c r="A464" s="45"/>
      <c r="B464" s="46"/>
      <c r="C464" s="46"/>
      <c r="D464" s="46"/>
      <c r="E464" s="46"/>
      <c r="F464" s="54"/>
      <c r="G464" s="46"/>
      <c r="H464" s="46"/>
      <c r="I464" s="46"/>
      <c r="J464" s="36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9.5" customHeight="1">
      <c r="A465" s="42"/>
      <c r="B465" s="43"/>
      <c r="C465" s="43"/>
      <c r="D465" s="43"/>
      <c r="E465" s="43"/>
      <c r="F465" s="44"/>
      <c r="G465" s="43"/>
      <c r="H465" s="43"/>
      <c r="I465" s="43"/>
      <c r="J465" s="36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9.5" customHeight="1">
      <c r="A466" s="45"/>
      <c r="B466" s="46"/>
      <c r="C466" s="46"/>
      <c r="D466" s="46"/>
      <c r="E466" s="46"/>
      <c r="F466" s="54"/>
      <c r="G466" s="46"/>
      <c r="H466" s="46"/>
      <c r="I466" s="46"/>
      <c r="J466" s="36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9.5" customHeight="1">
      <c r="A467" s="42"/>
      <c r="B467" s="43"/>
      <c r="C467" s="43"/>
      <c r="D467" s="43"/>
      <c r="E467" s="43"/>
      <c r="F467" s="44"/>
      <c r="G467" s="43"/>
      <c r="H467" s="43"/>
      <c r="I467" s="43"/>
      <c r="J467" s="36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9.5" customHeight="1">
      <c r="A468" s="45"/>
      <c r="B468" s="46"/>
      <c r="C468" s="46"/>
      <c r="D468" s="46"/>
      <c r="E468" s="46"/>
      <c r="F468" s="54"/>
      <c r="G468" s="46"/>
      <c r="H468" s="46"/>
      <c r="I468" s="46"/>
      <c r="J468" s="36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9.5" customHeight="1">
      <c r="A469" s="42"/>
      <c r="B469" s="43"/>
      <c r="C469" s="43"/>
      <c r="D469" s="43"/>
      <c r="E469" s="43"/>
      <c r="F469" s="44"/>
      <c r="G469" s="43"/>
      <c r="H469" s="43"/>
      <c r="I469" s="43"/>
      <c r="J469" s="36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9.5" customHeight="1">
      <c r="A470" s="45"/>
      <c r="B470" s="46"/>
      <c r="C470" s="46"/>
      <c r="D470" s="46"/>
      <c r="E470" s="46"/>
      <c r="F470" s="54"/>
      <c r="G470" s="46"/>
      <c r="H470" s="46"/>
      <c r="I470" s="46"/>
      <c r="J470" s="36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9.5" customHeight="1">
      <c r="A471" s="42"/>
      <c r="B471" s="43"/>
      <c r="C471" s="43"/>
      <c r="D471" s="43"/>
      <c r="E471" s="43"/>
      <c r="F471" s="44"/>
      <c r="G471" s="43"/>
      <c r="H471" s="43"/>
      <c r="I471" s="43"/>
      <c r="J471" s="36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9.5" customHeight="1">
      <c r="A472" s="45"/>
      <c r="B472" s="46"/>
      <c r="C472" s="46"/>
      <c r="D472" s="46"/>
      <c r="E472" s="46"/>
      <c r="F472" s="54"/>
      <c r="G472" s="46"/>
      <c r="H472" s="46"/>
      <c r="I472" s="46"/>
      <c r="J472" s="36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9.5" customHeight="1">
      <c r="A473" s="42"/>
      <c r="B473" s="43"/>
      <c r="C473" s="43"/>
      <c r="D473" s="43"/>
      <c r="E473" s="43"/>
      <c r="F473" s="44"/>
      <c r="G473" s="43"/>
      <c r="H473" s="43"/>
      <c r="I473" s="43"/>
      <c r="J473" s="36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9.5" customHeight="1">
      <c r="A474" s="45"/>
      <c r="B474" s="46"/>
      <c r="C474" s="46"/>
      <c r="D474" s="46"/>
      <c r="E474" s="46"/>
      <c r="F474" s="54"/>
      <c r="G474" s="46"/>
      <c r="H474" s="46"/>
      <c r="I474" s="46"/>
      <c r="J474" s="36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9.5" customHeight="1">
      <c r="A475" s="42"/>
      <c r="B475" s="43"/>
      <c r="C475" s="43"/>
      <c r="D475" s="43"/>
      <c r="E475" s="43"/>
      <c r="F475" s="44"/>
      <c r="G475" s="43"/>
      <c r="H475" s="43"/>
      <c r="I475" s="43"/>
      <c r="J475" s="36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9.5" customHeight="1">
      <c r="A476" s="45"/>
      <c r="B476" s="46"/>
      <c r="C476" s="46"/>
      <c r="D476" s="46"/>
      <c r="E476" s="46"/>
      <c r="F476" s="54"/>
      <c r="G476" s="46"/>
      <c r="H476" s="46"/>
      <c r="I476" s="46"/>
      <c r="J476" s="36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9.5" customHeight="1">
      <c r="A477" s="42"/>
      <c r="B477" s="43"/>
      <c r="C477" s="43"/>
      <c r="D477" s="43"/>
      <c r="E477" s="43"/>
      <c r="F477" s="44"/>
      <c r="G477" s="43"/>
      <c r="H477" s="43"/>
      <c r="I477" s="43"/>
      <c r="J477" s="36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9.5" customHeight="1">
      <c r="A478" s="45"/>
      <c r="B478" s="46"/>
      <c r="C478" s="46"/>
      <c r="D478" s="46"/>
      <c r="E478" s="46"/>
      <c r="F478" s="54"/>
      <c r="G478" s="46"/>
      <c r="H478" s="46"/>
      <c r="I478" s="46"/>
      <c r="J478" s="36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9.5" customHeight="1">
      <c r="A479" s="42"/>
      <c r="B479" s="43"/>
      <c r="C479" s="43"/>
      <c r="D479" s="43"/>
      <c r="E479" s="43"/>
      <c r="F479" s="44"/>
      <c r="G479" s="43"/>
      <c r="H479" s="43"/>
      <c r="I479" s="43"/>
      <c r="J479" s="36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9.5" customHeight="1">
      <c r="A480" s="45"/>
      <c r="B480" s="46"/>
      <c r="C480" s="46"/>
      <c r="D480" s="46"/>
      <c r="E480" s="46"/>
      <c r="F480" s="54"/>
      <c r="G480" s="46"/>
      <c r="H480" s="46"/>
      <c r="I480" s="46"/>
      <c r="J480" s="36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9.5" customHeight="1">
      <c r="A481" s="42"/>
      <c r="B481" s="43"/>
      <c r="C481" s="43"/>
      <c r="D481" s="43"/>
      <c r="E481" s="43"/>
      <c r="F481" s="44"/>
      <c r="G481" s="43"/>
      <c r="H481" s="43"/>
      <c r="I481" s="43"/>
      <c r="J481" s="36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9.5" customHeight="1">
      <c r="A482" s="45"/>
      <c r="B482" s="46"/>
      <c r="C482" s="46"/>
      <c r="D482" s="46"/>
      <c r="E482" s="46"/>
      <c r="F482" s="54"/>
      <c r="G482" s="46"/>
      <c r="H482" s="46"/>
      <c r="I482" s="46"/>
      <c r="J482" s="36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9.5" customHeight="1">
      <c r="A483" s="42"/>
      <c r="B483" s="43"/>
      <c r="C483" s="43"/>
      <c r="D483" s="43"/>
      <c r="E483" s="43"/>
      <c r="F483" s="44"/>
      <c r="G483" s="43"/>
      <c r="H483" s="43"/>
      <c r="I483" s="43"/>
      <c r="J483" s="36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9.5" customHeight="1">
      <c r="A484" s="45"/>
      <c r="B484" s="46"/>
      <c r="C484" s="46"/>
      <c r="D484" s="46"/>
      <c r="E484" s="46"/>
      <c r="F484" s="54"/>
      <c r="G484" s="46"/>
      <c r="H484" s="46"/>
      <c r="I484" s="46"/>
      <c r="J484" s="36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9.5" customHeight="1">
      <c r="A485" s="42"/>
      <c r="B485" s="43"/>
      <c r="C485" s="43"/>
      <c r="D485" s="43"/>
      <c r="E485" s="43"/>
      <c r="F485" s="44"/>
      <c r="G485" s="43"/>
      <c r="H485" s="43"/>
      <c r="I485" s="43"/>
      <c r="J485" s="36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9.5" customHeight="1">
      <c r="A486" s="45"/>
      <c r="B486" s="46"/>
      <c r="C486" s="46"/>
      <c r="D486" s="46"/>
      <c r="E486" s="46"/>
      <c r="F486" s="54"/>
      <c r="G486" s="46"/>
      <c r="H486" s="46"/>
      <c r="I486" s="46"/>
      <c r="J486" s="36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9.5" customHeight="1">
      <c r="A487" s="42"/>
      <c r="B487" s="43"/>
      <c r="C487" s="43"/>
      <c r="D487" s="43"/>
      <c r="E487" s="43"/>
      <c r="F487" s="44"/>
      <c r="G487" s="43"/>
      <c r="H487" s="43"/>
      <c r="I487" s="43"/>
      <c r="J487" s="36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9.5" customHeight="1">
      <c r="A488" s="45"/>
      <c r="B488" s="46"/>
      <c r="C488" s="46"/>
      <c r="D488" s="46"/>
      <c r="E488" s="46"/>
      <c r="F488" s="54"/>
      <c r="G488" s="46"/>
      <c r="H488" s="46"/>
      <c r="I488" s="46"/>
      <c r="J488" s="36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9.5" customHeight="1">
      <c r="A489" s="42"/>
      <c r="B489" s="43"/>
      <c r="C489" s="43"/>
      <c r="D489" s="43"/>
      <c r="E489" s="43"/>
      <c r="F489" s="44"/>
      <c r="G489" s="43"/>
      <c r="H489" s="43"/>
      <c r="I489" s="43"/>
      <c r="J489" s="36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9.5" customHeight="1">
      <c r="A490" s="45"/>
      <c r="B490" s="46"/>
      <c r="C490" s="46"/>
      <c r="D490" s="46"/>
      <c r="E490" s="46"/>
      <c r="F490" s="54"/>
      <c r="G490" s="46"/>
      <c r="H490" s="46"/>
      <c r="I490" s="46"/>
      <c r="J490" s="36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9.5" customHeight="1">
      <c r="A491" s="42"/>
      <c r="B491" s="43"/>
      <c r="C491" s="43"/>
      <c r="D491" s="43"/>
      <c r="E491" s="43"/>
      <c r="F491" s="44"/>
      <c r="G491" s="43"/>
      <c r="H491" s="43"/>
      <c r="I491" s="43"/>
      <c r="J491" s="36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9.5" customHeight="1">
      <c r="A492" s="45"/>
      <c r="B492" s="46"/>
      <c r="C492" s="46"/>
      <c r="D492" s="46"/>
      <c r="E492" s="46"/>
      <c r="F492" s="54"/>
      <c r="G492" s="46"/>
      <c r="H492" s="46"/>
      <c r="I492" s="46"/>
      <c r="J492" s="36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9.5" customHeight="1">
      <c r="A493" s="42"/>
      <c r="B493" s="43"/>
      <c r="C493" s="43"/>
      <c r="D493" s="43"/>
      <c r="E493" s="43"/>
      <c r="F493" s="44"/>
      <c r="G493" s="43"/>
      <c r="H493" s="43"/>
      <c r="I493" s="43"/>
      <c r="J493" s="36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9.5" customHeight="1">
      <c r="A494" s="45"/>
      <c r="B494" s="46"/>
      <c r="C494" s="46"/>
      <c r="D494" s="46"/>
      <c r="E494" s="46"/>
      <c r="F494" s="54"/>
      <c r="G494" s="46"/>
      <c r="H494" s="46"/>
      <c r="I494" s="46"/>
      <c r="J494" s="36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9.5" customHeight="1">
      <c r="A495" s="42"/>
      <c r="B495" s="43"/>
      <c r="C495" s="43"/>
      <c r="D495" s="43"/>
      <c r="E495" s="43"/>
      <c r="F495" s="44"/>
      <c r="G495" s="43"/>
      <c r="H495" s="43"/>
      <c r="I495" s="43"/>
      <c r="J495" s="36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9.5" customHeight="1">
      <c r="A496" s="45"/>
      <c r="B496" s="46"/>
      <c r="C496" s="46"/>
      <c r="D496" s="46"/>
      <c r="E496" s="46"/>
      <c r="F496" s="54"/>
      <c r="G496" s="46"/>
      <c r="H496" s="46"/>
      <c r="I496" s="46"/>
      <c r="J496" s="36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9.5" customHeight="1">
      <c r="A497" s="42"/>
      <c r="B497" s="43"/>
      <c r="C497" s="43"/>
      <c r="D497" s="43"/>
      <c r="E497" s="43"/>
      <c r="F497" s="44"/>
      <c r="G497" s="43"/>
      <c r="H497" s="43"/>
      <c r="I497" s="43"/>
      <c r="J497" s="36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9.5" customHeight="1">
      <c r="A498" s="45"/>
      <c r="B498" s="46"/>
      <c r="C498" s="46"/>
      <c r="D498" s="46"/>
      <c r="E498" s="46"/>
      <c r="F498" s="54"/>
      <c r="G498" s="46"/>
      <c r="H498" s="46"/>
      <c r="I498" s="46"/>
      <c r="J498" s="36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9.5" customHeight="1">
      <c r="A499" s="42"/>
      <c r="B499" s="43"/>
      <c r="C499" s="43"/>
      <c r="D499" s="43"/>
      <c r="E499" s="43"/>
      <c r="F499" s="44"/>
      <c r="G499" s="43"/>
      <c r="H499" s="43"/>
      <c r="I499" s="43"/>
      <c r="J499" s="36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9.5" customHeight="1">
      <c r="A500" s="45"/>
      <c r="B500" s="46"/>
      <c r="C500" s="46"/>
      <c r="D500" s="46"/>
      <c r="E500" s="46"/>
      <c r="F500" s="54"/>
      <c r="G500" s="46"/>
      <c r="H500" s="46"/>
      <c r="I500" s="46"/>
      <c r="J500" s="36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9.5" customHeight="1">
      <c r="A501" s="42"/>
      <c r="B501" s="43"/>
      <c r="C501" s="43"/>
      <c r="D501" s="43"/>
      <c r="E501" s="43"/>
      <c r="F501" s="44"/>
      <c r="G501" s="43"/>
      <c r="H501" s="43"/>
      <c r="I501" s="43"/>
      <c r="J501" s="36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9.5" customHeight="1">
      <c r="A502" s="45"/>
      <c r="B502" s="46"/>
      <c r="C502" s="46"/>
      <c r="D502" s="46"/>
      <c r="E502" s="46"/>
      <c r="F502" s="54"/>
      <c r="G502" s="46"/>
      <c r="H502" s="46"/>
      <c r="I502" s="46"/>
      <c r="J502" s="36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9.5" customHeight="1">
      <c r="A503" s="42"/>
      <c r="B503" s="43"/>
      <c r="C503" s="43"/>
      <c r="D503" s="43"/>
      <c r="E503" s="43"/>
      <c r="F503" s="44"/>
      <c r="G503" s="43"/>
      <c r="H503" s="43"/>
      <c r="I503" s="43"/>
      <c r="J503" s="36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9.5" customHeight="1">
      <c r="A504" s="45"/>
      <c r="B504" s="46"/>
      <c r="C504" s="46"/>
      <c r="D504" s="46"/>
      <c r="E504" s="46"/>
      <c r="F504" s="54"/>
      <c r="G504" s="46"/>
      <c r="H504" s="46"/>
      <c r="I504" s="46"/>
      <c r="J504" s="36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9.5" customHeight="1">
      <c r="A505" s="42"/>
      <c r="B505" s="43"/>
      <c r="C505" s="43"/>
      <c r="D505" s="43"/>
      <c r="E505" s="43"/>
      <c r="F505" s="44"/>
      <c r="G505" s="43"/>
      <c r="H505" s="43"/>
      <c r="I505" s="43"/>
      <c r="J505" s="36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9.5" customHeight="1">
      <c r="A506" s="45"/>
      <c r="B506" s="46"/>
      <c r="C506" s="46"/>
      <c r="D506" s="46"/>
      <c r="E506" s="46"/>
      <c r="F506" s="54"/>
      <c r="G506" s="46"/>
      <c r="H506" s="46"/>
      <c r="I506" s="46"/>
      <c r="J506" s="36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9.5" customHeight="1">
      <c r="A507" s="42"/>
      <c r="B507" s="43"/>
      <c r="C507" s="43"/>
      <c r="D507" s="43"/>
      <c r="E507" s="43"/>
      <c r="F507" s="44"/>
      <c r="G507" s="43"/>
      <c r="H507" s="43"/>
      <c r="I507" s="43"/>
      <c r="J507" s="36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9.5" customHeight="1">
      <c r="A508" s="45"/>
      <c r="B508" s="46"/>
      <c r="C508" s="46"/>
      <c r="D508" s="46"/>
      <c r="E508" s="46"/>
      <c r="F508" s="54"/>
      <c r="G508" s="46"/>
      <c r="H508" s="46"/>
      <c r="I508" s="46"/>
      <c r="J508" s="36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9.5" customHeight="1">
      <c r="A509" s="42"/>
      <c r="B509" s="43"/>
      <c r="C509" s="43"/>
      <c r="D509" s="43"/>
      <c r="E509" s="43"/>
      <c r="F509" s="44"/>
      <c r="G509" s="43"/>
      <c r="H509" s="43"/>
      <c r="I509" s="43"/>
      <c r="J509" s="36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9.5" customHeight="1">
      <c r="A510" s="45"/>
      <c r="B510" s="46"/>
      <c r="C510" s="46"/>
      <c r="D510" s="46"/>
      <c r="E510" s="46"/>
      <c r="F510" s="54"/>
      <c r="G510" s="46"/>
      <c r="H510" s="46"/>
      <c r="I510" s="46"/>
      <c r="J510" s="36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9.5" customHeight="1">
      <c r="A511" s="42"/>
      <c r="B511" s="43"/>
      <c r="C511" s="43"/>
      <c r="D511" s="43"/>
      <c r="E511" s="43"/>
      <c r="F511" s="44"/>
      <c r="G511" s="43"/>
      <c r="H511" s="43"/>
      <c r="I511" s="43"/>
      <c r="J511" s="36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9.5" customHeight="1">
      <c r="A512" s="45"/>
      <c r="B512" s="46"/>
      <c r="C512" s="46"/>
      <c r="D512" s="46"/>
      <c r="E512" s="46"/>
      <c r="F512" s="54"/>
      <c r="G512" s="46"/>
      <c r="H512" s="46"/>
      <c r="I512" s="46"/>
      <c r="J512" s="36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9.5" customHeight="1">
      <c r="A513" s="42"/>
      <c r="B513" s="43"/>
      <c r="C513" s="43"/>
      <c r="D513" s="43"/>
      <c r="E513" s="43"/>
      <c r="F513" s="44"/>
      <c r="G513" s="43"/>
      <c r="H513" s="43"/>
      <c r="I513" s="43"/>
      <c r="J513" s="36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9.5" customHeight="1">
      <c r="A514" s="45"/>
      <c r="B514" s="46"/>
      <c r="C514" s="46"/>
      <c r="D514" s="46"/>
      <c r="E514" s="46"/>
      <c r="F514" s="54"/>
      <c r="G514" s="46"/>
      <c r="H514" s="46"/>
      <c r="I514" s="46"/>
      <c r="J514" s="36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9.5" customHeight="1">
      <c r="A515" s="42"/>
      <c r="B515" s="43"/>
      <c r="C515" s="43"/>
      <c r="D515" s="43"/>
      <c r="E515" s="43"/>
      <c r="F515" s="44"/>
      <c r="G515" s="43"/>
      <c r="H515" s="43"/>
      <c r="I515" s="43"/>
      <c r="J515" s="36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9.5" customHeight="1">
      <c r="A516" s="45"/>
      <c r="B516" s="46"/>
      <c r="C516" s="46"/>
      <c r="D516" s="46"/>
      <c r="E516" s="46"/>
      <c r="F516" s="54"/>
      <c r="G516" s="46"/>
      <c r="H516" s="46"/>
      <c r="I516" s="46"/>
      <c r="J516" s="36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9.5" customHeight="1">
      <c r="A517" s="42"/>
      <c r="B517" s="43"/>
      <c r="C517" s="43"/>
      <c r="D517" s="43"/>
      <c r="E517" s="43"/>
      <c r="F517" s="44"/>
      <c r="G517" s="43"/>
      <c r="H517" s="43"/>
      <c r="I517" s="43"/>
      <c r="J517" s="36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9.5" customHeight="1">
      <c r="A518" s="45"/>
      <c r="B518" s="46"/>
      <c r="C518" s="46"/>
      <c r="D518" s="46"/>
      <c r="E518" s="46"/>
      <c r="F518" s="54"/>
      <c r="G518" s="46"/>
      <c r="H518" s="46"/>
      <c r="I518" s="46"/>
      <c r="J518" s="36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9.5" customHeight="1">
      <c r="A519" s="42"/>
      <c r="B519" s="43"/>
      <c r="C519" s="43"/>
      <c r="D519" s="43"/>
      <c r="E519" s="43"/>
      <c r="F519" s="44"/>
      <c r="G519" s="43"/>
      <c r="H519" s="43"/>
      <c r="I519" s="43"/>
      <c r="J519" s="36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9.5" customHeight="1">
      <c r="A520" s="45"/>
      <c r="B520" s="46"/>
      <c r="C520" s="46"/>
      <c r="D520" s="46"/>
      <c r="E520" s="46"/>
      <c r="F520" s="54"/>
      <c r="G520" s="46"/>
      <c r="H520" s="46"/>
      <c r="I520" s="46"/>
      <c r="J520" s="36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9.5" customHeight="1">
      <c r="A521" s="42"/>
      <c r="B521" s="43"/>
      <c r="C521" s="43"/>
      <c r="D521" s="43"/>
      <c r="E521" s="43"/>
      <c r="F521" s="44"/>
      <c r="G521" s="43"/>
      <c r="H521" s="43"/>
      <c r="I521" s="43"/>
      <c r="J521" s="36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9.5" customHeight="1">
      <c r="A522" s="45"/>
      <c r="B522" s="46"/>
      <c r="C522" s="46"/>
      <c r="D522" s="46"/>
      <c r="E522" s="46"/>
      <c r="F522" s="54"/>
      <c r="G522" s="46"/>
      <c r="H522" s="46"/>
      <c r="I522" s="46"/>
      <c r="J522" s="36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9.5" customHeight="1">
      <c r="A523" s="42"/>
      <c r="B523" s="43"/>
      <c r="C523" s="43"/>
      <c r="D523" s="43"/>
      <c r="E523" s="43"/>
      <c r="F523" s="44"/>
      <c r="G523" s="43"/>
      <c r="H523" s="43"/>
      <c r="I523" s="43"/>
      <c r="J523" s="36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9.5" customHeight="1">
      <c r="A524" s="45"/>
      <c r="B524" s="46"/>
      <c r="C524" s="46"/>
      <c r="D524" s="46"/>
      <c r="E524" s="46"/>
      <c r="F524" s="54"/>
      <c r="G524" s="46"/>
      <c r="H524" s="46"/>
      <c r="I524" s="46"/>
      <c r="J524" s="36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9.5" customHeight="1">
      <c r="A525" s="42"/>
      <c r="B525" s="43"/>
      <c r="C525" s="43"/>
      <c r="D525" s="43"/>
      <c r="E525" s="43"/>
      <c r="F525" s="44"/>
      <c r="G525" s="43"/>
      <c r="H525" s="43"/>
      <c r="I525" s="43"/>
      <c r="J525" s="36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9.5" customHeight="1">
      <c r="A526" s="45"/>
      <c r="B526" s="46"/>
      <c r="C526" s="46"/>
      <c r="D526" s="46"/>
      <c r="E526" s="46"/>
      <c r="F526" s="54"/>
      <c r="G526" s="46"/>
      <c r="H526" s="46"/>
      <c r="I526" s="46"/>
      <c r="J526" s="36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9.5" customHeight="1">
      <c r="A527" s="42"/>
      <c r="B527" s="43"/>
      <c r="C527" s="43"/>
      <c r="D527" s="43"/>
      <c r="E527" s="43"/>
      <c r="F527" s="44"/>
      <c r="G527" s="43"/>
      <c r="H527" s="43"/>
      <c r="I527" s="43"/>
      <c r="J527" s="36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9.5" customHeight="1">
      <c r="A528" s="45"/>
      <c r="B528" s="46"/>
      <c r="C528" s="46"/>
      <c r="D528" s="46"/>
      <c r="E528" s="46"/>
      <c r="F528" s="54"/>
      <c r="G528" s="46"/>
      <c r="H528" s="46"/>
      <c r="I528" s="46"/>
      <c r="J528" s="36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9.5" customHeight="1">
      <c r="A529" s="42"/>
      <c r="B529" s="43"/>
      <c r="C529" s="43"/>
      <c r="D529" s="43"/>
      <c r="E529" s="43"/>
      <c r="F529" s="44"/>
      <c r="G529" s="43"/>
      <c r="H529" s="43"/>
      <c r="I529" s="43"/>
      <c r="J529" s="36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9.5" customHeight="1">
      <c r="A530" s="45"/>
      <c r="B530" s="46"/>
      <c r="C530" s="46"/>
      <c r="D530" s="46"/>
      <c r="E530" s="46"/>
      <c r="F530" s="54"/>
      <c r="G530" s="46"/>
      <c r="H530" s="46"/>
      <c r="I530" s="46"/>
      <c r="J530" s="36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9.5" customHeight="1">
      <c r="A531" s="42"/>
      <c r="B531" s="43"/>
      <c r="C531" s="43"/>
      <c r="D531" s="43"/>
      <c r="E531" s="43"/>
      <c r="F531" s="44"/>
      <c r="G531" s="43"/>
      <c r="H531" s="43"/>
      <c r="I531" s="43"/>
      <c r="J531" s="36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9.5" customHeight="1">
      <c r="A532" s="45"/>
      <c r="B532" s="46"/>
      <c r="C532" s="46"/>
      <c r="D532" s="46"/>
      <c r="E532" s="46"/>
      <c r="F532" s="54"/>
      <c r="G532" s="46"/>
      <c r="H532" s="46"/>
      <c r="I532" s="46"/>
      <c r="J532" s="36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9.5" customHeight="1">
      <c r="A533" s="42"/>
      <c r="B533" s="43"/>
      <c r="C533" s="43"/>
      <c r="D533" s="43"/>
      <c r="E533" s="43"/>
      <c r="F533" s="44"/>
      <c r="G533" s="43"/>
      <c r="H533" s="43"/>
      <c r="I533" s="43"/>
      <c r="J533" s="36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9.5" customHeight="1">
      <c r="A534" s="45"/>
      <c r="B534" s="46"/>
      <c r="C534" s="46"/>
      <c r="D534" s="46"/>
      <c r="E534" s="46"/>
      <c r="F534" s="54"/>
      <c r="G534" s="46"/>
      <c r="H534" s="46"/>
      <c r="I534" s="46"/>
      <c r="J534" s="36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9.5" customHeight="1">
      <c r="A535" s="42"/>
      <c r="B535" s="43"/>
      <c r="C535" s="43"/>
      <c r="D535" s="43"/>
      <c r="E535" s="43"/>
      <c r="F535" s="44"/>
      <c r="G535" s="43"/>
      <c r="H535" s="43"/>
      <c r="I535" s="43"/>
      <c r="J535" s="36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9.5" customHeight="1">
      <c r="A536" s="45"/>
      <c r="B536" s="46"/>
      <c r="C536" s="46"/>
      <c r="D536" s="46"/>
      <c r="E536" s="46"/>
      <c r="F536" s="54"/>
      <c r="G536" s="46"/>
      <c r="H536" s="46"/>
      <c r="I536" s="46"/>
      <c r="J536" s="36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9.5" customHeight="1">
      <c r="A537" s="42"/>
      <c r="B537" s="43"/>
      <c r="C537" s="43"/>
      <c r="D537" s="43"/>
      <c r="E537" s="43"/>
      <c r="F537" s="44"/>
      <c r="G537" s="43"/>
      <c r="H537" s="43"/>
      <c r="I537" s="43"/>
      <c r="J537" s="36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9.5" customHeight="1">
      <c r="A538" s="45"/>
      <c r="B538" s="46"/>
      <c r="C538" s="46"/>
      <c r="D538" s="46"/>
      <c r="E538" s="46"/>
      <c r="F538" s="54"/>
      <c r="G538" s="46"/>
      <c r="H538" s="46"/>
      <c r="I538" s="46"/>
      <c r="J538" s="36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9.5" customHeight="1">
      <c r="A539" s="42"/>
      <c r="B539" s="43"/>
      <c r="C539" s="43"/>
      <c r="D539" s="43"/>
      <c r="E539" s="43"/>
      <c r="F539" s="44"/>
      <c r="G539" s="43"/>
      <c r="H539" s="43"/>
      <c r="I539" s="43"/>
      <c r="J539" s="36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9.5" customHeight="1">
      <c r="A540" s="45"/>
      <c r="B540" s="46"/>
      <c r="C540" s="46"/>
      <c r="D540" s="46"/>
      <c r="E540" s="46"/>
      <c r="F540" s="54"/>
      <c r="G540" s="46"/>
      <c r="H540" s="46"/>
      <c r="I540" s="46"/>
      <c r="J540" s="36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9.5" customHeight="1">
      <c r="A541" s="42"/>
      <c r="B541" s="43"/>
      <c r="C541" s="43"/>
      <c r="D541" s="43"/>
      <c r="E541" s="43"/>
      <c r="F541" s="44"/>
      <c r="G541" s="43"/>
      <c r="H541" s="43"/>
      <c r="I541" s="43"/>
      <c r="J541" s="36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9.5" customHeight="1">
      <c r="A542" s="45"/>
      <c r="B542" s="46"/>
      <c r="C542" s="46"/>
      <c r="D542" s="46"/>
      <c r="E542" s="46"/>
      <c r="F542" s="54"/>
      <c r="G542" s="46"/>
      <c r="H542" s="46"/>
      <c r="I542" s="46"/>
      <c r="J542" s="36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9.5" customHeight="1">
      <c r="A543" s="42"/>
      <c r="B543" s="43"/>
      <c r="C543" s="43"/>
      <c r="D543" s="43"/>
      <c r="E543" s="43"/>
      <c r="F543" s="44"/>
      <c r="G543" s="43"/>
      <c r="H543" s="43"/>
      <c r="I543" s="43"/>
      <c r="J543" s="36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9.5" customHeight="1">
      <c r="A544" s="45"/>
      <c r="B544" s="46"/>
      <c r="C544" s="46"/>
      <c r="D544" s="46"/>
      <c r="E544" s="46"/>
      <c r="F544" s="54"/>
      <c r="G544" s="46"/>
      <c r="H544" s="46"/>
      <c r="I544" s="46"/>
      <c r="J544" s="36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9.5" customHeight="1">
      <c r="A545" s="42"/>
      <c r="B545" s="43"/>
      <c r="C545" s="43"/>
      <c r="D545" s="43"/>
      <c r="E545" s="43"/>
      <c r="F545" s="44"/>
      <c r="G545" s="43"/>
      <c r="H545" s="43"/>
      <c r="I545" s="43"/>
      <c r="J545" s="36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9.5" customHeight="1">
      <c r="A546" s="45"/>
      <c r="B546" s="46"/>
      <c r="C546" s="46"/>
      <c r="D546" s="46"/>
      <c r="E546" s="46"/>
      <c r="F546" s="54"/>
      <c r="G546" s="46"/>
      <c r="H546" s="46"/>
      <c r="I546" s="46"/>
      <c r="J546" s="36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9.5" customHeight="1">
      <c r="A547" s="42"/>
      <c r="B547" s="43"/>
      <c r="C547" s="43"/>
      <c r="D547" s="43"/>
      <c r="E547" s="43"/>
      <c r="F547" s="44"/>
      <c r="G547" s="43"/>
      <c r="H547" s="43"/>
      <c r="I547" s="43"/>
      <c r="J547" s="36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9.5" customHeight="1">
      <c r="A548" s="45"/>
      <c r="B548" s="46"/>
      <c r="C548" s="46"/>
      <c r="D548" s="46"/>
      <c r="E548" s="46"/>
      <c r="F548" s="54"/>
      <c r="G548" s="46"/>
      <c r="H548" s="46"/>
      <c r="I548" s="46"/>
      <c r="J548" s="36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9.5" customHeight="1">
      <c r="A549" s="42"/>
      <c r="B549" s="43"/>
      <c r="C549" s="43"/>
      <c r="D549" s="43"/>
      <c r="E549" s="43"/>
      <c r="F549" s="44"/>
      <c r="G549" s="43"/>
      <c r="H549" s="43"/>
      <c r="I549" s="43"/>
      <c r="J549" s="36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9.5" customHeight="1">
      <c r="A550" s="45"/>
      <c r="B550" s="46"/>
      <c r="C550" s="46"/>
      <c r="D550" s="46"/>
      <c r="E550" s="46"/>
      <c r="F550" s="54"/>
      <c r="G550" s="46"/>
      <c r="H550" s="46"/>
      <c r="I550" s="46"/>
      <c r="J550" s="36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9.5" customHeight="1">
      <c r="A551" s="42"/>
      <c r="B551" s="43"/>
      <c r="C551" s="43"/>
      <c r="D551" s="43"/>
      <c r="E551" s="43"/>
      <c r="F551" s="44"/>
      <c r="G551" s="43"/>
      <c r="H551" s="43"/>
      <c r="I551" s="43"/>
      <c r="J551" s="36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9.5" customHeight="1">
      <c r="A552" s="45"/>
      <c r="B552" s="46"/>
      <c r="C552" s="46"/>
      <c r="D552" s="46"/>
      <c r="E552" s="46"/>
      <c r="F552" s="54"/>
      <c r="G552" s="46"/>
      <c r="H552" s="46"/>
      <c r="I552" s="46"/>
      <c r="J552" s="36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9.5" customHeight="1">
      <c r="A553" s="42"/>
      <c r="B553" s="43"/>
      <c r="C553" s="43"/>
      <c r="D553" s="43"/>
      <c r="E553" s="43"/>
      <c r="F553" s="44"/>
      <c r="G553" s="43"/>
      <c r="H553" s="43"/>
      <c r="I553" s="43"/>
      <c r="J553" s="36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9.5" customHeight="1">
      <c r="A554" s="45"/>
      <c r="B554" s="46"/>
      <c r="C554" s="46"/>
      <c r="D554" s="46"/>
      <c r="E554" s="46"/>
      <c r="F554" s="54"/>
      <c r="G554" s="46"/>
      <c r="H554" s="46"/>
      <c r="I554" s="46"/>
      <c r="J554" s="36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9.5" customHeight="1">
      <c r="A555" s="42"/>
      <c r="B555" s="43"/>
      <c r="C555" s="43"/>
      <c r="D555" s="43"/>
      <c r="E555" s="43"/>
      <c r="F555" s="44"/>
      <c r="G555" s="43"/>
      <c r="H555" s="43"/>
      <c r="I555" s="43"/>
      <c r="J555" s="36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9.5" customHeight="1">
      <c r="A556" s="45"/>
      <c r="B556" s="46"/>
      <c r="C556" s="46"/>
      <c r="D556" s="46"/>
      <c r="E556" s="46"/>
      <c r="F556" s="54"/>
      <c r="G556" s="46"/>
      <c r="H556" s="46"/>
      <c r="I556" s="46"/>
      <c r="J556" s="36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9.5" customHeight="1">
      <c r="A557" s="42"/>
      <c r="B557" s="43"/>
      <c r="C557" s="43"/>
      <c r="D557" s="43"/>
      <c r="E557" s="43"/>
      <c r="F557" s="44"/>
      <c r="G557" s="43"/>
      <c r="H557" s="43"/>
      <c r="I557" s="43"/>
      <c r="J557" s="36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9.5" customHeight="1">
      <c r="A558" s="45"/>
      <c r="B558" s="46"/>
      <c r="C558" s="46"/>
      <c r="D558" s="46"/>
      <c r="E558" s="46"/>
      <c r="F558" s="54"/>
      <c r="G558" s="46"/>
      <c r="H558" s="46"/>
      <c r="I558" s="46"/>
      <c r="J558" s="36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9.5" customHeight="1">
      <c r="A559" s="42"/>
      <c r="B559" s="43"/>
      <c r="C559" s="43"/>
      <c r="D559" s="43"/>
      <c r="E559" s="43"/>
      <c r="F559" s="44"/>
      <c r="G559" s="43"/>
      <c r="H559" s="43"/>
      <c r="I559" s="43"/>
      <c r="J559" s="36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9.5" customHeight="1">
      <c r="A560" s="45"/>
      <c r="B560" s="46"/>
      <c r="C560" s="46"/>
      <c r="D560" s="46"/>
      <c r="E560" s="46"/>
      <c r="F560" s="54"/>
      <c r="G560" s="46"/>
      <c r="H560" s="46"/>
      <c r="I560" s="46"/>
      <c r="J560" s="36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9.5" customHeight="1">
      <c r="A561" s="42"/>
      <c r="B561" s="43"/>
      <c r="C561" s="43"/>
      <c r="D561" s="43"/>
      <c r="E561" s="43"/>
      <c r="F561" s="44"/>
      <c r="G561" s="43"/>
      <c r="H561" s="43"/>
      <c r="I561" s="43"/>
      <c r="J561" s="36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9.5" customHeight="1">
      <c r="A562" s="45"/>
      <c r="B562" s="46"/>
      <c r="C562" s="46"/>
      <c r="D562" s="46"/>
      <c r="E562" s="46"/>
      <c r="F562" s="54"/>
      <c r="G562" s="46"/>
      <c r="H562" s="46"/>
      <c r="I562" s="46"/>
      <c r="J562" s="36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9.5" customHeight="1">
      <c r="A563" s="42"/>
      <c r="B563" s="43"/>
      <c r="C563" s="43"/>
      <c r="D563" s="43"/>
      <c r="E563" s="43"/>
      <c r="F563" s="44"/>
      <c r="G563" s="43"/>
      <c r="H563" s="43"/>
      <c r="I563" s="43"/>
      <c r="J563" s="36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9.5" customHeight="1">
      <c r="A564" s="45"/>
      <c r="B564" s="46"/>
      <c r="C564" s="46"/>
      <c r="D564" s="46"/>
      <c r="E564" s="46"/>
      <c r="F564" s="54"/>
      <c r="G564" s="46"/>
      <c r="H564" s="46"/>
      <c r="I564" s="46"/>
      <c r="J564" s="36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9.5" customHeight="1">
      <c r="A565" s="42"/>
      <c r="B565" s="43"/>
      <c r="C565" s="43"/>
      <c r="D565" s="43"/>
      <c r="E565" s="43"/>
      <c r="F565" s="44"/>
      <c r="G565" s="43"/>
      <c r="H565" s="43"/>
      <c r="I565" s="43"/>
      <c r="J565" s="36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9.5" customHeight="1">
      <c r="A566" s="45"/>
      <c r="B566" s="46"/>
      <c r="C566" s="46"/>
      <c r="D566" s="46"/>
      <c r="E566" s="46"/>
      <c r="F566" s="54"/>
      <c r="G566" s="46"/>
      <c r="H566" s="46"/>
      <c r="I566" s="46"/>
      <c r="J566" s="36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9.5" customHeight="1">
      <c r="A567" s="42"/>
      <c r="B567" s="43"/>
      <c r="C567" s="43"/>
      <c r="D567" s="43"/>
      <c r="E567" s="43"/>
      <c r="F567" s="44"/>
      <c r="G567" s="43"/>
      <c r="H567" s="43"/>
      <c r="I567" s="43"/>
      <c r="J567" s="36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9.5" customHeight="1">
      <c r="A568" s="45"/>
      <c r="B568" s="46"/>
      <c r="C568" s="46"/>
      <c r="D568" s="46"/>
      <c r="E568" s="46"/>
      <c r="F568" s="54"/>
      <c r="G568" s="46"/>
      <c r="H568" s="46"/>
      <c r="I568" s="46"/>
      <c r="J568" s="36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9.5" customHeight="1">
      <c r="A569" s="42"/>
      <c r="B569" s="43"/>
      <c r="C569" s="43"/>
      <c r="D569" s="43"/>
      <c r="E569" s="43"/>
      <c r="F569" s="44"/>
      <c r="G569" s="43"/>
      <c r="H569" s="43"/>
      <c r="I569" s="43"/>
      <c r="J569" s="36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9.5" customHeight="1">
      <c r="A570" s="45"/>
      <c r="B570" s="46"/>
      <c r="C570" s="46"/>
      <c r="D570" s="46"/>
      <c r="E570" s="46"/>
      <c r="F570" s="54"/>
      <c r="G570" s="46"/>
      <c r="H570" s="46"/>
      <c r="I570" s="46"/>
      <c r="J570" s="36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9.5" customHeight="1">
      <c r="A571" s="42"/>
      <c r="B571" s="43"/>
      <c r="C571" s="43"/>
      <c r="D571" s="43"/>
      <c r="E571" s="43"/>
      <c r="F571" s="44"/>
      <c r="G571" s="43"/>
      <c r="H571" s="43"/>
      <c r="I571" s="43"/>
      <c r="J571" s="36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9.5" customHeight="1">
      <c r="A572" s="45"/>
      <c r="B572" s="46"/>
      <c r="C572" s="46"/>
      <c r="D572" s="46"/>
      <c r="E572" s="46"/>
      <c r="F572" s="54"/>
      <c r="G572" s="46"/>
      <c r="H572" s="46"/>
      <c r="I572" s="46"/>
      <c r="J572" s="36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9.5" customHeight="1">
      <c r="A573" s="42"/>
      <c r="B573" s="43"/>
      <c r="C573" s="43"/>
      <c r="D573" s="43"/>
      <c r="E573" s="43"/>
      <c r="F573" s="44"/>
      <c r="G573" s="43"/>
      <c r="H573" s="43"/>
      <c r="I573" s="43"/>
      <c r="J573" s="36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9.5" customHeight="1">
      <c r="A574" s="45"/>
      <c r="B574" s="46"/>
      <c r="C574" s="46"/>
      <c r="D574" s="46"/>
      <c r="E574" s="46"/>
      <c r="F574" s="54"/>
      <c r="G574" s="46"/>
      <c r="H574" s="46"/>
      <c r="I574" s="46"/>
      <c r="J574" s="36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9.5" customHeight="1">
      <c r="A575" s="42"/>
      <c r="B575" s="43"/>
      <c r="C575" s="43"/>
      <c r="D575" s="43"/>
      <c r="E575" s="43"/>
      <c r="F575" s="44"/>
      <c r="G575" s="43"/>
      <c r="H575" s="43"/>
      <c r="I575" s="43"/>
      <c r="J575" s="36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9.5" customHeight="1">
      <c r="A576" s="45"/>
      <c r="B576" s="46"/>
      <c r="C576" s="46"/>
      <c r="D576" s="46"/>
      <c r="E576" s="46"/>
      <c r="F576" s="54"/>
      <c r="G576" s="46"/>
      <c r="H576" s="46"/>
      <c r="I576" s="46"/>
      <c r="J576" s="36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9.5" customHeight="1">
      <c r="A577" s="42"/>
      <c r="B577" s="43"/>
      <c r="C577" s="43"/>
      <c r="D577" s="43"/>
      <c r="E577" s="43"/>
      <c r="F577" s="44"/>
      <c r="G577" s="43"/>
      <c r="H577" s="43"/>
      <c r="I577" s="43"/>
      <c r="J577" s="36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9.5" customHeight="1">
      <c r="A578" s="45"/>
      <c r="B578" s="46"/>
      <c r="C578" s="46"/>
      <c r="D578" s="46"/>
      <c r="E578" s="46"/>
      <c r="F578" s="54"/>
      <c r="G578" s="46"/>
      <c r="H578" s="46"/>
      <c r="I578" s="46"/>
      <c r="J578" s="36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9.5" customHeight="1">
      <c r="A579" s="42"/>
      <c r="B579" s="43"/>
      <c r="C579" s="43"/>
      <c r="D579" s="43"/>
      <c r="E579" s="43"/>
      <c r="F579" s="44"/>
      <c r="G579" s="43"/>
      <c r="H579" s="43"/>
      <c r="I579" s="43"/>
      <c r="J579" s="36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9.5" customHeight="1">
      <c r="A580" s="45"/>
      <c r="B580" s="46"/>
      <c r="C580" s="46"/>
      <c r="D580" s="46"/>
      <c r="E580" s="46"/>
      <c r="F580" s="54"/>
      <c r="G580" s="46"/>
      <c r="H580" s="46"/>
      <c r="I580" s="46"/>
      <c r="J580" s="36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9.5" customHeight="1">
      <c r="A581" s="42"/>
      <c r="B581" s="43"/>
      <c r="C581" s="43"/>
      <c r="D581" s="43"/>
      <c r="E581" s="43"/>
      <c r="F581" s="44"/>
      <c r="G581" s="43"/>
      <c r="H581" s="43"/>
      <c r="I581" s="43"/>
      <c r="J581" s="36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9.5" customHeight="1">
      <c r="A582" s="45"/>
      <c r="B582" s="46"/>
      <c r="C582" s="46"/>
      <c r="D582" s="46"/>
      <c r="E582" s="46"/>
      <c r="F582" s="54"/>
      <c r="G582" s="46"/>
      <c r="H582" s="46"/>
      <c r="I582" s="46"/>
      <c r="J582" s="36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9.5" customHeight="1">
      <c r="A583" s="42"/>
      <c r="B583" s="43"/>
      <c r="C583" s="43"/>
      <c r="D583" s="43"/>
      <c r="E583" s="43"/>
      <c r="F583" s="44"/>
      <c r="G583" s="43"/>
      <c r="H583" s="43"/>
      <c r="I583" s="43"/>
      <c r="J583" s="36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9.5" customHeight="1">
      <c r="A584" s="45"/>
      <c r="B584" s="46"/>
      <c r="C584" s="46"/>
      <c r="D584" s="46"/>
      <c r="E584" s="46"/>
      <c r="F584" s="54"/>
      <c r="G584" s="46"/>
      <c r="H584" s="46"/>
      <c r="I584" s="46"/>
      <c r="J584" s="36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9.5" customHeight="1">
      <c r="A585" s="42"/>
      <c r="B585" s="43"/>
      <c r="C585" s="43"/>
      <c r="D585" s="43"/>
      <c r="E585" s="43"/>
      <c r="F585" s="44"/>
      <c r="G585" s="43"/>
      <c r="H585" s="43"/>
      <c r="I585" s="43"/>
      <c r="J585" s="36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9.5" customHeight="1">
      <c r="A586" s="45"/>
      <c r="B586" s="46"/>
      <c r="C586" s="46"/>
      <c r="D586" s="46"/>
      <c r="E586" s="46"/>
      <c r="F586" s="54"/>
      <c r="G586" s="46"/>
      <c r="H586" s="46"/>
      <c r="I586" s="46"/>
      <c r="J586" s="36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9.5" customHeight="1">
      <c r="A587" s="42"/>
      <c r="B587" s="43"/>
      <c r="C587" s="43"/>
      <c r="D587" s="43"/>
      <c r="E587" s="43"/>
      <c r="F587" s="44"/>
      <c r="G587" s="43"/>
      <c r="H587" s="43"/>
      <c r="I587" s="43"/>
      <c r="J587" s="36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9.5" customHeight="1">
      <c r="A588" s="45"/>
      <c r="B588" s="46"/>
      <c r="C588" s="46"/>
      <c r="D588" s="46"/>
      <c r="E588" s="46"/>
      <c r="F588" s="54"/>
      <c r="G588" s="46"/>
      <c r="H588" s="46"/>
      <c r="I588" s="46"/>
      <c r="J588" s="36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9.5" customHeight="1">
      <c r="A589" s="42"/>
      <c r="B589" s="43"/>
      <c r="C589" s="43"/>
      <c r="D589" s="43"/>
      <c r="E589" s="43"/>
      <c r="F589" s="44"/>
      <c r="G589" s="43"/>
      <c r="H589" s="43"/>
      <c r="I589" s="43"/>
      <c r="J589" s="36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9.5" customHeight="1">
      <c r="A590" s="45"/>
      <c r="B590" s="46"/>
      <c r="C590" s="46"/>
      <c r="D590" s="46"/>
      <c r="E590" s="46"/>
      <c r="F590" s="54"/>
      <c r="G590" s="46"/>
      <c r="H590" s="46"/>
      <c r="I590" s="46"/>
      <c r="J590" s="36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9.5" customHeight="1">
      <c r="A591" s="42"/>
      <c r="B591" s="43"/>
      <c r="C591" s="43"/>
      <c r="D591" s="43"/>
      <c r="E591" s="43"/>
      <c r="F591" s="44"/>
      <c r="G591" s="43"/>
      <c r="H591" s="43"/>
      <c r="I591" s="43"/>
      <c r="J591" s="36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9.5" customHeight="1">
      <c r="A592" s="45"/>
      <c r="B592" s="46"/>
      <c r="C592" s="46"/>
      <c r="D592" s="46"/>
      <c r="E592" s="46"/>
      <c r="F592" s="54"/>
      <c r="G592" s="46"/>
      <c r="H592" s="46"/>
      <c r="I592" s="46"/>
      <c r="J592" s="36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9.5" customHeight="1">
      <c r="A593" s="42"/>
      <c r="B593" s="43"/>
      <c r="C593" s="43"/>
      <c r="D593" s="43"/>
      <c r="E593" s="43"/>
      <c r="F593" s="44"/>
      <c r="G593" s="43"/>
      <c r="H593" s="43"/>
      <c r="I593" s="43"/>
      <c r="J593" s="36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9.5" customHeight="1">
      <c r="A594" s="45"/>
      <c r="B594" s="46"/>
      <c r="C594" s="46"/>
      <c r="D594" s="46"/>
      <c r="E594" s="46"/>
      <c r="F594" s="54"/>
      <c r="G594" s="46"/>
      <c r="H594" s="46"/>
      <c r="I594" s="46"/>
      <c r="J594" s="36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9.5" customHeight="1">
      <c r="A595" s="42"/>
      <c r="B595" s="43"/>
      <c r="C595" s="43"/>
      <c r="D595" s="43"/>
      <c r="E595" s="43"/>
      <c r="F595" s="44"/>
      <c r="G595" s="43"/>
      <c r="H595" s="43"/>
      <c r="I595" s="43"/>
      <c r="J595" s="36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9.5" customHeight="1">
      <c r="A596" s="45"/>
      <c r="B596" s="46"/>
      <c r="C596" s="46"/>
      <c r="D596" s="46"/>
      <c r="E596" s="46"/>
      <c r="F596" s="54"/>
      <c r="G596" s="46"/>
      <c r="H596" s="46"/>
      <c r="I596" s="46"/>
      <c r="J596" s="36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9.5" customHeight="1">
      <c r="A597" s="42"/>
      <c r="B597" s="43"/>
      <c r="C597" s="43"/>
      <c r="D597" s="43"/>
      <c r="E597" s="43"/>
      <c r="F597" s="44"/>
      <c r="G597" s="43"/>
      <c r="H597" s="43"/>
      <c r="I597" s="43"/>
      <c r="J597" s="36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9.5" customHeight="1">
      <c r="A598" s="45"/>
      <c r="B598" s="46"/>
      <c r="C598" s="46"/>
      <c r="D598" s="46"/>
      <c r="E598" s="46"/>
      <c r="F598" s="54"/>
      <c r="G598" s="46"/>
      <c r="H598" s="46"/>
      <c r="I598" s="46"/>
      <c r="J598" s="36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9.5" customHeight="1">
      <c r="A599" s="42"/>
      <c r="B599" s="43"/>
      <c r="C599" s="43"/>
      <c r="D599" s="43"/>
      <c r="E599" s="43"/>
      <c r="F599" s="44"/>
      <c r="G599" s="43"/>
      <c r="H599" s="43"/>
      <c r="I599" s="43"/>
      <c r="J599" s="36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9.5" customHeight="1">
      <c r="A600" s="45"/>
      <c r="B600" s="46"/>
      <c r="C600" s="46"/>
      <c r="D600" s="46"/>
      <c r="E600" s="46"/>
      <c r="F600" s="54"/>
      <c r="G600" s="46"/>
      <c r="H600" s="46"/>
      <c r="I600" s="46"/>
      <c r="J600" s="36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9.5" customHeight="1">
      <c r="A601" s="42"/>
      <c r="B601" s="43"/>
      <c r="C601" s="43"/>
      <c r="D601" s="43"/>
      <c r="E601" s="43"/>
      <c r="F601" s="44"/>
      <c r="G601" s="43"/>
      <c r="H601" s="43"/>
      <c r="I601" s="43"/>
      <c r="J601" s="36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9.5" customHeight="1">
      <c r="A602" s="45"/>
      <c r="B602" s="46"/>
      <c r="C602" s="46"/>
      <c r="D602" s="46"/>
      <c r="E602" s="46"/>
      <c r="F602" s="54"/>
      <c r="G602" s="46"/>
      <c r="H602" s="46"/>
      <c r="I602" s="46"/>
      <c r="J602" s="36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9.5" customHeight="1">
      <c r="A603" s="42"/>
      <c r="B603" s="43"/>
      <c r="C603" s="43"/>
      <c r="D603" s="43"/>
      <c r="E603" s="43"/>
      <c r="F603" s="44"/>
      <c r="G603" s="43"/>
      <c r="H603" s="43"/>
      <c r="I603" s="43"/>
      <c r="J603" s="36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9.5" customHeight="1">
      <c r="A604" s="45"/>
      <c r="B604" s="46"/>
      <c r="C604" s="46"/>
      <c r="D604" s="46"/>
      <c r="E604" s="46"/>
      <c r="F604" s="54"/>
      <c r="G604" s="46"/>
      <c r="H604" s="46"/>
      <c r="I604" s="46"/>
      <c r="J604" s="36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9.5" customHeight="1">
      <c r="A605" s="42"/>
      <c r="B605" s="43"/>
      <c r="C605" s="43"/>
      <c r="D605" s="43"/>
      <c r="E605" s="43"/>
      <c r="F605" s="44"/>
      <c r="G605" s="43"/>
      <c r="H605" s="43"/>
      <c r="I605" s="43"/>
      <c r="J605" s="36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9.5" customHeight="1">
      <c r="A606" s="45"/>
      <c r="B606" s="46"/>
      <c r="C606" s="46"/>
      <c r="D606" s="46"/>
      <c r="E606" s="46"/>
      <c r="F606" s="54"/>
      <c r="G606" s="46"/>
      <c r="H606" s="46"/>
      <c r="I606" s="46"/>
      <c r="J606" s="36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9.5" customHeight="1">
      <c r="A607" s="42"/>
      <c r="B607" s="43"/>
      <c r="C607" s="43"/>
      <c r="D607" s="43"/>
      <c r="E607" s="43"/>
      <c r="F607" s="44"/>
      <c r="G607" s="43"/>
      <c r="H607" s="43"/>
      <c r="I607" s="43"/>
      <c r="J607" s="36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9.5" customHeight="1">
      <c r="A608" s="45"/>
      <c r="B608" s="46"/>
      <c r="C608" s="46"/>
      <c r="D608" s="46"/>
      <c r="E608" s="46"/>
      <c r="F608" s="54"/>
      <c r="G608" s="46"/>
      <c r="H608" s="46"/>
      <c r="I608" s="46"/>
      <c r="J608" s="36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9.5" customHeight="1">
      <c r="A609" s="42"/>
      <c r="B609" s="43"/>
      <c r="C609" s="43"/>
      <c r="D609" s="43"/>
      <c r="E609" s="43"/>
      <c r="F609" s="44"/>
      <c r="G609" s="43"/>
      <c r="H609" s="43"/>
      <c r="I609" s="43"/>
      <c r="J609" s="36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9.5" customHeight="1">
      <c r="A610" s="45"/>
      <c r="B610" s="46"/>
      <c r="C610" s="46"/>
      <c r="D610" s="46"/>
      <c r="E610" s="46"/>
      <c r="F610" s="54"/>
      <c r="G610" s="46"/>
      <c r="H610" s="46"/>
      <c r="I610" s="46"/>
      <c r="J610" s="36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9.5" customHeight="1">
      <c r="A611" s="42"/>
      <c r="B611" s="43"/>
      <c r="C611" s="43"/>
      <c r="D611" s="43"/>
      <c r="E611" s="43"/>
      <c r="F611" s="44"/>
      <c r="G611" s="43"/>
      <c r="H611" s="43"/>
      <c r="I611" s="43"/>
      <c r="J611" s="36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9.5" customHeight="1">
      <c r="A612" s="45"/>
      <c r="B612" s="46"/>
      <c r="C612" s="46"/>
      <c r="D612" s="46"/>
      <c r="E612" s="46"/>
      <c r="F612" s="54"/>
      <c r="G612" s="46"/>
      <c r="H612" s="46"/>
      <c r="I612" s="46"/>
      <c r="J612" s="36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9.5" customHeight="1">
      <c r="A613" s="42"/>
      <c r="B613" s="43"/>
      <c r="C613" s="43"/>
      <c r="D613" s="43"/>
      <c r="E613" s="43"/>
      <c r="F613" s="44"/>
      <c r="G613" s="43"/>
      <c r="H613" s="43"/>
      <c r="I613" s="43"/>
      <c r="J613" s="36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9.5" customHeight="1">
      <c r="A614" s="45"/>
      <c r="B614" s="46"/>
      <c r="C614" s="46"/>
      <c r="D614" s="46"/>
      <c r="E614" s="46"/>
      <c r="F614" s="54"/>
      <c r="G614" s="46"/>
      <c r="H614" s="46"/>
      <c r="I614" s="46"/>
      <c r="J614" s="36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9.5" customHeight="1">
      <c r="A615" s="42"/>
      <c r="B615" s="43"/>
      <c r="C615" s="43"/>
      <c r="D615" s="43"/>
      <c r="E615" s="43"/>
      <c r="F615" s="44"/>
      <c r="G615" s="43"/>
      <c r="H615" s="43"/>
      <c r="I615" s="43"/>
      <c r="J615" s="36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9.5" customHeight="1">
      <c r="A616" s="45"/>
      <c r="B616" s="46"/>
      <c r="C616" s="46"/>
      <c r="D616" s="46"/>
      <c r="E616" s="46"/>
      <c r="F616" s="54"/>
      <c r="G616" s="46"/>
      <c r="H616" s="46"/>
      <c r="I616" s="46"/>
      <c r="J616" s="36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9.5" customHeight="1">
      <c r="A617" s="42"/>
      <c r="B617" s="43"/>
      <c r="C617" s="43"/>
      <c r="D617" s="43"/>
      <c r="E617" s="43"/>
      <c r="F617" s="44"/>
      <c r="G617" s="43"/>
      <c r="H617" s="43"/>
      <c r="I617" s="43"/>
      <c r="J617" s="36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9.5" customHeight="1">
      <c r="A618" s="45"/>
      <c r="B618" s="46"/>
      <c r="C618" s="46"/>
      <c r="D618" s="46"/>
      <c r="E618" s="46"/>
      <c r="F618" s="54"/>
      <c r="G618" s="46"/>
      <c r="H618" s="46"/>
      <c r="I618" s="46"/>
      <c r="J618" s="36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9.5" customHeight="1">
      <c r="A619" s="42"/>
      <c r="B619" s="43"/>
      <c r="C619" s="43"/>
      <c r="D619" s="43"/>
      <c r="E619" s="43"/>
      <c r="F619" s="44"/>
      <c r="G619" s="43"/>
      <c r="H619" s="43"/>
      <c r="I619" s="43"/>
      <c r="J619" s="36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9.5" customHeight="1">
      <c r="A620" s="45"/>
      <c r="B620" s="46"/>
      <c r="C620" s="46"/>
      <c r="D620" s="46"/>
      <c r="E620" s="46"/>
      <c r="F620" s="54"/>
      <c r="G620" s="46"/>
      <c r="H620" s="46"/>
      <c r="I620" s="46"/>
      <c r="J620" s="36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9.5" customHeight="1">
      <c r="A621" s="42"/>
      <c r="B621" s="43"/>
      <c r="C621" s="43"/>
      <c r="D621" s="43"/>
      <c r="E621" s="43"/>
      <c r="F621" s="44"/>
      <c r="G621" s="43"/>
      <c r="H621" s="43"/>
      <c r="I621" s="43"/>
      <c r="J621" s="36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9.5" customHeight="1">
      <c r="A622" s="45"/>
      <c r="B622" s="46"/>
      <c r="C622" s="46"/>
      <c r="D622" s="46"/>
      <c r="E622" s="46"/>
      <c r="F622" s="54"/>
      <c r="G622" s="46"/>
      <c r="H622" s="46"/>
      <c r="I622" s="46"/>
      <c r="J622" s="36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9.5" customHeight="1">
      <c r="A623" s="42"/>
      <c r="B623" s="43"/>
      <c r="C623" s="43"/>
      <c r="D623" s="43"/>
      <c r="E623" s="43"/>
      <c r="F623" s="44"/>
      <c r="G623" s="43"/>
      <c r="H623" s="43"/>
      <c r="I623" s="43"/>
      <c r="J623" s="36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9.5" customHeight="1">
      <c r="A624" s="45"/>
      <c r="B624" s="46"/>
      <c r="C624" s="46"/>
      <c r="D624" s="46"/>
      <c r="E624" s="46"/>
      <c r="F624" s="54"/>
      <c r="G624" s="46"/>
      <c r="H624" s="46"/>
      <c r="I624" s="46"/>
      <c r="J624" s="36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9.5" customHeight="1">
      <c r="A625" s="42"/>
      <c r="B625" s="43"/>
      <c r="C625" s="43"/>
      <c r="D625" s="43"/>
      <c r="E625" s="43"/>
      <c r="F625" s="44"/>
      <c r="G625" s="43"/>
      <c r="H625" s="43"/>
      <c r="I625" s="43"/>
      <c r="J625" s="36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9.5" customHeight="1">
      <c r="A626" s="45"/>
      <c r="B626" s="46"/>
      <c r="C626" s="46"/>
      <c r="D626" s="46"/>
      <c r="E626" s="46"/>
      <c r="F626" s="54"/>
      <c r="G626" s="46"/>
      <c r="H626" s="46"/>
      <c r="I626" s="46"/>
      <c r="J626" s="36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9.5" customHeight="1">
      <c r="A627" s="42"/>
      <c r="B627" s="43"/>
      <c r="C627" s="43"/>
      <c r="D627" s="43"/>
      <c r="E627" s="43"/>
      <c r="F627" s="44"/>
      <c r="G627" s="43"/>
      <c r="H627" s="43"/>
      <c r="I627" s="43"/>
      <c r="J627" s="36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9.5" customHeight="1">
      <c r="A628" s="45"/>
      <c r="B628" s="46"/>
      <c r="C628" s="46"/>
      <c r="D628" s="46"/>
      <c r="E628" s="46"/>
      <c r="F628" s="54"/>
      <c r="G628" s="46"/>
      <c r="H628" s="46"/>
      <c r="I628" s="46"/>
      <c r="J628" s="36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9.5" customHeight="1">
      <c r="A629" s="42"/>
      <c r="B629" s="43"/>
      <c r="C629" s="43"/>
      <c r="D629" s="43"/>
      <c r="E629" s="43"/>
      <c r="F629" s="44"/>
      <c r="G629" s="43"/>
      <c r="H629" s="43"/>
      <c r="I629" s="43"/>
      <c r="J629" s="36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9.5" customHeight="1">
      <c r="A630" s="45"/>
      <c r="B630" s="46"/>
      <c r="C630" s="46"/>
      <c r="D630" s="46"/>
      <c r="E630" s="46"/>
      <c r="F630" s="54"/>
      <c r="G630" s="46"/>
      <c r="H630" s="46"/>
      <c r="I630" s="46"/>
      <c r="J630" s="36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9.5" customHeight="1">
      <c r="A631" s="42"/>
      <c r="B631" s="43"/>
      <c r="C631" s="43"/>
      <c r="D631" s="43"/>
      <c r="E631" s="43"/>
      <c r="F631" s="44"/>
      <c r="G631" s="43"/>
      <c r="H631" s="43"/>
      <c r="I631" s="43"/>
      <c r="J631" s="36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9.5" customHeight="1">
      <c r="A632" s="45"/>
      <c r="B632" s="46"/>
      <c r="C632" s="46"/>
      <c r="D632" s="46"/>
      <c r="E632" s="46"/>
      <c r="F632" s="54"/>
      <c r="G632" s="46"/>
      <c r="H632" s="46"/>
      <c r="I632" s="46"/>
      <c r="J632" s="36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9.5" customHeight="1">
      <c r="A633" s="42"/>
      <c r="B633" s="43"/>
      <c r="C633" s="43"/>
      <c r="D633" s="43"/>
      <c r="E633" s="43"/>
      <c r="F633" s="44"/>
      <c r="G633" s="43"/>
      <c r="H633" s="43"/>
      <c r="I633" s="43"/>
      <c r="J633" s="36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9.5" customHeight="1">
      <c r="A634" s="45"/>
      <c r="B634" s="46"/>
      <c r="C634" s="46"/>
      <c r="D634" s="46"/>
      <c r="E634" s="46"/>
      <c r="F634" s="54"/>
      <c r="G634" s="46"/>
      <c r="H634" s="46"/>
      <c r="I634" s="46"/>
      <c r="J634" s="36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9.5" customHeight="1">
      <c r="A635" s="42"/>
      <c r="B635" s="43"/>
      <c r="C635" s="43"/>
      <c r="D635" s="43"/>
      <c r="E635" s="43"/>
      <c r="F635" s="44"/>
      <c r="G635" s="43"/>
      <c r="H635" s="43"/>
      <c r="I635" s="43"/>
      <c r="J635" s="36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9.5" customHeight="1">
      <c r="A636" s="45"/>
      <c r="B636" s="46"/>
      <c r="C636" s="46"/>
      <c r="D636" s="46"/>
      <c r="E636" s="46"/>
      <c r="F636" s="54"/>
      <c r="G636" s="46"/>
      <c r="H636" s="46"/>
      <c r="I636" s="46"/>
      <c r="J636" s="36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9.5" customHeight="1">
      <c r="A637" s="42"/>
      <c r="B637" s="43"/>
      <c r="C637" s="43"/>
      <c r="D637" s="43"/>
      <c r="E637" s="43"/>
      <c r="F637" s="44"/>
      <c r="G637" s="43"/>
      <c r="H637" s="43"/>
      <c r="I637" s="43"/>
      <c r="J637" s="36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9.5" customHeight="1">
      <c r="A638" s="45"/>
      <c r="B638" s="46"/>
      <c r="C638" s="46"/>
      <c r="D638" s="46"/>
      <c r="E638" s="46"/>
      <c r="F638" s="54"/>
      <c r="G638" s="46"/>
      <c r="H638" s="46"/>
      <c r="I638" s="46"/>
      <c r="J638" s="36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9.5" customHeight="1">
      <c r="A639" s="42"/>
      <c r="B639" s="43"/>
      <c r="C639" s="43"/>
      <c r="D639" s="43"/>
      <c r="E639" s="43"/>
      <c r="F639" s="44"/>
      <c r="G639" s="43"/>
      <c r="H639" s="43"/>
      <c r="I639" s="43"/>
      <c r="J639" s="36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9.5" customHeight="1">
      <c r="A640" s="45"/>
      <c r="B640" s="46"/>
      <c r="C640" s="46"/>
      <c r="D640" s="46"/>
      <c r="E640" s="46"/>
      <c r="F640" s="54"/>
      <c r="G640" s="46"/>
      <c r="H640" s="46"/>
      <c r="I640" s="46"/>
      <c r="J640" s="36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9.5" customHeight="1">
      <c r="A641" s="42"/>
      <c r="B641" s="43"/>
      <c r="C641" s="43"/>
      <c r="D641" s="43"/>
      <c r="E641" s="43"/>
      <c r="F641" s="44"/>
      <c r="G641" s="43"/>
      <c r="H641" s="43"/>
      <c r="I641" s="43"/>
      <c r="J641" s="36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9.5" customHeight="1">
      <c r="A642" s="45"/>
      <c r="B642" s="46"/>
      <c r="C642" s="46"/>
      <c r="D642" s="46"/>
      <c r="E642" s="46"/>
      <c r="F642" s="54"/>
      <c r="G642" s="46"/>
      <c r="H642" s="46"/>
      <c r="I642" s="46"/>
      <c r="J642" s="36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9.5" customHeight="1">
      <c r="A643" s="42"/>
      <c r="B643" s="43"/>
      <c r="C643" s="43"/>
      <c r="D643" s="43"/>
      <c r="E643" s="43"/>
      <c r="F643" s="44"/>
      <c r="G643" s="43"/>
      <c r="H643" s="43"/>
      <c r="I643" s="43"/>
      <c r="J643" s="36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9.5" customHeight="1">
      <c r="A644" s="45"/>
      <c r="B644" s="46"/>
      <c r="C644" s="46"/>
      <c r="D644" s="46"/>
      <c r="E644" s="46"/>
      <c r="F644" s="54"/>
      <c r="G644" s="46"/>
      <c r="H644" s="46"/>
      <c r="I644" s="46"/>
      <c r="J644" s="36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9.5" customHeight="1">
      <c r="A645" s="42"/>
      <c r="B645" s="43"/>
      <c r="C645" s="43"/>
      <c r="D645" s="43"/>
      <c r="E645" s="43"/>
      <c r="F645" s="44"/>
      <c r="G645" s="43"/>
      <c r="H645" s="43"/>
      <c r="I645" s="43"/>
      <c r="J645" s="36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9.5" customHeight="1">
      <c r="A646" s="45"/>
      <c r="B646" s="46"/>
      <c r="C646" s="46"/>
      <c r="D646" s="46"/>
      <c r="E646" s="46"/>
      <c r="F646" s="54"/>
      <c r="G646" s="46"/>
      <c r="H646" s="46"/>
      <c r="I646" s="46"/>
      <c r="J646" s="36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9.5" customHeight="1">
      <c r="A647" s="42"/>
      <c r="B647" s="43"/>
      <c r="C647" s="43"/>
      <c r="D647" s="43"/>
      <c r="E647" s="43"/>
      <c r="F647" s="44"/>
      <c r="G647" s="43"/>
      <c r="H647" s="43"/>
      <c r="I647" s="43"/>
      <c r="J647" s="36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9.5" customHeight="1">
      <c r="A648" s="45"/>
      <c r="B648" s="46"/>
      <c r="C648" s="46"/>
      <c r="D648" s="46"/>
      <c r="E648" s="46"/>
      <c r="F648" s="54"/>
      <c r="G648" s="46"/>
      <c r="H648" s="46"/>
      <c r="I648" s="46"/>
      <c r="J648" s="36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9.5" customHeight="1">
      <c r="A649" s="42"/>
      <c r="B649" s="43"/>
      <c r="C649" s="43"/>
      <c r="D649" s="43"/>
      <c r="E649" s="43"/>
      <c r="F649" s="44"/>
      <c r="G649" s="43"/>
      <c r="H649" s="43"/>
      <c r="I649" s="43"/>
      <c r="J649" s="36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9.5" customHeight="1">
      <c r="A650" s="45"/>
      <c r="B650" s="46"/>
      <c r="C650" s="46"/>
      <c r="D650" s="46"/>
      <c r="E650" s="46"/>
      <c r="F650" s="54"/>
      <c r="G650" s="46"/>
      <c r="H650" s="46"/>
      <c r="I650" s="46"/>
      <c r="J650" s="36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9.5" customHeight="1">
      <c r="A651" s="42"/>
      <c r="B651" s="43"/>
      <c r="C651" s="43"/>
      <c r="D651" s="43"/>
      <c r="E651" s="43"/>
      <c r="F651" s="44"/>
      <c r="G651" s="43"/>
      <c r="H651" s="43"/>
      <c r="I651" s="43"/>
      <c r="J651" s="36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9.5" customHeight="1">
      <c r="A652" s="45"/>
      <c r="B652" s="46"/>
      <c r="C652" s="46"/>
      <c r="D652" s="46"/>
      <c r="E652" s="46"/>
      <c r="F652" s="54"/>
      <c r="G652" s="46"/>
      <c r="H652" s="46"/>
      <c r="I652" s="46"/>
      <c r="J652" s="36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9.5" customHeight="1">
      <c r="A653" s="42"/>
      <c r="B653" s="43"/>
      <c r="C653" s="43"/>
      <c r="D653" s="43"/>
      <c r="E653" s="43"/>
      <c r="F653" s="44"/>
      <c r="G653" s="43"/>
      <c r="H653" s="43"/>
      <c r="I653" s="43"/>
      <c r="J653" s="36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9.5" customHeight="1">
      <c r="A654" s="45"/>
      <c r="B654" s="46"/>
      <c r="C654" s="46"/>
      <c r="D654" s="46"/>
      <c r="E654" s="46"/>
      <c r="F654" s="54"/>
      <c r="G654" s="46"/>
      <c r="H654" s="46"/>
      <c r="I654" s="46"/>
      <c r="J654" s="36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9.5" customHeight="1">
      <c r="A655" s="42"/>
      <c r="B655" s="43"/>
      <c r="C655" s="43"/>
      <c r="D655" s="43"/>
      <c r="E655" s="43"/>
      <c r="F655" s="44"/>
      <c r="G655" s="43"/>
      <c r="H655" s="43"/>
      <c r="I655" s="43"/>
      <c r="J655" s="36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9.5" customHeight="1">
      <c r="A656" s="45"/>
      <c r="B656" s="46"/>
      <c r="C656" s="46"/>
      <c r="D656" s="46"/>
      <c r="E656" s="46"/>
      <c r="F656" s="54"/>
      <c r="G656" s="46"/>
      <c r="H656" s="46"/>
      <c r="I656" s="46"/>
      <c r="J656" s="36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9.5" customHeight="1">
      <c r="A657" s="42"/>
      <c r="B657" s="43"/>
      <c r="C657" s="43"/>
      <c r="D657" s="43"/>
      <c r="E657" s="43"/>
      <c r="F657" s="44"/>
      <c r="G657" s="43"/>
      <c r="H657" s="43"/>
      <c r="I657" s="43"/>
      <c r="J657" s="36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9.5" customHeight="1">
      <c r="A658" s="45"/>
      <c r="B658" s="46"/>
      <c r="C658" s="46"/>
      <c r="D658" s="46"/>
      <c r="E658" s="46"/>
      <c r="F658" s="54"/>
      <c r="G658" s="46"/>
      <c r="H658" s="46"/>
      <c r="I658" s="46"/>
      <c r="J658" s="36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9.5" customHeight="1">
      <c r="A659" s="42"/>
      <c r="B659" s="43"/>
      <c r="C659" s="43"/>
      <c r="D659" s="43"/>
      <c r="E659" s="43"/>
      <c r="F659" s="44"/>
      <c r="G659" s="43"/>
      <c r="H659" s="43"/>
      <c r="I659" s="43"/>
      <c r="J659" s="36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9.5" customHeight="1">
      <c r="A660" s="45"/>
      <c r="B660" s="46"/>
      <c r="C660" s="46"/>
      <c r="D660" s="46"/>
      <c r="E660" s="46"/>
      <c r="F660" s="54"/>
      <c r="G660" s="46"/>
      <c r="H660" s="46"/>
      <c r="I660" s="46"/>
      <c r="J660" s="36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9.5" customHeight="1">
      <c r="A661" s="42"/>
      <c r="B661" s="43"/>
      <c r="C661" s="43"/>
      <c r="D661" s="43"/>
      <c r="E661" s="43"/>
      <c r="F661" s="44"/>
      <c r="G661" s="43"/>
      <c r="H661" s="43"/>
      <c r="I661" s="43"/>
      <c r="J661" s="36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9.5" customHeight="1">
      <c r="A662" s="45"/>
      <c r="B662" s="46"/>
      <c r="C662" s="46"/>
      <c r="D662" s="46"/>
      <c r="E662" s="46"/>
      <c r="F662" s="54"/>
      <c r="G662" s="46"/>
      <c r="H662" s="46"/>
      <c r="I662" s="46"/>
      <c r="J662" s="36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9.5" customHeight="1">
      <c r="A663" s="42"/>
      <c r="B663" s="43"/>
      <c r="C663" s="43"/>
      <c r="D663" s="43"/>
      <c r="E663" s="43"/>
      <c r="F663" s="44"/>
      <c r="G663" s="43"/>
      <c r="H663" s="43"/>
      <c r="I663" s="43"/>
      <c r="J663" s="36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9.5" customHeight="1">
      <c r="A664" s="45"/>
      <c r="B664" s="46"/>
      <c r="C664" s="46"/>
      <c r="D664" s="46"/>
      <c r="E664" s="46"/>
      <c r="F664" s="54"/>
      <c r="G664" s="46"/>
      <c r="H664" s="46"/>
      <c r="I664" s="46"/>
      <c r="J664" s="36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9.5" customHeight="1">
      <c r="A665" s="42"/>
      <c r="B665" s="43"/>
      <c r="C665" s="43"/>
      <c r="D665" s="43"/>
      <c r="E665" s="43"/>
      <c r="F665" s="44"/>
      <c r="G665" s="43"/>
      <c r="H665" s="43"/>
      <c r="I665" s="43"/>
      <c r="J665" s="36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9.5" customHeight="1">
      <c r="A666" s="45"/>
      <c r="B666" s="46"/>
      <c r="C666" s="46"/>
      <c r="D666" s="46"/>
      <c r="E666" s="46"/>
      <c r="F666" s="54"/>
      <c r="G666" s="46"/>
      <c r="H666" s="46"/>
      <c r="I666" s="46"/>
      <c r="J666" s="36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9.5" customHeight="1">
      <c r="A667" s="42"/>
      <c r="B667" s="43"/>
      <c r="C667" s="43"/>
      <c r="D667" s="43"/>
      <c r="E667" s="43"/>
      <c r="F667" s="44"/>
      <c r="G667" s="43"/>
      <c r="H667" s="43"/>
      <c r="I667" s="43"/>
      <c r="J667" s="36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9.5" customHeight="1">
      <c r="A668" s="45"/>
      <c r="B668" s="46"/>
      <c r="C668" s="46"/>
      <c r="D668" s="46"/>
      <c r="E668" s="46"/>
      <c r="F668" s="54"/>
      <c r="G668" s="46"/>
      <c r="H668" s="46"/>
      <c r="I668" s="46"/>
      <c r="J668" s="36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9.5" customHeight="1">
      <c r="A669" s="42"/>
      <c r="B669" s="43"/>
      <c r="C669" s="43"/>
      <c r="D669" s="43"/>
      <c r="E669" s="43"/>
      <c r="F669" s="44"/>
      <c r="G669" s="43"/>
      <c r="H669" s="43"/>
      <c r="I669" s="43"/>
      <c r="J669" s="36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9.5" customHeight="1">
      <c r="A670" s="45"/>
      <c r="B670" s="46"/>
      <c r="C670" s="46"/>
      <c r="D670" s="46"/>
      <c r="E670" s="46"/>
      <c r="F670" s="54"/>
      <c r="G670" s="46"/>
      <c r="H670" s="46"/>
      <c r="I670" s="46"/>
      <c r="J670" s="36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9.5" customHeight="1">
      <c r="A671" s="42"/>
      <c r="B671" s="43"/>
      <c r="C671" s="43"/>
      <c r="D671" s="43"/>
      <c r="E671" s="43"/>
      <c r="F671" s="44"/>
      <c r="G671" s="43"/>
      <c r="H671" s="43"/>
      <c r="I671" s="43"/>
      <c r="J671" s="36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9.5" customHeight="1">
      <c r="A672" s="45"/>
      <c r="B672" s="46"/>
      <c r="C672" s="46"/>
      <c r="D672" s="46"/>
      <c r="E672" s="46"/>
      <c r="F672" s="54"/>
      <c r="G672" s="46"/>
      <c r="H672" s="46"/>
      <c r="I672" s="46"/>
      <c r="J672" s="36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9.5" customHeight="1">
      <c r="A673" s="42"/>
      <c r="B673" s="43"/>
      <c r="C673" s="43"/>
      <c r="D673" s="43"/>
      <c r="E673" s="43"/>
      <c r="F673" s="44"/>
      <c r="G673" s="43"/>
      <c r="H673" s="43"/>
      <c r="I673" s="43"/>
      <c r="J673" s="36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9.5" customHeight="1">
      <c r="A674" s="45"/>
      <c r="B674" s="46"/>
      <c r="C674" s="46"/>
      <c r="D674" s="46"/>
      <c r="E674" s="46"/>
      <c r="F674" s="54"/>
      <c r="G674" s="46"/>
      <c r="H674" s="46"/>
      <c r="I674" s="46"/>
      <c r="J674" s="36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9.5" customHeight="1">
      <c r="A675" s="42"/>
      <c r="B675" s="43"/>
      <c r="C675" s="43"/>
      <c r="D675" s="43"/>
      <c r="E675" s="43"/>
      <c r="F675" s="44"/>
      <c r="G675" s="43"/>
      <c r="H675" s="43"/>
      <c r="I675" s="43"/>
      <c r="J675" s="36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9.5" customHeight="1">
      <c r="A676" s="45"/>
      <c r="B676" s="46"/>
      <c r="C676" s="46"/>
      <c r="D676" s="46"/>
      <c r="E676" s="46"/>
      <c r="F676" s="54"/>
      <c r="G676" s="46"/>
      <c r="H676" s="46"/>
      <c r="I676" s="46"/>
      <c r="J676" s="36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9.5" customHeight="1">
      <c r="A677" s="42"/>
      <c r="B677" s="43"/>
      <c r="C677" s="43"/>
      <c r="D677" s="43"/>
      <c r="E677" s="43"/>
      <c r="F677" s="44"/>
      <c r="G677" s="43"/>
      <c r="H677" s="43"/>
      <c r="I677" s="43"/>
      <c r="J677" s="36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9.5" customHeight="1">
      <c r="A678" s="45"/>
      <c r="B678" s="46"/>
      <c r="C678" s="46"/>
      <c r="D678" s="46"/>
      <c r="E678" s="46"/>
      <c r="F678" s="54"/>
      <c r="G678" s="46"/>
      <c r="H678" s="46"/>
      <c r="I678" s="46"/>
      <c r="J678" s="36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9.5" customHeight="1">
      <c r="A679" s="42"/>
      <c r="B679" s="43"/>
      <c r="C679" s="43"/>
      <c r="D679" s="43"/>
      <c r="E679" s="43"/>
      <c r="F679" s="44"/>
      <c r="G679" s="43"/>
      <c r="H679" s="43"/>
      <c r="I679" s="43"/>
      <c r="J679" s="36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9.5" customHeight="1">
      <c r="A680" s="45"/>
      <c r="B680" s="46"/>
      <c r="C680" s="46"/>
      <c r="D680" s="46"/>
      <c r="E680" s="46"/>
      <c r="F680" s="54"/>
      <c r="G680" s="46"/>
      <c r="H680" s="46"/>
      <c r="I680" s="46"/>
      <c r="J680" s="36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9.5" customHeight="1">
      <c r="A681" s="42"/>
      <c r="B681" s="43"/>
      <c r="C681" s="43"/>
      <c r="D681" s="43"/>
      <c r="E681" s="43"/>
      <c r="F681" s="44"/>
      <c r="G681" s="43"/>
      <c r="H681" s="43"/>
      <c r="I681" s="43"/>
      <c r="J681" s="36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9.5" customHeight="1">
      <c r="A682" s="45"/>
      <c r="B682" s="46"/>
      <c r="C682" s="46"/>
      <c r="D682" s="46"/>
      <c r="E682" s="46"/>
      <c r="F682" s="54"/>
      <c r="G682" s="46"/>
      <c r="H682" s="46"/>
      <c r="I682" s="46"/>
      <c r="J682" s="36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9.5" customHeight="1">
      <c r="A683" s="42"/>
      <c r="B683" s="43"/>
      <c r="C683" s="43"/>
      <c r="D683" s="43"/>
      <c r="E683" s="43"/>
      <c r="F683" s="44"/>
      <c r="G683" s="43"/>
      <c r="H683" s="43"/>
      <c r="I683" s="43"/>
      <c r="J683" s="36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9.5" customHeight="1">
      <c r="A684" s="45"/>
      <c r="B684" s="46"/>
      <c r="C684" s="46"/>
      <c r="D684" s="46"/>
      <c r="E684" s="46"/>
      <c r="F684" s="54"/>
      <c r="G684" s="46"/>
      <c r="H684" s="46"/>
      <c r="I684" s="46"/>
      <c r="J684" s="36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9.5" customHeight="1">
      <c r="A685" s="42"/>
      <c r="B685" s="43"/>
      <c r="C685" s="43"/>
      <c r="D685" s="43"/>
      <c r="E685" s="43"/>
      <c r="F685" s="44"/>
      <c r="G685" s="43"/>
      <c r="H685" s="43"/>
      <c r="I685" s="43"/>
      <c r="J685" s="36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9.5" customHeight="1">
      <c r="A686" s="45"/>
      <c r="B686" s="46"/>
      <c r="C686" s="46"/>
      <c r="D686" s="46"/>
      <c r="E686" s="46"/>
      <c r="F686" s="54"/>
      <c r="G686" s="46"/>
      <c r="H686" s="46"/>
      <c r="I686" s="46"/>
      <c r="J686" s="36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9.5" customHeight="1">
      <c r="A687" s="42"/>
      <c r="B687" s="43"/>
      <c r="C687" s="43"/>
      <c r="D687" s="43"/>
      <c r="E687" s="43"/>
      <c r="F687" s="44"/>
      <c r="G687" s="43"/>
      <c r="H687" s="43"/>
      <c r="I687" s="43"/>
      <c r="J687" s="36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9.5" customHeight="1">
      <c r="A688" s="45"/>
      <c r="B688" s="46"/>
      <c r="C688" s="46"/>
      <c r="D688" s="46"/>
      <c r="E688" s="46"/>
      <c r="F688" s="54"/>
      <c r="G688" s="46"/>
      <c r="H688" s="46"/>
      <c r="I688" s="46"/>
      <c r="J688" s="36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9.5" customHeight="1">
      <c r="A689" s="42"/>
      <c r="B689" s="43"/>
      <c r="C689" s="43"/>
      <c r="D689" s="43"/>
      <c r="E689" s="43"/>
      <c r="F689" s="44"/>
      <c r="G689" s="43"/>
      <c r="H689" s="43"/>
      <c r="I689" s="43"/>
      <c r="J689" s="36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9.5" customHeight="1">
      <c r="A690" s="45"/>
      <c r="B690" s="46"/>
      <c r="C690" s="46"/>
      <c r="D690" s="46"/>
      <c r="E690" s="46"/>
      <c r="F690" s="54"/>
      <c r="G690" s="46"/>
      <c r="H690" s="46"/>
      <c r="I690" s="46"/>
      <c r="J690" s="36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9.5" customHeight="1">
      <c r="A691" s="42"/>
      <c r="B691" s="43"/>
      <c r="C691" s="43"/>
      <c r="D691" s="43"/>
      <c r="E691" s="43"/>
      <c r="F691" s="44"/>
      <c r="G691" s="43"/>
      <c r="H691" s="43"/>
      <c r="I691" s="43"/>
      <c r="J691" s="36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9.5" customHeight="1">
      <c r="A692" s="45"/>
      <c r="B692" s="46"/>
      <c r="C692" s="46"/>
      <c r="D692" s="46"/>
      <c r="E692" s="46"/>
      <c r="F692" s="54"/>
      <c r="G692" s="46"/>
      <c r="H692" s="46"/>
      <c r="I692" s="46"/>
      <c r="J692" s="36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9.5" customHeight="1">
      <c r="A693" s="42"/>
      <c r="B693" s="43"/>
      <c r="C693" s="43"/>
      <c r="D693" s="43"/>
      <c r="E693" s="43"/>
      <c r="F693" s="44"/>
      <c r="G693" s="43"/>
      <c r="H693" s="43"/>
      <c r="I693" s="43"/>
      <c r="J693" s="36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9.5" customHeight="1">
      <c r="A694" s="45"/>
      <c r="B694" s="46"/>
      <c r="C694" s="46"/>
      <c r="D694" s="46"/>
      <c r="E694" s="46"/>
      <c r="F694" s="54"/>
      <c r="G694" s="46"/>
      <c r="H694" s="46"/>
      <c r="I694" s="46"/>
      <c r="J694" s="36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9.5" customHeight="1">
      <c r="A695" s="42"/>
      <c r="B695" s="43"/>
      <c r="C695" s="43"/>
      <c r="D695" s="43"/>
      <c r="E695" s="43"/>
      <c r="F695" s="44"/>
      <c r="G695" s="43"/>
      <c r="H695" s="43"/>
      <c r="I695" s="43"/>
      <c r="J695" s="36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9.5" customHeight="1">
      <c r="A696" s="45"/>
      <c r="B696" s="46"/>
      <c r="C696" s="46"/>
      <c r="D696" s="46"/>
      <c r="E696" s="46"/>
      <c r="F696" s="54"/>
      <c r="G696" s="46"/>
      <c r="H696" s="46"/>
      <c r="I696" s="46"/>
      <c r="J696" s="36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9.5" customHeight="1">
      <c r="A697" s="42"/>
      <c r="B697" s="43"/>
      <c r="C697" s="43"/>
      <c r="D697" s="43"/>
      <c r="E697" s="43"/>
      <c r="F697" s="44"/>
      <c r="G697" s="43"/>
      <c r="H697" s="43"/>
      <c r="I697" s="43"/>
      <c r="J697" s="36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9.5" customHeight="1">
      <c r="A698" s="45"/>
      <c r="B698" s="46"/>
      <c r="C698" s="46"/>
      <c r="D698" s="46"/>
      <c r="E698" s="46"/>
      <c r="F698" s="54"/>
      <c r="G698" s="46"/>
      <c r="H698" s="46"/>
      <c r="I698" s="46"/>
      <c r="J698" s="36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9.5" customHeight="1">
      <c r="A699" s="42"/>
      <c r="B699" s="43"/>
      <c r="C699" s="43"/>
      <c r="D699" s="43"/>
      <c r="E699" s="43"/>
      <c r="F699" s="44"/>
      <c r="G699" s="43"/>
      <c r="H699" s="43"/>
      <c r="I699" s="43"/>
      <c r="J699" s="36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9.5" customHeight="1">
      <c r="A700" s="45"/>
      <c r="B700" s="46"/>
      <c r="C700" s="46"/>
      <c r="D700" s="46"/>
      <c r="E700" s="46"/>
      <c r="F700" s="54"/>
      <c r="G700" s="46"/>
      <c r="H700" s="46"/>
      <c r="I700" s="46"/>
      <c r="J700" s="36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9.5" customHeight="1">
      <c r="A701" s="42"/>
      <c r="B701" s="43"/>
      <c r="C701" s="43"/>
      <c r="D701" s="43"/>
      <c r="E701" s="43"/>
      <c r="F701" s="44"/>
      <c r="G701" s="43"/>
      <c r="H701" s="43"/>
      <c r="I701" s="43"/>
      <c r="J701" s="36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9.5" customHeight="1">
      <c r="A702" s="45"/>
      <c r="B702" s="46"/>
      <c r="C702" s="46"/>
      <c r="D702" s="46"/>
      <c r="E702" s="46"/>
      <c r="F702" s="54"/>
      <c r="G702" s="46"/>
      <c r="H702" s="46"/>
      <c r="I702" s="46"/>
      <c r="J702" s="36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9.5" customHeight="1">
      <c r="A703" s="42"/>
      <c r="B703" s="43"/>
      <c r="C703" s="43"/>
      <c r="D703" s="43"/>
      <c r="E703" s="43"/>
      <c r="F703" s="44"/>
      <c r="G703" s="43"/>
      <c r="H703" s="43"/>
      <c r="I703" s="43"/>
      <c r="J703" s="36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9.5" customHeight="1">
      <c r="A704" s="45"/>
      <c r="B704" s="46"/>
      <c r="C704" s="46"/>
      <c r="D704" s="46"/>
      <c r="E704" s="46"/>
      <c r="F704" s="54"/>
      <c r="G704" s="46"/>
      <c r="H704" s="46"/>
      <c r="I704" s="46"/>
      <c r="J704" s="36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9.5" customHeight="1">
      <c r="A705" s="42"/>
      <c r="B705" s="43"/>
      <c r="C705" s="43"/>
      <c r="D705" s="43"/>
      <c r="E705" s="43"/>
      <c r="F705" s="44"/>
      <c r="G705" s="43"/>
      <c r="H705" s="43"/>
      <c r="I705" s="43"/>
      <c r="J705" s="36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9.5" customHeight="1">
      <c r="A706" s="45"/>
      <c r="B706" s="46"/>
      <c r="C706" s="46"/>
      <c r="D706" s="46"/>
      <c r="E706" s="46"/>
      <c r="F706" s="54"/>
      <c r="G706" s="46"/>
      <c r="H706" s="46"/>
      <c r="I706" s="46"/>
      <c r="J706" s="36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9.5" customHeight="1">
      <c r="A707" s="42"/>
      <c r="B707" s="43"/>
      <c r="C707" s="43"/>
      <c r="D707" s="43"/>
      <c r="E707" s="43"/>
      <c r="F707" s="44"/>
      <c r="G707" s="43"/>
      <c r="H707" s="43"/>
      <c r="I707" s="43"/>
      <c r="J707" s="36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9.5" customHeight="1">
      <c r="A708" s="45"/>
      <c r="B708" s="46"/>
      <c r="C708" s="46"/>
      <c r="D708" s="46"/>
      <c r="E708" s="46"/>
      <c r="F708" s="54"/>
      <c r="G708" s="46"/>
      <c r="H708" s="46"/>
      <c r="I708" s="46"/>
      <c r="J708" s="36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9.5" customHeight="1">
      <c r="A709" s="42"/>
      <c r="B709" s="43"/>
      <c r="C709" s="43"/>
      <c r="D709" s="43"/>
      <c r="E709" s="43"/>
      <c r="F709" s="44"/>
      <c r="G709" s="43"/>
      <c r="H709" s="43"/>
      <c r="I709" s="43"/>
      <c r="J709" s="36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9.5" customHeight="1">
      <c r="A710" s="45"/>
      <c r="B710" s="46"/>
      <c r="C710" s="46"/>
      <c r="D710" s="46"/>
      <c r="E710" s="46"/>
      <c r="F710" s="54"/>
      <c r="G710" s="46"/>
      <c r="H710" s="46"/>
      <c r="I710" s="46"/>
      <c r="J710" s="36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9.5" customHeight="1">
      <c r="A711" s="42"/>
      <c r="B711" s="43"/>
      <c r="C711" s="43"/>
      <c r="D711" s="43"/>
      <c r="E711" s="43"/>
      <c r="F711" s="44"/>
      <c r="G711" s="43"/>
      <c r="H711" s="43"/>
      <c r="I711" s="43"/>
      <c r="J711" s="36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9.5" customHeight="1">
      <c r="A712" s="45"/>
      <c r="B712" s="46"/>
      <c r="C712" s="46"/>
      <c r="D712" s="46"/>
      <c r="E712" s="46"/>
      <c r="F712" s="54"/>
      <c r="G712" s="46"/>
      <c r="H712" s="46"/>
      <c r="I712" s="46"/>
      <c r="J712" s="36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9.5" customHeight="1">
      <c r="A713" s="42"/>
      <c r="B713" s="43"/>
      <c r="C713" s="43"/>
      <c r="D713" s="43"/>
      <c r="E713" s="43"/>
      <c r="F713" s="44"/>
      <c r="G713" s="43"/>
      <c r="H713" s="43"/>
      <c r="I713" s="43"/>
      <c r="J713" s="36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9.5" customHeight="1">
      <c r="A714" s="45"/>
      <c r="B714" s="46"/>
      <c r="C714" s="46"/>
      <c r="D714" s="46"/>
      <c r="E714" s="46"/>
      <c r="F714" s="54"/>
      <c r="G714" s="46"/>
      <c r="H714" s="46"/>
      <c r="I714" s="46"/>
      <c r="J714" s="36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9.5" customHeight="1">
      <c r="A715" s="42"/>
      <c r="B715" s="43"/>
      <c r="C715" s="43"/>
      <c r="D715" s="43"/>
      <c r="E715" s="43"/>
      <c r="F715" s="44"/>
      <c r="G715" s="43"/>
      <c r="H715" s="43"/>
      <c r="I715" s="43"/>
      <c r="J715" s="36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9.5" customHeight="1">
      <c r="A716" s="45"/>
      <c r="B716" s="46"/>
      <c r="C716" s="46"/>
      <c r="D716" s="46"/>
      <c r="E716" s="46"/>
      <c r="F716" s="54"/>
      <c r="G716" s="46"/>
      <c r="H716" s="46"/>
      <c r="I716" s="46"/>
      <c r="J716" s="36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9.5" customHeight="1">
      <c r="A717" s="42"/>
      <c r="B717" s="43"/>
      <c r="C717" s="43"/>
      <c r="D717" s="43"/>
      <c r="E717" s="43"/>
      <c r="F717" s="44"/>
      <c r="G717" s="43"/>
      <c r="H717" s="43"/>
      <c r="I717" s="43"/>
      <c r="J717" s="36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9.5" customHeight="1">
      <c r="A718" s="45"/>
      <c r="B718" s="46"/>
      <c r="C718" s="46"/>
      <c r="D718" s="46"/>
      <c r="E718" s="46"/>
      <c r="F718" s="54"/>
      <c r="G718" s="46"/>
      <c r="H718" s="46"/>
      <c r="I718" s="46"/>
      <c r="J718" s="36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9.5" customHeight="1">
      <c r="A719" s="42"/>
      <c r="B719" s="43"/>
      <c r="C719" s="43"/>
      <c r="D719" s="43"/>
      <c r="E719" s="43"/>
      <c r="F719" s="44"/>
      <c r="G719" s="43"/>
      <c r="H719" s="43"/>
      <c r="I719" s="43"/>
      <c r="J719" s="36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9.5" customHeight="1">
      <c r="A720" s="45"/>
      <c r="B720" s="46"/>
      <c r="C720" s="46"/>
      <c r="D720" s="46"/>
      <c r="E720" s="46"/>
      <c r="F720" s="54"/>
      <c r="G720" s="46"/>
      <c r="H720" s="46"/>
      <c r="I720" s="46"/>
      <c r="J720" s="36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9.5" customHeight="1">
      <c r="A721" s="42"/>
      <c r="B721" s="43"/>
      <c r="C721" s="43"/>
      <c r="D721" s="43"/>
      <c r="E721" s="43"/>
      <c r="F721" s="44"/>
      <c r="G721" s="43"/>
      <c r="H721" s="43"/>
      <c r="I721" s="43"/>
      <c r="J721" s="36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9.5" customHeight="1">
      <c r="A722" s="45"/>
      <c r="B722" s="46"/>
      <c r="C722" s="46"/>
      <c r="D722" s="46"/>
      <c r="E722" s="46"/>
      <c r="F722" s="54"/>
      <c r="G722" s="46"/>
      <c r="H722" s="46"/>
      <c r="I722" s="46"/>
      <c r="J722" s="36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9.5" customHeight="1">
      <c r="A723" s="42"/>
      <c r="B723" s="43"/>
      <c r="C723" s="43"/>
      <c r="D723" s="43"/>
      <c r="E723" s="43"/>
      <c r="F723" s="44"/>
      <c r="G723" s="43"/>
      <c r="H723" s="43"/>
      <c r="I723" s="43"/>
      <c r="J723" s="36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9.5" customHeight="1">
      <c r="A724" s="45"/>
      <c r="B724" s="46"/>
      <c r="C724" s="46"/>
      <c r="D724" s="46"/>
      <c r="E724" s="46"/>
      <c r="F724" s="54"/>
      <c r="G724" s="46"/>
      <c r="H724" s="46"/>
      <c r="I724" s="46"/>
      <c r="J724" s="36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9.5" customHeight="1">
      <c r="A725" s="42"/>
      <c r="B725" s="43"/>
      <c r="C725" s="43"/>
      <c r="D725" s="43"/>
      <c r="E725" s="43"/>
      <c r="F725" s="44"/>
      <c r="G725" s="43"/>
      <c r="H725" s="43"/>
      <c r="I725" s="43"/>
      <c r="J725" s="36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9.5" customHeight="1">
      <c r="A726" s="45"/>
      <c r="B726" s="46"/>
      <c r="C726" s="46"/>
      <c r="D726" s="46"/>
      <c r="E726" s="46"/>
      <c r="F726" s="54"/>
      <c r="G726" s="46"/>
      <c r="H726" s="46"/>
      <c r="I726" s="46"/>
      <c r="J726" s="36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9.5" customHeight="1">
      <c r="A727" s="42"/>
      <c r="B727" s="43"/>
      <c r="C727" s="43"/>
      <c r="D727" s="43"/>
      <c r="E727" s="43"/>
      <c r="F727" s="44"/>
      <c r="G727" s="43"/>
      <c r="H727" s="43"/>
      <c r="I727" s="43"/>
      <c r="J727" s="36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9.5" customHeight="1">
      <c r="A728" s="45"/>
      <c r="B728" s="46"/>
      <c r="C728" s="46"/>
      <c r="D728" s="46"/>
      <c r="E728" s="46"/>
      <c r="F728" s="54"/>
      <c r="G728" s="46"/>
      <c r="H728" s="46"/>
      <c r="I728" s="46"/>
      <c r="J728" s="36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9.5" customHeight="1">
      <c r="A729" s="42"/>
      <c r="B729" s="43"/>
      <c r="C729" s="43"/>
      <c r="D729" s="43"/>
      <c r="E729" s="43"/>
      <c r="F729" s="44"/>
      <c r="G729" s="43"/>
      <c r="H729" s="43"/>
      <c r="I729" s="43"/>
      <c r="J729" s="36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9.5" customHeight="1">
      <c r="A730" s="45"/>
      <c r="B730" s="46"/>
      <c r="C730" s="46"/>
      <c r="D730" s="46"/>
      <c r="E730" s="46"/>
      <c r="F730" s="54"/>
      <c r="G730" s="46"/>
      <c r="H730" s="46"/>
      <c r="I730" s="46"/>
      <c r="J730" s="36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9.5" customHeight="1">
      <c r="A731" s="42"/>
      <c r="B731" s="43"/>
      <c r="C731" s="43"/>
      <c r="D731" s="43"/>
      <c r="E731" s="43"/>
      <c r="F731" s="44"/>
      <c r="G731" s="43"/>
      <c r="H731" s="43"/>
      <c r="I731" s="43"/>
      <c r="J731" s="36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9.5" customHeight="1">
      <c r="A732" s="45"/>
      <c r="B732" s="46"/>
      <c r="C732" s="46"/>
      <c r="D732" s="46"/>
      <c r="E732" s="46"/>
      <c r="F732" s="54"/>
      <c r="G732" s="46"/>
      <c r="H732" s="46"/>
      <c r="I732" s="46"/>
      <c r="J732" s="36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9.5" customHeight="1">
      <c r="A733" s="42"/>
      <c r="B733" s="43"/>
      <c r="C733" s="43"/>
      <c r="D733" s="43"/>
      <c r="E733" s="43"/>
      <c r="F733" s="44"/>
      <c r="G733" s="43"/>
      <c r="H733" s="43"/>
      <c r="I733" s="43"/>
      <c r="J733" s="36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9.5" customHeight="1">
      <c r="A734" s="45"/>
      <c r="B734" s="46"/>
      <c r="C734" s="46"/>
      <c r="D734" s="46"/>
      <c r="E734" s="46"/>
      <c r="F734" s="54"/>
      <c r="G734" s="46"/>
      <c r="H734" s="46"/>
      <c r="I734" s="46"/>
      <c r="J734" s="36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9.5" customHeight="1">
      <c r="A735" s="42"/>
      <c r="B735" s="43"/>
      <c r="C735" s="43"/>
      <c r="D735" s="43"/>
      <c r="E735" s="43"/>
      <c r="F735" s="44"/>
      <c r="G735" s="43"/>
      <c r="H735" s="43"/>
      <c r="I735" s="43"/>
      <c r="J735" s="36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9.5" customHeight="1">
      <c r="A736" s="45"/>
      <c r="B736" s="46"/>
      <c r="C736" s="46"/>
      <c r="D736" s="46"/>
      <c r="E736" s="46"/>
      <c r="F736" s="54"/>
      <c r="G736" s="46"/>
      <c r="H736" s="46"/>
      <c r="I736" s="46"/>
      <c r="J736" s="36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9.5" customHeight="1">
      <c r="A737" s="42"/>
      <c r="B737" s="43"/>
      <c r="C737" s="43"/>
      <c r="D737" s="43"/>
      <c r="E737" s="43"/>
      <c r="F737" s="44"/>
      <c r="G737" s="43"/>
      <c r="H737" s="43"/>
      <c r="I737" s="43"/>
      <c r="J737" s="36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9.5" customHeight="1">
      <c r="A738" s="45"/>
      <c r="B738" s="46"/>
      <c r="C738" s="46"/>
      <c r="D738" s="46"/>
      <c r="E738" s="46"/>
      <c r="F738" s="54"/>
      <c r="G738" s="46"/>
      <c r="H738" s="46"/>
      <c r="I738" s="46"/>
      <c r="J738" s="36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9.5" customHeight="1">
      <c r="A739" s="42"/>
      <c r="B739" s="43"/>
      <c r="C739" s="43"/>
      <c r="D739" s="43"/>
      <c r="E739" s="43"/>
      <c r="F739" s="44"/>
      <c r="G739" s="43"/>
      <c r="H739" s="43"/>
      <c r="I739" s="43"/>
      <c r="J739" s="36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9.5" customHeight="1">
      <c r="A740" s="45"/>
      <c r="B740" s="46"/>
      <c r="C740" s="46"/>
      <c r="D740" s="46"/>
      <c r="E740" s="46"/>
      <c r="F740" s="54"/>
      <c r="G740" s="46"/>
      <c r="H740" s="46"/>
      <c r="I740" s="46"/>
      <c r="J740" s="36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9.5" customHeight="1">
      <c r="A741" s="42"/>
      <c r="B741" s="43"/>
      <c r="C741" s="43"/>
      <c r="D741" s="43"/>
      <c r="E741" s="43"/>
      <c r="F741" s="44"/>
      <c r="G741" s="43"/>
      <c r="H741" s="43"/>
      <c r="I741" s="43"/>
      <c r="J741" s="36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9.5" customHeight="1">
      <c r="A742" s="45"/>
      <c r="B742" s="46"/>
      <c r="C742" s="46"/>
      <c r="D742" s="46"/>
      <c r="E742" s="46"/>
      <c r="F742" s="54"/>
      <c r="G742" s="46"/>
      <c r="H742" s="46"/>
      <c r="I742" s="46"/>
      <c r="J742" s="36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9.5" customHeight="1">
      <c r="A743" s="42"/>
      <c r="B743" s="43"/>
      <c r="C743" s="43"/>
      <c r="D743" s="43"/>
      <c r="E743" s="43"/>
      <c r="F743" s="44"/>
      <c r="G743" s="43"/>
      <c r="H743" s="43"/>
      <c r="I743" s="43"/>
      <c r="J743" s="36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9.5" customHeight="1">
      <c r="A744" s="45"/>
      <c r="B744" s="46"/>
      <c r="C744" s="46"/>
      <c r="D744" s="46"/>
      <c r="E744" s="46"/>
      <c r="F744" s="54"/>
      <c r="G744" s="46"/>
      <c r="H744" s="46"/>
      <c r="I744" s="46"/>
      <c r="J744" s="36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9.5" customHeight="1">
      <c r="A745" s="42"/>
      <c r="B745" s="43"/>
      <c r="C745" s="43"/>
      <c r="D745" s="43"/>
      <c r="E745" s="43"/>
      <c r="F745" s="44"/>
      <c r="G745" s="43"/>
      <c r="H745" s="43"/>
      <c r="I745" s="43"/>
      <c r="J745" s="36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9.5" customHeight="1">
      <c r="A746" s="45"/>
      <c r="B746" s="46"/>
      <c r="C746" s="46"/>
      <c r="D746" s="46"/>
      <c r="E746" s="46"/>
      <c r="F746" s="54"/>
      <c r="G746" s="46"/>
      <c r="H746" s="46"/>
      <c r="I746" s="46"/>
      <c r="J746" s="36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9.5" customHeight="1">
      <c r="A747" s="42"/>
      <c r="B747" s="43"/>
      <c r="C747" s="43"/>
      <c r="D747" s="43"/>
      <c r="E747" s="43"/>
      <c r="F747" s="44"/>
      <c r="G747" s="43"/>
      <c r="H747" s="43"/>
      <c r="I747" s="43"/>
      <c r="J747" s="36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9.5" customHeight="1">
      <c r="A748" s="45"/>
      <c r="B748" s="46"/>
      <c r="C748" s="46"/>
      <c r="D748" s="46"/>
      <c r="E748" s="46"/>
      <c r="F748" s="54"/>
      <c r="G748" s="46"/>
      <c r="H748" s="46"/>
      <c r="I748" s="46"/>
      <c r="J748" s="36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9.5" customHeight="1">
      <c r="A749" s="42"/>
      <c r="B749" s="43"/>
      <c r="C749" s="43"/>
      <c r="D749" s="43"/>
      <c r="E749" s="43"/>
      <c r="F749" s="44"/>
      <c r="G749" s="43"/>
      <c r="H749" s="43"/>
      <c r="I749" s="43"/>
      <c r="J749" s="36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9.5" customHeight="1">
      <c r="A750" s="45"/>
      <c r="B750" s="46"/>
      <c r="C750" s="46"/>
      <c r="D750" s="46"/>
      <c r="E750" s="46"/>
      <c r="F750" s="54"/>
      <c r="G750" s="46"/>
      <c r="H750" s="46"/>
      <c r="I750" s="46"/>
      <c r="J750" s="36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9.5" customHeight="1">
      <c r="A751" s="42"/>
      <c r="B751" s="43"/>
      <c r="C751" s="43"/>
      <c r="D751" s="43"/>
      <c r="E751" s="43"/>
      <c r="F751" s="44"/>
      <c r="G751" s="43"/>
      <c r="H751" s="43"/>
      <c r="I751" s="43"/>
      <c r="J751" s="36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9.5" customHeight="1">
      <c r="A752" s="45"/>
      <c r="B752" s="46"/>
      <c r="C752" s="46"/>
      <c r="D752" s="46"/>
      <c r="E752" s="46"/>
      <c r="F752" s="54"/>
      <c r="G752" s="46"/>
      <c r="H752" s="46"/>
      <c r="I752" s="46"/>
      <c r="J752" s="36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9.5" customHeight="1">
      <c r="A753" s="42"/>
      <c r="B753" s="43"/>
      <c r="C753" s="43"/>
      <c r="D753" s="43"/>
      <c r="E753" s="43"/>
      <c r="F753" s="44"/>
      <c r="G753" s="43"/>
      <c r="H753" s="43"/>
      <c r="I753" s="43"/>
      <c r="J753" s="36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9.5" customHeight="1">
      <c r="A754" s="45"/>
      <c r="B754" s="46"/>
      <c r="C754" s="46"/>
      <c r="D754" s="46"/>
      <c r="E754" s="46"/>
      <c r="F754" s="54"/>
      <c r="G754" s="46"/>
      <c r="H754" s="46"/>
      <c r="I754" s="46"/>
      <c r="J754" s="36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9.5" customHeight="1">
      <c r="A755" s="42"/>
      <c r="B755" s="43"/>
      <c r="C755" s="43"/>
      <c r="D755" s="43"/>
      <c r="E755" s="43"/>
      <c r="F755" s="44"/>
      <c r="G755" s="43"/>
      <c r="H755" s="43"/>
      <c r="I755" s="43"/>
      <c r="J755" s="36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9.5" customHeight="1">
      <c r="A756" s="45"/>
      <c r="B756" s="46"/>
      <c r="C756" s="46"/>
      <c r="D756" s="46"/>
      <c r="E756" s="46"/>
      <c r="F756" s="54"/>
      <c r="G756" s="46"/>
      <c r="H756" s="46"/>
      <c r="I756" s="46"/>
      <c r="J756" s="36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9.5" customHeight="1">
      <c r="A757" s="42"/>
      <c r="B757" s="43"/>
      <c r="C757" s="43"/>
      <c r="D757" s="43"/>
      <c r="E757" s="43"/>
      <c r="F757" s="44"/>
      <c r="G757" s="43"/>
      <c r="H757" s="43"/>
      <c r="I757" s="43"/>
      <c r="J757" s="36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9.5" customHeight="1">
      <c r="A758" s="45"/>
      <c r="B758" s="46"/>
      <c r="C758" s="46"/>
      <c r="D758" s="46"/>
      <c r="E758" s="46"/>
      <c r="F758" s="54"/>
      <c r="G758" s="46"/>
      <c r="H758" s="46"/>
      <c r="I758" s="46"/>
      <c r="J758" s="36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9.5" customHeight="1">
      <c r="A759" s="42"/>
      <c r="B759" s="43"/>
      <c r="C759" s="43"/>
      <c r="D759" s="43"/>
      <c r="E759" s="43"/>
      <c r="F759" s="44"/>
      <c r="G759" s="43"/>
      <c r="H759" s="43"/>
      <c r="I759" s="43"/>
      <c r="J759" s="36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9.5" customHeight="1">
      <c r="A760" s="45"/>
      <c r="B760" s="46"/>
      <c r="C760" s="46"/>
      <c r="D760" s="46"/>
      <c r="E760" s="46"/>
      <c r="F760" s="54"/>
      <c r="G760" s="46"/>
      <c r="H760" s="46"/>
      <c r="I760" s="46"/>
      <c r="J760" s="36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9.5" customHeight="1">
      <c r="A761" s="42"/>
      <c r="B761" s="43"/>
      <c r="C761" s="43"/>
      <c r="D761" s="43"/>
      <c r="E761" s="43"/>
      <c r="F761" s="44"/>
      <c r="G761" s="43"/>
      <c r="H761" s="43"/>
      <c r="I761" s="43"/>
      <c r="J761" s="36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9.5" customHeight="1">
      <c r="A762" s="45"/>
      <c r="B762" s="46"/>
      <c r="C762" s="46"/>
      <c r="D762" s="46"/>
      <c r="E762" s="46"/>
      <c r="F762" s="54"/>
      <c r="G762" s="46"/>
      <c r="H762" s="46"/>
      <c r="I762" s="46"/>
      <c r="J762" s="36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9.5" customHeight="1">
      <c r="A763" s="42"/>
      <c r="B763" s="43"/>
      <c r="C763" s="43"/>
      <c r="D763" s="43"/>
      <c r="E763" s="43"/>
      <c r="F763" s="44"/>
      <c r="G763" s="43"/>
      <c r="H763" s="43"/>
      <c r="I763" s="43"/>
      <c r="J763" s="36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9.5" customHeight="1">
      <c r="A764" s="45"/>
      <c r="B764" s="46"/>
      <c r="C764" s="46"/>
      <c r="D764" s="46"/>
      <c r="E764" s="46"/>
      <c r="F764" s="54"/>
      <c r="G764" s="46"/>
      <c r="H764" s="46"/>
      <c r="I764" s="46"/>
      <c r="J764" s="36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9.5" customHeight="1">
      <c r="A765" s="42"/>
      <c r="B765" s="43"/>
      <c r="C765" s="43"/>
      <c r="D765" s="43"/>
      <c r="E765" s="43"/>
      <c r="F765" s="44"/>
      <c r="G765" s="43"/>
      <c r="H765" s="43"/>
      <c r="I765" s="43"/>
      <c r="J765" s="36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9.5" customHeight="1">
      <c r="A766" s="45"/>
      <c r="B766" s="46"/>
      <c r="C766" s="46"/>
      <c r="D766" s="46"/>
      <c r="E766" s="46"/>
      <c r="F766" s="54"/>
      <c r="G766" s="46"/>
      <c r="H766" s="46"/>
      <c r="I766" s="46"/>
      <c r="J766" s="36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9.5" customHeight="1">
      <c r="A767" s="42"/>
      <c r="B767" s="43"/>
      <c r="C767" s="43"/>
      <c r="D767" s="43"/>
      <c r="E767" s="43"/>
      <c r="F767" s="44"/>
      <c r="G767" s="43"/>
      <c r="H767" s="43"/>
      <c r="I767" s="43"/>
      <c r="J767" s="36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9.5" customHeight="1">
      <c r="A768" s="45"/>
      <c r="B768" s="46"/>
      <c r="C768" s="46"/>
      <c r="D768" s="46"/>
      <c r="E768" s="46"/>
      <c r="F768" s="54"/>
      <c r="G768" s="46"/>
      <c r="H768" s="46"/>
      <c r="I768" s="46"/>
      <c r="J768" s="36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9.5" customHeight="1">
      <c r="A769" s="42"/>
      <c r="B769" s="43"/>
      <c r="C769" s="43"/>
      <c r="D769" s="43"/>
      <c r="E769" s="43"/>
      <c r="F769" s="44"/>
      <c r="G769" s="43"/>
      <c r="H769" s="43"/>
      <c r="I769" s="43"/>
      <c r="J769" s="36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9.5" customHeight="1">
      <c r="A770" s="45"/>
      <c r="B770" s="46"/>
      <c r="C770" s="46"/>
      <c r="D770" s="46"/>
      <c r="E770" s="46"/>
      <c r="F770" s="54"/>
      <c r="G770" s="46"/>
      <c r="H770" s="46"/>
      <c r="I770" s="46"/>
      <c r="J770" s="36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9.5" customHeight="1">
      <c r="A771" s="42"/>
      <c r="B771" s="43"/>
      <c r="C771" s="43"/>
      <c r="D771" s="43"/>
      <c r="E771" s="43"/>
      <c r="F771" s="44"/>
      <c r="G771" s="43"/>
      <c r="H771" s="43"/>
      <c r="I771" s="43"/>
      <c r="J771" s="36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9.5" customHeight="1">
      <c r="A772" s="45"/>
      <c r="B772" s="46"/>
      <c r="C772" s="46"/>
      <c r="D772" s="46"/>
      <c r="E772" s="46"/>
      <c r="F772" s="54"/>
      <c r="G772" s="46"/>
      <c r="H772" s="46"/>
      <c r="I772" s="46"/>
      <c r="J772" s="36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9.5" customHeight="1">
      <c r="A773" s="42"/>
      <c r="B773" s="43"/>
      <c r="C773" s="43"/>
      <c r="D773" s="43"/>
      <c r="E773" s="43"/>
      <c r="F773" s="44"/>
      <c r="G773" s="43"/>
      <c r="H773" s="43"/>
      <c r="I773" s="43"/>
      <c r="J773" s="36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9.5" customHeight="1">
      <c r="A774" s="45"/>
      <c r="B774" s="46"/>
      <c r="C774" s="46"/>
      <c r="D774" s="46"/>
      <c r="E774" s="46"/>
      <c r="F774" s="54"/>
      <c r="G774" s="46"/>
      <c r="H774" s="46"/>
      <c r="I774" s="46"/>
      <c r="J774" s="36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9.5" customHeight="1">
      <c r="A775" s="42"/>
      <c r="B775" s="43"/>
      <c r="C775" s="43"/>
      <c r="D775" s="43"/>
      <c r="E775" s="43"/>
      <c r="F775" s="44"/>
      <c r="G775" s="43"/>
      <c r="H775" s="43"/>
      <c r="I775" s="43"/>
      <c r="J775" s="36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9.5" customHeight="1">
      <c r="A776" s="45"/>
      <c r="B776" s="46"/>
      <c r="C776" s="46"/>
      <c r="D776" s="46"/>
      <c r="E776" s="46"/>
      <c r="F776" s="54"/>
      <c r="G776" s="46"/>
      <c r="H776" s="46"/>
      <c r="I776" s="46"/>
      <c r="J776" s="36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9.5" customHeight="1">
      <c r="A777" s="42"/>
      <c r="B777" s="43"/>
      <c r="C777" s="43"/>
      <c r="D777" s="43"/>
      <c r="E777" s="43"/>
      <c r="F777" s="44"/>
      <c r="G777" s="43"/>
      <c r="H777" s="43"/>
      <c r="I777" s="43"/>
      <c r="J777" s="36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9.5" customHeight="1">
      <c r="A778" s="45"/>
      <c r="B778" s="46"/>
      <c r="C778" s="46"/>
      <c r="D778" s="46"/>
      <c r="E778" s="46"/>
      <c r="F778" s="54"/>
      <c r="G778" s="46"/>
      <c r="H778" s="46"/>
      <c r="I778" s="46"/>
      <c r="J778" s="36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9.5" customHeight="1">
      <c r="A779" s="42"/>
      <c r="B779" s="43"/>
      <c r="C779" s="43"/>
      <c r="D779" s="43"/>
      <c r="E779" s="43"/>
      <c r="F779" s="44"/>
      <c r="G779" s="43"/>
      <c r="H779" s="43"/>
      <c r="I779" s="43"/>
      <c r="J779" s="36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9.5" customHeight="1">
      <c r="A780" s="45"/>
      <c r="B780" s="46"/>
      <c r="C780" s="46"/>
      <c r="D780" s="46"/>
      <c r="E780" s="46"/>
      <c r="F780" s="54"/>
      <c r="G780" s="46"/>
      <c r="H780" s="46"/>
      <c r="I780" s="46"/>
      <c r="J780" s="36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9.5" customHeight="1">
      <c r="A781" s="42"/>
      <c r="B781" s="43"/>
      <c r="C781" s="43"/>
      <c r="D781" s="43"/>
      <c r="E781" s="43"/>
      <c r="F781" s="44"/>
      <c r="G781" s="43"/>
      <c r="H781" s="43"/>
      <c r="I781" s="43"/>
      <c r="J781" s="36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9.5" customHeight="1">
      <c r="A782" s="45"/>
      <c r="B782" s="46"/>
      <c r="C782" s="46"/>
      <c r="D782" s="46"/>
      <c r="E782" s="46"/>
      <c r="F782" s="54"/>
      <c r="G782" s="46"/>
      <c r="H782" s="46"/>
      <c r="I782" s="46"/>
      <c r="J782" s="36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9.5" customHeight="1">
      <c r="A783" s="42"/>
      <c r="B783" s="43"/>
      <c r="C783" s="43"/>
      <c r="D783" s="43"/>
      <c r="E783" s="43"/>
      <c r="F783" s="44"/>
      <c r="G783" s="43"/>
      <c r="H783" s="43"/>
      <c r="I783" s="43"/>
      <c r="J783" s="36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9.5" customHeight="1">
      <c r="A784" s="45"/>
      <c r="B784" s="46"/>
      <c r="C784" s="46"/>
      <c r="D784" s="46"/>
      <c r="E784" s="46"/>
      <c r="F784" s="54"/>
      <c r="G784" s="46"/>
      <c r="H784" s="46"/>
      <c r="I784" s="46"/>
      <c r="J784" s="36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9.5" customHeight="1">
      <c r="A785" s="42"/>
      <c r="B785" s="43"/>
      <c r="C785" s="43"/>
      <c r="D785" s="43"/>
      <c r="E785" s="43"/>
      <c r="F785" s="44"/>
      <c r="G785" s="43"/>
      <c r="H785" s="43"/>
      <c r="I785" s="43"/>
      <c r="J785" s="36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9.5" customHeight="1">
      <c r="A786" s="45"/>
      <c r="B786" s="46"/>
      <c r="C786" s="46"/>
      <c r="D786" s="46"/>
      <c r="E786" s="46"/>
      <c r="F786" s="54"/>
      <c r="G786" s="46"/>
      <c r="H786" s="46"/>
      <c r="I786" s="46"/>
      <c r="J786" s="36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9.5" customHeight="1">
      <c r="A787" s="42"/>
      <c r="B787" s="43"/>
      <c r="C787" s="43"/>
      <c r="D787" s="43"/>
      <c r="E787" s="43"/>
      <c r="F787" s="44"/>
      <c r="G787" s="43"/>
      <c r="H787" s="43"/>
      <c r="I787" s="43"/>
      <c r="J787" s="36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9.5" customHeight="1">
      <c r="A788" s="45"/>
      <c r="B788" s="46"/>
      <c r="C788" s="46"/>
      <c r="D788" s="46"/>
      <c r="E788" s="46"/>
      <c r="F788" s="54"/>
      <c r="G788" s="46"/>
      <c r="H788" s="46"/>
      <c r="I788" s="46"/>
      <c r="J788" s="36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9.5" customHeight="1">
      <c r="A789" s="42"/>
      <c r="B789" s="43"/>
      <c r="C789" s="43"/>
      <c r="D789" s="43"/>
      <c r="E789" s="43"/>
      <c r="F789" s="44"/>
      <c r="G789" s="43"/>
      <c r="H789" s="43"/>
      <c r="I789" s="43"/>
      <c r="J789" s="36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9.5" customHeight="1">
      <c r="A790" s="45"/>
      <c r="B790" s="46"/>
      <c r="C790" s="46"/>
      <c r="D790" s="46"/>
      <c r="E790" s="46"/>
      <c r="F790" s="54"/>
      <c r="G790" s="46"/>
      <c r="H790" s="46"/>
      <c r="I790" s="46"/>
      <c r="J790" s="36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9.5" customHeight="1">
      <c r="A791" s="42"/>
      <c r="B791" s="43"/>
      <c r="C791" s="43"/>
      <c r="D791" s="43"/>
      <c r="E791" s="43"/>
      <c r="F791" s="44"/>
      <c r="G791" s="43"/>
      <c r="H791" s="43"/>
      <c r="I791" s="43"/>
      <c r="J791" s="36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9.5" customHeight="1">
      <c r="A792" s="45"/>
      <c r="B792" s="46"/>
      <c r="C792" s="46"/>
      <c r="D792" s="46"/>
      <c r="E792" s="46"/>
      <c r="F792" s="54"/>
      <c r="G792" s="46"/>
      <c r="H792" s="46"/>
      <c r="I792" s="46"/>
      <c r="J792" s="36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9.5" customHeight="1">
      <c r="A793" s="42"/>
      <c r="B793" s="43"/>
      <c r="C793" s="43"/>
      <c r="D793" s="43"/>
      <c r="E793" s="43"/>
      <c r="F793" s="44"/>
      <c r="G793" s="43"/>
      <c r="H793" s="43"/>
      <c r="I793" s="43"/>
      <c r="J793" s="36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9.5" customHeight="1">
      <c r="A794" s="45"/>
      <c r="B794" s="46"/>
      <c r="C794" s="46"/>
      <c r="D794" s="46"/>
      <c r="E794" s="46"/>
      <c r="F794" s="54"/>
      <c r="G794" s="46"/>
      <c r="H794" s="46"/>
      <c r="I794" s="46"/>
      <c r="J794" s="36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9.5" customHeight="1">
      <c r="A795" s="42"/>
      <c r="B795" s="43"/>
      <c r="C795" s="43"/>
      <c r="D795" s="43"/>
      <c r="E795" s="43"/>
      <c r="F795" s="44"/>
      <c r="G795" s="43"/>
      <c r="H795" s="43"/>
      <c r="I795" s="43"/>
      <c r="J795" s="36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9.5" customHeight="1">
      <c r="A796" s="45"/>
      <c r="B796" s="46"/>
      <c r="C796" s="46"/>
      <c r="D796" s="46"/>
      <c r="E796" s="46"/>
      <c r="F796" s="54"/>
      <c r="G796" s="46"/>
      <c r="H796" s="46"/>
      <c r="I796" s="46"/>
      <c r="J796" s="36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9.5" customHeight="1">
      <c r="A797" s="42"/>
      <c r="B797" s="43"/>
      <c r="C797" s="43"/>
      <c r="D797" s="43"/>
      <c r="E797" s="43"/>
      <c r="F797" s="44"/>
      <c r="G797" s="43"/>
      <c r="H797" s="43"/>
      <c r="I797" s="43"/>
      <c r="J797" s="36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9.5" customHeight="1">
      <c r="A798" s="45"/>
      <c r="B798" s="46"/>
      <c r="C798" s="46"/>
      <c r="D798" s="46"/>
      <c r="E798" s="46"/>
      <c r="F798" s="54"/>
      <c r="G798" s="46"/>
      <c r="H798" s="46"/>
      <c r="I798" s="46"/>
      <c r="J798" s="36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9.5" customHeight="1">
      <c r="A799" s="42"/>
      <c r="B799" s="43"/>
      <c r="C799" s="43"/>
      <c r="D799" s="43"/>
      <c r="E799" s="43"/>
      <c r="F799" s="44"/>
      <c r="G799" s="43"/>
      <c r="H799" s="43"/>
      <c r="I799" s="43"/>
      <c r="J799" s="36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9.5" customHeight="1">
      <c r="A800" s="45"/>
      <c r="B800" s="46"/>
      <c r="C800" s="46"/>
      <c r="D800" s="46"/>
      <c r="E800" s="46"/>
      <c r="F800" s="54"/>
      <c r="G800" s="46"/>
      <c r="H800" s="46"/>
      <c r="I800" s="46"/>
      <c r="J800" s="36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9.5" customHeight="1">
      <c r="A801" s="42"/>
      <c r="B801" s="43"/>
      <c r="C801" s="43"/>
      <c r="D801" s="43"/>
      <c r="E801" s="43"/>
      <c r="F801" s="44"/>
      <c r="G801" s="43"/>
      <c r="H801" s="43"/>
      <c r="I801" s="43"/>
      <c r="J801" s="36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9.5" customHeight="1">
      <c r="A802" s="45"/>
      <c r="B802" s="46"/>
      <c r="C802" s="46"/>
      <c r="D802" s="46"/>
      <c r="E802" s="46"/>
      <c r="F802" s="54"/>
      <c r="G802" s="46"/>
      <c r="H802" s="46"/>
      <c r="I802" s="46"/>
      <c r="J802" s="36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9.5" customHeight="1">
      <c r="A803" s="42"/>
      <c r="B803" s="43"/>
      <c r="C803" s="43"/>
      <c r="D803" s="43"/>
      <c r="E803" s="43"/>
      <c r="F803" s="44"/>
      <c r="G803" s="43"/>
      <c r="H803" s="43"/>
      <c r="I803" s="43"/>
      <c r="J803" s="36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9.5" customHeight="1">
      <c r="A804" s="45"/>
      <c r="B804" s="46"/>
      <c r="C804" s="46"/>
      <c r="D804" s="46"/>
      <c r="E804" s="46"/>
      <c r="F804" s="54"/>
      <c r="G804" s="46"/>
      <c r="H804" s="46"/>
      <c r="I804" s="46"/>
      <c r="J804" s="36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9.5" customHeight="1">
      <c r="A805" s="42"/>
      <c r="B805" s="43"/>
      <c r="C805" s="43"/>
      <c r="D805" s="43"/>
      <c r="E805" s="43"/>
      <c r="F805" s="44"/>
      <c r="G805" s="43"/>
      <c r="H805" s="43"/>
      <c r="I805" s="43"/>
      <c r="J805" s="36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9.5" customHeight="1">
      <c r="A806" s="45"/>
      <c r="B806" s="46"/>
      <c r="C806" s="46"/>
      <c r="D806" s="46"/>
      <c r="E806" s="46"/>
      <c r="F806" s="54"/>
      <c r="G806" s="46"/>
      <c r="H806" s="46"/>
      <c r="I806" s="46"/>
      <c r="J806" s="36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9.5" customHeight="1">
      <c r="A807" s="42"/>
      <c r="B807" s="43"/>
      <c r="C807" s="43"/>
      <c r="D807" s="43"/>
      <c r="E807" s="43"/>
      <c r="F807" s="44"/>
      <c r="G807" s="43"/>
      <c r="H807" s="43"/>
      <c r="I807" s="43"/>
      <c r="J807" s="36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9.5" customHeight="1">
      <c r="A808" s="45"/>
      <c r="B808" s="46"/>
      <c r="C808" s="46"/>
      <c r="D808" s="46"/>
      <c r="E808" s="46"/>
      <c r="F808" s="54"/>
      <c r="G808" s="46"/>
      <c r="H808" s="46"/>
      <c r="I808" s="46"/>
      <c r="J808" s="36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9.5" customHeight="1">
      <c r="A809" s="42"/>
      <c r="B809" s="43"/>
      <c r="C809" s="43"/>
      <c r="D809" s="43"/>
      <c r="E809" s="43"/>
      <c r="F809" s="44"/>
      <c r="G809" s="43"/>
      <c r="H809" s="43"/>
      <c r="I809" s="43"/>
      <c r="J809" s="36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9.5" customHeight="1">
      <c r="A810" s="45"/>
      <c r="B810" s="46"/>
      <c r="C810" s="46"/>
      <c r="D810" s="46"/>
      <c r="E810" s="46"/>
      <c r="F810" s="54"/>
      <c r="G810" s="46"/>
      <c r="H810" s="46"/>
      <c r="I810" s="46"/>
      <c r="J810" s="36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9.5" customHeight="1">
      <c r="A811" s="42"/>
      <c r="B811" s="43"/>
      <c r="C811" s="43"/>
      <c r="D811" s="43"/>
      <c r="E811" s="43"/>
      <c r="F811" s="44"/>
      <c r="G811" s="43"/>
      <c r="H811" s="43"/>
      <c r="I811" s="43"/>
      <c r="J811" s="36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9.5" customHeight="1">
      <c r="A812" s="45"/>
      <c r="B812" s="46"/>
      <c r="C812" s="46"/>
      <c r="D812" s="46"/>
      <c r="E812" s="46"/>
      <c r="F812" s="54"/>
      <c r="G812" s="46"/>
      <c r="H812" s="46"/>
      <c r="I812" s="46"/>
      <c r="J812" s="36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9.5" customHeight="1">
      <c r="A813" s="42"/>
      <c r="B813" s="43"/>
      <c r="C813" s="43"/>
      <c r="D813" s="43"/>
      <c r="E813" s="43"/>
      <c r="F813" s="44"/>
      <c r="G813" s="43"/>
      <c r="H813" s="43"/>
      <c r="I813" s="43"/>
      <c r="J813" s="36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9.5" customHeight="1">
      <c r="A814" s="45"/>
      <c r="B814" s="46"/>
      <c r="C814" s="46"/>
      <c r="D814" s="46"/>
      <c r="E814" s="46"/>
      <c r="F814" s="54"/>
      <c r="G814" s="46"/>
      <c r="H814" s="46"/>
      <c r="I814" s="46"/>
      <c r="J814" s="36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9.5" customHeight="1">
      <c r="A815" s="42"/>
      <c r="B815" s="43"/>
      <c r="C815" s="43"/>
      <c r="D815" s="43"/>
      <c r="E815" s="43"/>
      <c r="F815" s="44"/>
      <c r="G815" s="43"/>
      <c r="H815" s="43"/>
      <c r="I815" s="43"/>
      <c r="J815" s="36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9.5" customHeight="1">
      <c r="A816" s="45"/>
      <c r="B816" s="46"/>
      <c r="C816" s="46"/>
      <c r="D816" s="46"/>
      <c r="E816" s="46"/>
      <c r="F816" s="54"/>
      <c r="G816" s="46"/>
      <c r="H816" s="46"/>
      <c r="I816" s="46"/>
      <c r="J816" s="36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9.5" customHeight="1">
      <c r="A817" s="42"/>
      <c r="B817" s="43"/>
      <c r="C817" s="43"/>
      <c r="D817" s="43"/>
      <c r="E817" s="43"/>
      <c r="F817" s="44"/>
      <c r="G817" s="43"/>
      <c r="H817" s="43"/>
      <c r="I817" s="43"/>
      <c r="J817" s="36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9.5" customHeight="1">
      <c r="A818" s="45"/>
      <c r="B818" s="46"/>
      <c r="C818" s="46"/>
      <c r="D818" s="46"/>
      <c r="E818" s="46"/>
      <c r="F818" s="54"/>
      <c r="G818" s="46"/>
      <c r="H818" s="46"/>
      <c r="I818" s="46"/>
      <c r="J818" s="36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9.5" customHeight="1">
      <c r="A819" s="42"/>
      <c r="B819" s="43"/>
      <c r="C819" s="43"/>
      <c r="D819" s="43"/>
      <c r="E819" s="43"/>
      <c r="F819" s="44"/>
      <c r="G819" s="43"/>
      <c r="H819" s="43"/>
      <c r="I819" s="43"/>
      <c r="J819" s="36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9.5" customHeight="1">
      <c r="A820" s="45"/>
      <c r="B820" s="46"/>
      <c r="C820" s="46"/>
      <c r="D820" s="46"/>
      <c r="E820" s="46"/>
      <c r="F820" s="54"/>
      <c r="G820" s="46"/>
      <c r="H820" s="46"/>
      <c r="I820" s="46"/>
      <c r="J820" s="36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9.5" customHeight="1">
      <c r="A821" s="42"/>
      <c r="B821" s="43"/>
      <c r="C821" s="43"/>
      <c r="D821" s="43"/>
      <c r="E821" s="43"/>
      <c r="F821" s="44"/>
      <c r="G821" s="43"/>
      <c r="H821" s="43"/>
      <c r="I821" s="43"/>
      <c r="J821" s="36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9.5" customHeight="1">
      <c r="A822" s="45"/>
      <c r="B822" s="46"/>
      <c r="C822" s="46"/>
      <c r="D822" s="46"/>
      <c r="E822" s="46"/>
      <c r="F822" s="54"/>
      <c r="G822" s="46"/>
      <c r="H822" s="46"/>
      <c r="I822" s="46"/>
      <c r="J822" s="36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9.5" customHeight="1">
      <c r="A823" s="42"/>
      <c r="B823" s="43"/>
      <c r="C823" s="43"/>
      <c r="D823" s="43"/>
      <c r="E823" s="43"/>
      <c r="F823" s="44"/>
      <c r="G823" s="43"/>
      <c r="H823" s="43"/>
      <c r="I823" s="43"/>
      <c r="J823" s="36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9.5" customHeight="1">
      <c r="A824" s="45"/>
      <c r="B824" s="46"/>
      <c r="C824" s="46"/>
      <c r="D824" s="46"/>
      <c r="E824" s="46"/>
      <c r="F824" s="54"/>
      <c r="G824" s="46"/>
      <c r="H824" s="46"/>
      <c r="I824" s="46"/>
      <c r="J824" s="36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9.5" customHeight="1">
      <c r="A825" s="42"/>
      <c r="B825" s="43"/>
      <c r="C825" s="43"/>
      <c r="D825" s="43"/>
      <c r="E825" s="43"/>
      <c r="F825" s="44"/>
      <c r="G825" s="43"/>
      <c r="H825" s="43"/>
      <c r="I825" s="43"/>
      <c r="J825" s="36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9.5" customHeight="1">
      <c r="A826" s="45"/>
      <c r="B826" s="46"/>
      <c r="C826" s="46"/>
      <c r="D826" s="46"/>
      <c r="E826" s="46"/>
      <c r="F826" s="54"/>
      <c r="G826" s="46"/>
      <c r="H826" s="46"/>
      <c r="I826" s="46"/>
      <c r="J826" s="36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9.5" customHeight="1">
      <c r="A827" s="42"/>
      <c r="B827" s="43"/>
      <c r="C827" s="43"/>
      <c r="D827" s="43"/>
      <c r="E827" s="43"/>
      <c r="F827" s="44"/>
      <c r="G827" s="43"/>
      <c r="H827" s="43"/>
      <c r="I827" s="43"/>
      <c r="J827" s="36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9.5" customHeight="1">
      <c r="A828" s="45"/>
      <c r="B828" s="46"/>
      <c r="C828" s="46"/>
      <c r="D828" s="46"/>
      <c r="E828" s="46"/>
      <c r="F828" s="54"/>
      <c r="G828" s="46"/>
      <c r="H828" s="46"/>
      <c r="I828" s="46"/>
      <c r="J828" s="36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9.5" customHeight="1">
      <c r="A829" s="42"/>
      <c r="B829" s="43"/>
      <c r="C829" s="43"/>
      <c r="D829" s="43"/>
      <c r="E829" s="43"/>
      <c r="F829" s="44"/>
      <c r="G829" s="43"/>
      <c r="H829" s="43"/>
      <c r="I829" s="43"/>
      <c r="J829" s="36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9.5" customHeight="1">
      <c r="A830" s="45"/>
      <c r="B830" s="46"/>
      <c r="C830" s="46"/>
      <c r="D830" s="46"/>
      <c r="E830" s="46"/>
      <c r="F830" s="54"/>
      <c r="G830" s="46"/>
      <c r="H830" s="46"/>
      <c r="I830" s="46"/>
      <c r="J830" s="36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9.5" customHeight="1">
      <c r="A831" s="42"/>
      <c r="B831" s="43"/>
      <c r="C831" s="43"/>
      <c r="D831" s="43"/>
      <c r="E831" s="43"/>
      <c r="F831" s="44"/>
      <c r="G831" s="43"/>
      <c r="H831" s="43"/>
      <c r="I831" s="43"/>
      <c r="J831" s="36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9.5" customHeight="1">
      <c r="A832" s="45"/>
      <c r="B832" s="46"/>
      <c r="C832" s="46"/>
      <c r="D832" s="46"/>
      <c r="E832" s="46"/>
      <c r="F832" s="54"/>
      <c r="G832" s="46"/>
      <c r="H832" s="46"/>
      <c r="I832" s="46"/>
      <c r="J832" s="36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9.5" customHeight="1">
      <c r="A833" s="42"/>
      <c r="B833" s="43"/>
      <c r="C833" s="43"/>
      <c r="D833" s="43"/>
      <c r="E833" s="43"/>
      <c r="F833" s="44"/>
      <c r="G833" s="43"/>
      <c r="H833" s="43"/>
      <c r="I833" s="43"/>
      <c r="J833" s="36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9.5" customHeight="1">
      <c r="A834" s="45"/>
      <c r="B834" s="46"/>
      <c r="C834" s="46"/>
      <c r="D834" s="46"/>
      <c r="E834" s="46"/>
      <c r="F834" s="54"/>
      <c r="G834" s="46"/>
      <c r="H834" s="46"/>
      <c r="I834" s="46"/>
      <c r="J834" s="36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9.5" customHeight="1">
      <c r="A835" s="42"/>
      <c r="B835" s="43"/>
      <c r="C835" s="43"/>
      <c r="D835" s="43"/>
      <c r="E835" s="43"/>
      <c r="F835" s="44"/>
      <c r="G835" s="43"/>
      <c r="H835" s="43"/>
      <c r="I835" s="43"/>
      <c r="J835" s="36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9.5" customHeight="1">
      <c r="A836" s="45"/>
      <c r="B836" s="46"/>
      <c r="C836" s="46"/>
      <c r="D836" s="46"/>
      <c r="E836" s="46"/>
      <c r="F836" s="54"/>
      <c r="G836" s="46"/>
      <c r="H836" s="46"/>
      <c r="I836" s="46"/>
      <c r="J836" s="36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9.5" customHeight="1">
      <c r="A837" s="42"/>
      <c r="B837" s="43"/>
      <c r="C837" s="43"/>
      <c r="D837" s="43"/>
      <c r="E837" s="43"/>
      <c r="F837" s="44"/>
      <c r="G837" s="43"/>
      <c r="H837" s="43"/>
      <c r="I837" s="43"/>
      <c r="J837" s="36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9.5" customHeight="1">
      <c r="A838" s="45"/>
      <c r="B838" s="46"/>
      <c r="C838" s="46"/>
      <c r="D838" s="46"/>
      <c r="E838" s="46"/>
      <c r="F838" s="54"/>
      <c r="G838" s="46"/>
      <c r="H838" s="46"/>
      <c r="I838" s="46"/>
      <c r="J838" s="36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9.5" customHeight="1">
      <c r="A839" s="42"/>
      <c r="B839" s="43"/>
      <c r="C839" s="43"/>
      <c r="D839" s="43"/>
      <c r="E839" s="43"/>
      <c r="F839" s="44"/>
      <c r="G839" s="43"/>
      <c r="H839" s="43"/>
      <c r="I839" s="43"/>
      <c r="J839" s="36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9.5" customHeight="1">
      <c r="A840" s="45"/>
      <c r="B840" s="46"/>
      <c r="C840" s="46"/>
      <c r="D840" s="46"/>
      <c r="E840" s="46"/>
      <c r="F840" s="54"/>
      <c r="G840" s="46"/>
      <c r="H840" s="46"/>
      <c r="I840" s="46"/>
      <c r="J840" s="36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9.5" customHeight="1">
      <c r="A841" s="42"/>
      <c r="B841" s="43"/>
      <c r="C841" s="43"/>
      <c r="D841" s="43"/>
      <c r="E841" s="43"/>
      <c r="F841" s="44"/>
      <c r="G841" s="43"/>
      <c r="H841" s="43"/>
      <c r="I841" s="43"/>
      <c r="J841" s="36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9.5" customHeight="1">
      <c r="A842" s="45"/>
      <c r="B842" s="46"/>
      <c r="C842" s="46"/>
      <c r="D842" s="46"/>
      <c r="E842" s="46"/>
      <c r="F842" s="54"/>
      <c r="G842" s="46"/>
      <c r="H842" s="46"/>
      <c r="I842" s="46"/>
      <c r="J842" s="36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9.5" customHeight="1">
      <c r="A843" s="42"/>
      <c r="B843" s="43"/>
      <c r="C843" s="43"/>
      <c r="D843" s="43"/>
      <c r="E843" s="43"/>
      <c r="F843" s="44"/>
      <c r="G843" s="43"/>
      <c r="H843" s="43"/>
      <c r="I843" s="43"/>
      <c r="J843" s="36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9.5" customHeight="1">
      <c r="A844" s="45"/>
      <c r="B844" s="46"/>
      <c r="C844" s="46"/>
      <c r="D844" s="46"/>
      <c r="E844" s="46"/>
      <c r="F844" s="54"/>
      <c r="G844" s="46"/>
      <c r="H844" s="46"/>
      <c r="I844" s="46"/>
      <c r="J844" s="36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9.5" customHeight="1">
      <c r="A845" s="42"/>
      <c r="B845" s="43"/>
      <c r="C845" s="43"/>
      <c r="D845" s="43"/>
      <c r="E845" s="43"/>
      <c r="F845" s="44"/>
      <c r="G845" s="43"/>
      <c r="H845" s="43"/>
      <c r="I845" s="43"/>
      <c r="J845" s="36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9.5" customHeight="1">
      <c r="A846" s="45"/>
      <c r="B846" s="46"/>
      <c r="C846" s="46"/>
      <c r="D846" s="46"/>
      <c r="E846" s="46"/>
      <c r="F846" s="54"/>
      <c r="G846" s="46"/>
      <c r="H846" s="46"/>
      <c r="I846" s="46"/>
      <c r="J846" s="36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9.5" customHeight="1">
      <c r="A847" s="42"/>
      <c r="B847" s="43"/>
      <c r="C847" s="43"/>
      <c r="D847" s="43"/>
      <c r="E847" s="43"/>
      <c r="F847" s="44"/>
      <c r="G847" s="43"/>
      <c r="H847" s="43"/>
      <c r="I847" s="43"/>
      <c r="J847" s="36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9.5" customHeight="1">
      <c r="A848" s="45"/>
      <c r="B848" s="46"/>
      <c r="C848" s="46"/>
      <c r="D848" s="46"/>
      <c r="E848" s="46"/>
      <c r="F848" s="54"/>
      <c r="G848" s="46"/>
      <c r="H848" s="46"/>
      <c r="I848" s="46"/>
      <c r="J848" s="36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9.5" customHeight="1">
      <c r="A849" s="42"/>
      <c r="B849" s="43"/>
      <c r="C849" s="43"/>
      <c r="D849" s="43"/>
      <c r="E849" s="43"/>
      <c r="F849" s="44"/>
      <c r="G849" s="43"/>
      <c r="H849" s="43"/>
      <c r="I849" s="43"/>
      <c r="J849" s="36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9.5" customHeight="1">
      <c r="A850" s="45"/>
      <c r="B850" s="46"/>
      <c r="C850" s="46"/>
      <c r="D850" s="46"/>
      <c r="E850" s="46"/>
      <c r="F850" s="54"/>
      <c r="G850" s="46"/>
      <c r="H850" s="46"/>
      <c r="I850" s="46"/>
      <c r="J850" s="36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9.5" customHeight="1">
      <c r="A851" s="42"/>
      <c r="B851" s="43"/>
      <c r="C851" s="43"/>
      <c r="D851" s="43"/>
      <c r="E851" s="43"/>
      <c r="F851" s="44"/>
      <c r="G851" s="43"/>
      <c r="H851" s="43"/>
      <c r="I851" s="43"/>
      <c r="J851" s="36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9.5" customHeight="1">
      <c r="A852" s="45"/>
      <c r="B852" s="46"/>
      <c r="C852" s="46"/>
      <c r="D852" s="46"/>
      <c r="E852" s="46"/>
      <c r="F852" s="54"/>
      <c r="G852" s="46"/>
      <c r="H852" s="46"/>
      <c r="I852" s="46"/>
      <c r="J852" s="36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9.5" customHeight="1">
      <c r="A853" s="42"/>
      <c r="B853" s="43"/>
      <c r="C853" s="43"/>
      <c r="D853" s="43"/>
      <c r="E853" s="43"/>
      <c r="F853" s="44"/>
      <c r="G853" s="43"/>
      <c r="H853" s="43"/>
      <c r="I853" s="43"/>
      <c r="J853" s="36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9.5" customHeight="1">
      <c r="A854" s="45"/>
      <c r="B854" s="46"/>
      <c r="C854" s="46"/>
      <c r="D854" s="46"/>
      <c r="E854" s="46"/>
      <c r="F854" s="54"/>
      <c r="G854" s="46"/>
      <c r="H854" s="46"/>
      <c r="I854" s="46"/>
      <c r="J854" s="36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9.5" customHeight="1">
      <c r="A855" s="42"/>
      <c r="B855" s="43"/>
      <c r="C855" s="43"/>
      <c r="D855" s="43"/>
      <c r="E855" s="43"/>
      <c r="F855" s="44"/>
      <c r="G855" s="43"/>
      <c r="H855" s="43"/>
      <c r="I855" s="43"/>
      <c r="J855" s="36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9.5" customHeight="1">
      <c r="A856" s="45"/>
      <c r="B856" s="46"/>
      <c r="C856" s="46"/>
      <c r="D856" s="46"/>
      <c r="E856" s="46"/>
      <c r="F856" s="54"/>
      <c r="G856" s="46"/>
      <c r="H856" s="46"/>
      <c r="I856" s="46"/>
      <c r="J856" s="36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9.5" customHeight="1">
      <c r="A857" s="42"/>
      <c r="B857" s="43"/>
      <c r="C857" s="43"/>
      <c r="D857" s="43"/>
      <c r="E857" s="43"/>
      <c r="F857" s="44"/>
      <c r="G857" s="43"/>
      <c r="H857" s="43"/>
      <c r="I857" s="43"/>
      <c r="J857" s="36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9.5" customHeight="1">
      <c r="A858" s="45"/>
      <c r="B858" s="46"/>
      <c r="C858" s="46"/>
      <c r="D858" s="46"/>
      <c r="E858" s="46"/>
      <c r="F858" s="54"/>
      <c r="G858" s="46"/>
      <c r="H858" s="46"/>
      <c r="I858" s="46"/>
      <c r="J858" s="36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9.5" customHeight="1">
      <c r="A859" s="42"/>
      <c r="B859" s="43"/>
      <c r="C859" s="43"/>
      <c r="D859" s="43"/>
      <c r="E859" s="43"/>
      <c r="F859" s="44"/>
      <c r="G859" s="43"/>
      <c r="H859" s="43"/>
      <c r="I859" s="43"/>
      <c r="J859" s="36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9.5" customHeight="1">
      <c r="A860" s="45"/>
      <c r="B860" s="46"/>
      <c r="C860" s="46"/>
      <c r="D860" s="46"/>
      <c r="E860" s="46"/>
      <c r="F860" s="54"/>
      <c r="G860" s="46"/>
      <c r="H860" s="46"/>
      <c r="I860" s="46"/>
      <c r="J860" s="36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9.5" customHeight="1">
      <c r="A861" s="42"/>
      <c r="B861" s="43"/>
      <c r="C861" s="43"/>
      <c r="D861" s="43"/>
      <c r="E861" s="43"/>
      <c r="F861" s="44"/>
      <c r="G861" s="43"/>
      <c r="H861" s="43"/>
      <c r="I861" s="43"/>
      <c r="J861" s="36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9.5" customHeight="1">
      <c r="A862" s="45"/>
      <c r="B862" s="46"/>
      <c r="C862" s="46"/>
      <c r="D862" s="46"/>
      <c r="E862" s="46"/>
      <c r="F862" s="54"/>
      <c r="G862" s="46"/>
      <c r="H862" s="46"/>
      <c r="I862" s="46"/>
      <c r="J862" s="36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9.5" customHeight="1">
      <c r="A863" s="42"/>
      <c r="B863" s="43"/>
      <c r="C863" s="43"/>
      <c r="D863" s="43"/>
      <c r="E863" s="43"/>
      <c r="F863" s="44"/>
      <c r="G863" s="43"/>
      <c r="H863" s="43"/>
      <c r="I863" s="43"/>
      <c r="J863" s="36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9.5" customHeight="1">
      <c r="A864" s="45"/>
      <c r="B864" s="46"/>
      <c r="C864" s="46"/>
      <c r="D864" s="46"/>
      <c r="E864" s="46"/>
      <c r="F864" s="54"/>
      <c r="G864" s="46"/>
      <c r="H864" s="46"/>
      <c r="I864" s="46"/>
      <c r="J864" s="36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9.5" customHeight="1">
      <c r="A865" s="42"/>
      <c r="B865" s="43"/>
      <c r="C865" s="43"/>
      <c r="D865" s="43"/>
      <c r="E865" s="43"/>
      <c r="F865" s="44"/>
      <c r="G865" s="43"/>
      <c r="H865" s="43"/>
      <c r="I865" s="43"/>
      <c r="J865" s="36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9.5" customHeight="1">
      <c r="A866" s="45"/>
      <c r="B866" s="46"/>
      <c r="C866" s="46"/>
      <c r="D866" s="46"/>
      <c r="E866" s="46"/>
      <c r="F866" s="54"/>
      <c r="G866" s="46"/>
      <c r="H866" s="46"/>
      <c r="I866" s="46"/>
      <c r="J866" s="36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9.5" customHeight="1">
      <c r="A867" s="42"/>
      <c r="B867" s="43"/>
      <c r="C867" s="43"/>
      <c r="D867" s="43"/>
      <c r="E867" s="43"/>
      <c r="F867" s="44"/>
      <c r="G867" s="43"/>
      <c r="H867" s="43"/>
      <c r="I867" s="43"/>
      <c r="J867" s="36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9.5" customHeight="1">
      <c r="A868" s="45"/>
      <c r="B868" s="46"/>
      <c r="C868" s="46"/>
      <c r="D868" s="46"/>
      <c r="E868" s="46"/>
      <c r="F868" s="54"/>
      <c r="G868" s="46"/>
      <c r="H868" s="46"/>
      <c r="I868" s="46"/>
      <c r="J868" s="36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9.5" customHeight="1">
      <c r="A869" s="42"/>
      <c r="B869" s="43"/>
      <c r="C869" s="43"/>
      <c r="D869" s="43"/>
      <c r="E869" s="43"/>
      <c r="F869" s="44"/>
      <c r="G869" s="43"/>
      <c r="H869" s="43"/>
      <c r="I869" s="43"/>
      <c r="J869" s="36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9.5" customHeight="1">
      <c r="A870" s="45"/>
      <c r="B870" s="46"/>
      <c r="C870" s="46"/>
      <c r="D870" s="46"/>
      <c r="E870" s="46"/>
      <c r="F870" s="54"/>
      <c r="G870" s="46"/>
      <c r="H870" s="46"/>
      <c r="I870" s="46"/>
      <c r="J870" s="36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9.5" customHeight="1">
      <c r="A871" s="42"/>
      <c r="B871" s="43"/>
      <c r="C871" s="43"/>
      <c r="D871" s="43"/>
      <c r="E871" s="43"/>
      <c r="F871" s="44"/>
      <c r="G871" s="43"/>
      <c r="H871" s="43"/>
      <c r="I871" s="43"/>
      <c r="J871" s="36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9.5" customHeight="1">
      <c r="A872" s="45"/>
      <c r="B872" s="46"/>
      <c r="C872" s="46"/>
      <c r="D872" s="46"/>
      <c r="E872" s="46"/>
      <c r="F872" s="54"/>
      <c r="G872" s="46"/>
      <c r="H872" s="46"/>
      <c r="I872" s="46"/>
      <c r="J872" s="36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9.5" customHeight="1">
      <c r="A873" s="42"/>
      <c r="B873" s="43"/>
      <c r="C873" s="43"/>
      <c r="D873" s="43"/>
      <c r="E873" s="43"/>
      <c r="F873" s="44"/>
      <c r="G873" s="43"/>
      <c r="H873" s="43"/>
      <c r="I873" s="43"/>
      <c r="J873" s="36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9.5" customHeight="1">
      <c r="A874" s="45"/>
      <c r="B874" s="46"/>
      <c r="C874" s="46"/>
      <c r="D874" s="46"/>
      <c r="E874" s="46"/>
      <c r="F874" s="54"/>
      <c r="G874" s="46"/>
      <c r="H874" s="46"/>
      <c r="I874" s="46"/>
      <c r="J874" s="36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9.5" customHeight="1">
      <c r="A875" s="42"/>
      <c r="B875" s="43"/>
      <c r="C875" s="43"/>
      <c r="D875" s="43"/>
      <c r="E875" s="43"/>
      <c r="F875" s="44"/>
      <c r="G875" s="43"/>
      <c r="H875" s="43"/>
      <c r="I875" s="43"/>
      <c r="J875" s="36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9.5" customHeight="1">
      <c r="A876" s="45"/>
      <c r="B876" s="46"/>
      <c r="C876" s="46"/>
      <c r="D876" s="46"/>
      <c r="E876" s="46"/>
      <c r="F876" s="54"/>
      <c r="G876" s="46"/>
      <c r="H876" s="46"/>
      <c r="I876" s="46"/>
      <c r="J876" s="36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9.5" customHeight="1">
      <c r="A877" s="42"/>
      <c r="B877" s="43"/>
      <c r="C877" s="43"/>
      <c r="D877" s="43"/>
      <c r="E877" s="43"/>
      <c r="F877" s="44"/>
      <c r="G877" s="43"/>
      <c r="H877" s="43"/>
      <c r="I877" s="43"/>
      <c r="J877" s="36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9.5" customHeight="1">
      <c r="A878" s="45"/>
      <c r="B878" s="46"/>
      <c r="C878" s="46"/>
      <c r="D878" s="46"/>
      <c r="E878" s="46"/>
      <c r="F878" s="54"/>
      <c r="G878" s="46"/>
      <c r="H878" s="46"/>
      <c r="I878" s="46"/>
      <c r="J878" s="36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9.5" customHeight="1">
      <c r="A879" s="42"/>
      <c r="B879" s="43"/>
      <c r="C879" s="43"/>
      <c r="D879" s="43"/>
      <c r="E879" s="43"/>
      <c r="F879" s="44"/>
      <c r="G879" s="43"/>
      <c r="H879" s="43"/>
      <c r="I879" s="43"/>
      <c r="J879" s="36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9.5" customHeight="1">
      <c r="A880" s="45"/>
      <c r="B880" s="46"/>
      <c r="C880" s="46"/>
      <c r="D880" s="46"/>
      <c r="E880" s="46"/>
      <c r="F880" s="54"/>
      <c r="G880" s="46"/>
      <c r="H880" s="46"/>
      <c r="I880" s="46"/>
      <c r="J880" s="36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9.5" customHeight="1">
      <c r="A881" s="42"/>
      <c r="B881" s="43"/>
      <c r="C881" s="43"/>
      <c r="D881" s="43"/>
      <c r="E881" s="43"/>
      <c r="F881" s="44"/>
      <c r="G881" s="43"/>
      <c r="H881" s="43"/>
      <c r="I881" s="43"/>
      <c r="J881" s="36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9.5" customHeight="1">
      <c r="A882" s="45"/>
      <c r="B882" s="46"/>
      <c r="C882" s="46"/>
      <c r="D882" s="46"/>
      <c r="E882" s="46"/>
      <c r="F882" s="54"/>
      <c r="G882" s="46"/>
      <c r="H882" s="46"/>
      <c r="I882" s="46"/>
      <c r="J882" s="36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9.5" customHeight="1">
      <c r="A883" s="42"/>
      <c r="B883" s="43"/>
      <c r="C883" s="43"/>
      <c r="D883" s="43"/>
      <c r="E883" s="43"/>
      <c r="F883" s="44"/>
      <c r="G883" s="43"/>
      <c r="H883" s="43"/>
      <c r="I883" s="43"/>
      <c r="J883" s="36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9.5" customHeight="1">
      <c r="A884" s="45"/>
      <c r="B884" s="46"/>
      <c r="C884" s="46"/>
      <c r="D884" s="46"/>
      <c r="E884" s="46"/>
      <c r="F884" s="54"/>
      <c r="G884" s="46"/>
      <c r="H884" s="46"/>
      <c r="I884" s="46"/>
      <c r="J884" s="36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9.5" customHeight="1">
      <c r="A885" s="42"/>
      <c r="B885" s="43"/>
      <c r="C885" s="43"/>
      <c r="D885" s="43"/>
      <c r="E885" s="43"/>
      <c r="F885" s="44"/>
      <c r="G885" s="43"/>
      <c r="H885" s="43"/>
      <c r="I885" s="43"/>
      <c r="J885" s="36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9.5" customHeight="1">
      <c r="A886" s="45"/>
      <c r="B886" s="46"/>
      <c r="C886" s="46"/>
      <c r="D886" s="46"/>
      <c r="E886" s="46"/>
      <c r="F886" s="54"/>
      <c r="G886" s="46"/>
      <c r="H886" s="46"/>
      <c r="I886" s="46"/>
      <c r="J886" s="36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9.5" customHeight="1">
      <c r="A887" s="42"/>
      <c r="B887" s="43"/>
      <c r="C887" s="43"/>
      <c r="D887" s="43"/>
      <c r="E887" s="43"/>
      <c r="F887" s="44"/>
      <c r="G887" s="43"/>
      <c r="H887" s="43"/>
      <c r="I887" s="43"/>
      <c r="J887" s="36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9.5" customHeight="1">
      <c r="A888" s="45"/>
      <c r="B888" s="46"/>
      <c r="C888" s="46"/>
      <c r="D888" s="46"/>
      <c r="E888" s="46"/>
      <c r="F888" s="54"/>
      <c r="G888" s="46"/>
      <c r="H888" s="46"/>
      <c r="I888" s="46"/>
      <c r="J888" s="36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9.5" customHeight="1">
      <c r="A889" s="42"/>
      <c r="B889" s="43"/>
      <c r="C889" s="43"/>
      <c r="D889" s="43"/>
      <c r="E889" s="43"/>
      <c r="F889" s="44"/>
      <c r="G889" s="43"/>
      <c r="H889" s="43"/>
      <c r="I889" s="43"/>
      <c r="J889" s="36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9.5" customHeight="1">
      <c r="A890" s="45"/>
      <c r="B890" s="46"/>
      <c r="C890" s="46"/>
      <c r="D890" s="46"/>
      <c r="E890" s="46"/>
      <c r="F890" s="54"/>
      <c r="G890" s="46"/>
      <c r="H890" s="46"/>
      <c r="I890" s="46"/>
      <c r="J890" s="36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9.5" customHeight="1">
      <c r="A891" s="42"/>
      <c r="B891" s="43"/>
      <c r="C891" s="43"/>
      <c r="D891" s="43"/>
      <c r="E891" s="43"/>
      <c r="F891" s="44"/>
      <c r="G891" s="43"/>
      <c r="H891" s="43"/>
      <c r="I891" s="43"/>
      <c r="J891" s="36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9.5" customHeight="1">
      <c r="A892" s="45"/>
      <c r="B892" s="46"/>
      <c r="C892" s="46"/>
      <c r="D892" s="46"/>
      <c r="E892" s="46"/>
      <c r="F892" s="54"/>
      <c r="G892" s="46"/>
      <c r="H892" s="46"/>
      <c r="I892" s="46"/>
      <c r="J892" s="36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9.5" customHeight="1">
      <c r="A893" s="42"/>
      <c r="B893" s="43"/>
      <c r="C893" s="43"/>
      <c r="D893" s="43"/>
      <c r="E893" s="43"/>
      <c r="F893" s="44"/>
      <c r="G893" s="43"/>
      <c r="H893" s="43"/>
      <c r="I893" s="43"/>
      <c r="J893" s="36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9.5" customHeight="1">
      <c r="A894" s="45"/>
      <c r="B894" s="46"/>
      <c r="C894" s="46"/>
      <c r="D894" s="46"/>
      <c r="E894" s="46"/>
      <c r="F894" s="54"/>
      <c r="G894" s="46"/>
      <c r="H894" s="46"/>
      <c r="I894" s="46"/>
      <c r="J894" s="36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9.5" customHeight="1">
      <c r="A895" s="42"/>
      <c r="B895" s="43"/>
      <c r="C895" s="43"/>
      <c r="D895" s="43"/>
      <c r="E895" s="43"/>
      <c r="F895" s="44"/>
      <c r="G895" s="43"/>
      <c r="H895" s="43"/>
      <c r="I895" s="43"/>
      <c r="J895" s="36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9.5" customHeight="1">
      <c r="A896" s="45"/>
      <c r="B896" s="46"/>
      <c r="C896" s="46"/>
      <c r="D896" s="46"/>
      <c r="E896" s="46"/>
      <c r="F896" s="54"/>
      <c r="G896" s="46"/>
      <c r="H896" s="46"/>
      <c r="I896" s="46"/>
      <c r="J896" s="36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9.5" customHeight="1">
      <c r="A897" s="42"/>
      <c r="B897" s="43"/>
      <c r="C897" s="43"/>
      <c r="D897" s="43"/>
      <c r="E897" s="43"/>
      <c r="F897" s="44"/>
      <c r="G897" s="43"/>
      <c r="H897" s="43"/>
      <c r="I897" s="43"/>
      <c r="J897" s="36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9.5" customHeight="1">
      <c r="A898" s="45"/>
      <c r="B898" s="46"/>
      <c r="C898" s="46"/>
      <c r="D898" s="46"/>
      <c r="E898" s="46"/>
      <c r="F898" s="54"/>
      <c r="G898" s="46"/>
      <c r="H898" s="46"/>
      <c r="I898" s="46"/>
      <c r="J898" s="36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9.5" customHeight="1">
      <c r="A899" s="42"/>
      <c r="B899" s="43"/>
      <c r="C899" s="43"/>
      <c r="D899" s="43"/>
      <c r="E899" s="43"/>
      <c r="F899" s="44"/>
      <c r="G899" s="43"/>
      <c r="H899" s="43"/>
      <c r="I899" s="43"/>
      <c r="J899" s="36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9.5" customHeight="1">
      <c r="A900" s="45"/>
      <c r="B900" s="46"/>
      <c r="C900" s="46"/>
      <c r="D900" s="46"/>
      <c r="E900" s="46"/>
      <c r="F900" s="54"/>
      <c r="G900" s="46"/>
      <c r="H900" s="46"/>
      <c r="I900" s="46"/>
      <c r="J900" s="36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9.5" customHeight="1">
      <c r="A901" s="42"/>
      <c r="B901" s="43"/>
      <c r="C901" s="43"/>
      <c r="D901" s="43"/>
      <c r="E901" s="43"/>
      <c r="F901" s="44"/>
      <c r="G901" s="43"/>
      <c r="H901" s="43"/>
      <c r="I901" s="43"/>
      <c r="J901" s="36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9.5" customHeight="1">
      <c r="A902" s="45"/>
      <c r="B902" s="46"/>
      <c r="C902" s="46"/>
      <c r="D902" s="46"/>
      <c r="E902" s="46"/>
      <c r="F902" s="54"/>
      <c r="G902" s="46"/>
      <c r="H902" s="46"/>
      <c r="I902" s="46"/>
      <c r="J902" s="36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9.5" customHeight="1">
      <c r="A903" s="42"/>
      <c r="B903" s="43"/>
      <c r="C903" s="43"/>
      <c r="D903" s="43"/>
      <c r="E903" s="43"/>
      <c r="F903" s="44"/>
      <c r="G903" s="43"/>
      <c r="H903" s="43"/>
      <c r="I903" s="43"/>
      <c r="J903" s="36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9.5" customHeight="1">
      <c r="A904" s="45"/>
      <c r="B904" s="46"/>
      <c r="C904" s="46"/>
      <c r="D904" s="46"/>
      <c r="E904" s="46"/>
      <c r="F904" s="54"/>
      <c r="G904" s="46"/>
      <c r="H904" s="46"/>
      <c r="I904" s="46"/>
      <c r="J904" s="36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9.5" customHeight="1">
      <c r="A905" s="42"/>
      <c r="B905" s="43"/>
      <c r="C905" s="43"/>
      <c r="D905" s="43"/>
      <c r="E905" s="43"/>
      <c r="F905" s="44"/>
      <c r="G905" s="43"/>
      <c r="H905" s="43"/>
      <c r="I905" s="43"/>
      <c r="J905" s="36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9.5" customHeight="1">
      <c r="A906" s="45"/>
      <c r="B906" s="46"/>
      <c r="C906" s="46"/>
      <c r="D906" s="46"/>
      <c r="E906" s="46"/>
      <c r="F906" s="54"/>
      <c r="G906" s="46"/>
      <c r="H906" s="46"/>
      <c r="I906" s="46"/>
      <c r="J906" s="36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9.5" customHeight="1">
      <c r="A907" s="42"/>
      <c r="B907" s="43"/>
      <c r="C907" s="43"/>
      <c r="D907" s="43"/>
      <c r="E907" s="43"/>
      <c r="F907" s="44"/>
      <c r="G907" s="43"/>
      <c r="H907" s="43"/>
      <c r="I907" s="43"/>
      <c r="J907" s="36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9.5" customHeight="1">
      <c r="A908" s="45"/>
      <c r="B908" s="46"/>
      <c r="C908" s="46"/>
      <c r="D908" s="46"/>
      <c r="E908" s="46"/>
      <c r="F908" s="54"/>
      <c r="G908" s="46"/>
      <c r="H908" s="46"/>
      <c r="I908" s="46"/>
      <c r="J908" s="36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9.5" customHeight="1">
      <c r="A909" s="42"/>
      <c r="B909" s="43"/>
      <c r="C909" s="43"/>
      <c r="D909" s="43"/>
      <c r="E909" s="43"/>
      <c r="F909" s="44"/>
      <c r="G909" s="43"/>
      <c r="H909" s="43"/>
      <c r="I909" s="43"/>
      <c r="J909" s="36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9.5" customHeight="1">
      <c r="A910" s="45"/>
      <c r="B910" s="46"/>
      <c r="C910" s="46"/>
      <c r="D910" s="46"/>
      <c r="E910" s="46"/>
      <c r="F910" s="54"/>
      <c r="G910" s="46"/>
      <c r="H910" s="46"/>
      <c r="I910" s="46"/>
      <c r="J910" s="36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9.5" customHeight="1">
      <c r="A911" s="42"/>
      <c r="B911" s="43"/>
      <c r="C911" s="43"/>
      <c r="D911" s="43"/>
      <c r="E911" s="43"/>
      <c r="F911" s="44"/>
      <c r="G911" s="43"/>
      <c r="H911" s="43"/>
      <c r="I911" s="43"/>
      <c r="J911" s="36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9.5" customHeight="1">
      <c r="A912" s="45"/>
      <c r="B912" s="46"/>
      <c r="C912" s="46"/>
      <c r="D912" s="46"/>
      <c r="E912" s="46"/>
      <c r="F912" s="54"/>
      <c r="G912" s="46"/>
      <c r="H912" s="46"/>
      <c r="I912" s="46"/>
      <c r="J912" s="36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9.5" customHeight="1">
      <c r="A913" s="42"/>
      <c r="B913" s="43"/>
      <c r="C913" s="43"/>
      <c r="D913" s="43"/>
      <c r="E913" s="43"/>
      <c r="F913" s="44"/>
      <c r="G913" s="43"/>
      <c r="H913" s="43"/>
      <c r="I913" s="43"/>
      <c r="J913" s="36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9.5" customHeight="1">
      <c r="A914" s="45"/>
      <c r="B914" s="46"/>
      <c r="C914" s="46"/>
      <c r="D914" s="46"/>
      <c r="E914" s="46"/>
      <c r="F914" s="54"/>
      <c r="G914" s="46"/>
      <c r="H914" s="46"/>
      <c r="I914" s="46"/>
      <c r="J914" s="36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9.5" customHeight="1">
      <c r="A915" s="42"/>
      <c r="B915" s="43"/>
      <c r="C915" s="43"/>
      <c r="D915" s="43"/>
      <c r="E915" s="43"/>
      <c r="F915" s="44"/>
      <c r="G915" s="43"/>
      <c r="H915" s="43"/>
      <c r="I915" s="43"/>
      <c r="J915" s="36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9.5" customHeight="1">
      <c r="A916" s="45"/>
      <c r="B916" s="46"/>
      <c r="C916" s="46"/>
      <c r="D916" s="46"/>
      <c r="E916" s="46"/>
      <c r="F916" s="54"/>
      <c r="G916" s="46"/>
      <c r="H916" s="46"/>
      <c r="I916" s="46"/>
      <c r="J916" s="36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9.5" customHeight="1">
      <c r="A917" s="42"/>
      <c r="B917" s="43"/>
      <c r="C917" s="43"/>
      <c r="D917" s="43"/>
      <c r="E917" s="43"/>
      <c r="F917" s="44"/>
      <c r="G917" s="43"/>
      <c r="H917" s="43"/>
      <c r="I917" s="43"/>
      <c r="J917" s="36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9.5" customHeight="1">
      <c r="A918" s="45"/>
      <c r="B918" s="46"/>
      <c r="C918" s="46"/>
      <c r="D918" s="46"/>
      <c r="E918" s="46"/>
      <c r="F918" s="54"/>
      <c r="G918" s="46"/>
      <c r="H918" s="46"/>
      <c r="I918" s="46"/>
      <c r="J918" s="36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9.5" customHeight="1">
      <c r="A919" s="42"/>
      <c r="B919" s="43"/>
      <c r="C919" s="43"/>
      <c r="D919" s="43"/>
      <c r="E919" s="43"/>
      <c r="F919" s="44"/>
      <c r="G919" s="43"/>
      <c r="H919" s="43"/>
      <c r="I919" s="43"/>
      <c r="J919" s="36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9.5" customHeight="1">
      <c r="A920" s="45"/>
      <c r="B920" s="46"/>
      <c r="C920" s="46"/>
      <c r="D920" s="46"/>
      <c r="E920" s="46"/>
      <c r="F920" s="54"/>
      <c r="G920" s="46"/>
      <c r="H920" s="46"/>
      <c r="I920" s="46"/>
      <c r="J920" s="36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9.5" customHeight="1">
      <c r="A921" s="42"/>
      <c r="B921" s="43"/>
      <c r="C921" s="43"/>
      <c r="D921" s="43"/>
      <c r="E921" s="43"/>
      <c r="F921" s="44"/>
      <c r="G921" s="43"/>
      <c r="H921" s="43"/>
      <c r="I921" s="43"/>
      <c r="J921" s="36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9.5" customHeight="1">
      <c r="A922" s="45"/>
      <c r="B922" s="46"/>
      <c r="C922" s="46"/>
      <c r="D922" s="46"/>
      <c r="E922" s="46"/>
      <c r="F922" s="54"/>
      <c r="G922" s="46"/>
      <c r="H922" s="46"/>
      <c r="I922" s="46"/>
      <c r="J922" s="36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9.5" customHeight="1">
      <c r="A923" s="42"/>
      <c r="B923" s="43"/>
      <c r="C923" s="43"/>
      <c r="D923" s="43"/>
      <c r="E923" s="43"/>
      <c r="F923" s="44"/>
      <c r="G923" s="43"/>
      <c r="H923" s="43"/>
      <c r="I923" s="43"/>
      <c r="J923" s="36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9.5" customHeight="1">
      <c r="A924" s="45"/>
      <c r="B924" s="46"/>
      <c r="C924" s="46"/>
      <c r="D924" s="46"/>
      <c r="E924" s="46"/>
      <c r="F924" s="54"/>
      <c r="G924" s="46"/>
      <c r="H924" s="46"/>
      <c r="I924" s="46"/>
      <c r="J924" s="36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9.5" customHeight="1">
      <c r="A925" s="42"/>
      <c r="B925" s="43"/>
      <c r="C925" s="43"/>
      <c r="D925" s="43"/>
      <c r="E925" s="43"/>
      <c r="F925" s="44"/>
      <c r="G925" s="43"/>
      <c r="H925" s="43"/>
      <c r="I925" s="43"/>
      <c r="J925" s="36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9.5" customHeight="1">
      <c r="A926" s="45"/>
      <c r="B926" s="46"/>
      <c r="C926" s="46"/>
      <c r="D926" s="46"/>
      <c r="E926" s="46"/>
      <c r="F926" s="54"/>
      <c r="G926" s="46"/>
      <c r="H926" s="46"/>
      <c r="I926" s="46"/>
      <c r="J926" s="36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9.5" customHeight="1">
      <c r="A927" s="42"/>
      <c r="B927" s="43"/>
      <c r="C927" s="43"/>
      <c r="D927" s="43"/>
      <c r="E927" s="43"/>
      <c r="F927" s="44"/>
      <c r="G927" s="43"/>
      <c r="H927" s="43"/>
      <c r="I927" s="43"/>
      <c r="J927" s="36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9.5" customHeight="1">
      <c r="A928" s="45"/>
      <c r="B928" s="46"/>
      <c r="C928" s="46"/>
      <c r="D928" s="46"/>
      <c r="E928" s="46"/>
      <c r="F928" s="54"/>
      <c r="G928" s="46"/>
      <c r="H928" s="46"/>
      <c r="I928" s="46"/>
      <c r="J928" s="36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9.5" customHeight="1">
      <c r="A929" s="42"/>
      <c r="B929" s="43"/>
      <c r="C929" s="43"/>
      <c r="D929" s="43"/>
      <c r="E929" s="43"/>
      <c r="F929" s="44"/>
      <c r="G929" s="43"/>
      <c r="H929" s="43"/>
      <c r="I929" s="43"/>
      <c r="J929" s="36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9.5" customHeight="1">
      <c r="A930" s="45"/>
      <c r="B930" s="46"/>
      <c r="C930" s="46"/>
      <c r="D930" s="46"/>
      <c r="E930" s="46"/>
      <c r="F930" s="54"/>
      <c r="G930" s="46"/>
      <c r="H930" s="46"/>
      <c r="I930" s="46"/>
      <c r="J930" s="36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9.5" customHeight="1">
      <c r="A931" s="42"/>
      <c r="B931" s="43"/>
      <c r="C931" s="43"/>
      <c r="D931" s="43"/>
      <c r="E931" s="43"/>
      <c r="F931" s="44"/>
      <c r="G931" s="43"/>
      <c r="H931" s="43"/>
      <c r="I931" s="43"/>
      <c r="J931" s="36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9.5" customHeight="1">
      <c r="A932" s="45"/>
      <c r="B932" s="46"/>
      <c r="C932" s="46"/>
      <c r="D932" s="46"/>
      <c r="E932" s="46"/>
      <c r="F932" s="54"/>
      <c r="G932" s="46"/>
      <c r="H932" s="46"/>
      <c r="I932" s="46"/>
      <c r="J932" s="36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9.5" customHeight="1">
      <c r="A933" s="42"/>
      <c r="B933" s="43"/>
      <c r="C933" s="43"/>
      <c r="D933" s="43"/>
      <c r="E933" s="43"/>
      <c r="F933" s="44"/>
      <c r="G933" s="43"/>
      <c r="H933" s="43"/>
      <c r="I933" s="43"/>
      <c r="J933" s="36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9.5" customHeight="1">
      <c r="A934" s="45"/>
      <c r="B934" s="46"/>
      <c r="C934" s="46"/>
      <c r="D934" s="46"/>
      <c r="E934" s="46"/>
      <c r="F934" s="54"/>
      <c r="G934" s="46"/>
      <c r="H934" s="46"/>
      <c r="I934" s="46"/>
      <c r="J934" s="36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9.5" customHeight="1">
      <c r="A935" s="42"/>
      <c r="B935" s="43"/>
      <c r="C935" s="43"/>
      <c r="D935" s="43"/>
      <c r="E935" s="43"/>
      <c r="F935" s="44"/>
      <c r="G935" s="43"/>
      <c r="H935" s="43"/>
      <c r="I935" s="43"/>
      <c r="J935" s="36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9.5" customHeight="1">
      <c r="A936" s="45"/>
      <c r="B936" s="46"/>
      <c r="C936" s="46"/>
      <c r="D936" s="46"/>
      <c r="E936" s="46"/>
      <c r="F936" s="54"/>
      <c r="G936" s="46"/>
      <c r="H936" s="46"/>
      <c r="I936" s="46"/>
      <c r="J936" s="36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9.5" customHeight="1">
      <c r="A937" s="42"/>
      <c r="B937" s="43"/>
      <c r="C937" s="43"/>
      <c r="D937" s="43"/>
      <c r="E937" s="43"/>
      <c r="F937" s="44"/>
      <c r="G937" s="43"/>
      <c r="H937" s="43"/>
      <c r="I937" s="43"/>
      <c r="J937" s="36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9.5" customHeight="1">
      <c r="A938" s="45"/>
      <c r="B938" s="46"/>
      <c r="C938" s="46"/>
      <c r="D938" s="46"/>
      <c r="E938" s="46"/>
      <c r="F938" s="54"/>
      <c r="G938" s="46"/>
      <c r="H938" s="46"/>
      <c r="I938" s="46"/>
      <c r="J938" s="36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9.5" customHeight="1">
      <c r="A939" s="42"/>
      <c r="B939" s="43"/>
      <c r="C939" s="43"/>
      <c r="D939" s="43"/>
      <c r="E939" s="43"/>
      <c r="F939" s="44"/>
      <c r="G939" s="43"/>
      <c r="H939" s="43"/>
      <c r="I939" s="43"/>
      <c r="J939" s="36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9.5" customHeight="1">
      <c r="A940" s="45"/>
      <c r="B940" s="46"/>
      <c r="C940" s="46"/>
      <c r="D940" s="46"/>
      <c r="E940" s="46"/>
      <c r="F940" s="54"/>
      <c r="G940" s="46"/>
      <c r="H940" s="46"/>
      <c r="I940" s="46"/>
      <c r="J940" s="36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9.5" customHeight="1">
      <c r="A941" s="42"/>
      <c r="B941" s="43"/>
      <c r="C941" s="43"/>
      <c r="D941" s="43"/>
      <c r="E941" s="43"/>
      <c r="F941" s="44"/>
      <c r="G941" s="43"/>
      <c r="H941" s="43"/>
      <c r="I941" s="43"/>
      <c r="J941" s="36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9.5" customHeight="1">
      <c r="A942" s="45"/>
      <c r="B942" s="46"/>
      <c r="C942" s="46"/>
      <c r="D942" s="46"/>
      <c r="E942" s="46"/>
      <c r="F942" s="54"/>
      <c r="G942" s="46"/>
      <c r="H942" s="46"/>
      <c r="I942" s="46"/>
      <c r="J942" s="36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9.5" customHeight="1">
      <c r="A943" s="42"/>
      <c r="B943" s="43"/>
      <c r="C943" s="43"/>
      <c r="D943" s="43"/>
      <c r="E943" s="43"/>
      <c r="F943" s="44"/>
      <c r="G943" s="43"/>
      <c r="H943" s="43"/>
      <c r="I943" s="43"/>
      <c r="J943" s="36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9.5" customHeight="1">
      <c r="A944" s="45"/>
      <c r="B944" s="46"/>
      <c r="C944" s="46"/>
      <c r="D944" s="46"/>
      <c r="E944" s="46"/>
      <c r="F944" s="54"/>
      <c r="G944" s="46"/>
      <c r="H944" s="46"/>
      <c r="I944" s="46"/>
      <c r="J944" s="36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9.5" customHeight="1">
      <c r="A945" s="42"/>
      <c r="B945" s="43"/>
      <c r="C945" s="43"/>
      <c r="D945" s="43"/>
      <c r="E945" s="43"/>
      <c r="F945" s="44"/>
      <c r="G945" s="43"/>
      <c r="H945" s="43"/>
      <c r="I945" s="43"/>
      <c r="J945" s="36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9.5" customHeight="1">
      <c r="A946" s="45"/>
      <c r="B946" s="46"/>
      <c r="C946" s="46"/>
      <c r="D946" s="46"/>
      <c r="E946" s="46"/>
      <c r="F946" s="54"/>
      <c r="G946" s="46"/>
      <c r="H946" s="46"/>
      <c r="I946" s="46"/>
      <c r="J946" s="36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9.5" customHeight="1">
      <c r="A947" s="42"/>
      <c r="B947" s="43"/>
      <c r="C947" s="43"/>
      <c r="D947" s="43"/>
      <c r="E947" s="43"/>
      <c r="F947" s="44"/>
      <c r="G947" s="43"/>
      <c r="H947" s="43"/>
      <c r="I947" s="43"/>
      <c r="J947" s="36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9.5" customHeight="1">
      <c r="A948" s="45"/>
      <c r="B948" s="46"/>
      <c r="C948" s="46"/>
      <c r="D948" s="46"/>
      <c r="E948" s="46"/>
      <c r="F948" s="54"/>
      <c r="G948" s="46"/>
      <c r="H948" s="46"/>
      <c r="I948" s="46"/>
      <c r="J948" s="36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9.5" customHeight="1">
      <c r="A949" s="42"/>
      <c r="B949" s="43"/>
      <c r="C949" s="43"/>
      <c r="D949" s="43"/>
      <c r="E949" s="43"/>
      <c r="F949" s="44"/>
      <c r="G949" s="43"/>
      <c r="H949" s="43"/>
      <c r="I949" s="43"/>
      <c r="J949" s="36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9.5" customHeight="1">
      <c r="A950" s="45"/>
      <c r="B950" s="46"/>
      <c r="C950" s="46"/>
      <c r="D950" s="46"/>
      <c r="E950" s="46"/>
      <c r="F950" s="54"/>
      <c r="G950" s="46"/>
      <c r="H950" s="46"/>
      <c r="I950" s="46"/>
      <c r="J950" s="36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9.5" customHeight="1">
      <c r="A951" s="42"/>
      <c r="B951" s="43"/>
      <c r="C951" s="43"/>
      <c r="D951" s="43"/>
      <c r="E951" s="43"/>
      <c r="F951" s="44"/>
      <c r="G951" s="43"/>
      <c r="H951" s="43"/>
      <c r="I951" s="43"/>
      <c r="J951" s="36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9.5" customHeight="1">
      <c r="A952" s="45"/>
      <c r="B952" s="46"/>
      <c r="C952" s="46"/>
      <c r="D952" s="46"/>
      <c r="E952" s="46"/>
      <c r="F952" s="54"/>
      <c r="G952" s="46"/>
      <c r="H952" s="46"/>
      <c r="I952" s="46"/>
      <c r="J952" s="36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9.5" customHeight="1">
      <c r="A953" s="42"/>
      <c r="B953" s="43"/>
      <c r="C953" s="43"/>
      <c r="D953" s="43"/>
      <c r="E953" s="43"/>
      <c r="F953" s="44"/>
      <c r="G953" s="43"/>
      <c r="H953" s="43"/>
      <c r="I953" s="43"/>
      <c r="J953" s="36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9.5" customHeight="1">
      <c r="A954" s="45"/>
      <c r="B954" s="46"/>
      <c r="C954" s="46"/>
      <c r="D954" s="46"/>
      <c r="E954" s="46"/>
      <c r="F954" s="54"/>
      <c r="G954" s="46"/>
      <c r="H954" s="46"/>
      <c r="I954" s="46"/>
      <c r="J954" s="36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9.5" customHeight="1">
      <c r="A955" s="42"/>
      <c r="B955" s="43"/>
      <c r="C955" s="43"/>
      <c r="D955" s="43"/>
      <c r="E955" s="43"/>
      <c r="F955" s="44"/>
      <c r="G955" s="43"/>
      <c r="H955" s="43"/>
      <c r="I955" s="43"/>
      <c r="J955" s="36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9.5" customHeight="1">
      <c r="A956" s="45"/>
      <c r="B956" s="46"/>
      <c r="C956" s="46"/>
      <c r="D956" s="46"/>
      <c r="E956" s="46"/>
      <c r="F956" s="54"/>
      <c r="G956" s="46"/>
      <c r="H956" s="46"/>
      <c r="I956" s="46"/>
      <c r="J956" s="36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9.5" customHeight="1">
      <c r="A957" s="42"/>
      <c r="B957" s="43"/>
      <c r="C957" s="43"/>
      <c r="D957" s="43"/>
      <c r="E957" s="43"/>
      <c r="F957" s="44"/>
      <c r="G957" s="43"/>
      <c r="H957" s="43"/>
      <c r="I957" s="43"/>
      <c r="J957" s="36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9.5" customHeight="1">
      <c r="A958" s="45"/>
      <c r="B958" s="46"/>
      <c r="C958" s="46"/>
      <c r="D958" s="46"/>
      <c r="E958" s="46"/>
      <c r="F958" s="54"/>
      <c r="G958" s="46"/>
      <c r="H958" s="46"/>
      <c r="I958" s="46"/>
      <c r="J958" s="36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9.5" customHeight="1">
      <c r="A959" s="42"/>
      <c r="B959" s="43"/>
      <c r="C959" s="43"/>
      <c r="D959" s="43"/>
      <c r="E959" s="43"/>
      <c r="F959" s="44"/>
      <c r="G959" s="43"/>
      <c r="H959" s="43"/>
      <c r="I959" s="43"/>
      <c r="J959" s="36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9.5" customHeight="1">
      <c r="A960" s="45"/>
      <c r="B960" s="46"/>
      <c r="C960" s="46"/>
      <c r="D960" s="46"/>
      <c r="E960" s="46"/>
      <c r="F960" s="54"/>
      <c r="G960" s="46"/>
      <c r="H960" s="46"/>
      <c r="I960" s="46"/>
      <c r="J960" s="36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9.5" customHeight="1">
      <c r="A961" s="42"/>
      <c r="B961" s="43"/>
      <c r="C961" s="43"/>
      <c r="D961" s="43"/>
      <c r="E961" s="43"/>
      <c r="F961" s="44"/>
      <c r="G961" s="43"/>
      <c r="H961" s="43"/>
      <c r="I961" s="43"/>
      <c r="J961" s="36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9.5" customHeight="1">
      <c r="A962" s="45"/>
      <c r="B962" s="46"/>
      <c r="C962" s="46"/>
      <c r="D962" s="46"/>
      <c r="E962" s="46"/>
      <c r="F962" s="54"/>
      <c r="G962" s="46"/>
      <c r="H962" s="46"/>
      <c r="I962" s="46"/>
      <c r="J962" s="36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9.5" customHeight="1">
      <c r="A963" s="42"/>
      <c r="B963" s="43"/>
      <c r="C963" s="43"/>
      <c r="D963" s="43"/>
      <c r="E963" s="43"/>
      <c r="F963" s="44"/>
      <c r="G963" s="43"/>
      <c r="H963" s="43"/>
      <c r="I963" s="43"/>
      <c r="J963" s="36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9.5" customHeight="1">
      <c r="A964" s="45"/>
      <c r="B964" s="46"/>
      <c r="C964" s="46"/>
      <c r="D964" s="46"/>
      <c r="E964" s="46"/>
      <c r="F964" s="54"/>
      <c r="G964" s="46"/>
      <c r="H964" s="46"/>
      <c r="I964" s="46"/>
      <c r="J964" s="36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9.5" customHeight="1">
      <c r="A965" s="42"/>
      <c r="B965" s="43"/>
      <c r="C965" s="43"/>
      <c r="D965" s="43"/>
      <c r="E965" s="43"/>
      <c r="F965" s="44"/>
      <c r="G965" s="43"/>
      <c r="H965" s="43"/>
      <c r="I965" s="43"/>
      <c r="J965" s="36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9.5" customHeight="1">
      <c r="A966" s="45"/>
      <c r="B966" s="46"/>
      <c r="C966" s="46"/>
      <c r="D966" s="46"/>
      <c r="E966" s="46"/>
      <c r="F966" s="54"/>
      <c r="G966" s="46"/>
      <c r="H966" s="46"/>
      <c r="I966" s="46"/>
      <c r="J966" s="36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9.5" customHeight="1">
      <c r="A967" s="42"/>
      <c r="B967" s="43"/>
      <c r="C967" s="43"/>
      <c r="D967" s="43"/>
      <c r="E967" s="43"/>
      <c r="F967" s="44"/>
      <c r="G967" s="43"/>
      <c r="H967" s="43"/>
      <c r="I967" s="43"/>
      <c r="J967" s="36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9.5" customHeight="1">
      <c r="A968" s="45"/>
      <c r="B968" s="46"/>
      <c r="C968" s="46"/>
      <c r="D968" s="46"/>
      <c r="E968" s="46"/>
      <c r="F968" s="54"/>
      <c r="G968" s="46"/>
      <c r="H968" s="46"/>
      <c r="I968" s="46"/>
      <c r="J968" s="36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9.5" customHeight="1">
      <c r="A969" s="42"/>
      <c r="B969" s="43"/>
      <c r="C969" s="43"/>
      <c r="D969" s="43"/>
      <c r="E969" s="43"/>
      <c r="F969" s="44"/>
      <c r="G969" s="43"/>
      <c r="H969" s="43"/>
      <c r="I969" s="43"/>
      <c r="J969" s="36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9.5" customHeight="1">
      <c r="A970" s="45"/>
      <c r="B970" s="46"/>
      <c r="C970" s="46"/>
      <c r="D970" s="46"/>
      <c r="E970" s="46"/>
      <c r="F970" s="54"/>
      <c r="G970" s="46"/>
      <c r="H970" s="46"/>
      <c r="I970" s="46"/>
      <c r="J970" s="36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9.5" customHeight="1">
      <c r="A971" s="42"/>
      <c r="B971" s="43"/>
      <c r="C971" s="43"/>
      <c r="D971" s="43"/>
      <c r="E971" s="43"/>
      <c r="F971" s="44"/>
      <c r="G971" s="43"/>
      <c r="H971" s="43"/>
      <c r="I971" s="43"/>
      <c r="J971" s="36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9.5" customHeight="1">
      <c r="A972" s="45"/>
      <c r="B972" s="46"/>
      <c r="C972" s="46"/>
      <c r="D972" s="46"/>
      <c r="E972" s="46"/>
      <c r="F972" s="54"/>
      <c r="G972" s="46"/>
      <c r="H972" s="46"/>
      <c r="I972" s="46"/>
      <c r="J972" s="36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9.5" customHeight="1">
      <c r="A973" s="42"/>
      <c r="B973" s="43"/>
      <c r="C973" s="43"/>
      <c r="D973" s="43"/>
      <c r="E973" s="43"/>
      <c r="F973" s="44"/>
      <c r="G973" s="43"/>
      <c r="H973" s="43"/>
      <c r="I973" s="43"/>
      <c r="J973" s="36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9.5" customHeight="1">
      <c r="A974" s="45"/>
      <c r="B974" s="46"/>
      <c r="C974" s="46"/>
      <c r="D974" s="46"/>
      <c r="E974" s="46"/>
      <c r="F974" s="54"/>
      <c r="G974" s="46"/>
      <c r="H974" s="46"/>
      <c r="I974" s="46"/>
      <c r="J974" s="36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9.5" customHeight="1">
      <c r="A975" s="42"/>
      <c r="B975" s="43"/>
      <c r="C975" s="43"/>
      <c r="D975" s="43"/>
      <c r="E975" s="43"/>
      <c r="F975" s="44"/>
      <c r="G975" s="43"/>
      <c r="H975" s="43"/>
      <c r="I975" s="43"/>
      <c r="J975" s="36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9.5" customHeight="1">
      <c r="A976" s="45"/>
      <c r="B976" s="46"/>
      <c r="C976" s="46"/>
      <c r="D976" s="46"/>
      <c r="E976" s="46"/>
      <c r="F976" s="54"/>
      <c r="G976" s="46"/>
      <c r="H976" s="46"/>
      <c r="I976" s="46"/>
      <c r="J976" s="36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9.5" customHeight="1">
      <c r="A977" s="42"/>
      <c r="B977" s="43"/>
      <c r="C977" s="43"/>
      <c r="D977" s="43"/>
      <c r="E977" s="43"/>
      <c r="F977" s="44"/>
      <c r="G977" s="43"/>
      <c r="H977" s="43"/>
      <c r="I977" s="43"/>
      <c r="J977" s="36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9.5" customHeight="1">
      <c r="A978" s="45"/>
      <c r="B978" s="46"/>
      <c r="C978" s="46"/>
      <c r="D978" s="46"/>
      <c r="E978" s="46"/>
      <c r="F978" s="54"/>
      <c r="G978" s="46"/>
      <c r="H978" s="46"/>
      <c r="I978" s="46"/>
      <c r="J978" s="36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9.5" customHeight="1">
      <c r="A979" s="42"/>
      <c r="B979" s="43"/>
      <c r="C979" s="43"/>
      <c r="D979" s="43"/>
      <c r="E979" s="43"/>
      <c r="F979" s="44"/>
      <c r="G979" s="43"/>
      <c r="H979" s="43"/>
      <c r="I979" s="43"/>
      <c r="J979" s="36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9.5" customHeight="1">
      <c r="A980" s="45"/>
      <c r="B980" s="46"/>
      <c r="C980" s="46"/>
      <c r="D980" s="46"/>
      <c r="E980" s="46"/>
      <c r="F980" s="54"/>
      <c r="G980" s="46"/>
      <c r="H980" s="46"/>
      <c r="I980" s="46"/>
      <c r="J980" s="36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9.5" customHeight="1">
      <c r="A981" s="42"/>
      <c r="B981" s="43"/>
      <c r="C981" s="43"/>
      <c r="D981" s="43"/>
      <c r="E981" s="43"/>
      <c r="F981" s="44"/>
      <c r="G981" s="43"/>
      <c r="H981" s="43"/>
      <c r="I981" s="43"/>
      <c r="J981" s="36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9.5" customHeight="1">
      <c r="A982" s="45"/>
      <c r="B982" s="46"/>
      <c r="C982" s="46"/>
      <c r="D982" s="46"/>
      <c r="E982" s="46"/>
      <c r="F982" s="54"/>
      <c r="G982" s="46"/>
      <c r="H982" s="46"/>
      <c r="I982" s="46"/>
      <c r="J982" s="36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9.5" customHeight="1">
      <c r="A983" s="42"/>
      <c r="B983" s="43"/>
      <c r="C983" s="43"/>
      <c r="D983" s="43"/>
      <c r="E983" s="43"/>
      <c r="F983" s="44"/>
      <c r="G983" s="43"/>
      <c r="H983" s="43"/>
      <c r="I983" s="43"/>
      <c r="J983" s="36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9.5" customHeight="1">
      <c r="A984" s="45"/>
      <c r="B984" s="46"/>
      <c r="C984" s="46"/>
      <c r="D984" s="46"/>
      <c r="E984" s="46"/>
      <c r="F984" s="54"/>
      <c r="G984" s="46"/>
      <c r="H984" s="46"/>
      <c r="I984" s="46"/>
      <c r="J984" s="36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9.5" customHeight="1">
      <c r="A985" s="42"/>
      <c r="B985" s="43"/>
      <c r="C985" s="43"/>
      <c r="D985" s="43"/>
      <c r="E985" s="43"/>
      <c r="F985" s="44"/>
      <c r="G985" s="43"/>
      <c r="H985" s="43"/>
      <c r="I985" s="43"/>
      <c r="J985" s="36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9.5" customHeight="1">
      <c r="A986" s="45"/>
      <c r="B986" s="46"/>
      <c r="C986" s="46"/>
      <c r="D986" s="46"/>
      <c r="E986" s="46"/>
      <c r="F986" s="54"/>
      <c r="G986" s="46"/>
      <c r="H986" s="46"/>
      <c r="I986" s="46"/>
      <c r="J986" s="36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9.5" customHeight="1">
      <c r="A987" s="42"/>
      <c r="B987" s="43"/>
      <c r="C987" s="43"/>
      <c r="D987" s="43"/>
      <c r="E987" s="43"/>
      <c r="F987" s="44"/>
      <c r="G987" s="43"/>
      <c r="H987" s="43"/>
      <c r="I987" s="43"/>
      <c r="J987" s="36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9.5" customHeight="1">
      <c r="A988" s="45"/>
      <c r="B988" s="46"/>
      <c r="C988" s="46"/>
      <c r="D988" s="46"/>
      <c r="E988" s="46"/>
      <c r="F988" s="54"/>
      <c r="G988" s="46"/>
      <c r="H988" s="46"/>
      <c r="I988" s="46"/>
      <c r="J988" s="36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9.5" customHeight="1">
      <c r="A989" s="42"/>
      <c r="B989" s="43"/>
      <c r="C989" s="43"/>
      <c r="D989" s="43"/>
      <c r="E989" s="43"/>
      <c r="F989" s="44"/>
      <c r="G989" s="43"/>
      <c r="H989" s="43"/>
      <c r="I989" s="43"/>
      <c r="J989" s="36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9.5" customHeight="1">
      <c r="A990" s="45"/>
      <c r="B990" s="46"/>
      <c r="C990" s="46"/>
      <c r="D990" s="46"/>
      <c r="E990" s="46"/>
      <c r="F990" s="54"/>
      <c r="G990" s="46"/>
      <c r="H990" s="46"/>
      <c r="I990" s="46"/>
      <c r="J990" s="36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9.5" customHeight="1">
      <c r="A991" s="42"/>
      <c r="B991" s="43"/>
      <c r="C991" s="43"/>
      <c r="D991" s="43"/>
      <c r="E991" s="43"/>
      <c r="F991" s="44"/>
      <c r="G991" s="43"/>
      <c r="H991" s="43"/>
      <c r="I991" s="43"/>
      <c r="J991" s="36" t="str">
        <f t="array" ref="J991">IF(G991="","",IFERROR(LET(ev_cost,INDEX(Events!$G$5:$G$505,MATCH(G991,Events!$A$5:$A$505,0)),ev_split,INDEX(Events!$I$5:$I$505,MATCH(G991,Events!$A$5:$A$505,0)),att_offset,MATCH(G991,Attendance!$B$3:$AV$3,0),attendees,COUNTIF(INDEX(Attendance!$B$7:$AV$206,0,att_offset),"1"),IF(ev_split="Equal Split",ev_cost/MAX(1,COUNTA(Roster!$A$5:$A$204)),ev_cost/MAX(1,attendees))),"N/A"))</f>
        <v/>
      </c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7"/>
      <c r="B992" s="7"/>
      <c r="C992" s="7"/>
      <c r="D992" s="7"/>
      <c r="E992" s="7"/>
      <c r="F992" s="12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7"/>
      <c r="B993" s="7"/>
      <c r="C993" s="7"/>
      <c r="D993" s="7"/>
      <c r="E993" s="7"/>
      <c r="F993" s="12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7"/>
      <c r="B994" s="7"/>
      <c r="C994" s="7"/>
      <c r="D994" s="7"/>
      <c r="E994" s="7"/>
      <c r="F994" s="12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7"/>
      <c r="B995" s="7"/>
      <c r="C995" s="7"/>
      <c r="D995" s="7"/>
      <c r="E995" s="7"/>
      <c r="F995" s="12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</sheetData>
  <mergeCells count="1">
    <mergeCell ref="A1:I1"/>
  </mergeCells>
  <dataValidations>
    <dataValidation type="list" allowBlank="1" sqref="C7:C991">
      <formula1>"Dues,Tournament Fee,Field Fee,Hotel,Travel,Equipment,Fundraiser Income,Sponsorship,Refund,Other"</formula1>
    </dataValidation>
    <dataValidation type="list" allowBlank="1" sqref="D7:D991">
      <formula1>"Income,Expense,Fundraiser,Credit"</formula1>
    </dataValidation>
    <dataValidation type="list" allowBlank="1" sqref="G7:G991">
      <formula1>Events!$A$5:$A$505</formula1>
    </dataValidation>
    <dataValidation type="list" allowBlank="1" sqref="I7:I991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128</v>
      </c>
      <c r="B1" s="3"/>
      <c r="C1" s="3"/>
      <c r="D1" s="3"/>
      <c r="E1" s="3"/>
      <c r="F1" s="3"/>
      <c r="G1" s="3"/>
      <c r="H1" s="5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3.5" customHeight="1">
      <c r="A2" s="7"/>
      <c r="B2" s="7"/>
      <c r="C2" s="7"/>
      <c r="D2" s="7"/>
      <c r="E2" s="7"/>
      <c r="F2" s="7"/>
      <c r="G2" s="74"/>
      <c r="H2" s="74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75" t="s">
        <v>129</v>
      </c>
      <c r="B3" s="75" t="s">
        <v>130</v>
      </c>
      <c r="C3" s="75" t="s">
        <v>131</v>
      </c>
      <c r="D3" s="75" t="s">
        <v>132</v>
      </c>
      <c r="E3" s="75" t="s">
        <v>133</v>
      </c>
      <c r="F3" s="74"/>
      <c r="G3" s="74"/>
      <c r="H3" s="74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76">
        <f>SUMIF(E7:E206,"&gt;0",E7:E206)</f>
        <v>0</v>
      </c>
      <c r="B4" s="76">
        <f>SUMIF(E7:E206,"&lt;0",E7:E206)</f>
        <v>-15405.59</v>
      </c>
      <c r="C4" s="76">
        <f>SUM(E7:E206)</f>
        <v>-15405.59</v>
      </c>
      <c r="D4" s="77">
        <f>COUNTIF(F7:F206,"Settled")</f>
        <v>17</v>
      </c>
      <c r="E4" s="77">
        <f>COUNTIF(F7:F206,"Unsettled")</f>
        <v>19</v>
      </c>
      <c r="F4" s="74"/>
      <c r="G4" s="74"/>
      <c r="H4" s="74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7.5" customHeight="1">
      <c r="A5" s="7"/>
      <c r="B5" s="7"/>
      <c r="C5" s="7"/>
      <c r="D5" s="7"/>
      <c r="E5" s="7"/>
      <c r="F5" s="7"/>
      <c r="G5" s="74"/>
      <c r="H5" s="74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13" t="s">
        <v>66</v>
      </c>
      <c r="B6" s="13" t="s">
        <v>134</v>
      </c>
      <c r="C6" s="13" t="s">
        <v>135</v>
      </c>
      <c r="D6" s="13" t="s">
        <v>136</v>
      </c>
      <c r="E6" s="13" t="s">
        <v>137</v>
      </c>
      <c r="F6" s="13" t="s">
        <v>8</v>
      </c>
      <c r="G6" s="13" t="s">
        <v>138</v>
      </c>
      <c r="H6" s="74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9.5" customHeight="1">
      <c r="A7" s="69" t="str">
        <f>IF(Roster!$A$5&lt;&gt;"",Roster!$A$5,"")</f>
        <v>At</v>
      </c>
      <c r="B7" s="69">
        <f t="array" ref="B7">IF(A7&lt;&gt;"",IFERROR(SUMPRODUCT((INDEX(Attendance!$B$7:$AV$206,MATCH(A7,Attendance!$A$7:$A$206,0),0)=1)*Attendance!$B$4:$AV$4),0),"")</f>
        <v>0</v>
      </c>
      <c r="C7" s="78">
        <f>IF(A7&lt;&gt;"",SUMIFS(Transactions!$F$7:$F$991,Transactions!$D$7:$D$991,"Income",Transactions!$E$7:$E$991,A7),"")</f>
        <v>0</v>
      </c>
      <c r="D7" s="78">
        <f>IF(A7&lt;&gt;"",SUMIFS(Transactions!$F$7:$F$991,Transactions!$D$7:$D$991,"Expense",Transactions!$E$7:$E$991,A7),"")</f>
        <v>0</v>
      </c>
      <c r="E7" s="76">
        <f t="shared" ref="E7:E206" si="1">IF(A7&lt;&gt;"",B7-C7-D7-G7,"")</f>
        <v>0</v>
      </c>
      <c r="F7" s="76" t="str">
        <f t="shared" ref="F7:F206" si="2">IF(A7&lt;&gt;"",IF(E7=0,"Settled","Unsettled"),"")</f>
        <v>Settled</v>
      </c>
      <c r="G7" s="79">
        <f>IF(A7&lt;&gt;"",SUMIFS(Transactions!$F$7:$F$991,Transactions!$D$7:$D$991,"Credit",Transactions!$H$7:$H$991,A7),"")</f>
        <v>0</v>
      </c>
      <c r="H7" s="74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9.5" customHeight="1">
      <c r="A8" s="69" t="str">
        <f>IF(Roster!$A$6&lt;&gt;"",Roster!$A$6,"")</f>
        <v>Alex Warrington</v>
      </c>
      <c r="B8" s="69">
        <f t="array" ref="B8">IF(A8&lt;&gt;"",IFERROR(SUMPRODUCT((INDEX(Attendance!$B$7:$AV$206,MATCH(A8,Attendance!$A$7:$A$206,0),0)=1)*Attendance!$B$4:$AV$4),0),"")</f>
        <v>0</v>
      </c>
      <c r="C8" s="78">
        <f>IF(A8&lt;&gt;"",SUMIFS(Transactions!$F$7:$F$991,Transactions!$D$7:$D$991,"Income",Transactions!$E$7:$E$991,A8),"")</f>
        <v>0</v>
      </c>
      <c r="D8" s="78">
        <f>IF(A8&lt;&gt;"",SUMIFS(Transactions!$F$7:$F$991,Transactions!$D$7:$D$991,"Expense",Transactions!$E$7:$E$991,A8),"")</f>
        <v>0</v>
      </c>
      <c r="E8" s="76">
        <f t="shared" si="1"/>
        <v>0</v>
      </c>
      <c r="F8" s="76" t="str">
        <f t="shared" si="2"/>
        <v>Settled</v>
      </c>
      <c r="G8" s="79">
        <f>IF(A8&lt;&gt;"",SUMIFS(Transactions!$F$7:$F$991,Transactions!$D$7:$D$991,"Credit",Transactions!$H$7:$H$991,A8),"")</f>
        <v>0</v>
      </c>
      <c r="H8" s="74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9.5" customHeight="1">
      <c r="A9" s="69" t="str">
        <f>IF(Roster!$A$7&lt;&gt;"",Roster!$A$7,"")</f>
        <v>Chris Wohl</v>
      </c>
      <c r="B9" s="69">
        <f t="array" ref="B9">IF(A9&lt;&gt;"",IFERROR(SUMPRODUCT((INDEX(Attendance!$B$7:$AV$206,MATCH(A9,Attendance!$A$7:$A$206,0),0)=1)*Attendance!$B$4:$AV$4),0),"")</f>
        <v>0</v>
      </c>
      <c r="C9" s="78">
        <f>IF(A9&lt;&gt;"",SUMIFS(Transactions!$F$7:$F$991,Transactions!$D$7:$D$991,"Income",Transactions!$E$7:$E$991,A9),"")</f>
        <v>208.36</v>
      </c>
      <c r="D9" s="78">
        <f>IF(A9&lt;&gt;"",SUMIFS(Transactions!$F$7:$F$991,Transactions!$D$7:$D$991,"Expense",Transactions!$E$7:$E$991,A9),"")</f>
        <v>0</v>
      </c>
      <c r="E9" s="76">
        <f t="shared" si="1"/>
        <v>-208.36</v>
      </c>
      <c r="F9" s="76" t="str">
        <f t="shared" si="2"/>
        <v>Unsettled</v>
      </c>
      <c r="G9" s="79">
        <f>IF(A9&lt;&gt;"",SUMIFS(Transactions!$F$7:$F$991,Transactions!$D$7:$D$991,"Credit",Transactions!$H$7:$H$991,A9),"")</f>
        <v>0</v>
      </c>
      <c r="H9" s="74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9.5" customHeight="1">
      <c r="A10" s="69" t="str">
        <f>IF(Roster!$A$8&lt;&gt;"",Roster!$A$8,"")</f>
        <v>Darra Reppermund</v>
      </c>
      <c r="B10" s="69">
        <f t="array" ref="B10">IF(A10&lt;&gt;"",IFERROR(SUMPRODUCT((INDEX(Attendance!$B$7:$AV$206,MATCH(A10,Attendance!$A$7:$A$206,0),0)=1)*Attendance!$B$4:$AV$4),0),"")</f>
        <v>0</v>
      </c>
      <c r="C10" s="78">
        <f>IF(A10&lt;&gt;"",SUMIFS(Transactions!$F$7:$F$991,Transactions!$D$7:$D$991,"Income",Transactions!$E$7:$E$991,A10),"")</f>
        <v>56.24</v>
      </c>
      <c r="D10" s="78">
        <f>IF(A10&lt;&gt;"",SUMIFS(Transactions!$F$7:$F$991,Transactions!$D$7:$D$991,"Expense",Transactions!$E$7:$E$991,A10),"")</f>
        <v>152.13</v>
      </c>
      <c r="E10" s="76">
        <f t="shared" si="1"/>
        <v>-208.37</v>
      </c>
      <c r="F10" s="76" t="str">
        <f t="shared" si="2"/>
        <v>Unsettled</v>
      </c>
      <c r="G10" s="79">
        <f>IF(A10&lt;&gt;"",SUMIFS(Transactions!$F$7:$F$991,Transactions!$D$7:$D$991,"Credit",Transactions!$H$7:$H$991,A10),"")</f>
        <v>0</v>
      </c>
      <c r="H10" s="74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9.5" customHeight="1">
      <c r="A11" s="69" t="str">
        <f>IF(Roster!$A$9&lt;&gt;"",Roster!$A$9,"")</f>
        <v>Dylan Best</v>
      </c>
      <c r="B11" s="69">
        <f t="array" ref="B11">IF(A11&lt;&gt;"",IFERROR(SUMPRODUCT((INDEX(Attendance!$B$7:$AV$206,MATCH(A11,Attendance!$A$7:$A$206,0),0)=1)*Attendance!$B$4:$AV$4),0),"")</f>
        <v>0</v>
      </c>
      <c r="C11" s="78">
        <f>IF(A11&lt;&gt;"",SUMIFS(Transactions!$F$7:$F$991,Transactions!$D$7:$D$991,"Income",Transactions!$E$7:$E$991,A11),"")</f>
        <v>0</v>
      </c>
      <c r="D11" s="78">
        <f>IF(A11&lt;&gt;"",SUMIFS(Transactions!$F$7:$F$991,Transactions!$D$7:$D$991,"Expense",Transactions!$E$7:$E$991,A11),"")</f>
        <v>0</v>
      </c>
      <c r="E11" s="76">
        <f t="shared" si="1"/>
        <v>0</v>
      </c>
      <c r="F11" s="76" t="str">
        <f t="shared" si="2"/>
        <v>Settled</v>
      </c>
      <c r="G11" s="79">
        <f>IF(A11&lt;&gt;"",SUMIFS(Transactions!$F$7:$F$991,Transactions!$D$7:$D$991,"Credit",Transactions!$H$7:$H$991,A11),"")</f>
        <v>0</v>
      </c>
      <c r="H11" s="74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9.5" customHeight="1">
      <c r="A12" s="80" t="str">
        <f>IF(Roster!$A$10&lt;&gt;"",Roster!$A$10,"")</f>
        <v>Griffin O'Neal-Freeman</v>
      </c>
      <c r="B12" s="80">
        <f t="array" ref="B12">IF(A12&lt;&gt;"",IFERROR(SUMPRODUCT((INDEX(Attendance!$B$7:$AV$206,MATCH(A12,Attendance!$A$7:$A$206,0),0)=1)*Attendance!$B$4:$AV$4),0),"")</f>
        <v>0</v>
      </c>
      <c r="C12" s="81">
        <f>IF(A12&lt;&gt;"",SUMIFS(Transactions!$F$7:$F$991,Transactions!$D$7:$D$991,"Income",Transactions!$E$7:$E$991,A12),"")</f>
        <v>0</v>
      </c>
      <c r="D12" s="81">
        <f>IF(A12&lt;&gt;"",SUMIFS(Transactions!$F$7:$F$991,Transactions!$D$7:$D$991,"Expense",Transactions!$E$7:$E$991,A12),"")</f>
        <v>0</v>
      </c>
      <c r="E12" s="82">
        <f t="shared" si="1"/>
        <v>0</v>
      </c>
      <c r="F12" s="82" t="str">
        <f t="shared" si="2"/>
        <v>Settled</v>
      </c>
      <c r="G12" s="79">
        <f>IF(A12&lt;&gt;"",SUMIFS(Transactions!$F$7:$F$991,Transactions!$D$7:$D$991,"Credit",Transactions!$H$7:$H$991,A12),"")</f>
        <v>0</v>
      </c>
      <c r="H12" s="74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9.5" customHeight="1">
      <c r="A13" s="69" t="str">
        <f>IF(Roster!$A$11&lt;&gt;"",Roster!$A$11,"")</f>
        <v>Haley Young</v>
      </c>
      <c r="B13" s="69">
        <f t="array" ref="B13">IF(A13&lt;&gt;"",IFERROR(SUMPRODUCT((INDEX(Attendance!$B$7:$AV$206,MATCH(A13,Attendance!$A$7:$A$206,0),0)=1)*Attendance!$B$4:$AV$4),0),"")</f>
        <v>0</v>
      </c>
      <c r="C13" s="78">
        <f>IF(A13&lt;&gt;"",SUMIFS(Transactions!$F$7:$F$991,Transactions!$D$7:$D$991,"Income",Transactions!$E$7:$E$991,A13),"")</f>
        <v>202.89</v>
      </c>
      <c r="D13" s="78">
        <f>IF(A13&lt;&gt;"",SUMIFS(Transactions!$F$7:$F$991,Transactions!$D$7:$D$991,"Expense",Transactions!$E$7:$E$991,A13),"")</f>
        <v>0</v>
      </c>
      <c r="E13" s="76">
        <f t="shared" si="1"/>
        <v>-202.89</v>
      </c>
      <c r="F13" s="76" t="str">
        <f t="shared" si="2"/>
        <v>Unsettled</v>
      </c>
      <c r="G13" s="79">
        <f>IF(A13&lt;&gt;"",SUMIFS(Transactions!$F$7:$F$991,Transactions!$D$7:$D$991,"Credit",Transactions!$H$7:$H$991,A13),"")</f>
        <v>0</v>
      </c>
      <c r="H13" s="74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9.5" customHeight="1">
      <c r="A14" s="80" t="str">
        <f>IF(Roster!$A$12&lt;&gt;"",Roster!$A$12,"")</f>
        <v>Harry Park</v>
      </c>
      <c r="B14" s="80">
        <f t="array" ref="B14">IF(A14&lt;&gt;"",IFERROR(SUMPRODUCT((INDEX(Attendance!$B$7:$AV$206,MATCH(A14,Attendance!$A$7:$A$206,0),0)=1)*Attendance!$B$4:$AV$4),0),"")</f>
        <v>0</v>
      </c>
      <c r="C14" s="81">
        <f>IF(A14&lt;&gt;"",SUMIFS(Transactions!$F$7:$F$991,Transactions!$D$7:$D$991,"Income",Transactions!$E$7:$E$991,A14),"")</f>
        <v>0</v>
      </c>
      <c r="D14" s="81">
        <f>IF(A14&lt;&gt;"",SUMIFS(Transactions!$F$7:$F$991,Transactions!$D$7:$D$991,"Expense",Transactions!$E$7:$E$991,A14),"")</f>
        <v>2416.62</v>
      </c>
      <c r="E14" s="82">
        <f t="shared" si="1"/>
        <v>-2416.62</v>
      </c>
      <c r="F14" s="82" t="str">
        <f t="shared" si="2"/>
        <v>Unsettled</v>
      </c>
      <c r="G14" s="79">
        <f>IF(A14&lt;&gt;"",SUMIFS(Transactions!$F$7:$F$991,Transactions!$D$7:$D$991,"Credit",Transactions!$H$7:$H$991,A14),"")</f>
        <v>0</v>
      </c>
      <c r="H14" s="74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9.5" customHeight="1">
      <c r="A15" s="69" t="str">
        <f>IF(Roster!$A$13&lt;&gt;"",Roster!$A$13,"")</f>
        <v>Ian Piper</v>
      </c>
      <c r="B15" s="69">
        <f t="array" ref="B15">IF(A15&lt;&gt;"",IFERROR(SUMPRODUCT((INDEX(Attendance!$B$7:$AV$206,MATCH(A15,Attendance!$A$7:$A$206,0),0)=1)*Attendance!$B$4:$AV$4),0),"")</f>
        <v>0</v>
      </c>
      <c r="C15" s="78">
        <f>IF(A15&lt;&gt;"",SUMIFS(Transactions!$F$7:$F$991,Transactions!$D$7:$D$991,"Income",Transactions!$E$7:$E$991,A15),"")</f>
        <v>0</v>
      </c>
      <c r="D15" s="78">
        <f>IF(A15&lt;&gt;"",SUMIFS(Transactions!$F$7:$F$991,Transactions!$D$7:$D$991,"Expense",Transactions!$E$7:$E$991,A15),"")</f>
        <v>0</v>
      </c>
      <c r="E15" s="76">
        <f t="shared" si="1"/>
        <v>0</v>
      </c>
      <c r="F15" s="76" t="str">
        <f t="shared" si="2"/>
        <v>Settled</v>
      </c>
      <c r="G15" s="79">
        <f>IF(A15&lt;&gt;"",SUMIFS(Transactions!$F$7:$F$991,Transactions!$D$7:$D$991,"Credit",Transactions!$H$7:$H$991,A15),"")</f>
        <v>0</v>
      </c>
      <c r="H15" s="74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9.5" customHeight="1">
      <c r="A16" s="80" t="str">
        <f>IF(Roster!$A$14&lt;&gt;"",Roster!$A$14,"")</f>
        <v>Jake Murray</v>
      </c>
      <c r="B16" s="80">
        <f t="array" ref="B16">IF(A16&lt;&gt;"",IFERROR(SUMPRODUCT((INDEX(Attendance!$B$7:$AV$206,MATCH(A16,Attendance!$A$7:$A$206,0),0)=1)*Attendance!$B$4:$AV$4),0),"")</f>
        <v>0</v>
      </c>
      <c r="C16" s="81">
        <f>IF(A16&lt;&gt;"",SUMIFS(Transactions!$F$7:$F$991,Transactions!$D$7:$D$991,"Income",Transactions!$E$7:$E$991,A16),"")</f>
        <v>0</v>
      </c>
      <c r="D16" s="81">
        <f>IF(A16&lt;&gt;"",SUMIFS(Transactions!$F$7:$F$991,Transactions!$D$7:$D$991,"Expense",Transactions!$E$7:$E$991,A16),"")</f>
        <v>5723.34</v>
      </c>
      <c r="E16" s="82">
        <f t="shared" si="1"/>
        <v>-5782.18</v>
      </c>
      <c r="F16" s="82" t="str">
        <f t="shared" si="2"/>
        <v>Unsettled</v>
      </c>
      <c r="G16" s="79">
        <f>IF(A16&lt;&gt;"",SUMIFS(Transactions!$F$7:$F$991,Transactions!$D$7:$D$991,"Credit",Transactions!$H$7:$H$991,A16),"")</f>
        <v>58.84</v>
      </c>
      <c r="H16" s="74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9.5" customHeight="1">
      <c r="A17" s="69" t="str">
        <f>IF(Roster!$A$15&lt;&gt;"",Roster!$A$15,"")</f>
        <v>Jenna Nold</v>
      </c>
      <c r="B17" s="69">
        <f t="array" ref="B17">IF(A17&lt;&gt;"",IFERROR(SUMPRODUCT((INDEX(Attendance!$B$7:$AV$206,MATCH(A17,Attendance!$A$7:$A$206,0),0)=1)*Attendance!$B$4:$AV$4),0),"")</f>
        <v>0</v>
      </c>
      <c r="C17" s="78">
        <f>IF(A17&lt;&gt;"",SUMIFS(Transactions!$F$7:$F$991,Transactions!$D$7:$D$991,"Income",Transactions!$E$7:$E$991,A17),"")</f>
        <v>0</v>
      </c>
      <c r="D17" s="78">
        <f>IF(A17&lt;&gt;"",SUMIFS(Transactions!$F$7:$F$991,Transactions!$D$7:$D$991,"Expense",Transactions!$E$7:$E$991,A17),"")</f>
        <v>185.69</v>
      </c>
      <c r="E17" s="76">
        <f t="shared" si="1"/>
        <v>-185.69</v>
      </c>
      <c r="F17" s="76" t="str">
        <f t="shared" si="2"/>
        <v>Unsettled</v>
      </c>
      <c r="G17" s="79">
        <f>IF(A17&lt;&gt;"",SUMIFS(Transactions!$F$7:$F$991,Transactions!$D$7:$D$991,"Credit",Transactions!$H$7:$H$991,A17),"")</f>
        <v>0</v>
      </c>
      <c r="H17" s="74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9.5" customHeight="1">
      <c r="A18" s="80" t="str">
        <f>IF(Roster!$A$16&lt;&gt;"",Roster!$A$16,"")</f>
        <v>Jimmy Towle</v>
      </c>
      <c r="B18" s="80">
        <f t="array" ref="B18">IF(A18&lt;&gt;"",IFERROR(SUMPRODUCT((INDEX(Attendance!$B$7:$AV$206,MATCH(A18,Attendance!$A$7:$A$206,0),0)=1)*Attendance!$B$4:$AV$4),0),"")</f>
        <v>0</v>
      </c>
      <c r="C18" s="81">
        <f>IF(A18&lt;&gt;"",SUMIFS(Transactions!$F$7:$F$991,Transactions!$D$7:$D$991,"Income",Transactions!$E$7:$E$991,A18),"")</f>
        <v>28.75</v>
      </c>
      <c r="D18" s="81">
        <f>IF(A18&lt;&gt;"",SUMIFS(Transactions!$F$7:$F$991,Transactions!$D$7:$D$991,"Expense",Transactions!$E$7:$E$991,A18),"")</f>
        <v>0</v>
      </c>
      <c r="E18" s="82">
        <f t="shared" si="1"/>
        <v>-28.75</v>
      </c>
      <c r="F18" s="82" t="str">
        <f t="shared" si="2"/>
        <v>Unsettled</v>
      </c>
      <c r="G18" s="79">
        <f>IF(A18&lt;&gt;"",SUMIFS(Transactions!$F$7:$F$991,Transactions!$D$7:$D$991,"Credit",Transactions!$H$7:$H$991,A18),"")</f>
        <v>0</v>
      </c>
      <c r="H18" s="74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9.5" customHeight="1">
      <c r="A19" s="69" t="str">
        <f>IF(Roster!$A$17&lt;&gt;"",Roster!$A$17,"")</f>
        <v>Kailey Rugani</v>
      </c>
      <c r="B19" s="69">
        <f t="array" ref="B19">IF(A19&lt;&gt;"",IFERROR(SUMPRODUCT((INDEX(Attendance!$B$7:$AV$206,MATCH(A19,Attendance!$A$7:$A$206,0),0)=1)*Attendance!$B$4:$AV$4),0),"")</f>
        <v>0</v>
      </c>
      <c r="C19" s="78">
        <f>IF(A19&lt;&gt;"",SUMIFS(Transactions!$F$7:$F$991,Transactions!$D$7:$D$991,"Income",Transactions!$E$7:$E$991,A19),"")</f>
        <v>0</v>
      </c>
      <c r="D19" s="78">
        <f>IF(A19&lt;&gt;"",SUMIFS(Transactions!$F$7:$F$991,Transactions!$D$7:$D$991,"Expense",Transactions!$E$7:$E$991,A19),"")</f>
        <v>0</v>
      </c>
      <c r="E19" s="76">
        <f t="shared" si="1"/>
        <v>0</v>
      </c>
      <c r="F19" s="76" t="str">
        <f t="shared" si="2"/>
        <v>Settled</v>
      </c>
      <c r="G19" s="79">
        <f>IF(A19&lt;&gt;"",SUMIFS(Transactions!$F$7:$F$991,Transactions!$D$7:$D$991,"Credit",Transactions!$H$7:$H$991,A19),"")</f>
        <v>0</v>
      </c>
      <c r="H19" s="74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9.5" customHeight="1">
      <c r="A20" s="80" t="str">
        <f>IF(Roster!$A$18&lt;&gt;"",Roster!$A$18,"")</f>
        <v>Kasey Schock</v>
      </c>
      <c r="B20" s="80">
        <f t="array" ref="B20">IF(A20&lt;&gt;"",IFERROR(SUMPRODUCT((INDEX(Attendance!$B$7:$AV$206,MATCH(A20,Attendance!$A$7:$A$206,0),0)=1)*Attendance!$B$4:$AV$4),0),"")</f>
        <v>0</v>
      </c>
      <c r="C20" s="81">
        <f>IF(A20&lt;&gt;"",SUMIFS(Transactions!$F$7:$F$991,Transactions!$D$7:$D$991,"Income",Transactions!$E$7:$E$991,A20),"")</f>
        <v>202.89</v>
      </c>
      <c r="D20" s="81">
        <f>IF(A20&lt;&gt;"",SUMIFS(Transactions!$F$7:$F$991,Transactions!$D$7:$D$991,"Expense",Transactions!$E$7:$E$991,A20),"")</f>
        <v>0</v>
      </c>
      <c r="E20" s="82">
        <f t="shared" si="1"/>
        <v>-202.89</v>
      </c>
      <c r="F20" s="82" t="str">
        <f t="shared" si="2"/>
        <v>Unsettled</v>
      </c>
      <c r="G20" s="79">
        <f>IF(A20&lt;&gt;"",SUMIFS(Transactions!$F$7:$F$991,Transactions!$D$7:$D$991,"Credit",Transactions!$H$7:$H$991,A20),"")</f>
        <v>0</v>
      </c>
      <c r="H20" s="74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9.5" customHeight="1">
      <c r="A21" s="69" t="str">
        <f>IF(Roster!$A$19&lt;&gt;"",Roster!$A$19,"")</f>
        <v>Kevin Nicholl</v>
      </c>
      <c r="B21" s="69">
        <f t="array" ref="B21">IF(A21&lt;&gt;"",IFERROR(SUMPRODUCT((INDEX(Attendance!$B$7:$AV$206,MATCH(A21,Attendance!$A$7:$A$206,0),0)=1)*Attendance!$B$4:$AV$4),0),"")</f>
        <v>0</v>
      </c>
      <c r="C21" s="78">
        <f>IF(A21&lt;&gt;"",SUMIFS(Transactions!$F$7:$F$991,Transactions!$D$7:$D$991,"Income",Transactions!$E$7:$E$991,A21),"")</f>
        <v>202.89</v>
      </c>
      <c r="D21" s="78">
        <f>IF(A21&lt;&gt;"",SUMIFS(Transactions!$F$7:$F$991,Transactions!$D$7:$D$991,"Expense",Transactions!$E$7:$E$991,A21),"")</f>
        <v>0</v>
      </c>
      <c r="E21" s="76">
        <f t="shared" si="1"/>
        <v>-202.89</v>
      </c>
      <c r="F21" s="76" t="str">
        <f t="shared" si="2"/>
        <v>Unsettled</v>
      </c>
      <c r="G21" s="79">
        <f>IF(A21&lt;&gt;"",SUMIFS(Transactions!$F$7:$F$991,Transactions!$D$7:$D$991,"Credit",Transactions!$H$7:$H$991,A21),"")</f>
        <v>0</v>
      </c>
      <c r="H21" s="74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9.5" customHeight="1">
      <c r="A22" s="80" t="str">
        <f>IF(Roster!$A$20&lt;&gt;"",Roster!$A$20,"")</f>
        <v>Kit Asterin</v>
      </c>
      <c r="B22" s="80">
        <f t="array" ref="B22">IF(A22&lt;&gt;"",IFERROR(SUMPRODUCT((INDEX(Attendance!$B$7:$AV$206,MATCH(A22,Attendance!$A$7:$A$206,0),0)=1)*Attendance!$B$4:$AV$4),0),"")</f>
        <v>0</v>
      </c>
      <c r="C22" s="81">
        <f>IF(A22&lt;&gt;"",SUMIFS(Transactions!$F$7:$F$991,Transactions!$D$7:$D$991,"Income",Transactions!$E$7:$E$991,A22),"")</f>
        <v>0</v>
      </c>
      <c r="D22" s="81">
        <f>IF(A22&lt;&gt;"",SUMIFS(Transactions!$F$7:$F$991,Transactions!$D$7:$D$991,"Expense",Transactions!$E$7:$E$991,A22),"")</f>
        <v>0</v>
      </c>
      <c r="E22" s="82">
        <f t="shared" si="1"/>
        <v>0</v>
      </c>
      <c r="F22" s="82" t="str">
        <f t="shared" si="2"/>
        <v>Settled</v>
      </c>
      <c r="G22" s="79">
        <f>IF(A22&lt;&gt;"",SUMIFS(Transactions!$F$7:$F$991,Transactions!$D$7:$D$991,"Credit",Transactions!$H$7:$H$991,A22),"")</f>
        <v>0</v>
      </c>
      <c r="H22" s="74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9.5" customHeight="1">
      <c r="A23" s="69" t="str">
        <f>IF(Roster!$A$21&lt;&gt;"",Roster!$A$21,"")</f>
        <v>Kristin Dudley</v>
      </c>
      <c r="B23" s="69">
        <f t="array" ref="B23">IF(A23&lt;&gt;"",IFERROR(SUMPRODUCT((INDEX(Attendance!$B$7:$AV$206,MATCH(A23,Attendance!$A$7:$A$206,0),0)=1)*Attendance!$B$4:$AV$4),0),"")</f>
        <v>0</v>
      </c>
      <c r="C23" s="78">
        <f>IF(A23&lt;&gt;"",SUMIFS(Transactions!$F$7:$F$991,Transactions!$D$7:$D$991,"Income",Transactions!$E$7:$E$991,A23),"")</f>
        <v>400</v>
      </c>
      <c r="D23" s="78">
        <f>IF(A23&lt;&gt;"",SUMIFS(Transactions!$F$7:$F$991,Transactions!$D$7:$D$991,"Expense",Transactions!$E$7:$E$991,A23),"")</f>
        <v>0</v>
      </c>
      <c r="E23" s="76">
        <f t="shared" si="1"/>
        <v>-400</v>
      </c>
      <c r="F23" s="76" t="str">
        <f t="shared" si="2"/>
        <v>Unsettled</v>
      </c>
      <c r="G23" s="79">
        <f>IF(A23&lt;&gt;"",SUMIFS(Transactions!$F$7:$F$991,Transactions!$D$7:$D$991,"Credit",Transactions!$H$7:$H$991,A23),"")</f>
        <v>0</v>
      </c>
      <c r="H23" s="74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9.5" customHeight="1">
      <c r="A24" s="80" t="str">
        <f>IF(Roster!$A$22&lt;&gt;"",Roster!$A$22,"")</f>
        <v>Lexie Thomas</v>
      </c>
      <c r="B24" s="80">
        <f t="array" ref="B24">IF(A24&lt;&gt;"",IFERROR(SUMPRODUCT((INDEX(Attendance!$B$7:$AV$206,MATCH(A24,Attendance!$A$7:$A$206,0),0)=1)*Attendance!$B$4:$AV$4),0),"")</f>
        <v>0</v>
      </c>
      <c r="C24" s="81">
        <f>IF(A24&lt;&gt;"",SUMIFS(Transactions!$F$7:$F$991,Transactions!$D$7:$D$991,"Income",Transactions!$E$7:$E$991,A24),"")</f>
        <v>68.75</v>
      </c>
      <c r="D24" s="81">
        <f>IF(A24&lt;&gt;"",SUMIFS(Transactions!$F$7:$F$991,Transactions!$D$7:$D$991,"Expense",Transactions!$E$7:$E$991,A24),"")</f>
        <v>0</v>
      </c>
      <c r="E24" s="82">
        <f t="shared" si="1"/>
        <v>-105.55</v>
      </c>
      <c r="F24" s="82" t="str">
        <f t="shared" si="2"/>
        <v>Unsettled</v>
      </c>
      <c r="G24" s="79">
        <f>IF(A24&lt;&gt;"",SUMIFS(Transactions!$F$7:$F$991,Transactions!$D$7:$D$991,"Credit",Transactions!$H$7:$H$991,A24),"")</f>
        <v>36.8</v>
      </c>
      <c r="H24" s="74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9.5" customHeight="1">
      <c r="A25" s="69" t="str">
        <f>IF(Roster!$A$23&lt;&gt;"",Roster!$A$23,"")</f>
        <v>Lucas Jones</v>
      </c>
      <c r="B25" s="69">
        <f t="array" ref="B25">IF(A25&lt;&gt;"",IFERROR(SUMPRODUCT((INDEX(Attendance!$B$7:$AV$206,MATCH(A25,Attendance!$A$7:$A$206,0),0)=1)*Attendance!$B$4:$AV$4),0),"")</f>
        <v>0</v>
      </c>
      <c r="C25" s="78">
        <f>IF(A25&lt;&gt;"",SUMIFS(Transactions!$F$7:$F$991,Transactions!$D$7:$D$991,"Income",Transactions!$E$7:$E$991,A25),"")</f>
        <v>0</v>
      </c>
      <c r="D25" s="78">
        <f>IF(A25&lt;&gt;"",SUMIFS(Transactions!$F$7:$F$991,Transactions!$D$7:$D$991,"Expense",Transactions!$E$7:$E$991,A25),"")</f>
        <v>0</v>
      </c>
      <c r="E25" s="76">
        <f t="shared" si="1"/>
        <v>0</v>
      </c>
      <c r="F25" s="76" t="str">
        <f t="shared" si="2"/>
        <v>Settled</v>
      </c>
      <c r="G25" s="79">
        <f>IF(A25&lt;&gt;"",SUMIFS(Transactions!$F$7:$F$991,Transactions!$D$7:$D$991,"Credit",Transactions!$H$7:$H$991,A25),"")</f>
        <v>0</v>
      </c>
      <c r="H25" s="74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9.5" customHeight="1">
      <c r="A26" s="80" t="str">
        <f>IF(Roster!$A$24&lt;&gt;"",Roster!$A$24,"")</f>
        <v>Max Sheppard</v>
      </c>
      <c r="B26" s="80">
        <f t="array" ref="B26">IF(A26&lt;&gt;"",IFERROR(SUMPRODUCT((INDEX(Attendance!$B$7:$AV$206,MATCH(A26,Attendance!$A$7:$A$206,0),0)=1)*Attendance!$B$4:$AV$4),0),"")</f>
        <v>0</v>
      </c>
      <c r="C26" s="81">
        <f>IF(A26&lt;&gt;"",SUMIFS(Transactions!$F$7:$F$991,Transactions!$D$7:$D$991,"Income",Transactions!$E$7:$E$991,A26),"")</f>
        <v>0</v>
      </c>
      <c r="D26" s="81">
        <f>IF(A26&lt;&gt;"",SUMIFS(Transactions!$F$7:$F$991,Transactions!$D$7:$D$991,"Expense",Transactions!$E$7:$E$991,A26),"")</f>
        <v>0</v>
      </c>
      <c r="E26" s="82">
        <f t="shared" si="1"/>
        <v>0</v>
      </c>
      <c r="F26" s="82" t="str">
        <f t="shared" si="2"/>
        <v>Settled</v>
      </c>
      <c r="G26" s="79">
        <f>IF(A26&lt;&gt;"",SUMIFS(Transactions!$F$7:$F$991,Transactions!$D$7:$D$991,"Credit",Transactions!$H$7:$H$991,A26),"")</f>
        <v>0</v>
      </c>
      <c r="H26" s="74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9.5" customHeight="1">
      <c r="A27" s="69" t="str">
        <f>IF(Roster!$A$25&lt;&gt;"",Roster!$A$25,"")</f>
        <v>Lucius Christie</v>
      </c>
      <c r="B27" s="69">
        <f t="array" ref="B27">IF(A27&lt;&gt;"",IFERROR(SUMPRODUCT((INDEX(Attendance!$B$7:$AV$206,MATCH(A27,Attendance!$A$7:$A$206,0),0)=1)*Attendance!$B$4:$AV$4),0),"")</f>
        <v>0</v>
      </c>
      <c r="C27" s="78">
        <f>IF(A27&lt;&gt;"",SUMIFS(Transactions!$F$7:$F$991,Transactions!$D$7:$D$991,"Income",Transactions!$E$7:$E$991,A27),"")</f>
        <v>0</v>
      </c>
      <c r="D27" s="78">
        <f>IF(A27&lt;&gt;"",SUMIFS(Transactions!$F$7:$F$991,Transactions!$D$7:$D$991,"Expense",Transactions!$E$7:$E$991,A27),"")</f>
        <v>0</v>
      </c>
      <c r="E27" s="76">
        <f t="shared" si="1"/>
        <v>0</v>
      </c>
      <c r="F27" s="76" t="str">
        <f t="shared" si="2"/>
        <v>Settled</v>
      </c>
      <c r="G27" s="79">
        <f>IF(A27&lt;&gt;"",SUMIFS(Transactions!$F$7:$F$991,Transactions!$D$7:$D$991,"Credit",Transactions!$H$7:$H$991,A27),"")</f>
        <v>0</v>
      </c>
      <c r="H27" s="74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9.5" customHeight="1">
      <c r="A28" s="80" t="str">
        <f>IF(Roster!$A$26&lt;&gt;"",Roster!$A$26,"")</f>
        <v>Patrick McMullen</v>
      </c>
      <c r="B28" s="80">
        <f t="array" ref="B28">IF(A28&lt;&gt;"",IFERROR(SUMPRODUCT((INDEX(Attendance!$B$7:$AV$206,MATCH(A28,Attendance!$A$7:$A$206,0),0)=1)*Attendance!$B$4:$AV$4),0),"")</f>
        <v>0</v>
      </c>
      <c r="C28" s="81">
        <f>IF(A28&lt;&gt;"",SUMIFS(Transactions!$F$7:$F$991,Transactions!$D$7:$D$991,"Income",Transactions!$E$7:$E$991,A28),"")</f>
        <v>202.89</v>
      </c>
      <c r="D28" s="81">
        <f>IF(A28&lt;&gt;"",SUMIFS(Transactions!$F$7:$F$991,Transactions!$D$7:$D$991,"Expense",Transactions!$E$7:$E$991,A28),"")</f>
        <v>0</v>
      </c>
      <c r="E28" s="82">
        <f t="shared" si="1"/>
        <v>-202.89</v>
      </c>
      <c r="F28" s="82" t="str">
        <f t="shared" si="2"/>
        <v>Unsettled</v>
      </c>
      <c r="G28" s="79">
        <f>IF(A28&lt;&gt;"",SUMIFS(Transactions!$F$7:$F$991,Transactions!$D$7:$D$991,"Credit",Transactions!$H$7:$H$991,A28),"")</f>
        <v>0</v>
      </c>
      <c r="H28" s="74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9.5" customHeight="1">
      <c r="A29" s="69" t="str">
        <f>IF(Roster!$A$27&lt;&gt;"",Roster!$A$27,"")</f>
        <v>Rachel Graber</v>
      </c>
      <c r="B29" s="69">
        <f t="array" ref="B29">IF(A29&lt;&gt;"",IFERROR(SUMPRODUCT((INDEX(Attendance!$B$7:$AV$206,MATCH(A29,Attendance!$A$7:$A$206,0),0)=1)*Attendance!$B$4:$AV$4),0),"")</f>
        <v>0</v>
      </c>
      <c r="C29" s="78">
        <f>IF(A29&lt;&gt;"",SUMIFS(Transactions!$F$7:$F$991,Transactions!$D$7:$D$991,"Income",Transactions!$E$7:$E$991,A29),"")</f>
        <v>202.89</v>
      </c>
      <c r="D29" s="78">
        <f>IF(A29&lt;&gt;"",SUMIFS(Transactions!$F$7:$F$991,Transactions!$D$7:$D$991,"Expense",Transactions!$E$7:$E$991,A29),"")</f>
        <v>0</v>
      </c>
      <c r="E29" s="76">
        <f t="shared" si="1"/>
        <v>-202.89</v>
      </c>
      <c r="F29" s="76" t="str">
        <f t="shared" si="2"/>
        <v>Unsettled</v>
      </c>
      <c r="G29" s="79">
        <f>IF(A29&lt;&gt;"",SUMIFS(Transactions!$F$7:$F$991,Transactions!$D$7:$D$991,"Credit",Transactions!$H$7:$H$991,A29),"")</f>
        <v>0</v>
      </c>
      <c r="H29" s="74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9.5" customHeight="1">
      <c r="A30" s="80" t="str">
        <f>IF(Roster!$A$28&lt;&gt;"",Roster!$A$28,"")</f>
        <v>Ryan Kindell</v>
      </c>
      <c r="B30" s="80">
        <f t="array" ref="B30">IF(A30&lt;&gt;"",IFERROR(SUMPRODUCT((INDEX(Attendance!$B$7:$AV$206,MATCH(A30,Attendance!$A$7:$A$206,0),0)=1)*Attendance!$B$4:$AV$4),0),"")</f>
        <v>0</v>
      </c>
      <c r="C30" s="81">
        <f>IF(A30&lt;&gt;"",SUMIFS(Transactions!$F$7:$F$991,Transactions!$D$7:$D$991,"Income",Transactions!$E$7:$E$991,A30),"")</f>
        <v>500</v>
      </c>
      <c r="D30" s="81">
        <f>IF(A30&lt;&gt;"",SUMIFS(Transactions!$F$7:$F$991,Transactions!$D$7:$D$991,"Expense",Transactions!$E$7:$E$991,A30),"")</f>
        <v>0</v>
      </c>
      <c r="E30" s="82">
        <f t="shared" si="1"/>
        <v>-500</v>
      </c>
      <c r="F30" s="82" t="str">
        <f t="shared" si="2"/>
        <v>Unsettled</v>
      </c>
      <c r="G30" s="79">
        <f>IF(A30&lt;&gt;"",SUMIFS(Transactions!$F$7:$F$991,Transactions!$D$7:$D$991,"Credit",Transactions!$H$7:$H$991,A30),"")</f>
        <v>0</v>
      </c>
      <c r="H30" s="74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9.5" customHeight="1">
      <c r="A31" s="69" t="str">
        <f>IF(Roster!$A$29&lt;&gt;"",Roster!$A$29,"")</f>
        <v>Ryan Ward</v>
      </c>
      <c r="B31" s="69">
        <f t="array" ref="B31">IF(A31&lt;&gt;"",IFERROR(SUMPRODUCT((INDEX(Attendance!$B$7:$AV$206,MATCH(A31,Attendance!$A$7:$A$206,0),0)=1)*Attendance!$B$4:$AV$4),0),"")</f>
        <v>0</v>
      </c>
      <c r="C31" s="78">
        <f>IF(A31&lt;&gt;"",SUMIFS(Transactions!$F$7:$F$991,Transactions!$D$7:$D$991,"Income",Transactions!$E$7:$E$991,A31),"")</f>
        <v>202.89</v>
      </c>
      <c r="D31" s="78">
        <f>IF(A31&lt;&gt;"",SUMIFS(Transactions!$F$7:$F$991,Transactions!$D$7:$D$991,"Expense",Transactions!$E$7:$E$991,A31),"")</f>
        <v>202.26</v>
      </c>
      <c r="E31" s="76">
        <f t="shared" si="1"/>
        <v>-405.15</v>
      </c>
      <c r="F31" s="76" t="str">
        <f t="shared" si="2"/>
        <v>Unsettled</v>
      </c>
      <c r="G31" s="79">
        <f>IF(A31&lt;&gt;"",SUMIFS(Transactions!$F$7:$F$991,Transactions!$D$7:$D$991,"Credit",Transactions!$H$7:$H$991,A31),"")</f>
        <v>0</v>
      </c>
      <c r="H31" s="74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9.5" customHeight="1">
      <c r="A32" s="80" t="str">
        <f>IF(Roster!$A$30&lt;&gt;"",Roster!$A$30,"")</f>
        <v>Sam Gombiner</v>
      </c>
      <c r="B32" s="80">
        <f t="array" ref="B32">IF(A32&lt;&gt;"",IFERROR(SUMPRODUCT((INDEX(Attendance!$B$7:$AV$206,MATCH(A32,Attendance!$A$7:$A$206,0),0)=1)*Attendance!$B$4:$AV$4),0),"")</f>
        <v>0</v>
      </c>
      <c r="C32" s="81">
        <f>IF(A32&lt;&gt;"",SUMIFS(Transactions!$F$7:$F$991,Transactions!$D$7:$D$991,"Income",Transactions!$E$7:$E$991,A32),"")</f>
        <v>0</v>
      </c>
      <c r="D32" s="81">
        <f>IF(A32&lt;&gt;"",SUMIFS(Transactions!$F$7:$F$991,Transactions!$D$7:$D$991,"Expense",Transactions!$E$7:$E$991,A32),"")</f>
        <v>0</v>
      </c>
      <c r="E32" s="82">
        <f t="shared" si="1"/>
        <v>0</v>
      </c>
      <c r="F32" s="82" t="str">
        <f t="shared" si="2"/>
        <v>Settled</v>
      </c>
      <c r="G32" s="79">
        <f>IF(A32&lt;&gt;"",SUMIFS(Transactions!$F$7:$F$991,Transactions!$D$7:$D$991,"Credit",Transactions!$H$7:$H$991,A32),"")</f>
        <v>0</v>
      </c>
      <c r="H32" s="74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9.5" customHeight="1">
      <c r="A33" s="69" t="str">
        <f>IF(Roster!$A$31&lt;&gt;"",Roster!$A$31,"")</f>
        <v>Sarah Kingsley-Hart</v>
      </c>
      <c r="B33" s="69">
        <f t="array" ref="B33">IF(A33&lt;&gt;"",IFERROR(SUMPRODUCT((INDEX(Attendance!$B$7:$AV$206,MATCH(A33,Attendance!$A$7:$A$206,0),0)=1)*Attendance!$B$4:$AV$4),0),"")</f>
        <v>0</v>
      </c>
      <c r="C33" s="78">
        <f>IF(A33&lt;&gt;"",SUMIFS(Transactions!$F$7:$F$991,Transactions!$D$7:$D$991,"Income",Transactions!$E$7:$E$991,A33),"")</f>
        <v>202.89</v>
      </c>
      <c r="D33" s="78">
        <f>IF(A33&lt;&gt;"",SUMIFS(Transactions!$F$7:$F$991,Transactions!$D$7:$D$991,"Expense",Transactions!$E$7:$E$991,A33),"")</f>
        <v>0</v>
      </c>
      <c r="E33" s="76">
        <f t="shared" si="1"/>
        <v>-202.89</v>
      </c>
      <c r="F33" s="76" t="str">
        <f t="shared" si="2"/>
        <v>Unsettled</v>
      </c>
      <c r="G33" s="79">
        <f>IF(A33&lt;&gt;"",SUMIFS(Transactions!$F$7:$F$991,Transactions!$D$7:$D$991,"Credit",Transactions!$H$7:$H$991,A33),"")</f>
        <v>0</v>
      </c>
      <c r="H33" s="74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9.5" customHeight="1">
      <c r="A34" s="80" t="str">
        <f>IF(Roster!$A$32&lt;&gt;"",Roster!$A$32,"")</f>
        <v>Sarah Lynch</v>
      </c>
      <c r="B34" s="80">
        <f t="array" ref="B34">IF(A34&lt;&gt;"",IFERROR(SUMPRODUCT((INDEX(Attendance!$B$7:$AV$206,MATCH(A34,Attendance!$A$7:$A$206,0),0)=1)*Attendance!$B$4:$AV$4),0),"")</f>
        <v>0</v>
      </c>
      <c r="C34" s="81">
        <f>IF(A34&lt;&gt;"",SUMIFS(Transactions!$F$7:$F$991,Transactions!$D$7:$D$991,"Income",Transactions!$E$7:$E$991,A34),"")</f>
        <v>0</v>
      </c>
      <c r="D34" s="81">
        <f>IF(A34&lt;&gt;"",SUMIFS(Transactions!$F$7:$F$991,Transactions!$D$7:$D$991,"Expense",Transactions!$E$7:$E$991,A34),"")</f>
        <v>0</v>
      </c>
      <c r="E34" s="82">
        <f t="shared" si="1"/>
        <v>0</v>
      </c>
      <c r="F34" s="82" t="str">
        <f t="shared" si="2"/>
        <v>Settled</v>
      </c>
      <c r="G34" s="79">
        <f>IF(A34&lt;&gt;"",SUMIFS(Transactions!$F$7:$F$991,Transactions!$D$7:$D$991,"Credit",Transactions!$H$7:$H$991,A34),"")</f>
        <v>0</v>
      </c>
      <c r="H34" s="74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9.5" customHeight="1">
      <c r="A35" s="69" t="str">
        <f>IF(Roster!$A$33&lt;&gt;"",Roster!$A$33,"")</f>
        <v>Shani Rosenthal</v>
      </c>
      <c r="B35" s="69">
        <f t="array" ref="B35">IF(A35&lt;&gt;"",IFERROR(SUMPRODUCT((INDEX(Attendance!$B$7:$AV$206,MATCH(A35,Attendance!$A$7:$A$206,0),0)=1)*Attendance!$B$4:$AV$4),0),"")</f>
        <v>0</v>
      </c>
      <c r="C35" s="78">
        <f>IF(A35&lt;&gt;"",SUMIFS(Transactions!$F$7:$F$991,Transactions!$D$7:$D$991,"Income",Transactions!$E$7:$E$991,A35),"")</f>
        <v>0</v>
      </c>
      <c r="D35" s="78">
        <f>IF(A35&lt;&gt;"",SUMIFS(Transactions!$F$7:$F$991,Transactions!$D$7:$D$991,"Expense",Transactions!$E$7:$E$991,A35),"")</f>
        <v>3487.59</v>
      </c>
      <c r="E35" s="76">
        <f t="shared" si="1"/>
        <v>-3487.59</v>
      </c>
      <c r="F35" s="76" t="str">
        <f t="shared" si="2"/>
        <v>Unsettled</v>
      </c>
      <c r="G35" s="79">
        <f>IF(A35&lt;&gt;"",SUMIFS(Transactions!$F$7:$F$991,Transactions!$D$7:$D$991,"Credit",Transactions!$H$7:$H$991,A35),"")</f>
        <v>0</v>
      </c>
      <c r="H35" s="74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9.5" customHeight="1">
      <c r="A36" s="80" t="str">
        <f>IF(Roster!$A$34&lt;&gt;"",Roster!$A$34,"")</f>
        <v>Vivian Shen</v>
      </c>
      <c r="B36" s="80">
        <f t="array" ref="B36">IF(A36&lt;&gt;"",IFERROR(SUMPRODUCT((INDEX(Attendance!$B$7:$AV$206,MATCH(A36,Attendance!$A$7:$A$206,0),0)=1)*Attendance!$B$4:$AV$4),0),"")</f>
        <v>0</v>
      </c>
      <c r="C36" s="81">
        <f>IF(A36&lt;&gt;"",SUMIFS(Transactions!$F$7:$F$991,Transactions!$D$7:$D$991,"Income",Transactions!$E$7:$E$991,A36),"")</f>
        <v>400</v>
      </c>
      <c r="D36" s="81">
        <f>IF(A36&lt;&gt;"",SUMIFS(Transactions!$F$7:$F$991,Transactions!$D$7:$D$991,"Expense",Transactions!$E$7:$E$991,A36),"")</f>
        <v>0</v>
      </c>
      <c r="E36" s="82">
        <f t="shared" si="1"/>
        <v>-400</v>
      </c>
      <c r="F36" s="82" t="str">
        <f t="shared" si="2"/>
        <v>Unsettled</v>
      </c>
      <c r="G36" s="79">
        <f>IF(A36&lt;&gt;"",SUMIFS(Transactions!$F$7:$F$991,Transactions!$D$7:$D$991,"Credit",Transactions!$H$7:$H$991,A36),"")</f>
        <v>0</v>
      </c>
      <c r="H36" s="7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9.5" customHeight="1">
      <c r="A37" s="69" t="str">
        <f>IF(Roster!$A$35&lt;&gt;"",Roster!$A$35,"")</f>
        <v>Zach Esakof</v>
      </c>
      <c r="B37" s="69">
        <f t="array" ref="B37">IF(A37&lt;&gt;"",IFERROR(SUMPRODUCT((INDEX(Attendance!$B$7:$AV$206,MATCH(A37,Attendance!$A$7:$A$206,0),0)=1)*Attendance!$B$4:$AV$4),0),"")</f>
        <v>0</v>
      </c>
      <c r="C37" s="78">
        <f>IF(A37&lt;&gt;"",SUMIFS(Transactions!$F$7:$F$991,Transactions!$D$7:$D$991,"Income",Transactions!$E$7:$E$991,A37),"")</f>
        <v>0</v>
      </c>
      <c r="D37" s="78">
        <f>IF(A37&lt;&gt;"",SUMIFS(Transactions!$F$7:$F$991,Transactions!$D$7:$D$991,"Expense",Transactions!$E$7:$E$991,A37),"")</f>
        <v>0</v>
      </c>
      <c r="E37" s="76">
        <f t="shared" si="1"/>
        <v>0</v>
      </c>
      <c r="F37" s="76" t="str">
        <f t="shared" si="2"/>
        <v>Settled</v>
      </c>
      <c r="G37" s="79">
        <f>IF(A37&lt;&gt;"",SUMIFS(Transactions!$F$7:$F$991,Transactions!$D$7:$D$991,"Credit",Transactions!$H$7:$H$991,A37),"")</f>
        <v>0</v>
      </c>
      <c r="H37" s="74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9.5" customHeight="1">
      <c r="A38" s="80" t="str">
        <f>IF(Roster!$A$36&lt;&gt;"",Roster!$A$36,"")</f>
        <v>Annette Kukunas-Piper</v>
      </c>
      <c r="B38" s="80">
        <f t="array" ref="B38">IF(A38&lt;&gt;"",IFERROR(SUMPRODUCT((INDEX(Attendance!$B$7:$AV$206,MATCH(A38,Attendance!$A$7:$A$206,0),0)=1)*Attendance!$B$4:$AV$4),0),"")</f>
        <v>0</v>
      </c>
      <c r="C38" s="81">
        <f>IF(A38&lt;&gt;"",SUMIFS(Transactions!$F$7:$F$991,Transactions!$D$7:$D$991,"Income",Transactions!$E$7:$E$991,A38),"")</f>
        <v>0</v>
      </c>
      <c r="D38" s="81">
        <f>IF(A38&lt;&gt;"",SUMIFS(Transactions!$F$7:$F$991,Transactions!$D$7:$D$991,"Expense",Transactions!$E$7:$E$991,A38),"")</f>
        <v>0</v>
      </c>
      <c r="E38" s="82">
        <f t="shared" si="1"/>
        <v>0</v>
      </c>
      <c r="F38" s="82" t="str">
        <f t="shared" si="2"/>
        <v>Settled</v>
      </c>
      <c r="G38" s="79">
        <f>IF(A38&lt;&gt;"",SUMIFS(Transactions!$F$7:$F$991,Transactions!$D$7:$D$991,"Credit",Transactions!$H$7:$H$991,A38),"")</f>
        <v>0</v>
      </c>
      <c r="H38" s="74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9.5" customHeight="1">
      <c r="A39" s="69" t="str">
        <f>IF(Roster!$A$37&lt;&gt;"",Roster!$A$37,"")</f>
        <v>Matt Duffy</v>
      </c>
      <c r="B39" s="69">
        <f t="array" ref="B39">IF(A39&lt;&gt;"",IFERROR(SUMPRODUCT((INDEX(Attendance!$B$7:$AV$206,MATCH(A39,Attendance!$A$7:$A$206,0),0)=1)*Attendance!$B$4:$AV$4),0),"")</f>
        <v>0</v>
      </c>
      <c r="C39" s="78">
        <f>IF(A39&lt;&gt;"",SUMIFS(Transactions!$F$7:$F$991,Transactions!$D$7:$D$991,"Income",Transactions!$E$7:$E$991,A39),"")</f>
        <v>0</v>
      </c>
      <c r="D39" s="78">
        <f>IF(A39&lt;&gt;"",SUMIFS(Transactions!$F$7:$F$991,Transactions!$D$7:$D$991,"Expense",Transactions!$E$7:$E$991,A39),"")</f>
        <v>0</v>
      </c>
      <c r="E39" s="76">
        <f t="shared" si="1"/>
        <v>0</v>
      </c>
      <c r="F39" s="76" t="str">
        <f t="shared" si="2"/>
        <v>Settled</v>
      </c>
      <c r="G39" s="79">
        <f>IF(A39&lt;&gt;"",SUMIFS(Transactions!$F$7:$F$991,Transactions!$D$7:$D$991,"Credit",Transactions!$H$7:$H$991,A39),"")</f>
        <v>0</v>
      </c>
      <c r="H39" s="74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9.5" customHeight="1">
      <c r="A40" s="80" t="str">
        <f>IF(Roster!$A$38&lt;&gt;"",Roster!$A$38,"")</f>
        <v>Ryan Birchard</v>
      </c>
      <c r="B40" s="80">
        <f t="array" ref="B40">IF(A40&lt;&gt;"",IFERROR(SUMPRODUCT((INDEX(Attendance!$B$7:$AV$206,MATCH(A40,Attendance!$A$7:$A$206,0),0)=1)*Attendance!$B$4:$AV$4),0),"")</f>
        <v>0</v>
      </c>
      <c r="C40" s="81">
        <f>IF(A40&lt;&gt;"",SUMIFS(Transactions!$F$7:$F$991,Transactions!$D$7:$D$991,"Income",Transactions!$E$7:$E$991,A40),"")</f>
        <v>0</v>
      </c>
      <c r="D40" s="81">
        <f>IF(A40&lt;&gt;"",SUMIFS(Transactions!$F$7:$F$991,Transactions!$D$7:$D$991,"Expense",Transactions!$E$7:$E$991,A40),"")</f>
        <v>0</v>
      </c>
      <c r="E40" s="82">
        <f t="shared" si="1"/>
        <v>0</v>
      </c>
      <c r="F40" s="82" t="str">
        <f t="shared" si="2"/>
        <v>Settled</v>
      </c>
      <c r="G40" s="79">
        <f>IF(A40&lt;&gt;"",SUMIFS(Transactions!$F$7:$F$991,Transactions!$D$7:$D$991,"Credit",Transactions!$H$7:$H$991,A40),"")</f>
        <v>0</v>
      </c>
      <c r="H40" s="74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9.5" customHeight="1">
      <c r="A41" s="69" t="str">
        <f>IF(Roster!$A$39&lt;&gt;"",Roster!$A$39,"")</f>
        <v>Nick Blair</v>
      </c>
      <c r="B41" s="69">
        <f t="array" ref="B41">IF(A41&lt;&gt;"",IFERROR(SUMPRODUCT((INDEX(Attendance!$B$7:$AV$206,MATCH(A41,Attendance!$A$7:$A$206,0),0)=1)*Attendance!$B$4:$AV$4),0),"")</f>
        <v>0</v>
      </c>
      <c r="C41" s="78">
        <f>IF(A41&lt;&gt;"",SUMIFS(Transactions!$F$7:$F$991,Transactions!$D$7:$D$991,"Income",Transactions!$E$7:$E$991,A41),"")</f>
        <v>0</v>
      </c>
      <c r="D41" s="78">
        <f>IF(A41&lt;&gt;"",SUMIFS(Transactions!$F$7:$F$991,Transactions!$D$7:$D$991,"Expense",Transactions!$E$7:$E$991,A41),"")</f>
        <v>0</v>
      </c>
      <c r="E41" s="76">
        <f t="shared" si="1"/>
        <v>-59.99</v>
      </c>
      <c r="F41" s="76" t="str">
        <f t="shared" si="2"/>
        <v>Unsettled</v>
      </c>
      <c r="G41" s="79">
        <f>IF(A41&lt;&gt;"",SUMIFS(Transactions!$F$7:$F$991,Transactions!$D$7:$D$991,"Credit",Transactions!$H$7:$H$991,A41),"")</f>
        <v>59.99</v>
      </c>
      <c r="H41" s="74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9.5" customHeight="1">
      <c r="A42" s="80" t="str">
        <f>IF(Roster!$A$40&lt;&gt;"",Roster!$A$40,"")</f>
        <v>Lily Nguyen</v>
      </c>
      <c r="B42" s="80">
        <f t="array" ref="B42">IF(A42&lt;&gt;"",IFERROR(SUMPRODUCT((INDEX(Attendance!$B$7:$AV$206,MATCH(A42,Attendance!$A$7:$A$206,0),0)=1)*Attendance!$B$4:$AV$4),0),"")</f>
        <v>0</v>
      </c>
      <c r="C42" s="81">
        <f>IF(A42&lt;&gt;"",SUMIFS(Transactions!$F$7:$F$991,Transactions!$D$7:$D$991,"Income",Transactions!$E$7:$E$991,A42),"")</f>
        <v>0</v>
      </c>
      <c r="D42" s="81">
        <f>IF(A42&lt;&gt;"",SUMIFS(Transactions!$F$7:$F$991,Transactions!$D$7:$D$991,"Expense",Transactions!$E$7:$E$991,A42),"")</f>
        <v>0</v>
      </c>
      <c r="E42" s="82">
        <f t="shared" si="1"/>
        <v>0</v>
      </c>
      <c r="F42" s="82" t="str">
        <f t="shared" si="2"/>
        <v>Settled</v>
      </c>
      <c r="G42" s="79">
        <f>IF(A42&lt;&gt;"",SUMIFS(Transactions!$F$7:$F$991,Transactions!$D$7:$D$991,"Credit",Transactions!$H$7:$H$991,A42),"")</f>
        <v>0</v>
      </c>
      <c r="H42" s="74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9.5" customHeight="1">
      <c r="A43" s="69" t="str">
        <f>IF(Roster!$A$41&lt;&gt;"",Roster!$A$41,"")</f>
        <v/>
      </c>
      <c r="B43" s="69" t="str">
        <f t="array" ref="B43">IF(A43&lt;&gt;"",IFERROR(SUMPRODUCT((INDEX(Attendance!$B$7:$AV$206,MATCH(A43,Attendance!$A$7:$A$206,0),0)=1)*Attendance!$B$4:$AV$4),0),"")</f>
        <v/>
      </c>
      <c r="C43" s="78" t="str">
        <f>IF(A43&lt;&gt;"",SUMIFS(Transactions!$F$7:$F$991,Transactions!$D$7:$D$991,"Income",Transactions!$E$7:$E$991,A43),"")</f>
        <v/>
      </c>
      <c r="D43" s="78" t="str">
        <f>IF(A43&lt;&gt;"",SUMIFS(Transactions!$F$7:$F$991,Transactions!$D$7:$D$991,"Expense",Transactions!$E$7:$E$991,A43),"")</f>
        <v/>
      </c>
      <c r="E43" s="76" t="str">
        <f t="shared" si="1"/>
        <v/>
      </c>
      <c r="F43" s="76" t="str">
        <f t="shared" si="2"/>
        <v/>
      </c>
      <c r="G43" s="79" t="str">
        <f>IF(A43&lt;&gt;"",SUMIFS(Transactions!$F$7:$F$991,Transactions!$D$7:$D$991,"Credit",Transactions!$H$7:$H$991,A43),"")</f>
        <v/>
      </c>
      <c r="H43" s="7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9.5" customHeight="1">
      <c r="A44" s="80" t="str">
        <f>IF(Roster!$A$42&lt;&gt;"",Roster!$A$42,"")</f>
        <v/>
      </c>
      <c r="B44" s="80" t="str">
        <f t="array" ref="B44">IF(A44&lt;&gt;"",IFERROR(SUMPRODUCT((INDEX(Attendance!$B$7:$AV$206,MATCH(A44,Attendance!$A$7:$A$206,0),0)=1)*Attendance!$B$4:$AV$4),0),"")</f>
        <v/>
      </c>
      <c r="C44" s="81" t="str">
        <f>IF(A44&lt;&gt;"",SUMIFS(Transactions!$F$7:$F$991,Transactions!$D$7:$D$991,"Income",Transactions!$E$7:$E$991,A44),"")</f>
        <v/>
      </c>
      <c r="D44" s="81" t="str">
        <f>IF(A44&lt;&gt;"",SUMIFS(Transactions!$F$7:$F$991,Transactions!$D$7:$D$991,"Expense",Transactions!$E$7:$E$991,A44),"")</f>
        <v/>
      </c>
      <c r="E44" s="82" t="str">
        <f t="shared" si="1"/>
        <v/>
      </c>
      <c r="F44" s="82" t="str">
        <f t="shared" si="2"/>
        <v/>
      </c>
      <c r="G44" s="79" t="str">
        <f>IF(A44&lt;&gt;"",SUMIFS(Transactions!$F$7:$F$991,Transactions!$D$7:$D$991,"Credit",Transactions!$H$7:$H$991,A44),"")</f>
        <v/>
      </c>
      <c r="H44" s="74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9.5" customHeight="1">
      <c r="A45" s="69" t="str">
        <f>IF(Roster!$A$43&lt;&gt;"",Roster!$A$43,"")</f>
        <v/>
      </c>
      <c r="B45" s="69" t="str">
        <f t="array" ref="B45">IF(A45&lt;&gt;"",IFERROR(SUMPRODUCT((INDEX(Attendance!$B$7:$AV$206,MATCH(A45,Attendance!$A$7:$A$206,0),0)=1)*Attendance!$B$4:$AV$4),0),"")</f>
        <v/>
      </c>
      <c r="C45" s="78" t="str">
        <f>IF(A45&lt;&gt;"",SUMIFS(Transactions!$F$7:$F$991,Transactions!$D$7:$D$991,"Income",Transactions!$E$7:$E$991,A45),"")</f>
        <v/>
      </c>
      <c r="D45" s="78" t="str">
        <f>IF(A45&lt;&gt;"",SUMIFS(Transactions!$F$7:$F$991,Transactions!$D$7:$D$991,"Expense",Transactions!$E$7:$E$991,A45),"")</f>
        <v/>
      </c>
      <c r="E45" s="76" t="str">
        <f t="shared" si="1"/>
        <v/>
      </c>
      <c r="F45" s="76" t="str">
        <f t="shared" si="2"/>
        <v/>
      </c>
      <c r="G45" s="79" t="str">
        <f>IF(A45&lt;&gt;"",SUMIFS(Transactions!$F$7:$F$991,Transactions!$D$7:$D$991,"Credit",Transactions!$H$7:$H$991,A45),"")</f>
        <v/>
      </c>
      <c r="H45" s="74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9.5" customHeight="1">
      <c r="A46" s="80" t="str">
        <f>IF(Roster!$A$44&lt;&gt;"",Roster!$A$44,"")</f>
        <v/>
      </c>
      <c r="B46" s="80" t="str">
        <f t="array" ref="B46">IF(A46&lt;&gt;"",IFERROR(SUMPRODUCT((INDEX(Attendance!$B$7:$AV$206,MATCH(A46,Attendance!$A$7:$A$206,0),0)=1)*Attendance!$B$4:$AV$4),0),"")</f>
        <v/>
      </c>
      <c r="C46" s="81" t="str">
        <f>IF(A46&lt;&gt;"",SUMIFS(Transactions!$F$7:$F$991,Transactions!$D$7:$D$991,"Income",Transactions!$E$7:$E$991,A46),"")</f>
        <v/>
      </c>
      <c r="D46" s="81" t="str">
        <f>IF(A46&lt;&gt;"",SUMIFS(Transactions!$F$7:$F$991,Transactions!$D$7:$D$991,"Expense",Transactions!$E$7:$E$991,A46),"")</f>
        <v/>
      </c>
      <c r="E46" s="82" t="str">
        <f t="shared" si="1"/>
        <v/>
      </c>
      <c r="F46" s="82" t="str">
        <f t="shared" si="2"/>
        <v/>
      </c>
      <c r="G46" s="79" t="str">
        <f>IF(A46&lt;&gt;"",SUMIFS(Transactions!$F$7:$F$991,Transactions!$D$7:$D$991,"Credit",Transactions!$H$7:$H$991,A46),"")</f>
        <v/>
      </c>
      <c r="H46" s="74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9.5" customHeight="1">
      <c r="A47" s="69" t="str">
        <f>IF(Roster!$A$45&lt;&gt;"",Roster!$A$45,"")</f>
        <v/>
      </c>
      <c r="B47" s="69" t="str">
        <f t="array" ref="B47">IF(A47&lt;&gt;"",IFERROR(SUMPRODUCT((INDEX(Attendance!$B$7:$AV$206,MATCH(A47,Attendance!$A$7:$A$206,0),0)=1)*Attendance!$B$4:$AV$4),0),"")</f>
        <v/>
      </c>
      <c r="C47" s="78" t="str">
        <f>IF(A47&lt;&gt;"",SUMIFS(Transactions!$F$7:$F$991,Transactions!$D$7:$D$991,"Income",Transactions!$E$7:$E$991,A47),"")</f>
        <v/>
      </c>
      <c r="D47" s="78" t="str">
        <f>IF(A47&lt;&gt;"",SUMIFS(Transactions!$F$7:$F$991,Transactions!$D$7:$D$991,"Expense",Transactions!$E$7:$E$991,A47),"")</f>
        <v/>
      </c>
      <c r="E47" s="76" t="str">
        <f t="shared" si="1"/>
        <v/>
      </c>
      <c r="F47" s="76" t="str">
        <f t="shared" si="2"/>
        <v/>
      </c>
      <c r="G47" s="79" t="str">
        <f>IF(A47&lt;&gt;"",SUMIFS(Transactions!$F$7:$F$991,Transactions!$D$7:$D$991,"Credit",Transactions!$H$7:$H$991,A47),"")</f>
        <v/>
      </c>
      <c r="H47" s="74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9.5" customHeight="1">
      <c r="A48" s="80" t="str">
        <f>IF(Roster!$A$46&lt;&gt;"",Roster!$A$46,"")</f>
        <v/>
      </c>
      <c r="B48" s="80" t="str">
        <f t="array" ref="B48">IF(A48&lt;&gt;"",IFERROR(SUMPRODUCT((INDEX(Attendance!$B$7:$AV$206,MATCH(A48,Attendance!$A$7:$A$206,0),0)=1)*Attendance!$B$4:$AV$4),0),"")</f>
        <v/>
      </c>
      <c r="C48" s="81" t="str">
        <f>IF(A48&lt;&gt;"",SUMIFS(Transactions!$F$7:$F$991,Transactions!$D$7:$D$991,"Income",Transactions!$E$7:$E$991,A48),"")</f>
        <v/>
      </c>
      <c r="D48" s="81" t="str">
        <f>IF(A48&lt;&gt;"",SUMIFS(Transactions!$F$7:$F$991,Transactions!$D$7:$D$991,"Expense",Transactions!$E$7:$E$991,A48),"")</f>
        <v/>
      </c>
      <c r="E48" s="82" t="str">
        <f t="shared" si="1"/>
        <v/>
      </c>
      <c r="F48" s="82" t="str">
        <f t="shared" si="2"/>
        <v/>
      </c>
      <c r="G48" s="79" t="str">
        <f>IF(A48&lt;&gt;"",SUMIFS(Transactions!$F$7:$F$991,Transactions!$D$7:$D$991,"Credit",Transactions!$H$7:$H$991,A48),"")</f>
        <v/>
      </c>
      <c r="H48" s="74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9.5" customHeight="1">
      <c r="A49" s="69" t="str">
        <f>IF(Roster!$A$47&lt;&gt;"",Roster!$A$47,"")</f>
        <v/>
      </c>
      <c r="B49" s="69" t="str">
        <f t="array" ref="B49">IF(A49&lt;&gt;"",IFERROR(SUMPRODUCT((INDEX(Attendance!$B$7:$AV$206,MATCH(A49,Attendance!$A$7:$A$206,0),0)=1)*Attendance!$B$4:$AV$4),0),"")</f>
        <v/>
      </c>
      <c r="C49" s="78" t="str">
        <f>IF(A49&lt;&gt;"",SUMIFS(Transactions!$F$7:$F$991,Transactions!$D$7:$D$991,"Income",Transactions!$E$7:$E$991,A49),"")</f>
        <v/>
      </c>
      <c r="D49" s="78" t="str">
        <f>IF(A49&lt;&gt;"",SUMIFS(Transactions!$F$7:$F$991,Transactions!$D$7:$D$991,"Expense",Transactions!$E$7:$E$991,A49),"")</f>
        <v/>
      </c>
      <c r="E49" s="76" t="str">
        <f t="shared" si="1"/>
        <v/>
      </c>
      <c r="F49" s="76" t="str">
        <f t="shared" si="2"/>
        <v/>
      </c>
      <c r="G49" s="79" t="str">
        <f>IF(A49&lt;&gt;"",SUMIFS(Transactions!$F$7:$F$991,Transactions!$D$7:$D$991,"Credit",Transactions!$H$7:$H$991,A49),"")</f>
        <v/>
      </c>
      <c r="H49" s="74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9.5" customHeight="1">
      <c r="A50" s="80" t="str">
        <f>IF(Roster!$A$48&lt;&gt;"",Roster!$A$48,"")</f>
        <v/>
      </c>
      <c r="B50" s="80" t="str">
        <f t="array" ref="B50">IF(A50&lt;&gt;"",IFERROR(SUMPRODUCT((INDEX(Attendance!$B$7:$AV$206,MATCH(A50,Attendance!$A$7:$A$206,0),0)=1)*Attendance!$B$4:$AV$4),0),"")</f>
        <v/>
      </c>
      <c r="C50" s="81" t="str">
        <f>IF(A50&lt;&gt;"",SUMIFS(Transactions!$F$7:$F$991,Transactions!$D$7:$D$991,"Income",Transactions!$E$7:$E$991,A50),"")</f>
        <v/>
      </c>
      <c r="D50" s="81" t="str">
        <f>IF(A50&lt;&gt;"",SUMIFS(Transactions!$F$7:$F$991,Transactions!$D$7:$D$991,"Expense",Transactions!$E$7:$E$991,A50),"")</f>
        <v/>
      </c>
      <c r="E50" s="82" t="str">
        <f t="shared" si="1"/>
        <v/>
      </c>
      <c r="F50" s="82" t="str">
        <f t="shared" si="2"/>
        <v/>
      </c>
      <c r="G50" s="79" t="str">
        <f>IF(A50&lt;&gt;"",SUMIFS(Transactions!$F$7:$F$991,Transactions!$D$7:$D$991,"Credit",Transactions!$H$7:$H$991,A50),"")</f>
        <v/>
      </c>
      <c r="H50" s="74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9.5" customHeight="1">
      <c r="A51" s="69" t="str">
        <f>IF(Roster!$A$49&lt;&gt;"",Roster!$A$49,"")</f>
        <v/>
      </c>
      <c r="B51" s="69" t="str">
        <f t="array" ref="B51">IF(A51&lt;&gt;"",IFERROR(SUMPRODUCT((INDEX(Attendance!$B$7:$AV$206,MATCH(A51,Attendance!$A$7:$A$206,0),0)=1)*Attendance!$B$4:$AV$4),0),"")</f>
        <v/>
      </c>
      <c r="C51" s="78" t="str">
        <f>IF(A51&lt;&gt;"",SUMIFS(Transactions!$F$7:$F$991,Transactions!$D$7:$D$991,"Income",Transactions!$E$7:$E$991,A51),"")</f>
        <v/>
      </c>
      <c r="D51" s="78" t="str">
        <f>IF(A51&lt;&gt;"",SUMIFS(Transactions!$F$7:$F$991,Transactions!$D$7:$D$991,"Expense",Transactions!$E$7:$E$991,A51),"")</f>
        <v/>
      </c>
      <c r="E51" s="76" t="str">
        <f t="shared" si="1"/>
        <v/>
      </c>
      <c r="F51" s="76" t="str">
        <f t="shared" si="2"/>
        <v/>
      </c>
      <c r="G51" s="79" t="str">
        <f>IF(A51&lt;&gt;"",SUMIFS(Transactions!$F$7:$F$991,Transactions!$D$7:$D$991,"Credit",Transactions!$H$7:$H$991,A51),"")</f>
        <v/>
      </c>
      <c r="H51" s="74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9.5" customHeight="1">
      <c r="A52" s="80" t="str">
        <f>IF(Roster!$A$50&lt;&gt;"",Roster!$A$50,"")</f>
        <v/>
      </c>
      <c r="B52" s="80" t="str">
        <f t="array" ref="B52">IF(A52&lt;&gt;"",IFERROR(SUMPRODUCT((INDEX(Attendance!$B$7:$AV$206,MATCH(A52,Attendance!$A$7:$A$206,0),0)=1)*Attendance!$B$4:$AV$4),0),"")</f>
        <v/>
      </c>
      <c r="C52" s="81" t="str">
        <f>IF(A52&lt;&gt;"",SUMIFS(Transactions!$F$7:$F$991,Transactions!$D$7:$D$991,"Income",Transactions!$E$7:$E$991,A52),"")</f>
        <v/>
      </c>
      <c r="D52" s="81" t="str">
        <f>IF(A52&lt;&gt;"",SUMIFS(Transactions!$F$7:$F$991,Transactions!$D$7:$D$991,"Expense",Transactions!$E$7:$E$991,A52),"")</f>
        <v/>
      </c>
      <c r="E52" s="82" t="str">
        <f t="shared" si="1"/>
        <v/>
      </c>
      <c r="F52" s="82" t="str">
        <f t="shared" si="2"/>
        <v/>
      </c>
      <c r="G52" s="79" t="str">
        <f>IF(A52&lt;&gt;"",SUMIFS(Transactions!$F$7:$F$991,Transactions!$D$7:$D$991,"Credit",Transactions!$H$7:$H$991,A52),"")</f>
        <v/>
      </c>
      <c r="H52" s="74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9.5" customHeight="1">
      <c r="A53" s="69" t="str">
        <f>IF(Roster!$A$51&lt;&gt;"",Roster!$A$51,"")</f>
        <v/>
      </c>
      <c r="B53" s="69" t="str">
        <f t="array" ref="B53">IF(A53&lt;&gt;"",IFERROR(SUMPRODUCT((INDEX(Attendance!$B$7:$AV$206,MATCH(A53,Attendance!$A$7:$A$206,0),0)=1)*Attendance!$B$4:$AV$4),0),"")</f>
        <v/>
      </c>
      <c r="C53" s="78" t="str">
        <f>IF(A53&lt;&gt;"",SUMIFS(Transactions!$F$7:$F$991,Transactions!$D$7:$D$991,"Income",Transactions!$E$7:$E$991,A53),"")</f>
        <v/>
      </c>
      <c r="D53" s="78" t="str">
        <f>IF(A53&lt;&gt;"",SUMIFS(Transactions!$F$7:$F$991,Transactions!$D$7:$D$991,"Expense",Transactions!$E$7:$E$991,A53),"")</f>
        <v/>
      </c>
      <c r="E53" s="76" t="str">
        <f t="shared" si="1"/>
        <v/>
      </c>
      <c r="F53" s="76" t="str">
        <f t="shared" si="2"/>
        <v/>
      </c>
      <c r="G53" s="79" t="str">
        <f>IF(A53&lt;&gt;"",SUMIFS(Transactions!$F$7:$F$991,Transactions!$D$7:$D$991,"Credit",Transactions!$H$7:$H$991,A53),"")</f>
        <v/>
      </c>
      <c r="H53" s="74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9.5" customHeight="1">
      <c r="A54" s="80" t="str">
        <f>IF(Roster!$A$52&lt;&gt;"",Roster!$A$52,"")</f>
        <v/>
      </c>
      <c r="B54" s="80" t="str">
        <f t="array" ref="B54">IF(A54&lt;&gt;"",IFERROR(SUMPRODUCT((INDEX(Attendance!$B$7:$AV$206,MATCH(A54,Attendance!$A$7:$A$206,0),0)=1)*Attendance!$B$4:$AV$4),0),"")</f>
        <v/>
      </c>
      <c r="C54" s="81" t="str">
        <f>IF(A54&lt;&gt;"",SUMIFS(Transactions!$F$7:$F$991,Transactions!$D$7:$D$991,"Income",Transactions!$E$7:$E$991,A54),"")</f>
        <v/>
      </c>
      <c r="D54" s="81" t="str">
        <f>IF(A54&lt;&gt;"",SUMIFS(Transactions!$F$7:$F$991,Transactions!$D$7:$D$991,"Expense",Transactions!$E$7:$E$991,A54),"")</f>
        <v/>
      </c>
      <c r="E54" s="82" t="str">
        <f t="shared" si="1"/>
        <v/>
      </c>
      <c r="F54" s="82" t="str">
        <f t="shared" si="2"/>
        <v/>
      </c>
      <c r="G54" s="79" t="str">
        <f>IF(A54&lt;&gt;"",SUMIFS(Transactions!$F$7:$F$991,Transactions!$D$7:$D$991,"Credit",Transactions!$H$7:$H$991,A54),"")</f>
        <v/>
      </c>
      <c r="H54" s="74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9.5" customHeight="1">
      <c r="A55" s="69" t="str">
        <f>IF(Roster!$A$53&lt;&gt;"",Roster!$A$53,"")</f>
        <v/>
      </c>
      <c r="B55" s="69" t="str">
        <f t="array" ref="B55">IF(A55&lt;&gt;"",IFERROR(SUMPRODUCT((INDEX(Attendance!$B$7:$AV$206,MATCH(A55,Attendance!$A$7:$A$206,0),0)=1)*Attendance!$B$4:$AV$4),0),"")</f>
        <v/>
      </c>
      <c r="C55" s="78" t="str">
        <f>IF(A55&lt;&gt;"",SUMIFS(Transactions!$F$7:$F$991,Transactions!$D$7:$D$991,"Income",Transactions!$E$7:$E$991,A55),"")</f>
        <v/>
      </c>
      <c r="D55" s="78" t="str">
        <f>IF(A55&lt;&gt;"",SUMIFS(Transactions!$F$7:$F$991,Transactions!$D$7:$D$991,"Expense",Transactions!$E$7:$E$991,A55),"")</f>
        <v/>
      </c>
      <c r="E55" s="76" t="str">
        <f t="shared" si="1"/>
        <v/>
      </c>
      <c r="F55" s="76" t="str">
        <f t="shared" si="2"/>
        <v/>
      </c>
      <c r="G55" s="79" t="str">
        <f>IF(A55&lt;&gt;"",SUMIFS(Transactions!$F$7:$F$991,Transactions!$D$7:$D$991,"Credit",Transactions!$H$7:$H$991,A55),"")</f>
        <v/>
      </c>
      <c r="H55" s="74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9.5" customHeight="1">
      <c r="A56" s="80" t="str">
        <f>IF(Roster!$A$54&lt;&gt;"",Roster!$A$54,"")</f>
        <v/>
      </c>
      <c r="B56" s="80" t="str">
        <f t="array" ref="B56">IF(A56&lt;&gt;"",IFERROR(SUMPRODUCT((INDEX(Attendance!$B$7:$AV$206,MATCH(A56,Attendance!$A$7:$A$206,0),0)=1)*Attendance!$B$4:$AV$4),0),"")</f>
        <v/>
      </c>
      <c r="C56" s="81" t="str">
        <f>IF(A56&lt;&gt;"",SUMIFS(Transactions!$F$7:$F$991,Transactions!$D$7:$D$991,"Income",Transactions!$E$7:$E$991,A56),"")</f>
        <v/>
      </c>
      <c r="D56" s="81" t="str">
        <f>IF(A56&lt;&gt;"",SUMIFS(Transactions!$F$7:$F$991,Transactions!$D$7:$D$991,"Expense",Transactions!$E$7:$E$991,A56),"")</f>
        <v/>
      </c>
      <c r="E56" s="82" t="str">
        <f t="shared" si="1"/>
        <v/>
      </c>
      <c r="F56" s="82" t="str">
        <f t="shared" si="2"/>
        <v/>
      </c>
      <c r="G56" s="79" t="str">
        <f>IF(A56&lt;&gt;"",SUMIFS(Transactions!$F$7:$F$991,Transactions!$D$7:$D$991,"Credit",Transactions!$H$7:$H$991,A56),"")</f>
        <v/>
      </c>
      <c r="H56" s="74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9.5" customHeight="1">
      <c r="A57" s="69" t="str">
        <f>IF(Roster!$A$55&lt;&gt;"",Roster!$A$55,"")</f>
        <v/>
      </c>
      <c r="B57" s="69" t="str">
        <f t="array" ref="B57">IF(A57&lt;&gt;"",IFERROR(SUMPRODUCT((INDEX(Attendance!$B$7:$AV$206,MATCH(A57,Attendance!$A$7:$A$206,0),0)=1)*Attendance!$B$4:$AV$4),0),"")</f>
        <v/>
      </c>
      <c r="C57" s="78" t="str">
        <f>IF(A57&lt;&gt;"",SUMIFS(Transactions!$F$7:$F$991,Transactions!$D$7:$D$991,"Income",Transactions!$E$7:$E$991,A57),"")</f>
        <v/>
      </c>
      <c r="D57" s="78" t="str">
        <f>IF(A57&lt;&gt;"",SUMIFS(Transactions!$F$7:$F$991,Transactions!$D$7:$D$991,"Expense",Transactions!$E$7:$E$991,A57),"")</f>
        <v/>
      </c>
      <c r="E57" s="76" t="str">
        <f t="shared" si="1"/>
        <v/>
      </c>
      <c r="F57" s="76" t="str">
        <f t="shared" si="2"/>
        <v/>
      </c>
      <c r="G57" s="79" t="str">
        <f>IF(A57&lt;&gt;"",SUMIFS(Transactions!$F$7:$F$991,Transactions!$D$7:$D$991,"Credit",Transactions!$H$7:$H$991,A57),"")</f>
        <v/>
      </c>
      <c r="H57" s="74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9.5" customHeight="1">
      <c r="A58" s="80" t="str">
        <f>IF(Roster!$A$56&lt;&gt;"",Roster!$A$56,"")</f>
        <v/>
      </c>
      <c r="B58" s="80" t="str">
        <f t="array" ref="B58">IF(A58&lt;&gt;"",IFERROR(SUMPRODUCT((INDEX(Attendance!$B$7:$AV$206,MATCH(A58,Attendance!$A$7:$A$206,0),0)=1)*Attendance!$B$4:$AV$4),0),"")</f>
        <v/>
      </c>
      <c r="C58" s="81" t="str">
        <f>IF(A58&lt;&gt;"",SUMIFS(Transactions!$F$7:$F$991,Transactions!$D$7:$D$991,"Income",Transactions!$E$7:$E$991,A58),"")</f>
        <v/>
      </c>
      <c r="D58" s="81" t="str">
        <f>IF(A58&lt;&gt;"",SUMIFS(Transactions!$F$7:$F$991,Transactions!$D$7:$D$991,"Expense",Transactions!$E$7:$E$991,A58),"")</f>
        <v/>
      </c>
      <c r="E58" s="82" t="str">
        <f t="shared" si="1"/>
        <v/>
      </c>
      <c r="F58" s="82" t="str">
        <f t="shared" si="2"/>
        <v/>
      </c>
      <c r="G58" s="79" t="str">
        <f>IF(A58&lt;&gt;"",SUMIFS(Transactions!$F$7:$F$991,Transactions!$D$7:$D$991,"Credit",Transactions!$H$7:$H$991,A58),"")</f>
        <v/>
      </c>
      <c r="H58" s="74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9.5" customHeight="1">
      <c r="A59" s="69" t="str">
        <f>IF(Roster!$A$57&lt;&gt;"",Roster!$A$57,"")</f>
        <v/>
      </c>
      <c r="B59" s="69" t="str">
        <f t="array" ref="B59">IF(A59&lt;&gt;"",IFERROR(SUMPRODUCT((INDEX(Attendance!$B$7:$AV$206,MATCH(A59,Attendance!$A$7:$A$206,0),0)=1)*Attendance!$B$4:$AV$4),0),"")</f>
        <v/>
      </c>
      <c r="C59" s="78" t="str">
        <f>IF(A59&lt;&gt;"",SUMIFS(Transactions!$F$7:$F$991,Transactions!$D$7:$D$991,"Income",Transactions!$E$7:$E$991,A59),"")</f>
        <v/>
      </c>
      <c r="D59" s="78" t="str">
        <f>IF(A59&lt;&gt;"",SUMIFS(Transactions!$F$7:$F$991,Transactions!$D$7:$D$991,"Expense",Transactions!$E$7:$E$991,A59),"")</f>
        <v/>
      </c>
      <c r="E59" s="76" t="str">
        <f t="shared" si="1"/>
        <v/>
      </c>
      <c r="F59" s="76" t="str">
        <f t="shared" si="2"/>
        <v/>
      </c>
      <c r="G59" s="79" t="str">
        <f>IF(A59&lt;&gt;"",SUMIFS(Transactions!$F$7:$F$991,Transactions!$D$7:$D$991,"Credit",Transactions!$H$7:$H$991,A59),"")</f>
        <v/>
      </c>
      <c r="H59" s="74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9.5" customHeight="1">
      <c r="A60" s="80" t="str">
        <f>IF(Roster!$A$58&lt;&gt;"",Roster!$A$58,"")</f>
        <v/>
      </c>
      <c r="B60" s="80" t="str">
        <f t="array" ref="B60">IF(A60&lt;&gt;"",IFERROR(SUMPRODUCT((INDEX(Attendance!$B$7:$AV$206,MATCH(A60,Attendance!$A$7:$A$206,0),0)=1)*Attendance!$B$4:$AV$4),0),"")</f>
        <v/>
      </c>
      <c r="C60" s="81" t="str">
        <f>IF(A60&lt;&gt;"",SUMIFS(Transactions!$F$7:$F$991,Transactions!$D$7:$D$991,"Income",Transactions!$E$7:$E$991,A60),"")</f>
        <v/>
      </c>
      <c r="D60" s="81" t="str">
        <f>IF(A60&lt;&gt;"",SUMIFS(Transactions!$F$7:$F$991,Transactions!$D$7:$D$991,"Expense",Transactions!$E$7:$E$991,A60),"")</f>
        <v/>
      </c>
      <c r="E60" s="82" t="str">
        <f t="shared" si="1"/>
        <v/>
      </c>
      <c r="F60" s="82" t="str">
        <f t="shared" si="2"/>
        <v/>
      </c>
      <c r="G60" s="79" t="str">
        <f>IF(A60&lt;&gt;"",SUMIFS(Transactions!$F$7:$F$991,Transactions!$D$7:$D$991,"Credit",Transactions!$H$7:$H$991,A60),"")</f>
        <v/>
      </c>
      <c r="H60" s="74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9.5" customHeight="1">
      <c r="A61" s="69" t="str">
        <f>IF(Roster!$A$59&lt;&gt;"",Roster!$A$59,"")</f>
        <v/>
      </c>
      <c r="B61" s="69" t="str">
        <f t="array" ref="B61">IF(A61&lt;&gt;"",IFERROR(SUMPRODUCT((INDEX(Attendance!$B$7:$AV$206,MATCH(A61,Attendance!$A$7:$A$206,0),0)=1)*Attendance!$B$4:$AV$4),0),"")</f>
        <v/>
      </c>
      <c r="C61" s="78" t="str">
        <f>IF(A61&lt;&gt;"",SUMIFS(Transactions!$F$7:$F$991,Transactions!$D$7:$D$991,"Income",Transactions!$E$7:$E$991,A61),"")</f>
        <v/>
      </c>
      <c r="D61" s="78" t="str">
        <f>IF(A61&lt;&gt;"",SUMIFS(Transactions!$F$7:$F$991,Transactions!$D$7:$D$991,"Expense",Transactions!$E$7:$E$991,A61),"")</f>
        <v/>
      </c>
      <c r="E61" s="76" t="str">
        <f t="shared" si="1"/>
        <v/>
      </c>
      <c r="F61" s="76" t="str">
        <f t="shared" si="2"/>
        <v/>
      </c>
      <c r="G61" s="79" t="str">
        <f>IF(A61&lt;&gt;"",SUMIFS(Transactions!$F$7:$F$991,Transactions!$D$7:$D$991,"Credit",Transactions!$H$7:$H$991,A61),"")</f>
        <v/>
      </c>
      <c r="H61" s="74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9.5" customHeight="1">
      <c r="A62" s="80" t="str">
        <f>IF(Roster!$A$60&lt;&gt;"",Roster!$A$60,"")</f>
        <v/>
      </c>
      <c r="B62" s="80" t="str">
        <f t="array" ref="B62">IF(A62&lt;&gt;"",IFERROR(SUMPRODUCT((INDEX(Attendance!$B$7:$AV$206,MATCH(A62,Attendance!$A$7:$A$206,0),0)=1)*Attendance!$B$4:$AV$4),0),"")</f>
        <v/>
      </c>
      <c r="C62" s="81" t="str">
        <f>IF(A62&lt;&gt;"",SUMIFS(Transactions!$F$7:$F$991,Transactions!$D$7:$D$991,"Income",Transactions!$E$7:$E$991,A62),"")</f>
        <v/>
      </c>
      <c r="D62" s="81" t="str">
        <f>IF(A62&lt;&gt;"",SUMIFS(Transactions!$F$7:$F$991,Transactions!$D$7:$D$991,"Expense",Transactions!$E$7:$E$991,A62),"")</f>
        <v/>
      </c>
      <c r="E62" s="82" t="str">
        <f t="shared" si="1"/>
        <v/>
      </c>
      <c r="F62" s="82" t="str">
        <f t="shared" si="2"/>
        <v/>
      </c>
      <c r="G62" s="79" t="str">
        <f>IF(A62&lt;&gt;"",SUMIFS(Transactions!$F$7:$F$991,Transactions!$D$7:$D$991,"Credit",Transactions!$H$7:$H$991,A62),"")</f>
        <v/>
      </c>
      <c r="H62" s="74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9.5" customHeight="1">
      <c r="A63" s="69" t="str">
        <f>IF(Roster!$A$61&lt;&gt;"",Roster!$A$61,"")</f>
        <v/>
      </c>
      <c r="B63" s="69" t="str">
        <f t="array" ref="B63">IF(A63&lt;&gt;"",IFERROR(SUMPRODUCT((INDEX(Attendance!$B$7:$AV$206,MATCH(A63,Attendance!$A$7:$A$206,0),0)=1)*Attendance!$B$4:$AV$4),0),"")</f>
        <v/>
      </c>
      <c r="C63" s="78" t="str">
        <f>IF(A63&lt;&gt;"",SUMIFS(Transactions!$F$7:$F$991,Transactions!$D$7:$D$991,"Income",Transactions!$E$7:$E$991,A63),"")</f>
        <v/>
      </c>
      <c r="D63" s="78" t="str">
        <f>IF(A63&lt;&gt;"",SUMIFS(Transactions!$F$7:$F$991,Transactions!$D$7:$D$991,"Expense",Transactions!$E$7:$E$991,A63),"")</f>
        <v/>
      </c>
      <c r="E63" s="76" t="str">
        <f t="shared" si="1"/>
        <v/>
      </c>
      <c r="F63" s="76" t="str">
        <f t="shared" si="2"/>
        <v/>
      </c>
      <c r="G63" s="79" t="str">
        <f>IF(A63&lt;&gt;"",SUMIFS(Transactions!$F$7:$F$991,Transactions!$D$7:$D$991,"Credit",Transactions!$H$7:$H$991,A63),"")</f>
        <v/>
      </c>
      <c r="H63" s="74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9.5" customHeight="1">
      <c r="A64" s="80" t="str">
        <f>IF(Roster!$A$62&lt;&gt;"",Roster!$A$62,"")</f>
        <v/>
      </c>
      <c r="B64" s="80" t="str">
        <f t="array" ref="B64">IF(A64&lt;&gt;"",IFERROR(SUMPRODUCT((INDEX(Attendance!$B$7:$AV$206,MATCH(A64,Attendance!$A$7:$A$206,0),0)=1)*Attendance!$B$4:$AV$4),0),"")</f>
        <v/>
      </c>
      <c r="C64" s="81" t="str">
        <f>IF(A64&lt;&gt;"",SUMIFS(Transactions!$F$7:$F$991,Transactions!$D$7:$D$991,"Income",Transactions!$E$7:$E$991,A64),"")</f>
        <v/>
      </c>
      <c r="D64" s="81" t="str">
        <f>IF(A64&lt;&gt;"",SUMIFS(Transactions!$F$7:$F$991,Transactions!$D$7:$D$991,"Expense",Transactions!$E$7:$E$991,A64),"")</f>
        <v/>
      </c>
      <c r="E64" s="82" t="str">
        <f t="shared" si="1"/>
        <v/>
      </c>
      <c r="F64" s="82" t="str">
        <f t="shared" si="2"/>
        <v/>
      </c>
      <c r="G64" s="79" t="str">
        <f>IF(A64&lt;&gt;"",SUMIFS(Transactions!$F$7:$F$991,Transactions!$D$7:$D$991,"Credit",Transactions!$H$7:$H$991,A64),"")</f>
        <v/>
      </c>
      <c r="H64" s="74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9.5" customHeight="1">
      <c r="A65" s="69" t="str">
        <f>IF(Roster!$A$63&lt;&gt;"",Roster!$A$63,"")</f>
        <v/>
      </c>
      <c r="B65" s="69" t="str">
        <f t="array" ref="B65">IF(A65&lt;&gt;"",IFERROR(SUMPRODUCT((INDEX(Attendance!$B$7:$AV$206,MATCH(A65,Attendance!$A$7:$A$206,0),0)=1)*Attendance!$B$4:$AV$4),0),"")</f>
        <v/>
      </c>
      <c r="C65" s="78" t="str">
        <f>IF(A65&lt;&gt;"",SUMIFS(Transactions!$F$7:$F$991,Transactions!$D$7:$D$991,"Income",Transactions!$E$7:$E$991,A65),"")</f>
        <v/>
      </c>
      <c r="D65" s="78" t="str">
        <f>IF(A65&lt;&gt;"",SUMIFS(Transactions!$F$7:$F$991,Transactions!$D$7:$D$991,"Expense",Transactions!$E$7:$E$991,A65),"")</f>
        <v/>
      </c>
      <c r="E65" s="76" t="str">
        <f t="shared" si="1"/>
        <v/>
      </c>
      <c r="F65" s="76" t="str">
        <f t="shared" si="2"/>
        <v/>
      </c>
      <c r="G65" s="79" t="str">
        <f>IF(A65&lt;&gt;"",SUMIFS(Transactions!$F$7:$F$991,Transactions!$D$7:$D$991,"Credit",Transactions!$H$7:$H$991,A65),"")</f>
        <v/>
      </c>
      <c r="H65" s="74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9.5" customHeight="1">
      <c r="A66" s="80" t="str">
        <f>IF(Roster!$A$64&lt;&gt;"",Roster!$A$64,"")</f>
        <v/>
      </c>
      <c r="B66" s="80" t="str">
        <f t="array" ref="B66">IF(A66&lt;&gt;"",IFERROR(SUMPRODUCT((INDEX(Attendance!$B$7:$AV$206,MATCH(A66,Attendance!$A$7:$A$206,0),0)=1)*Attendance!$B$4:$AV$4),0),"")</f>
        <v/>
      </c>
      <c r="C66" s="81" t="str">
        <f>IF(A66&lt;&gt;"",SUMIFS(Transactions!$F$7:$F$991,Transactions!$D$7:$D$991,"Income",Transactions!$E$7:$E$991,A66),"")</f>
        <v/>
      </c>
      <c r="D66" s="81" t="str">
        <f>IF(A66&lt;&gt;"",SUMIFS(Transactions!$F$7:$F$991,Transactions!$D$7:$D$991,"Expense",Transactions!$E$7:$E$991,A66),"")</f>
        <v/>
      </c>
      <c r="E66" s="82" t="str">
        <f t="shared" si="1"/>
        <v/>
      </c>
      <c r="F66" s="82" t="str">
        <f t="shared" si="2"/>
        <v/>
      </c>
      <c r="G66" s="79" t="str">
        <f>IF(A66&lt;&gt;"",SUMIFS(Transactions!$F$7:$F$991,Transactions!$D$7:$D$991,"Credit",Transactions!$H$7:$H$991,A66),"")</f>
        <v/>
      </c>
      <c r="H66" s="74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9.5" customHeight="1">
      <c r="A67" s="69" t="str">
        <f>IF(Roster!$A$65&lt;&gt;"",Roster!$A$65,"")</f>
        <v/>
      </c>
      <c r="B67" s="69" t="str">
        <f t="array" ref="B67">IF(A67&lt;&gt;"",IFERROR(SUMPRODUCT((INDEX(Attendance!$B$7:$AV$206,MATCH(A67,Attendance!$A$7:$A$206,0),0)=1)*Attendance!$B$4:$AV$4),0),"")</f>
        <v/>
      </c>
      <c r="C67" s="78" t="str">
        <f>IF(A67&lt;&gt;"",SUMIFS(Transactions!$F$7:$F$991,Transactions!$D$7:$D$991,"Income",Transactions!$E$7:$E$991,A67),"")</f>
        <v/>
      </c>
      <c r="D67" s="78" t="str">
        <f>IF(A67&lt;&gt;"",SUMIFS(Transactions!$F$7:$F$991,Transactions!$D$7:$D$991,"Expense",Transactions!$E$7:$E$991,A67),"")</f>
        <v/>
      </c>
      <c r="E67" s="76" t="str">
        <f t="shared" si="1"/>
        <v/>
      </c>
      <c r="F67" s="76" t="str">
        <f t="shared" si="2"/>
        <v/>
      </c>
      <c r="G67" s="79" t="str">
        <f>IF(A67&lt;&gt;"",SUMIFS(Transactions!$F$7:$F$991,Transactions!$D$7:$D$991,"Credit",Transactions!$H$7:$H$991,A67),"")</f>
        <v/>
      </c>
      <c r="H67" s="74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9.5" customHeight="1">
      <c r="A68" s="80" t="str">
        <f>IF(Roster!$A$66&lt;&gt;"",Roster!$A$66,"")</f>
        <v/>
      </c>
      <c r="B68" s="80" t="str">
        <f t="array" ref="B68">IF(A68&lt;&gt;"",IFERROR(SUMPRODUCT((INDEX(Attendance!$B$7:$AV$206,MATCH(A68,Attendance!$A$7:$A$206,0),0)=1)*Attendance!$B$4:$AV$4),0),"")</f>
        <v/>
      </c>
      <c r="C68" s="81" t="str">
        <f>IF(A68&lt;&gt;"",SUMIFS(Transactions!$F$7:$F$991,Transactions!$D$7:$D$991,"Income",Transactions!$E$7:$E$991,A68),"")</f>
        <v/>
      </c>
      <c r="D68" s="81" t="str">
        <f>IF(A68&lt;&gt;"",SUMIFS(Transactions!$F$7:$F$991,Transactions!$D$7:$D$991,"Expense",Transactions!$E$7:$E$991,A68),"")</f>
        <v/>
      </c>
      <c r="E68" s="82" t="str">
        <f t="shared" si="1"/>
        <v/>
      </c>
      <c r="F68" s="82" t="str">
        <f t="shared" si="2"/>
        <v/>
      </c>
      <c r="G68" s="79" t="str">
        <f>IF(A68&lt;&gt;"",SUMIFS(Transactions!$F$7:$F$991,Transactions!$D$7:$D$991,"Credit",Transactions!$H$7:$H$991,A68),"")</f>
        <v/>
      </c>
      <c r="H68" s="74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9.5" customHeight="1">
      <c r="A69" s="69" t="str">
        <f>IF(Roster!$A$67&lt;&gt;"",Roster!$A$67,"")</f>
        <v/>
      </c>
      <c r="B69" s="69" t="str">
        <f t="array" ref="B69">IF(A69&lt;&gt;"",IFERROR(SUMPRODUCT((INDEX(Attendance!$B$7:$AV$206,MATCH(A69,Attendance!$A$7:$A$206,0),0)=1)*Attendance!$B$4:$AV$4),0),"")</f>
        <v/>
      </c>
      <c r="C69" s="78" t="str">
        <f>IF(A69&lt;&gt;"",SUMIFS(Transactions!$F$7:$F$991,Transactions!$D$7:$D$991,"Income",Transactions!$E$7:$E$991,A69),"")</f>
        <v/>
      </c>
      <c r="D69" s="78" t="str">
        <f>IF(A69&lt;&gt;"",SUMIFS(Transactions!$F$7:$F$991,Transactions!$D$7:$D$991,"Expense",Transactions!$E$7:$E$991,A69),"")</f>
        <v/>
      </c>
      <c r="E69" s="76" t="str">
        <f t="shared" si="1"/>
        <v/>
      </c>
      <c r="F69" s="76" t="str">
        <f t="shared" si="2"/>
        <v/>
      </c>
      <c r="G69" s="79" t="str">
        <f>IF(A69&lt;&gt;"",SUMIFS(Transactions!$F$7:$F$991,Transactions!$D$7:$D$991,"Credit",Transactions!$H$7:$H$991,A69),"")</f>
        <v/>
      </c>
      <c r="H69" s="74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9.5" customHeight="1">
      <c r="A70" s="80" t="str">
        <f>IF(Roster!$A$68&lt;&gt;"",Roster!$A$68,"")</f>
        <v/>
      </c>
      <c r="B70" s="80" t="str">
        <f t="array" ref="B70">IF(A70&lt;&gt;"",IFERROR(SUMPRODUCT((INDEX(Attendance!$B$7:$AV$206,MATCH(A70,Attendance!$A$7:$A$206,0),0)=1)*Attendance!$B$4:$AV$4),0),"")</f>
        <v/>
      </c>
      <c r="C70" s="81" t="str">
        <f>IF(A70&lt;&gt;"",SUMIFS(Transactions!$F$7:$F$991,Transactions!$D$7:$D$991,"Income",Transactions!$E$7:$E$991,A70),"")</f>
        <v/>
      </c>
      <c r="D70" s="81" t="str">
        <f>IF(A70&lt;&gt;"",SUMIFS(Transactions!$F$7:$F$991,Transactions!$D$7:$D$991,"Expense",Transactions!$E$7:$E$991,A70),"")</f>
        <v/>
      </c>
      <c r="E70" s="82" t="str">
        <f t="shared" si="1"/>
        <v/>
      </c>
      <c r="F70" s="82" t="str">
        <f t="shared" si="2"/>
        <v/>
      </c>
      <c r="G70" s="79" t="str">
        <f>IF(A70&lt;&gt;"",SUMIFS(Transactions!$F$7:$F$991,Transactions!$D$7:$D$991,"Credit",Transactions!$H$7:$H$991,A70),"")</f>
        <v/>
      </c>
      <c r="H70" s="74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9.5" customHeight="1">
      <c r="A71" s="69" t="str">
        <f>IF(Roster!$A$69&lt;&gt;"",Roster!$A$69,"")</f>
        <v/>
      </c>
      <c r="B71" s="69" t="str">
        <f t="array" ref="B71">IF(A71&lt;&gt;"",IFERROR(SUMPRODUCT((INDEX(Attendance!$B$7:$AV$206,MATCH(A71,Attendance!$A$7:$A$206,0),0)=1)*Attendance!$B$4:$AV$4),0),"")</f>
        <v/>
      </c>
      <c r="C71" s="78" t="str">
        <f>IF(A71&lt;&gt;"",SUMIFS(Transactions!$F$7:$F$991,Transactions!$D$7:$D$991,"Income",Transactions!$E$7:$E$991,A71),"")</f>
        <v/>
      </c>
      <c r="D71" s="78" t="str">
        <f>IF(A71&lt;&gt;"",SUMIFS(Transactions!$F$7:$F$991,Transactions!$D$7:$D$991,"Expense",Transactions!$E$7:$E$991,A71),"")</f>
        <v/>
      </c>
      <c r="E71" s="76" t="str">
        <f t="shared" si="1"/>
        <v/>
      </c>
      <c r="F71" s="76" t="str">
        <f t="shared" si="2"/>
        <v/>
      </c>
      <c r="G71" s="79" t="str">
        <f>IF(A71&lt;&gt;"",SUMIFS(Transactions!$F$7:$F$991,Transactions!$D$7:$D$991,"Credit",Transactions!$H$7:$H$991,A71),"")</f>
        <v/>
      </c>
      <c r="H71" s="74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9.5" customHeight="1">
      <c r="A72" s="80" t="str">
        <f>IF(Roster!$A$70&lt;&gt;"",Roster!$A$70,"")</f>
        <v/>
      </c>
      <c r="B72" s="80" t="str">
        <f t="array" ref="B72">IF(A72&lt;&gt;"",IFERROR(SUMPRODUCT((INDEX(Attendance!$B$7:$AV$206,MATCH(A72,Attendance!$A$7:$A$206,0),0)=1)*Attendance!$B$4:$AV$4),0),"")</f>
        <v/>
      </c>
      <c r="C72" s="81" t="str">
        <f>IF(A72&lt;&gt;"",SUMIFS(Transactions!$F$7:$F$991,Transactions!$D$7:$D$991,"Income",Transactions!$E$7:$E$991,A72),"")</f>
        <v/>
      </c>
      <c r="D72" s="81" t="str">
        <f>IF(A72&lt;&gt;"",SUMIFS(Transactions!$F$7:$F$991,Transactions!$D$7:$D$991,"Expense",Transactions!$E$7:$E$991,A72),"")</f>
        <v/>
      </c>
      <c r="E72" s="82" t="str">
        <f t="shared" si="1"/>
        <v/>
      </c>
      <c r="F72" s="82" t="str">
        <f t="shared" si="2"/>
        <v/>
      </c>
      <c r="G72" s="79" t="str">
        <f>IF(A72&lt;&gt;"",SUMIFS(Transactions!$F$7:$F$991,Transactions!$D$7:$D$991,"Credit",Transactions!$H$7:$H$991,A72),"")</f>
        <v/>
      </c>
      <c r="H72" s="74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9.5" customHeight="1">
      <c r="A73" s="69" t="str">
        <f>IF(Roster!$A$71&lt;&gt;"",Roster!$A$71,"")</f>
        <v/>
      </c>
      <c r="B73" s="69" t="str">
        <f t="array" ref="B73">IF(A73&lt;&gt;"",IFERROR(SUMPRODUCT((INDEX(Attendance!$B$7:$AV$206,MATCH(A73,Attendance!$A$7:$A$206,0),0)=1)*Attendance!$B$4:$AV$4),0),"")</f>
        <v/>
      </c>
      <c r="C73" s="78" t="str">
        <f>IF(A73&lt;&gt;"",SUMIFS(Transactions!$F$7:$F$991,Transactions!$D$7:$D$991,"Income",Transactions!$E$7:$E$991,A73),"")</f>
        <v/>
      </c>
      <c r="D73" s="78" t="str">
        <f>IF(A73&lt;&gt;"",SUMIFS(Transactions!$F$7:$F$991,Transactions!$D$7:$D$991,"Expense",Transactions!$E$7:$E$991,A73),"")</f>
        <v/>
      </c>
      <c r="E73" s="76" t="str">
        <f t="shared" si="1"/>
        <v/>
      </c>
      <c r="F73" s="76" t="str">
        <f t="shared" si="2"/>
        <v/>
      </c>
      <c r="G73" s="79" t="str">
        <f>IF(A73&lt;&gt;"",SUMIFS(Transactions!$F$7:$F$991,Transactions!$D$7:$D$991,"Credit",Transactions!$H$7:$H$991,A73),"")</f>
        <v/>
      </c>
      <c r="H73" s="74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9.5" customHeight="1">
      <c r="A74" s="80" t="str">
        <f>IF(Roster!$A$72&lt;&gt;"",Roster!$A$72,"")</f>
        <v/>
      </c>
      <c r="B74" s="80" t="str">
        <f t="array" ref="B74">IF(A74&lt;&gt;"",IFERROR(SUMPRODUCT((INDEX(Attendance!$B$7:$AV$206,MATCH(A74,Attendance!$A$7:$A$206,0),0)=1)*Attendance!$B$4:$AV$4),0),"")</f>
        <v/>
      </c>
      <c r="C74" s="81" t="str">
        <f>IF(A74&lt;&gt;"",SUMIFS(Transactions!$F$7:$F$991,Transactions!$D$7:$D$991,"Income",Transactions!$E$7:$E$991,A74),"")</f>
        <v/>
      </c>
      <c r="D74" s="81" t="str">
        <f>IF(A74&lt;&gt;"",SUMIFS(Transactions!$F$7:$F$991,Transactions!$D$7:$D$991,"Expense",Transactions!$E$7:$E$991,A74),"")</f>
        <v/>
      </c>
      <c r="E74" s="82" t="str">
        <f t="shared" si="1"/>
        <v/>
      </c>
      <c r="F74" s="82" t="str">
        <f t="shared" si="2"/>
        <v/>
      </c>
      <c r="G74" s="79" t="str">
        <f>IF(A74&lt;&gt;"",SUMIFS(Transactions!$F$7:$F$991,Transactions!$D$7:$D$991,"Credit",Transactions!$H$7:$H$991,A74),"")</f>
        <v/>
      </c>
      <c r="H74" s="74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9.5" customHeight="1">
      <c r="A75" s="69" t="str">
        <f>IF(Roster!$A$73&lt;&gt;"",Roster!$A$73,"")</f>
        <v/>
      </c>
      <c r="B75" s="69" t="str">
        <f t="array" ref="B75">IF(A75&lt;&gt;"",IFERROR(SUMPRODUCT((INDEX(Attendance!$B$7:$AV$206,MATCH(A75,Attendance!$A$7:$A$206,0),0)=1)*Attendance!$B$4:$AV$4),0),"")</f>
        <v/>
      </c>
      <c r="C75" s="78" t="str">
        <f>IF(A75&lt;&gt;"",SUMIFS(Transactions!$F$7:$F$991,Transactions!$D$7:$D$991,"Income",Transactions!$E$7:$E$991,A75),"")</f>
        <v/>
      </c>
      <c r="D75" s="78" t="str">
        <f>IF(A75&lt;&gt;"",SUMIFS(Transactions!$F$7:$F$991,Transactions!$D$7:$D$991,"Expense",Transactions!$E$7:$E$991,A75),"")</f>
        <v/>
      </c>
      <c r="E75" s="76" t="str">
        <f t="shared" si="1"/>
        <v/>
      </c>
      <c r="F75" s="76" t="str">
        <f t="shared" si="2"/>
        <v/>
      </c>
      <c r="G75" s="79" t="str">
        <f>IF(A75&lt;&gt;"",SUMIFS(Transactions!$F$7:$F$991,Transactions!$D$7:$D$991,"Credit",Transactions!$H$7:$H$991,A75),"")</f>
        <v/>
      </c>
      <c r="H75" s="74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9.5" customHeight="1">
      <c r="A76" s="80" t="str">
        <f>IF(Roster!$A$74&lt;&gt;"",Roster!$A$74,"")</f>
        <v/>
      </c>
      <c r="B76" s="80" t="str">
        <f t="array" ref="B76">IF(A76&lt;&gt;"",IFERROR(SUMPRODUCT((INDEX(Attendance!$B$7:$AV$206,MATCH(A76,Attendance!$A$7:$A$206,0),0)=1)*Attendance!$B$4:$AV$4),0),"")</f>
        <v/>
      </c>
      <c r="C76" s="81" t="str">
        <f>IF(A76&lt;&gt;"",SUMIFS(Transactions!$F$7:$F$991,Transactions!$D$7:$D$991,"Income",Transactions!$E$7:$E$991,A76),"")</f>
        <v/>
      </c>
      <c r="D76" s="81" t="str">
        <f>IF(A76&lt;&gt;"",SUMIFS(Transactions!$F$7:$F$991,Transactions!$D$7:$D$991,"Expense",Transactions!$E$7:$E$991,A76),"")</f>
        <v/>
      </c>
      <c r="E76" s="82" t="str">
        <f t="shared" si="1"/>
        <v/>
      </c>
      <c r="F76" s="82" t="str">
        <f t="shared" si="2"/>
        <v/>
      </c>
      <c r="G76" s="79" t="str">
        <f>IF(A76&lt;&gt;"",SUMIFS(Transactions!$F$7:$F$991,Transactions!$D$7:$D$991,"Credit",Transactions!$H$7:$H$991,A76),"")</f>
        <v/>
      </c>
      <c r="H76" s="74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9.5" customHeight="1">
      <c r="A77" s="69" t="str">
        <f>IF(Roster!$A$75&lt;&gt;"",Roster!$A$75,"")</f>
        <v/>
      </c>
      <c r="B77" s="69" t="str">
        <f t="array" ref="B77">IF(A77&lt;&gt;"",IFERROR(SUMPRODUCT((INDEX(Attendance!$B$7:$AV$206,MATCH(A77,Attendance!$A$7:$A$206,0),0)=1)*Attendance!$B$4:$AV$4),0),"")</f>
        <v/>
      </c>
      <c r="C77" s="78" t="str">
        <f>IF(A77&lt;&gt;"",SUMIFS(Transactions!$F$7:$F$991,Transactions!$D$7:$D$991,"Income",Transactions!$E$7:$E$991,A77),"")</f>
        <v/>
      </c>
      <c r="D77" s="78" t="str">
        <f>IF(A77&lt;&gt;"",SUMIFS(Transactions!$F$7:$F$991,Transactions!$D$7:$D$991,"Expense",Transactions!$E$7:$E$991,A77),"")</f>
        <v/>
      </c>
      <c r="E77" s="76" t="str">
        <f t="shared" si="1"/>
        <v/>
      </c>
      <c r="F77" s="76" t="str">
        <f t="shared" si="2"/>
        <v/>
      </c>
      <c r="G77" s="79" t="str">
        <f>IF(A77&lt;&gt;"",SUMIFS(Transactions!$F$7:$F$991,Transactions!$D$7:$D$991,"Credit",Transactions!$H$7:$H$991,A77),"")</f>
        <v/>
      </c>
      <c r="H77" s="74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9.5" customHeight="1">
      <c r="A78" s="80" t="str">
        <f>IF(Roster!$A$76&lt;&gt;"",Roster!$A$76,"")</f>
        <v/>
      </c>
      <c r="B78" s="80" t="str">
        <f t="array" ref="B78">IF(A78&lt;&gt;"",IFERROR(SUMPRODUCT((INDEX(Attendance!$B$7:$AV$206,MATCH(A78,Attendance!$A$7:$A$206,0),0)=1)*Attendance!$B$4:$AV$4),0),"")</f>
        <v/>
      </c>
      <c r="C78" s="81" t="str">
        <f>IF(A78&lt;&gt;"",SUMIFS(Transactions!$F$7:$F$991,Transactions!$D$7:$D$991,"Income",Transactions!$E$7:$E$991,A78),"")</f>
        <v/>
      </c>
      <c r="D78" s="81" t="str">
        <f>IF(A78&lt;&gt;"",SUMIFS(Transactions!$F$7:$F$991,Transactions!$D$7:$D$991,"Expense",Transactions!$E$7:$E$991,A78),"")</f>
        <v/>
      </c>
      <c r="E78" s="82" t="str">
        <f t="shared" si="1"/>
        <v/>
      </c>
      <c r="F78" s="82" t="str">
        <f t="shared" si="2"/>
        <v/>
      </c>
      <c r="G78" s="79" t="str">
        <f>IF(A78&lt;&gt;"",SUMIFS(Transactions!$F$7:$F$991,Transactions!$D$7:$D$991,"Credit",Transactions!$H$7:$H$991,A78),"")</f>
        <v/>
      </c>
      <c r="H78" s="74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9.5" customHeight="1">
      <c r="A79" s="69" t="str">
        <f>IF(Roster!$A$77&lt;&gt;"",Roster!$A$77,"")</f>
        <v/>
      </c>
      <c r="B79" s="69" t="str">
        <f t="array" ref="B79">IF(A79&lt;&gt;"",IFERROR(SUMPRODUCT((INDEX(Attendance!$B$7:$AV$206,MATCH(A79,Attendance!$A$7:$A$206,0),0)=1)*Attendance!$B$4:$AV$4),0),"")</f>
        <v/>
      </c>
      <c r="C79" s="78" t="str">
        <f>IF(A79&lt;&gt;"",SUMIFS(Transactions!$F$7:$F$991,Transactions!$D$7:$D$991,"Income",Transactions!$E$7:$E$991,A79),"")</f>
        <v/>
      </c>
      <c r="D79" s="78" t="str">
        <f>IF(A79&lt;&gt;"",SUMIFS(Transactions!$F$7:$F$991,Transactions!$D$7:$D$991,"Expense",Transactions!$E$7:$E$991,A79),"")</f>
        <v/>
      </c>
      <c r="E79" s="76" t="str">
        <f t="shared" si="1"/>
        <v/>
      </c>
      <c r="F79" s="76" t="str">
        <f t="shared" si="2"/>
        <v/>
      </c>
      <c r="G79" s="79" t="str">
        <f>IF(A79&lt;&gt;"",SUMIFS(Transactions!$F$7:$F$991,Transactions!$D$7:$D$991,"Credit",Transactions!$H$7:$H$991,A79),"")</f>
        <v/>
      </c>
      <c r="H79" s="74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9.5" customHeight="1">
      <c r="A80" s="80" t="str">
        <f>IF(Roster!$A$78&lt;&gt;"",Roster!$A$78,"")</f>
        <v/>
      </c>
      <c r="B80" s="80" t="str">
        <f t="array" ref="B80">IF(A80&lt;&gt;"",IFERROR(SUMPRODUCT((INDEX(Attendance!$B$7:$AV$206,MATCH(A80,Attendance!$A$7:$A$206,0),0)=1)*Attendance!$B$4:$AV$4),0),"")</f>
        <v/>
      </c>
      <c r="C80" s="81" t="str">
        <f>IF(A80&lt;&gt;"",SUMIFS(Transactions!$F$7:$F$991,Transactions!$D$7:$D$991,"Income",Transactions!$E$7:$E$991,A80),"")</f>
        <v/>
      </c>
      <c r="D80" s="81" t="str">
        <f>IF(A80&lt;&gt;"",SUMIFS(Transactions!$F$7:$F$991,Transactions!$D$7:$D$991,"Expense",Transactions!$E$7:$E$991,A80),"")</f>
        <v/>
      </c>
      <c r="E80" s="82" t="str">
        <f t="shared" si="1"/>
        <v/>
      </c>
      <c r="F80" s="82" t="str">
        <f t="shared" si="2"/>
        <v/>
      </c>
      <c r="G80" s="79" t="str">
        <f>IF(A80&lt;&gt;"",SUMIFS(Transactions!$F$7:$F$991,Transactions!$D$7:$D$991,"Credit",Transactions!$H$7:$H$991,A80),"")</f>
        <v/>
      </c>
      <c r="H80" s="74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9.5" customHeight="1">
      <c r="A81" s="69" t="str">
        <f>IF(Roster!$A$79&lt;&gt;"",Roster!$A$79,"")</f>
        <v/>
      </c>
      <c r="B81" s="69" t="str">
        <f t="array" ref="B81">IF(A81&lt;&gt;"",IFERROR(SUMPRODUCT((INDEX(Attendance!$B$7:$AV$206,MATCH(A81,Attendance!$A$7:$A$206,0),0)=1)*Attendance!$B$4:$AV$4),0),"")</f>
        <v/>
      </c>
      <c r="C81" s="78" t="str">
        <f>IF(A81&lt;&gt;"",SUMIFS(Transactions!$F$7:$F$991,Transactions!$D$7:$D$991,"Income",Transactions!$E$7:$E$991,A81),"")</f>
        <v/>
      </c>
      <c r="D81" s="78" t="str">
        <f>IF(A81&lt;&gt;"",SUMIFS(Transactions!$F$7:$F$991,Transactions!$D$7:$D$991,"Expense",Transactions!$E$7:$E$991,A81),"")</f>
        <v/>
      </c>
      <c r="E81" s="76" t="str">
        <f t="shared" si="1"/>
        <v/>
      </c>
      <c r="F81" s="76" t="str">
        <f t="shared" si="2"/>
        <v/>
      </c>
      <c r="G81" s="79" t="str">
        <f>IF(A81&lt;&gt;"",SUMIFS(Transactions!$F$7:$F$991,Transactions!$D$7:$D$991,"Credit",Transactions!$H$7:$H$991,A81),"")</f>
        <v/>
      </c>
      <c r="H81" s="74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9.5" customHeight="1">
      <c r="A82" s="80" t="str">
        <f>IF(Roster!$A$80&lt;&gt;"",Roster!$A$80,"")</f>
        <v/>
      </c>
      <c r="B82" s="80" t="str">
        <f t="array" ref="B82">IF(A82&lt;&gt;"",IFERROR(SUMPRODUCT((INDEX(Attendance!$B$7:$AV$206,MATCH(A82,Attendance!$A$7:$A$206,0),0)=1)*Attendance!$B$4:$AV$4),0),"")</f>
        <v/>
      </c>
      <c r="C82" s="81" t="str">
        <f>IF(A82&lt;&gt;"",SUMIFS(Transactions!$F$7:$F$991,Transactions!$D$7:$D$991,"Income",Transactions!$E$7:$E$991,A82),"")</f>
        <v/>
      </c>
      <c r="D82" s="81" t="str">
        <f>IF(A82&lt;&gt;"",SUMIFS(Transactions!$F$7:$F$991,Transactions!$D$7:$D$991,"Expense",Transactions!$E$7:$E$991,A82),"")</f>
        <v/>
      </c>
      <c r="E82" s="82" t="str">
        <f t="shared" si="1"/>
        <v/>
      </c>
      <c r="F82" s="82" t="str">
        <f t="shared" si="2"/>
        <v/>
      </c>
      <c r="G82" s="79" t="str">
        <f>IF(A82&lt;&gt;"",SUMIFS(Transactions!$F$7:$F$991,Transactions!$D$7:$D$991,"Credit",Transactions!$H$7:$H$991,A82),"")</f>
        <v/>
      </c>
      <c r="H82" s="74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9.5" customHeight="1">
      <c r="A83" s="69" t="str">
        <f>IF(Roster!$A$81&lt;&gt;"",Roster!$A$81,"")</f>
        <v/>
      </c>
      <c r="B83" s="69" t="str">
        <f t="array" ref="B83">IF(A83&lt;&gt;"",IFERROR(SUMPRODUCT((INDEX(Attendance!$B$7:$AV$206,MATCH(A83,Attendance!$A$7:$A$206,0),0)=1)*Attendance!$B$4:$AV$4),0),"")</f>
        <v/>
      </c>
      <c r="C83" s="78" t="str">
        <f>IF(A83&lt;&gt;"",SUMIFS(Transactions!$F$7:$F$991,Transactions!$D$7:$D$991,"Income",Transactions!$E$7:$E$991,A83),"")</f>
        <v/>
      </c>
      <c r="D83" s="78" t="str">
        <f>IF(A83&lt;&gt;"",SUMIFS(Transactions!$F$7:$F$991,Transactions!$D$7:$D$991,"Expense",Transactions!$E$7:$E$991,A83),"")</f>
        <v/>
      </c>
      <c r="E83" s="76" t="str">
        <f t="shared" si="1"/>
        <v/>
      </c>
      <c r="F83" s="76" t="str">
        <f t="shared" si="2"/>
        <v/>
      </c>
      <c r="G83" s="79" t="str">
        <f>IF(A83&lt;&gt;"",SUMIFS(Transactions!$F$7:$F$991,Transactions!$D$7:$D$991,"Credit",Transactions!$H$7:$H$991,A83),"")</f>
        <v/>
      </c>
      <c r="H83" s="74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9.5" customHeight="1">
      <c r="A84" s="80" t="str">
        <f>IF(Roster!$A$82&lt;&gt;"",Roster!$A$82,"")</f>
        <v/>
      </c>
      <c r="B84" s="80" t="str">
        <f t="array" ref="B84">IF(A84&lt;&gt;"",IFERROR(SUMPRODUCT((INDEX(Attendance!$B$7:$AV$206,MATCH(A84,Attendance!$A$7:$A$206,0),0)=1)*Attendance!$B$4:$AV$4),0),"")</f>
        <v/>
      </c>
      <c r="C84" s="81" t="str">
        <f>IF(A84&lt;&gt;"",SUMIFS(Transactions!$F$7:$F$991,Transactions!$D$7:$D$991,"Income",Transactions!$E$7:$E$991,A84),"")</f>
        <v/>
      </c>
      <c r="D84" s="81" t="str">
        <f>IF(A84&lt;&gt;"",SUMIFS(Transactions!$F$7:$F$991,Transactions!$D$7:$D$991,"Expense",Transactions!$E$7:$E$991,A84),"")</f>
        <v/>
      </c>
      <c r="E84" s="82" t="str">
        <f t="shared" si="1"/>
        <v/>
      </c>
      <c r="F84" s="82" t="str">
        <f t="shared" si="2"/>
        <v/>
      </c>
      <c r="G84" s="79" t="str">
        <f>IF(A84&lt;&gt;"",SUMIFS(Transactions!$F$7:$F$991,Transactions!$D$7:$D$991,"Credit",Transactions!$H$7:$H$991,A84),"")</f>
        <v/>
      </c>
      <c r="H84" s="74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9.5" customHeight="1">
      <c r="A85" s="69" t="str">
        <f>IF(Roster!$A$83&lt;&gt;"",Roster!$A$83,"")</f>
        <v/>
      </c>
      <c r="B85" s="69" t="str">
        <f t="array" ref="B85">IF(A85&lt;&gt;"",IFERROR(SUMPRODUCT((INDEX(Attendance!$B$7:$AV$206,MATCH(A85,Attendance!$A$7:$A$206,0),0)=1)*Attendance!$B$4:$AV$4),0),"")</f>
        <v/>
      </c>
      <c r="C85" s="78" t="str">
        <f>IF(A85&lt;&gt;"",SUMIFS(Transactions!$F$7:$F$991,Transactions!$D$7:$D$991,"Income",Transactions!$E$7:$E$991,A85),"")</f>
        <v/>
      </c>
      <c r="D85" s="78" t="str">
        <f>IF(A85&lt;&gt;"",SUMIFS(Transactions!$F$7:$F$991,Transactions!$D$7:$D$991,"Expense",Transactions!$E$7:$E$991,A85),"")</f>
        <v/>
      </c>
      <c r="E85" s="76" t="str">
        <f t="shared" si="1"/>
        <v/>
      </c>
      <c r="F85" s="76" t="str">
        <f t="shared" si="2"/>
        <v/>
      </c>
      <c r="G85" s="79" t="str">
        <f>IF(A85&lt;&gt;"",SUMIFS(Transactions!$F$7:$F$991,Transactions!$D$7:$D$991,"Credit",Transactions!$H$7:$H$991,A85),"")</f>
        <v/>
      </c>
      <c r="H85" s="74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9.5" customHeight="1">
      <c r="A86" s="80" t="str">
        <f>IF(Roster!$A$84&lt;&gt;"",Roster!$A$84,"")</f>
        <v/>
      </c>
      <c r="B86" s="80" t="str">
        <f t="array" ref="B86">IF(A86&lt;&gt;"",IFERROR(SUMPRODUCT((INDEX(Attendance!$B$7:$AV$206,MATCH(A86,Attendance!$A$7:$A$206,0),0)=1)*Attendance!$B$4:$AV$4),0),"")</f>
        <v/>
      </c>
      <c r="C86" s="81" t="str">
        <f>IF(A86&lt;&gt;"",SUMIFS(Transactions!$F$7:$F$991,Transactions!$D$7:$D$991,"Income",Transactions!$E$7:$E$991,A86),"")</f>
        <v/>
      </c>
      <c r="D86" s="81" t="str">
        <f>IF(A86&lt;&gt;"",SUMIFS(Transactions!$F$7:$F$991,Transactions!$D$7:$D$991,"Expense",Transactions!$E$7:$E$991,A86),"")</f>
        <v/>
      </c>
      <c r="E86" s="82" t="str">
        <f t="shared" si="1"/>
        <v/>
      </c>
      <c r="F86" s="82" t="str">
        <f t="shared" si="2"/>
        <v/>
      </c>
      <c r="G86" s="79" t="str">
        <f>IF(A86&lt;&gt;"",SUMIFS(Transactions!$F$7:$F$991,Transactions!$D$7:$D$991,"Credit",Transactions!$H$7:$H$991,A86),"")</f>
        <v/>
      </c>
      <c r="H86" s="74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9.5" customHeight="1">
      <c r="A87" s="69" t="str">
        <f>IF(Roster!$A$85&lt;&gt;"",Roster!$A$85,"")</f>
        <v/>
      </c>
      <c r="B87" s="69" t="str">
        <f t="array" ref="B87">IF(A87&lt;&gt;"",IFERROR(SUMPRODUCT((INDEX(Attendance!$B$7:$AV$206,MATCH(A87,Attendance!$A$7:$A$206,0),0)=1)*Attendance!$B$4:$AV$4),0),"")</f>
        <v/>
      </c>
      <c r="C87" s="78" t="str">
        <f>IF(A87&lt;&gt;"",SUMIFS(Transactions!$F$7:$F$991,Transactions!$D$7:$D$991,"Income",Transactions!$E$7:$E$991,A87),"")</f>
        <v/>
      </c>
      <c r="D87" s="78" t="str">
        <f>IF(A87&lt;&gt;"",SUMIFS(Transactions!$F$7:$F$991,Transactions!$D$7:$D$991,"Expense",Transactions!$E$7:$E$991,A87),"")</f>
        <v/>
      </c>
      <c r="E87" s="76" t="str">
        <f t="shared" si="1"/>
        <v/>
      </c>
      <c r="F87" s="76" t="str">
        <f t="shared" si="2"/>
        <v/>
      </c>
      <c r="G87" s="79" t="str">
        <f>IF(A87&lt;&gt;"",SUMIFS(Transactions!$F$7:$F$991,Transactions!$D$7:$D$991,"Credit",Transactions!$H$7:$H$991,A87),"")</f>
        <v/>
      </c>
      <c r="H87" s="74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9.5" customHeight="1">
      <c r="A88" s="80" t="str">
        <f>IF(Roster!$A$86&lt;&gt;"",Roster!$A$86,"")</f>
        <v/>
      </c>
      <c r="B88" s="80" t="str">
        <f t="array" ref="B88">IF(A88&lt;&gt;"",IFERROR(SUMPRODUCT((INDEX(Attendance!$B$7:$AV$206,MATCH(A88,Attendance!$A$7:$A$206,0),0)=1)*Attendance!$B$4:$AV$4),0),"")</f>
        <v/>
      </c>
      <c r="C88" s="81" t="str">
        <f>IF(A88&lt;&gt;"",SUMIFS(Transactions!$F$7:$F$991,Transactions!$D$7:$D$991,"Income",Transactions!$E$7:$E$991,A88),"")</f>
        <v/>
      </c>
      <c r="D88" s="81" t="str">
        <f>IF(A88&lt;&gt;"",SUMIFS(Transactions!$F$7:$F$991,Transactions!$D$7:$D$991,"Expense",Transactions!$E$7:$E$991,A88),"")</f>
        <v/>
      </c>
      <c r="E88" s="82" t="str">
        <f t="shared" si="1"/>
        <v/>
      </c>
      <c r="F88" s="82" t="str">
        <f t="shared" si="2"/>
        <v/>
      </c>
      <c r="G88" s="79" t="str">
        <f>IF(A88&lt;&gt;"",SUMIFS(Transactions!$F$7:$F$991,Transactions!$D$7:$D$991,"Credit",Transactions!$H$7:$H$991,A88),"")</f>
        <v/>
      </c>
      <c r="H88" s="74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9.5" customHeight="1">
      <c r="A89" s="69" t="str">
        <f>IF(Roster!$A$87&lt;&gt;"",Roster!$A$87,"")</f>
        <v/>
      </c>
      <c r="B89" s="69" t="str">
        <f t="array" ref="B89">IF(A89&lt;&gt;"",IFERROR(SUMPRODUCT((INDEX(Attendance!$B$7:$AV$206,MATCH(A89,Attendance!$A$7:$A$206,0),0)=1)*Attendance!$B$4:$AV$4),0),"")</f>
        <v/>
      </c>
      <c r="C89" s="78" t="str">
        <f>IF(A89&lt;&gt;"",SUMIFS(Transactions!$F$7:$F$991,Transactions!$D$7:$D$991,"Income",Transactions!$E$7:$E$991,A89),"")</f>
        <v/>
      </c>
      <c r="D89" s="78" t="str">
        <f>IF(A89&lt;&gt;"",SUMIFS(Transactions!$F$7:$F$991,Transactions!$D$7:$D$991,"Expense",Transactions!$E$7:$E$991,A89),"")</f>
        <v/>
      </c>
      <c r="E89" s="76" t="str">
        <f t="shared" si="1"/>
        <v/>
      </c>
      <c r="F89" s="76" t="str">
        <f t="shared" si="2"/>
        <v/>
      </c>
      <c r="G89" s="79" t="str">
        <f>IF(A89&lt;&gt;"",SUMIFS(Transactions!$F$7:$F$991,Transactions!$D$7:$D$991,"Credit",Transactions!$H$7:$H$991,A89),"")</f>
        <v/>
      </c>
      <c r="H89" s="74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9.5" customHeight="1">
      <c r="A90" s="80" t="str">
        <f>IF(Roster!$A$88&lt;&gt;"",Roster!$A$88,"")</f>
        <v/>
      </c>
      <c r="B90" s="80" t="str">
        <f t="array" ref="B90">IF(A90&lt;&gt;"",IFERROR(SUMPRODUCT((INDEX(Attendance!$B$7:$AV$206,MATCH(A90,Attendance!$A$7:$A$206,0),0)=1)*Attendance!$B$4:$AV$4),0),"")</f>
        <v/>
      </c>
      <c r="C90" s="81" t="str">
        <f>IF(A90&lt;&gt;"",SUMIFS(Transactions!$F$7:$F$991,Transactions!$D$7:$D$991,"Income",Transactions!$E$7:$E$991,A90),"")</f>
        <v/>
      </c>
      <c r="D90" s="81" t="str">
        <f>IF(A90&lt;&gt;"",SUMIFS(Transactions!$F$7:$F$991,Transactions!$D$7:$D$991,"Expense",Transactions!$E$7:$E$991,A90),"")</f>
        <v/>
      </c>
      <c r="E90" s="82" t="str">
        <f t="shared" si="1"/>
        <v/>
      </c>
      <c r="F90" s="82" t="str">
        <f t="shared" si="2"/>
        <v/>
      </c>
      <c r="G90" s="79" t="str">
        <f>IF(A90&lt;&gt;"",SUMIFS(Transactions!$F$7:$F$991,Transactions!$D$7:$D$991,"Credit",Transactions!$H$7:$H$991,A90),"")</f>
        <v/>
      </c>
      <c r="H90" s="74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9.5" customHeight="1">
      <c r="A91" s="69" t="str">
        <f>IF(Roster!$A$89&lt;&gt;"",Roster!$A$89,"")</f>
        <v/>
      </c>
      <c r="B91" s="69" t="str">
        <f t="array" ref="B91">IF(A91&lt;&gt;"",IFERROR(SUMPRODUCT((INDEX(Attendance!$B$7:$AV$206,MATCH(A91,Attendance!$A$7:$A$206,0),0)=1)*Attendance!$B$4:$AV$4),0),"")</f>
        <v/>
      </c>
      <c r="C91" s="78" t="str">
        <f>IF(A91&lt;&gt;"",SUMIFS(Transactions!$F$7:$F$991,Transactions!$D$7:$D$991,"Income",Transactions!$E$7:$E$991,A91),"")</f>
        <v/>
      </c>
      <c r="D91" s="78" t="str">
        <f>IF(A91&lt;&gt;"",SUMIFS(Transactions!$F$7:$F$991,Transactions!$D$7:$D$991,"Expense",Transactions!$E$7:$E$991,A91),"")</f>
        <v/>
      </c>
      <c r="E91" s="76" t="str">
        <f t="shared" si="1"/>
        <v/>
      </c>
      <c r="F91" s="76" t="str">
        <f t="shared" si="2"/>
        <v/>
      </c>
      <c r="G91" s="79" t="str">
        <f>IF(A91&lt;&gt;"",SUMIFS(Transactions!$F$7:$F$991,Transactions!$D$7:$D$991,"Credit",Transactions!$H$7:$H$991,A91),"")</f>
        <v/>
      </c>
      <c r="H91" s="74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9.5" customHeight="1">
      <c r="A92" s="80" t="str">
        <f>IF(Roster!$A$90&lt;&gt;"",Roster!$A$90,"")</f>
        <v/>
      </c>
      <c r="B92" s="80" t="str">
        <f t="array" ref="B92">IF(A92&lt;&gt;"",IFERROR(SUMPRODUCT((INDEX(Attendance!$B$7:$AV$206,MATCH(A92,Attendance!$A$7:$A$206,0),0)=1)*Attendance!$B$4:$AV$4),0),"")</f>
        <v/>
      </c>
      <c r="C92" s="81" t="str">
        <f>IF(A92&lt;&gt;"",SUMIFS(Transactions!$F$7:$F$991,Transactions!$D$7:$D$991,"Income",Transactions!$E$7:$E$991,A92),"")</f>
        <v/>
      </c>
      <c r="D92" s="81" t="str">
        <f>IF(A92&lt;&gt;"",SUMIFS(Transactions!$F$7:$F$991,Transactions!$D$7:$D$991,"Expense",Transactions!$E$7:$E$991,A92),"")</f>
        <v/>
      </c>
      <c r="E92" s="82" t="str">
        <f t="shared" si="1"/>
        <v/>
      </c>
      <c r="F92" s="82" t="str">
        <f t="shared" si="2"/>
        <v/>
      </c>
      <c r="G92" s="79" t="str">
        <f>IF(A92&lt;&gt;"",SUMIFS(Transactions!$F$7:$F$991,Transactions!$D$7:$D$991,"Credit",Transactions!$H$7:$H$991,A92),"")</f>
        <v/>
      </c>
      <c r="H92" s="74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9.5" customHeight="1">
      <c r="A93" s="69" t="str">
        <f>IF(Roster!$A$91&lt;&gt;"",Roster!$A$91,"")</f>
        <v/>
      </c>
      <c r="B93" s="69" t="str">
        <f t="array" ref="B93">IF(A93&lt;&gt;"",IFERROR(SUMPRODUCT((INDEX(Attendance!$B$7:$AV$206,MATCH(A93,Attendance!$A$7:$A$206,0),0)=1)*Attendance!$B$4:$AV$4),0),"")</f>
        <v/>
      </c>
      <c r="C93" s="78" t="str">
        <f>IF(A93&lt;&gt;"",SUMIFS(Transactions!$F$7:$F$991,Transactions!$D$7:$D$991,"Income",Transactions!$E$7:$E$991,A93),"")</f>
        <v/>
      </c>
      <c r="D93" s="78" t="str">
        <f>IF(A93&lt;&gt;"",SUMIFS(Transactions!$F$7:$F$991,Transactions!$D$7:$D$991,"Expense",Transactions!$E$7:$E$991,A93),"")</f>
        <v/>
      </c>
      <c r="E93" s="76" t="str">
        <f t="shared" si="1"/>
        <v/>
      </c>
      <c r="F93" s="76" t="str">
        <f t="shared" si="2"/>
        <v/>
      </c>
      <c r="G93" s="79" t="str">
        <f>IF(A93&lt;&gt;"",SUMIFS(Transactions!$F$7:$F$991,Transactions!$D$7:$D$991,"Credit",Transactions!$H$7:$H$991,A93),"")</f>
        <v/>
      </c>
      <c r="H93" s="74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9.5" customHeight="1">
      <c r="A94" s="80" t="str">
        <f>IF(Roster!$A$92&lt;&gt;"",Roster!$A$92,"")</f>
        <v/>
      </c>
      <c r="B94" s="80" t="str">
        <f t="array" ref="B94">IF(A94&lt;&gt;"",IFERROR(SUMPRODUCT((INDEX(Attendance!$B$7:$AV$206,MATCH(A94,Attendance!$A$7:$A$206,0),0)=1)*Attendance!$B$4:$AV$4),0),"")</f>
        <v/>
      </c>
      <c r="C94" s="81" t="str">
        <f>IF(A94&lt;&gt;"",SUMIFS(Transactions!$F$7:$F$991,Transactions!$D$7:$D$991,"Income",Transactions!$E$7:$E$991,A94),"")</f>
        <v/>
      </c>
      <c r="D94" s="81" t="str">
        <f>IF(A94&lt;&gt;"",SUMIFS(Transactions!$F$7:$F$991,Transactions!$D$7:$D$991,"Expense",Transactions!$E$7:$E$991,A94),"")</f>
        <v/>
      </c>
      <c r="E94" s="82" t="str">
        <f t="shared" si="1"/>
        <v/>
      </c>
      <c r="F94" s="82" t="str">
        <f t="shared" si="2"/>
        <v/>
      </c>
      <c r="G94" s="79" t="str">
        <f>IF(A94&lt;&gt;"",SUMIFS(Transactions!$F$7:$F$991,Transactions!$D$7:$D$991,"Credit",Transactions!$H$7:$H$991,A94),"")</f>
        <v/>
      </c>
      <c r="H94" s="74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9.5" customHeight="1">
      <c r="A95" s="69" t="str">
        <f>IF(Roster!$A$93&lt;&gt;"",Roster!$A$93,"")</f>
        <v/>
      </c>
      <c r="B95" s="69" t="str">
        <f t="array" ref="B95">IF(A95&lt;&gt;"",IFERROR(SUMPRODUCT((INDEX(Attendance!$B$7:$AV$206,MATCH(A95,Attendance!$A$7:$A$206,0),0)=1)*Attendance!$B$4:$AV$4),0),"")</f>
        <v/>
      </c>
      <c r="C95" s="78" t="str">
        <f>IF(A95&lt;&gt;"",SUMIFS(Transactions!$F$7:$F$991,Transactions!$D$7:$D$991,"Income",Transactions!$E$7:$E$991,A95),"")</f>
        <v/>
      </c>
      <c r="D95" s="78" t="str">
        <f>IF(A95&lt;&gt;"",SUMIFS(Transactions!$F$7:$F$991,Transactions!$D$7:$D$991,"Expense",Transactions!$E$7:$E$991,A95),"")</f>
        <v/>
      </c>
      <c r="E95" s="76" t="str">
        <f t="shared" si="1"/>
        <v/>
      </c>
      <c r="F95" s="76" t="str">
        <f t="shared" si="2"/>
        <v/>
      </c>
      <c r="G95" s="79" t="str">
        <f>IF(A95&lt;&gt;"",SUMIFS(Transactions!$F$7:$F$991,Transactions!$D$7:$D$991,"Credit",Transactions!$H$7:$H$991,A95),"")</f>
        <v/>
      </c>
      <c r="H95" s="74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9.5" customHeight="1">
      <c r="A96" s="80" t="str">
        <f>IF(Roster!$A$94&lt;&gt;"",Roster!$A$94,"")</f>
        <v/>
      </c>
      <c r="B96" s="80" t="str">
        <f t="array" ref="B96">IF(A96&lt;&gt;"",IFERROR(SUMPRODUCT((INDEX(Attendance!$B$7:$AV$206,MATCH(A96,Attendance!$A$7:$A$206,0),0)=1)*Attendance!$B$4:$AV$4),0),"")</f>
        <v/>
      </c>
      <c r="C96" s="81" t="str">
        <f>IF(A96&lt;&gt;"",SUMIFS(Transactions!$F$7:$F$991,Transactions!$D$7:$D$991,"Income",Transactions!$E$7:$E$991,A96),"")</f>
        <v/>
      </c>
      <c r="D96" s="81" t="str">
        <f>IF(A96&lt;&gt;"",SUMIFS(Transactions!$F$7:$F$991,Transactions!$D$7:$D$991,"Expense",Transactions!$E$7:$E$991,A96),"")</f>
        <v/>
      </c>
      <c r="E96" s="82" t="str">
        <f t="shared" si="1"/>
        <v/>
      </c>
      <c r="F96" s="82" t="str">
        <f t="shared" si="2"/>
        <v/>
      </c>
      <c r="G96" s="79" t="str">
        <f>IF(A96&lt;&gt;"",SUMIFS(Transactions!$F$7:$F$991,Transactions!$D$7:$D$991,"Credit",Transactions!$H$7:$H$991,A96),"")</f>
        <v/>
      </c>
      <c r="H96" s="74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9.5" customHeight="1">
      <c r="A97" s="69" t="str">
        <f>IF(Roster!$A$95&lt;&gt;"",Roster!$A$95,"")</f>
        <v/>
      </c>
      <c r="B97" s="69" t="str">
        <f t="array" ref="B97">IF(A97&lt;&gt;"",IFERROR(SUMPRODUCT((INDEX(Attendance!$B$7:$AV$206,MATCH(A97,Attendance!$A$7:$A$206,0),0)=1)*Attendance!$B$4:$AV$4),0),"")</f>
        <v/>
      </c>
      <c r="C97" s="78" t="str">
        <f>IF(A97&lt;&gt;"",SUMIFS(Transactions!$F$7:$F$991,Transactions!$D$7:$D$991,"Income",Transactions!$E$7:$E$991,A97),"")</f>
        <v/>
      </c>
      <c r="D97" s="78" t="str">
        <f>IF(A97&lt;&gt;"",SUMIFS(Transactions!$F$7:$F$991,Transactions!$D$7:$D$991,"Expense",Transactions!$E$7:$E$991,A97),"")</f>
        <v/>
      </c>
      <c r="E97" s="76" t="str">
        <f t="shared" si="1"/>
        <v/>
      </c>
      <c r="F97" s="76" t="str">
        <f t="shared" si="2"/>
        <v/>
      </c>
      <c r="G97" s="79" t="str">
        <f>IF(A97&lt;&gt;"",SUMIFS(Transactions!$F$7:$F$991,Transactions!$D$7:$D$991,"Credit",Transactions!$H$7:$H$991,A97),"")</f>
        <v/>
      </c>
      <c r="H97" s="74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9.5" customHeight="1">
      <c r="A98" s="80" t="str">
        <f>IF(Roster!$A$96&lt;&gt;"",Roster!$A$96,"")</f>
        <v/>
      </c>
      <c r="B98" s="80" t="str">
        <f t="array" ref="B98">IF(A98&lt;&gt;"",IFERROR(SUMPRODUCT((INDEX(Attendance!$B$7:$AV$206,MATCH(A98,Attendance!$A$7:$A$206,0),0)=1)*Attendance!$B$4:$AV$4),0),"")</f>
        <v/>
      </c>
      <c r="C98" s="81" t="str">
        <f>IF(A98&lt;&gt;"",SUMIFS(Transactions!$F$7:$F$991,Transactions!$D$7:$D$991,"Income",Transactions!$E$7:$E$991,A98),"")</f>
        <v/>
      </c>
      <c r="D98" s="81" t="str">
        <f>IF(A98&lt;&gt;"",SUMIFS(Transactions!$F$7:$F$991,Transactions!$D$7:$D$991,"Expense",Transactions!$E$7:$E$991,A98),"")</f>
        <v/>
      </c>
      <c r="E98" s="82" t="str">
        <f t="shared" si="1"/>
        <v/>
      </c>
      <c r="F98" s="82" t="str">
        <f t="shared" si="2"/>
        <v/>
      </c>
      <c r="G98" s="79" t="str">
        <f>IF(A98&lt;&gt;"",SUMIFS(Transactions!$F$7:$F$991,Transactions!$D$7:$D$991,"Credit",Transactions!$H$7:$H$991,A98),"")</f>
        <v/>
      </c>
      <c r="H98" s="74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9.5" customHeight="1">
      <c r="A99" s="69" t="str">
        <f>IF(Roster!$A$97&lt;&gt;"",Roster!$A$97,"")</f>
        <v/>
      </c>
      <c r="B99" s="69" t="str">
        <f t="array" ref="B99">IF(A99&lt;&gt;"",IFERROR(SUMPRODUCT((INDEX(Attendance!$B$7:$AV$206,MATCH(A99,Attendance!$A$7:$A$206,0),0)=1)*Attendance!$B$4:$AV$4),0),"")</f>
        <v/>
      </c>
      <c r="C99" s="78" t="str">
        <f>IF(A99&lt;&gt;"",SUMIFS(Transactions!$F$7:$F$991,Transactions!$D$7:$D$991,"Income",Transactions!$E$7:$E$991,A99),"")</f>
        <v/>
      </c>
      <c r="D99" s="78" t="str">
        <f>IF(A99&lt;&gt;"",SUMIFS(Transactions!$F$7:$F$991,Transactions!$D$7:$D$991,"Expense",Transactions!$E$7:$E$991,A99),"")</f>
        <v/>
      </c>
      <c r="E99" s="76" t="str">
        <f t="shared" si="1"/>
        <v/>
      </c>
      <c r="F99" s="76" t="str">
        <f t="shared" si="2"/>
        <v/>
      </c>
      <c r="G99" s="79" t="str">
        <f>IF(A99&lt;&gt;"",SUMIFS(Transactions!$F$7:$F$991,Transactions!$D$7:$D$991,"Credit",Transactions!$H$7:$H$991,A99),"")</f>
        <v/>
      </c>
      <c r="H99" s="74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9.5" customHeight="1">
      <c r="A100" s="80" t="str">
        <f>IF(Roster!$A$98&lt;&gt;"",Roster!$A$98,"")</f>
        <v/>
      </c>
      <c r="B100" s="80" t="str">
        <f t="array" ref="B100">IF(A100&lt;&gt;"",IFERROR(SUMPRODUCT((INDEX(Attendance!$B$7:$AV$206,MATCH(A100,Attendance!$A$7:$A$206,0),0)=1)*Attendance!$B$4:$AV$4),0),"")</f>
        <v/>
      </c>
      <c r="C100" s="81" t="str">
        <f>IF(A100&lt;&gt;"",SUMIFS(Transactions!$F$7:$F$991,Transactions!$D$7:$D$991,"Income",Transactions!$E$7:$E$991,A100),"")</f>
        <v/>
      </c>
      <c r="D100" s="81" t="str">
        <f>IF(A100&lt;&gt;"",SUMIFS(Transactions!$F$7:$F$991,Transactions!$D$7:$D$991,"Expense",Transactions!$E$7:$E$991,A100),"")</f>
        <v/>
      </c>
      <c r="E100" s="82" t="str">
        <f t="shared" si="1"/>
        <v/>
      </c>
      <c r="F100" s="82" t="str">
        <f t="shared" si="2"/>
        <v/>
      </c>
      <c r="G100" s="79" t="str">
        <f>IF(A100&lt;&gt;"",SUMIFS(Transactions!$F$7:$F$991,Transactions!$D$7:$D$991,"Credit",Transactions!$H$7:$H$991,A100),"")</f>
        <v/>
      </c>
      <c r="H100" s="74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9.5" customHeight="1">
      <c r="A101" s="69" t="str">
        <f>IF(Roster!$A$99&lt;&gt;"",Roster!$A$99,"")</f>
        <v/>
      </c>
      <c r="B101" s="69" t="str">
        <f t="array" ref="B101">IF(A101&lt;&gt;"",IFERROR(SUMPRODUCT((INDEX(Attendance!$B$7:$AV$206,MATCH(A101,Attendance!$A$7:$A$206,0),0)=1)*Attendance!$B$4:$AV$4),0),"")</f>
        <v/>
      </c>
      <c r="C101" s="78" t="str">
        <f>IF(A101&lt;&gt;"",SUMIFS(Transactions!$F$7:$F$991,Transactions!$D$7:$D$991,"Income",Transactions!$E$7:$E$991,A101),"")</f>
        <v/>
      </c>
      <c r="D101" s="78" t="str">
        <f>IF(A101&lt;&gt;"",SUMIFS(Transactions!$F$7:$F$991,Transactions!$D$7:$D$991,"Expense",Transactions!$E$7:$E$991,A101),"")</f>
        <v/>
      </c>
      <c r="E101" s="76" t="str">
        <f t="shared" si="1"/>
        <v/>
      </c>
      <c r="F101" s="76" t="str">
        <f t="shared" si="2"/>
        <v/>
      </c>
      <c r="G101" s="79" t="str">
        <f>IF(A101&lt;&gt;"",SUMIFS(Transactions!$F$7:$F$991,Transactions!$D$7:$D$991,"Credit",Transactions!$H$7:$H$991,A101),"")</f>
        <v/>
      </c>
      <c r="H101" s="74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9.5" customHeight="1">
      <c r="A102" s="80" t="str">
        <f>IF(Roster!$A$100&lt;&gt;"",Roster!$A$100,"")</f>
        <v/>
      </c>
      <c r="B102" s="80" t="str">
        <f t="array" ref="B102">IF(A102&lt;&gt;"",IFERROR(SUMPRODUCT((INDEX(Attendance!$B$7:$AV$206,MATCH(A102,Attendance!$A$7:$A$206,0),0)=1)*Attendance!$B$4:$AV$4),0),"")</f>
        <v/>
      </c>
      <c r="C102" s="81" t="str">
        <f>IF(A102&lt;&gt;"",SUMIFS(Transactions!$F$7:$F$991,Transactions!$D$7:$D$991,"Income",Transactions!$E$7:$E$991,A102),"")</f>
        <v/>
      </c>
      <c r="D102" s="81" t="str">
        <f>IF(A102&lt;&gt;"",SUMIFS(Transactions!$F$7:$F$991,Transactions!$D$7:$D$991,"Expense",Transactions!$E$7:$E$991,A102),"")</f>
        <v/>
      </c>
      <c r="E102" s="82" t="str">
        <f t="shared" si="1"/>
        <v/>
      </c>
      <c r="F102" s="82" t="str">
        <f t="shared" si="2"/>
        <v/>
      </c>
      <c r="G102" s="79" t="str">
        <f>IF(A102&lt;&gt;"",SUMIFS(Transactions!$F$7:$F$991,Transactions!$D$7:$D$991,"Credit",Transactions!$H$7:$H$991,A102),"")</f>
        <v/>
      </c>
      <c r="H102" s="74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9.5" customHeight="1">
      <c r="A103" s="69" t="str">
        <f>IF(Roster!$A$101&lt;&gt;"",Roster!$A$101,"")</f>
        <v/>
      </c>
      <c r="B103" s="69" t="str">
        <f t="array" ref="B103">IF(A103&lt;&gt;"",IFERROR(SUMPRODUCT((INDEX(Attendance!$B$7:$AV$206,MATCH(A103,Attendance!$A$7:$A$206,0),0)=1)*Attendance!$B$4:$AV$4),0),"")</f>
        <v/>
      </c>
      <c r="C103" s="78" t="str">
        <f>IF(A103&lt;&gt;"",SUMIFS(Transactions!$F$7:$F$991,Transactions!$D$7:$D$991,"Income",Transactions!$E$7:$E$991,A103),"")</f>
        <v/>
      </c>
      <c r="D103" s="78" t="str">
        <f>IF(A103&lt;&gt;"",SUMIFS(Transactions!$F$7:$F$991,Transactions!$D$7:$D$991,"Expense",Transactions!$E$7:$E$991,A103),"")</f>
        <v/>
      </c>
      <c r="E103" s="76" t="str">
        <f t="shared" si="1"/>
        <v/>
      </c>
      <c r="F103" s="76" t="str">
        <f t="shared" si="2"/>
        <v/>
      </c>
      <c r="G103" s="79" t="str">
        <f>IF(A103&lt;&gt;"",SUMIFS(Transactions!$F$7:$F$991,Transactions!$D$7:$D$991,"Credit",Transactions!$H$7:$H$991,A103),"")</f>
        <v/>
      </c>
      <c r="H103" s="74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9.5" customHeight="1">
      <c r="A104" s="80" t="str">
        <f>IF(Roster!$A$102&lt;&gt;"",Roster!$A$102,"")</f>
        <v/>
      </c>
      <c r="B104" s="80" t="str">
        <f t="array" ref="B104">IF(A104&lt;&gt;"",IFERROR(SUMPRODUCT((INDEX(Attendance!$B$7:$AV$206,MATCH(A104,Attendance!$A$7:$A$206,0),0)=1)*Attendance!$B$4:$AV$4),0),"")</f>
        <v/>
      </c>
      <c r="C104" s="81" t="str">
        <f>IF(A104&lt;&gt;"",SUMIFS(Transactions!$F$7:$F$991,Transactions!$D$7:$D$991,"Income",Transactions!$E$7:$E$991,A104),"")</f>
        <v/>
      </c>
      <c r="D104" s="81" t="str">
        <f>IF(A104&lt;&gt;"",SUMIFS(Transactions!$F$7:$F$991,Transactions!$D$7:$D$991,"Expense",Transactions!$E$7:$E$991,A104),"")</f>
        <v/>
      </c>
      <c r="E104" s="82" t="str">
        <f t="shared" si="1"/>
        <v/>
      </c>
      <c r="F104" s="82" t="str">
        <f t="shared" si="2"/>
        <v/>
      </c>
      <c r="G104" s="79" t="str">
        <f>IF(A104&lt;&gt;"",SUMIFS(Transactions!$F$7:$F$991,Transactions!$D$7:$D$991,"Credit",Transactions!$H$7:$H$991,A104),"")</f>
        <v/>
      </c>
      <c r="H104" s="74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9.5" customHeight="1">
      <c r="A105" s="69" t="str">
        <f>IF(Roster!$A$103&lt;&gt;"",Roster!$A$103,"")</f>
        <v/>
      </c>
      <c r="B105" s="69" t="str">
        <f t="array" ref="B105">IF(A105&lt;&gt;"",IFERROR(SUMPRODUCT((INDEX(Attendance!$B$7:$AV$206,MATCH(A105,Attendance!$A$7:$A$206,0),0)=1)*Attendance!$B$4:$AV$4),0),"")</f>
        <v/>
      </c>
      <c r="C105" s="78" t="str">
        <f>IF(A105&lt;&gt;"",SUMIFS(Transactions!$F$7:$F$991,Transactions!$D$7:$D$991,"Income",Transactions!$E$7:$E$991,A105),"")</f>
        <v/>
      </c>
      <c r="D105" s="78" t="str">
        <f>IF(A105&lt;&gt;"",SUMIFS(Transactions!$F$7:$F$991,Transactions!$D$7:$D$991,"Expense",Transactions!$E$7:$E$991,A105),"")</f>
        <v/>
      </c>
      <c r="E105" s="76" t="str">
        <f t="shared" si="1"/>
        <v/>
      </c>
      <c r="F105" s="76" t="str">
        <f t="shared" si="2"/>
        <v/>
      </c>
      <c r="G105" s="79" t="str">
        <f>IF(A105&lt;&gt;"",SUMIFS(Transactions!$F$7:$F$991,Transactions!$D$7:$D$991,"Credit",Transactions!$H$7:$H$991,A105),"")</f>
        <v/>
      </c>
      <c r="H105" s="74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9.5" customHeight="1">
      <c r="A106" s="80" t="str">
        <f>IF(Roster!$A$104&lt;&gt;"",Roster!$A$104,"")</f>
        <v/>
      </c>
      <c r="B106" s="80" t="str">
        <f t="array" ref="B106">IF(A106&lt;&gt;"",IFERROR(SUMPRODUCT((INDEX(Attendance!$B$7:$AV$206,MATCH(A106,Attendance!$A$7:$A$206,0),0)=1)*Attendance!$B$4:$AV$4),0),"")</f>
        <v/>
      </c>
      <c r="C106" s="81" t="str">
        <f>IF(A106&lt;&gt;"",SUMIFS(Transactions!$F$7:$F$991,Transactions!$D$7:$D$991,"Income",Transactions!$E$7:$E$991,A106),"")</f>
        <v/>
      </c>
      <c r="D106" s="81" t="str">
        <f>IF(A106&lt;&gt;"",SUMIFS(Transactions!$F$7:$F$991,Transactions!$D$7:$D$991,"Expense",Transactions!$E$7:$E$991,A106),"")</f>
        <v/>
      </c>
      <c r="E106" s="82" t="str">
        <f t="shared" si="1"/>
        <v/>
      </c>
      <c r="F106" s="82" t="str">
        <f t="shared" si="2"/>
        <v/>
      </c>
      <c r="G106" s="79" t="str">
        <f>IF(A106&lt;&gt;"",SUMIFS(Transactions!$F$7:$F$991,Transactions!$D$7:$D$991,"Credit",Transactions!$H$7:$H$991,A106),"")</f>
        <v/>
      </c>
      <c r="H106" s="74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9.5" customHeight="1">
      <c r="A107" s="69" t="str">
        <f>IF(Roster!$A$105&lt;&gt;"",Roster!$A$105,"")</f>
        <v/>
      </c>
      <c r="B107" s="69" t="str">
        <f t="array" ref="B107">IF(A107&lt;&gt;"",IFERROR(SUMPRODUCT((INDEX(Attendance!$B$7:$AV$206,MATCH(A107,Attendance!$A$7:$A$206,0),0)=1)*Attendance!$B$4:$AV$4),0),"")</f>
        <v/>
      </c>
      <c r="C107" s="78" t="str">
        <f>IF(A107&lt;&gt;"",SUMIFS(Transactions!$F$7:$F$991,Transactions!$D$7:$D$991,"Income",Transactions!$E$7:$E$991,A107),"")</f>
        <v/>
      </c>
      <c r="D107" s="78" t="str">
        <f>IF(A107&lt;&gt;"",SUMIFS(Transactions!$F$7:$F$991,Transactions!$D$7:$D$991,"Expense",Transactions!$E$7:$E$991,A107),"")</f>
        <v/>
      </c>
      <c r="E107" s="76" t="str">
        <f t="shared" si="1"/>
        <v/>
      </c>
      <c r="F107" s="76" t="str">
        <f t="shared" si="2"/>
        <v/>
      </c>
      <c r="G107" s="79" t="str">
        <f>IF(A107&lt;&gt;"",SUMIFS(Transactions!$F$7:$F$991,Transactions!$D$7:$D$991,"Credit",Transactions!$H$7:$H$991,A107),"")</f>
        <v/>
      </c>
      <c r="H107" s="74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9.5" customHeight="1">
      <c r="A108" s="80" t="str">
        <f>IF(Roster!$A$106&lt;&gt;"",Roster!$A$106,"")</f>
        <v/>
      </c>
      <c r="B108" s="80" t="str">
        <f t="array" ref="B108">IF(A108&lt;&gt;"",IFERROR(SUMPRODUCT((INDEX(Attendance!$B$7:$AV$206,MATCH(A108,Attendance!$A$7:$A$206,0),0)=1)*Attendance!$B$4:$AV$4),0),"")</f>
        <v/>
      </c>
      <c r="C108" s="81" t="str">
        <f>IF(A108&lt;&gt;"",SUMIFS(Transactions!$F$7:$F$991,Transactions!$D$7:$D$991,"Income",Transactions!$E$7:$E$991,A108),"")</f>
        <v/>
      </c>
      <c r="D108" s="81" t="str">
        <f>IF(A108&lt;&gt;"",SUMIFS(Transactions!$F$7:$F$991,Transactions!$D$7:$D$991,"Expense",Transactions!$E$7:$E$991,A108),"")</f>
        <v/>
      </c>
      <c r="E108" s="82" t="str">
        <f t="shared" si="1"/>
        <v/>
      </c>
      <c r="F108" s="82" t="str">
        <f t="shared" si="2"/>
        <v/>
      </c>
      <c r="G108" s="79" t="str">
        <f>IF(A108&lt;&gt;"",SUMIFS(Transactions!$F$7:$F$991,Transactions!$D$7:$D$991,"Credit",Transactions!$H$7:$H$991,A108),"")</f>
        <v/>
      </c>
      <c r="H108" s="74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9.5" customHeight="1">
      <c r="A109" s="69" t="str">
        <f>IF(Roster!$A$107&lt;&gt;"",Roster!$A$107,"")</f>
        <v/>
      </c>
      <c r="B109" s="69" t="str">
        <f t="array" ref="B109">IF(A109&lt;&gt;"",IFERROR(SUMPRODUCT((INDEX(Attendance!$B$7:$AV$206,MATCH(A109,Attendance!$A$7:$A$206,0),0)=1)*Attendance!$B$4:$AV$4),0),"")</f>
        <v/>
      </c>
      <c r="C109" s="78" t="str">
        <f>IF(A109&lt;&gt;"",SUMIFS(Transactions!$F$7:$F$991,Transactions!$D$7:$D$991,"Income",Transactions!$E$7:$E$991,A109),"")</f>
        <v/>
      </c>
      <c r="D109" s="78" t="str">
        <f>IF(A109&lt;&gt;"",SUMIFS(Transactions!$F$7:$F$991,Transactions!$D$7:$D$991,"Expense",Transactions!$E$7:$E$991,A109),"")</f>
        <v/>
      </c>
      <c r="E109" s="76" t="str">
        <f t="shared" si="1"/>
        <v/>
      </c>
      <c r="F109" s="76" t="str">
        <f t="shared" si="2"/>
        <v/>
      </c>
      <c r="G109" s="79" t="str">
        <f>IF(A109&lt;&gt;"",SUMIFS(Transactions!$F$7:$F$991,Transactions!$D$7:$D$991,"Credit",Transactions!$H$7:$H$991,A109),"")</f>
        <v/>
      </c>
      <c r="H109" s="74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9.5" customHeight="1">
      <c r="A110" s="80" t="str">
        <f>IF(Roster!$A$108&lt;&gt;"",Roster!$A$108,"")</f>
        <v/>
      </c>
      <c r="B110" s="80" t="str">
        <f t="array" ref="B110">IF(A110&lt;&gt;"",IFERROR(SUMPRODUCT((INDEX(Attendance!$B$7:$AV$206,MATCH(A110,Attendance!$A$7:$A$206,0),0)=1)*Attendance!$B$4:$AV$4),0),"")</f>
        <v/>
      </c>
      <c r="C110" s="81" t="str">
        <f>IF(A110&lt;&gt;"",SUMIFS(Transactions!$F$7:$F$991,Transactions!$D$7:$D$991,"Income",Transactions!$E$7:$E$991,A110),"")</f>
        <v/>
      </c>
      <c r="D110" s="81" t="str">
        <f>IF(A110&lt;&gt;"",SUMIFS(Transactions!$F$7:$F$991,Transactions!$D$7:$D$991,"Expense",Transactions!$E$7:$E$991,A110),"")</f>
        <v/>
      </c>
      <c r="E110" s="82" t="str">
        <f t="shared" si="1"/>
        <v/>
      </c>
      <c r="F110" s="82" t="str">
        <f t="shared" si="2"/>
        <v/>
      </c>
      <c r="G110" s="79" t="str">
        <f>IF(A110&lt;&gt;"",SUMIFS(Transactions!$F$7:$F$991,Transactions!$D$7:$D$991,"Credit",Transactions!$H$7:$H$991,A110),"")</f>
        <v/>
      </c>
      <c r="H110" s="74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9.5" customHeight="1">
      <c r="A111" s="69" t="str">
        <f>IF(Roster!$A$109&lt;&gt;"",Roster!$A$109,"")</f>
        <v/>
      </c>
      <c r="B111" s="69" t="str">
        <f t="array" ref="B111">IF(A111&lt;&gt;"",IFERROR(SUMPRODUCT((INDEX(Attendance!$B$7:$AV$206,MATCH(A111,Attendance!$A$7:$A$206,0),0)=1)*Attendance!$B$4:$AV$4),0),"")</f>
        <v/>
      </c>
      <c r="C111" s="78" t="str">
        <f>IF(A111&lt;&gt;"",SUMIFS(Transactions!$F$7:$F$991,Transactions!$D$7:$D$991,"Income",Transactions!$E$7:$E$991,A111),"")</f>
        <v/>
      </c>
      <c r="D111" s="78" t="str">
        <f>IF(A111&lt;&gt;"",SUMIFS(Transactions!$F$7:$F$991,Transactions!$D$7:$D$991,"Expense",Transactions!$E$7:$E$991,A111),"")</f>
        <v/>
      </c>
      <c r="E111" s="76" t="str">
        <f t="shared" si="1"/>
        <v/>
      </c>
      <c r="F111" s="76" t="str">
        <f t="shared" si="2"/>
        <v/>
      </c>
      <c r="G111" s="79" t="str">
        <f>IF(A111&lt;&gt;"",SUMIFS(Transactions!$F$7:$F$991,Transactions!$D$7:$D$991,"Credit",Transactions!$H$7:$H$991,A111),"")</f>
        <v/>
      </c>
      <c r="H111" s="74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9.5" customHeight="1">
      <c r="A112" s="80" t="str">
        <f>IF(Roster!$A$110&lt;&gt;"",Roster!$A$110,"")</f>
        <v/>
      </c>
      <c r="B112" s="80" t="str">
        <f t="array" ref="B112">IF(A112&lt;&gt;"",IFERROR(SUMPRODUCT((INDEX(Attendance!$B$7:$AV$206,MATCH(A112,Attendance!$A$7:$A$206,0),0)=1)*Attendance!$B$4:$AV$4),0),"")</f>
        <v/>
      </c>
      <c r="C112" s="81" t="str">
        <f>IF(A112&lt;&gt;"",SUMIFS(Transactions!$F$7:$F$991,Transactions!$D$7:$D$991,"Income",Transactions!$E$7:$E$991,A112),"")</f>
        <v/>
      </c>
      <c r="D112" s="81" t="str">
        <f>IF(A112&lt;&gt;"",SUMIFS(Transactions!$F$7:$F$991,Transactions!$D$7:$D$991,"Expense",Transactions!$E$7:$E$991,A112),"")</f>
        <v/>
      </c>
      <c r="E112" s="82" t="str">
        <f t="shared" si="1"/>
        <v/>
      </c>
      <c r="F112" s="82" t="str">
        <f t="shared" si="2"/>
        <v/>
      </c>
      <c r="G112" s="79" t="str">
        <f>IF(A112&lt;&gt;"",SUMIFS(Transactions!$F$7:$F$991,Transactions!$D$7:$D$991,"Credit",Transactions!$H$7:$H$991,A112),"")</f>
        <v/>
      </c>
      <c r="H112" s="74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9.5" customHeight="1">
      <c r="A113" s="69" t="str">
        <f>IF(Roster!$A$111&lt;&gt;"",Roster!$A$111,"")</f>
        <v/>
      </c>
      <c r="B113" s="69" t="str">
        <f t="array" ref="B113">IF(A113&lt;&gt;"",IFERROR(SUMPRODUCT((INDEX(Attendance!$B$7:$AV$206,MATCH(A113,Attendance!$A$7:$A$206,0),0)=1)*Attendance!$B$4:$AV$4),0),"")</f>
        <v/>
      </c>
      <c r="C113" s="78" t="str">
        <f>IF(A113&lt;&gt;"",SUMIFS(Transactions!$F$7:$F$991,Transactions!$D$7:$D$991,"Income",Transactions!$E$7:$E$991,A113),"")</f>
        <v/>
      </c>
      <c r="D113" s="78" t="str">
        <f>IF(A113&lt;&gt;"",SUMIFS(Transactions!$F$7:$F$991,Transactions!$D$7:$D$991,"Expense",Transactions!$E$7:$E$991,A113),"")</f>
        <v/>
      </c>
      <c r="E113" s="76" t="str">
        <f t="shared" si="1"/>
        <v/>
      </c>
      <c r="F113" s="76" t="str">
        <f t="shared" si="2"/>
        <v/>
      </c>
      <c r="G113" s="79" t="str">
        <f>IF(A113&lt;&gt;"",SUMIFS(Transactions!$F$7:$F$991,Transactions!$D$7:$D$991,"Credit",Transactions!$H$7:$H$991,A113),"")</f>
        <v/>
      </c>
      <c r="H113" s="74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9.5" customHeight="1">
      <c r="A114" s="80" t="str">
        <f>IF(Roster!$A$112&lt;&gt;"",Roster!$A$112,"")</f>
        <v/>
      </c>
      <c r="B114" s="80" t="str">
        <f t="array" ref="B114">IF(A114&lt;&gt;"",IFERROR(SUMPRODUCT((INDEX(Attendance!$B$7:$AV$206,MATCH(A114,Attendance!$A$7:$A$206,0),0)=1)*Attendance!$B$4:$AV$4),0),"")</f>
        <v/>
      </c>
      <c r="C114" s="81" t="str">
        <f>IF(A114&lt;&gt;"",SUMIFS(Transactions!$F$7:$F$991,Transactions!$D$7:$D$991,"Income",Transactions!$E$7:$E$991,A114),"")</f>
        <v/>
      </c>
      <c r="D114" s="81" t="str">
        <f>IF(A114&lt;&gt;"",SUMIFS(Transactions!$F$7:$F$991,Transactions!$D$7:$D$991,"Expense",Transactions!$E$7:$E$991,A114),"")</f>
        <v/>
      </c>
      <c r="E114" s="82" t="str">
        <f t="shared" si="1"/>
        <v/>
      </c>
      <c r="F114" s="82" t="str">
        <f t="shared" si="2"/>
        <v/>
      </c>
      <c r="G114" s="79" t="str">
        <f>IF(A114&lt;&gt;"",SUMIFS(Transactions!$F$7:$F$991,Transactions!$D$7:$D$991,"Credit",Transactions!$H$7:$H$991,A114),"")</f>
        <v/>
      </c>
      <c r="H114" s="74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9.5" customHeight="1">
      <c r="A115" s="69" t="str">
        <f>IF(Roster!$A$113&lt;&gt;"",Roster!$A$113,"")</f>
        <v/>
      </c>
      <c r="B115" s="69" t="str">
        <f t="array" ref="B115">IF(A115&lt;&gt;"",IFERROR(SUMPRODUCT((INDEX(Attendance!$B$7:$AV$206,MATCH(A115,Attendance!$A$7:$A$206,0),0)=1)*Attendance!$B$4:$AV$4),0),"")</f>
        <v/>
      </c>
      <c r="C115" s="78" t="str">
        <f>IF(A115&lt;&gt;"",SUMIFS(Transactions!$F$7:$F$991,Transactions!$D$7:$D$991,"Income",Transactions!$E$7:$E$991,A115),"")</f>
        <v/>
      </c>
      <c r="D115" s="78" t="str">
        <f>IF(A115&lt;&gt;"",SUMIFS(Transactions!$F$7:$F$991,Transactions!$D$7:$D$991,"Expense",Transactions!$E$7:$E$991,A115),"")</f>
        <v/>
      </c>
      <c r="E115" s="76" t="str">
        <f t="shared" si="1"/>
        <v/>
      </c>
      <c r="F115" s="76" t="str">
        <f t="shared" si="2"/>
        <v/>
      </c>
      <c r="G115" s="79" t="str">
        <f>IF(A115&lt;&gt;"",SUMIFS(Transactions!$F$7:$F$991,Transactions!$D$7:$D$991,"Credit",Transactions!$H$7:$H$991,A115),"")</f>
        <v/>
      </c>
      <c r="H115" s="74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9.5" customHeight="1">
      <c r="A116" s="80" t="str">
        <f>IF(Roster!$A$114&lt;&gt;"",Roster!$A$114,"")</f>
        <v/>
      </c>
      <c r="B116" s="80" t="str">
        <f t="array" ref="B116">IF(A116&lt;&gt;"",IFERROR(SUMPRODUCT((INDEX(Attendance!$B$7:$AV$206,MATCH(A116,Attendance!$A$7:$A$206,0),0)=1)*Attendance!$B$4:$AV$4),0),"")</f>
        <v/>
      </c>
      <c r="C116" s="81" t="str">
        <f>IF(A116&lt;&gt;"",SUMIFS(Transactions!$F$7:$F$991,Transactions!$D$7:$D$991,"Income",Transactions!$E$7:$E$991,A116),"")</f>
        <v/>
      </c>
      <c r="D116" s="81" t="str">
        <f>IF(A116&lt;&gt;"",SUMIFS(Transactions!$F$7:$F$991,Transactions!$D$7:$D$991,"Expense",Transactions!$E$7:$E$991,A116),"")</f>
        <v/>
      </c>
      <c r="E116" s="82" t="str">
        <f t="shared" si="1"/>
        <v/>
      </c>
      <c r="F116" s="82" t="str">
        <f t="shared" si="2"/>
        <v/>
      </c>
      <c r="G116" s="79" t="str">
        <f>IF(A116&lt;&gt;"",SUMIFS(Transactions!$F$7:$F$991,Transactions!$D$7:$D$991,"Credit",Transactions!$H$7:$H$991,A116),"")</f>
        <v/>
      </c>
      <c r="H116" s="74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9.5" customHeight="1">
      <c r="A117" s="69" t="str">
        <f>IF(Roster!$A$115&lt;&gt;"",Roster!$A$115,"")</f>
        <v/>
      </c>
      <c r="B117" s="69" t="str">
        <f t="array" ref="B117">IF(A117&lt;&gt;"",IFERROR(SUMPRODUCT((INDEX(Attendance!$B$7:$AV$206,MATCH(A117,Attendance!$A$7:$A$206,0),0)=1)*Attendance!$B$4:$AV$4),0),"")</f>
        <v/>
      </c>
      <c r="C117" s="78" t="str">
        <f>IF(A117&lt;&gt;"",SUMIFS(Transactions!$F$7:$F$991,Transactions!$D$7:$D$991,"Income",Transactions!$E$7:$E$991,A117),"")</f>
        <v/>
      </c>
      <c r="D117" s="78" t="str">
        <f>IF(A117&lt;&gt;"",SUMIFS(Transactions!$F$7:$F$991,Transactions!$D$7:$D$991,"Expense",Transactions!$E$7:$E$991,A117),"")</f>
        <v/>
      </c>
      <c r="E117" s="76" t="str">
        <f t="shared" si="1"/>
        <v/>
      </c>
      <c r="F117" s="76" t="str">
        <f t="shared" si="2"/>
        <v/>
      </c>
      <c r="G117" s="79" t="str">
        <f>IF(A117&lt;&gt;"",SUMIFS(Transactions!$F$7:$F$991,Transactions!$D$7:$D$991,"Credit",Transactions!$H$7:$H$991,A117),"")</f>
        <v/>
      </c>
      <c r="H117" s="74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9.5" customHeight="1">
      <c r="A118" s="80" t="str">
        <f>IF(Roster!$A$116&lt;&gt;"",Roster!$A$116,"")</f>
        <v/>
      </c>
      <c r="B118" s="80" t="str">
        <f t="array" ref="B118">IF(A118&lt;&gt;"",IFERROR(SUMPRODUCT((INDEX(Attendance!$B$7:$AV$206,MATCH(A118,Attendance!$A$7:$A$206,0),0)=1)*Attendance!$B$4:$AV$4),0),"")</f>
        <v/>
      </c>
      <c r="C118" s="81" t="str">
        <f>IF(A118&lt;&gt;"",SUMIFS(Transactions!$F$7:$F$991,Transactions!$D$7:$D$991,"Income",Transactions!$E$7:$E$991,A118),"")</f>
        <v/>
      </c>
      <c r="D118" s="81" t="str">
        <f>IF(A118&lt;&gt;"",SUMIFS(Transactions!$F$7:$F$991,Transactions!$D$7:$D$991,"Expense",Transactions!$E$7:$E$991,A118),"")</f>
        <v/>
      </c>
      <c r="E118" s="82" t="str">
        <f t="shared" si="1"/>
        <v/>
      </c>
      <c r="F118" s="82" t="str">
        <f t="shared" si="2"/>
        <v/>
      </c>
      <c r="G118" s="79" t="str">
        <f>IF(A118&lt;&gt;"",SUMIFS(Transactions!$F$7:$F$991,Transactions!$D$7:$D$991,"Credit",Transactions!$H$7:$H$991,A118),"")</f>
        <v/>
      </c>
      <c r="H118" s="74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9.5" customHeight="1">
      <c r="A119" s="69" t="str">
        <f>IF(Roster!$A$117&lt;&gt;"",Roster!$A$117,"")</f>
        <v/>
      </c>
      <c r="B119" s="69" t="str">
        <f t="array" ref="B119">IF(A119&lt;&gt;"",IFERROR(SUMPRODUCT((INDEX(Attendance!$B$7:$AV$206,MATCH(A119,Attendance!$A$7:$A$206,0),0)=1)*Attendance!$B$4:$AV$4),0),"")</f>
        <v/>
      </c>
      <c r="C119" s="78" t="str">
        <f>IF(A119&lt;&gt;"",SUMIFS(Transactions!$F$7:$F$991,Transactions!$D$7:$D$991,"Income",Transactions!$E$7:$E$991,A119),"")</f>
        <v/>
      </c>
      <c r="D119" s="78" t="str">
        <f>IF(A119&lt;&gt;"",SUMIFS(Transactions!$F$7:$F$991,Transactions!$D$7:$D$991,"Expense",Transactions!$E$7:$E$991,A119),"")</f>
        <v/>
      </c>
      <c r="E119" s="76" t="str">
        <f t="shared" si="1"/>
        <v/>
      </c>
      <c r="F119" s="76" t="str">
        <f t="shared" si="2"/>
        <v/>
      </c>
      <c r="G119" s="79" t="str">
        <f>IF(A119&lt;&gt;"",SUMIFS(Transactions!$F$7:$F$991,Transactions!$D$7:$D$991,"Credit",Transactions!$H$7:$H$991,A119),"")</f>
        <v/>
      </c>
      <c r="H119" s="74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9.5" customHeight="1">
      <c r="A120" s="80" t="str">
        <f>IF(Roster!$A$118&lt;&gt;"",Roster!$A$118,"")</f>
        <v/>
      </c>
      <c r="B120" s="80" t="str">
        <f t="array" ref="B120">IF(A120&lt;&gt;"",IFERROR(SUMPRODUCT((INDEX(Attendance!$B$7:$AV$206,MATCH(A120,Attendance!$A$7:$A$206,0),0)=1)*Attendance!$B$4:$AV$4),0),"")</f>
        <v/>
      </c>
      <c r="C120" s="81" t="str">
        <f>IF(A120&lt;&gt;"",SUMIFS(Transactions!$F$7:$F$991,Transactions!$D$7:$D$991,"Income",Transactions!$E$7:$E$991,A120),"")</f>
        <v/>
      </c>
      <c r="D120" s="81" t="str">
        <f>IF(A120&lt;&gt;"",SUMIFS(Transactions!$F$7:$F$991,Transactions!$D$7:$D$991,"Expense",Transactions!$E$7:$E$991,A120),"")</f>
        <v/>
      </c>
      <c r="E120" s="82" t="str">
        <f t="shared" si="1"/>
        <v/>
      </c>
      <c r="F120" s="82" t="str">
        <f t="shared" si="2"/>
        <v/>
      </c>
      <c r="G120" s="79" t="str">
        <f>IF(A120&lt;&gt;"",SUMIFS(Transactions!$F$7:$F$991,Transactions!$D$7:$D$991,"Credit",Transactions!$H$7:$H$991,A120),"")</f>
        <v/>
      </c>
      <c r="H120" s="74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9.5" customHeight="1">
      <c r="A121" s="69" t="str">
        <f>IF(Roster!$A$119&lt;&gt;"",Roster!$A$119,"")</f>
        <v/>
      </c>
      <c r="B121" s="69" t="str">
        <f t="array" ref="B121">IF(A121&lt;&gt;"",IFERROR(SUMPRODUCT((INDEX(Attendance!$B$7:$AV$206,MATCH(A121,Attendance!$A$7:$A$206,0),0)=1)*Attendance!$B$4:$AV$4),0),"")</f>
        <v/>
      </c>
      <c r="C121" s="78" t="str">
        <f>IF(A121&lt;&gt;"",SUMIFS(Transactions!$F$7:$F$991,Transactions!$D$7:$D$991,"Income",Transactions!$E$7:$E$991,A121),"")</f>
        <v/>
      </c>
      <c r="D121" s="78" t="str">
        <f>IF(A121&lt;&gt;"",SUMIFS(Transactions!$F$7:$F$991,Transactions!$D$7:$D$991,"Expense",Transactions!$E$7:$E$991,A121),"")</f>
        <v/>
      </c>
      <c r="E121" s="76" t="str">
        <f t="shared" si="1"/>
        <v/>
      </c>
      <c r="F121" s="76" t="str">
        <f t="shared" si="2"/>
        <v/>
      </c>
      <c r="G121" s="79" t="str">
        <f>IF(A121&lt;&gt;"",SUMIFS(Transactions!$F$7:$F$991,Transactions!$D$7:$D$991,"Credit",Transactions!$H$7:$H$991,A121),"")</f>
        <v/>
      </c>
      <c r="H121" s="74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9.5" customHeight="1">
      <c r="A122" s="80" t="str">
        <f>IF(Roster!$A$120&lt;&gt;"",Roster!$A$120,"")</f>
        <v/>
      </c>
      <c r="B122" s="80" t="str">
        <f t="array" ref="B122">IF(A122&lt;&gt;"",IFERROR(SUMPRODUCT((INDEX(Attendance!$B$7:$AV$206,MATCH(A122,Attendance!$A$7:$A$206,0),0)=1)*Attendance!$B$4:$AV$4),0),"")</f>
        <v/>
      </c>
      <c r="C122" s="81" t="str">
        <f>IF(A122&lt;&gt;"",SUMIFS(Transactions!$F$7:$F$991,Transactions!$D$7:$D$991,"Income",Transactions!$E$7:$E$991,A122),"")</f>
        <v/>
      </c>
      <c r="D122" s="81" t="str">
        <f>IF(A122&lt;&gt;"",SUMIFS(Transactions!$F$7:$F$991,Transactions!$D$7:$D$991,"Expense",Transactions!$E$7:$E$991,A122),"")</f>
        <v/>
      </c>
      <c r="E122" s="82" t="str">
        <f t="shared" si="1"/>
        <v/>
      </c>
      <c r="F122" s="82" t="str">
        <f t="shared" si="2"/>
        <v/>
      </c>
      <c r="G122" s="79" t="str">
        <f>IF(A122&lt;&gt;"",SUMIFS(Transactions!$F$7:$F$991,Transactions!$D$7:$D$991,"Credit",Transactions!$H$7:$H$991,A122),"")</f>
        <v/>
      </c>
      <c r="H122" s="74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9.5" customHeight="1">
      <c r="A123" s="69" t="str">
        <f>IF(Roster!$A$121&lt;&gt;"",Roster!$A$121,"")</f>
        <v/>
      </c>
      <c r="B123" s="69" t="str">
        <f t="array" ref="B123">IF(A123&lt;&gt;"",IFERROR(SUMPRODUCT((INDEX(Attendance!$B$7:$AV$206,MATCH(A123,Attendance!$A$7:$A$206,0),0)=1)*Attendance!$B$4:$AV$4),0),"")</f>
        <v/>
      </c>
      <c r="C123" s="78" t="str">
        <f>IF(A123&lt;&gt;"",SUMIFS(Transactions!$F$7:$F$991,Transactions!$D$7:$D$991,"Income",Transactions!$E$7:$E$991,A123),"")</f>
        <v/>
      </c>
      <c r="D123" s="78" t="str">
        <f>IF(A123&lt;&gt;"",SUMIFS(Transactions!$F$7:$F$991,Transactions!$D$7:$D$991,"Expense",Transactions!$E$7:$E$991,A123),"")</f>
        <v/>
      </c>
      <c r="E123" s="76" t="str">
        <f t="shared" si="1"/>
        <v/>
      </c>
      <c r="F123" s="76" t="str">
        <f t="shared" si="2"/>
        <v/>
      </c>
      <c r="G123" s="79" t="str">
        <f>IF(A123&lt;&gt;"",SUMIFS(Transactions!$F$7:$F$991,Transactions!$D$7:$D$991,"Credit",Transactions!$H$7:$H$991,A123),"")</f>
        <v/>
      </c>
      <c r="H123" s="74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9.5" customHeight="1">
      <c r="A124" s="80" t="str">
        <f>IF(Roster!$A$122&lt;&gt;"",Roster!$A$122,"")</f>
        <v/>
      </c>
      <c r="B124" s="80" t="str">
        <f t="array" ref="B124">IF(A124&lt;&gt;"",IFERROR(SUMPRODUCT((INDEX(Attendance!$B$7:$AV$206,MATCH(A124,Attendance!$A$7:$A$206,0),0)=1)*Attendance!$B$4:$AV$4),0),"")</f>
        <v/>
      </c>
      <c r="C124" s="81" t="str">
        <f>IF(A124&lt;&gt;"",SUMIFS(Transactions!$F$7:$F$991,Transactions!$D$7:$D$991,"Income",Transactions!$E$7:$E$991,A124),"")</f>
        <v/>
      </c>
      <c r="D124" s="81" t="str">
        <f>IF(A124&lt;&gt;"",SUMIFS(Transactions!$F$7:$F$991,Transactions!$D$7:$D$991,"Expense",Transactions!$E$7:$E$991,A124),"")</f>
        <v/>
      </c>
      <c r="E124" s="82" t="str">
        <f t="shared" si="1"/>
        <v/>
      </c>
      <c r="F124" s="82" t="str">
        <f t="shared" si="2"/>
        <v/>
      </c>
      <c r="G124" s="79" t="str">
        <f>IF(A124&lt;&gt;"",SUMIFS(Transactions!$F$7:$F$991,Transactions!$D$7:$D$991,"Credit",Transactions!$H$7:$H$991,A124),"")</f>
        <v/>
      </c>
      <c r="H124" s="74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9.5" customHeight="1">
      <c r="A125" s="69" t="str">
        <f>IF(Roster!$A$123&lt;&gt;"",Roster!$A$123,"")</f>
        <v/>
      </c>
      <c r="B125" s="69" t="str">
        <f t="array" ref="B125">IF(A125&lt;&gt;"",IFERROR(SUMPRODUCT((INDEX(Attendance!$B$7:$AV$206,MATCH(A125,Attendance!$A$7:$A$206,0),0)=1)*Attendance!$B$4:$AV$4),0),"")</f>
        <v/>
      </c>
      <c r="C125" s="78" t="str">
        <f>IF(A125&lt;&gt;"",SUMIFS(Transactions!$F$7:$F$991,Transactions!$D$7:$D$991,"Income",Transactions!$E$7:$E$991,A125),"")</f>
        <v/>
      </c>
      <c r="D125" s="78" t="str">
        <f>IF(A125&lt;&gt;"",SUMIFS(Transactions!$F$7:$F$991,Transactions!$D$7:$D$991,"Expense",Transactions!$E$7:$E$991,A125),"")</f>
        <v/>
      </c>
      <c r="E125" s="76" t="str">
        <f t="shared" si="1"/>
        <v/>
      </c>
      <c r="F125" s="76" t="str">
        <f t="shared" si="2"/>
        <v/>
      </c>
      <c r="G125" s="79" t="str">
        <f>IF(A125&lt;&gt;"",SUMIFS(Transactions!$F$7:$F$991,Transactions!$D$7:$D$991,"Credit",Transactions!$H$7:$H$991,A125),"")</f>
        <v/>
      </c>
      <c r="H125" s="74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9.5" customHeight="1">
      <c r="A126" s="80" t="str">
        <f>IF(Roster!$A$124&lt;&gt;"",Roster!$A$124,"")</f>
        <v/>
      </c>
      <c r="B126" s="80" t="str">
        <f t="array" ref="B126">IF(A126&lt;&gt;"",IFERROR(SUMPRODUCT((INDEX(Attendance!$B$7:$AV$206,MATCH(A126,Attendance!$A$7:$A$206,0),0)=1)*Attendance!$B$4:$AV$4),0),"")</f>
        <v/>
      </c>
      <c r="C126" s="81" t="str">
        <f>IF(A126&lt;&gt;"",SUMIFS(Transactions!$F$7:$F$991,Transactions!$D$7:$D$991,"Income",Transactions!$E$7:$E$991,A126),"")</f>
        <v/>
      </c>
      <c r="D126" s="81" t="str">
        <f>IF(A126&lt;&gt;"",SUMIFS(Transactions!$F$7:$F$991,Transactions!$D$7:$D$991,"Expense",Transactions!$E$7:$E$991,A126),"")</f>
        <v/>
      </c>
      <c r="E126" s="82" t="str">
        <f t="shared" si="1"/>
        <v/>
      </c>
      <c r="F126" s="82" t="str">
        <f t="shared" si="2"/>
        <v/>
      </c>
      <c r="G126" s="79" t="str">
        <f>IF(A126&lt;&gt;"",SUMIFS(Transactions!$F$7:$F$991,Transactions!$D$7:$D$991,"Credit",Transactions!$H$7:$H$991,A126),"")</f>
        <v/>
      </c>
      <c r="H126" s="74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9.5" customHeight="1">
      <c r="A127" s="69" t="str">
        <f>IF(Roster!$A$125&lt;&gt;"",Roster!$A$125,"")</f>
        <v/>
      </c>
      <c r="B127" s="69" t="str">
        <f t="array" ref="B127">IF(A127&lt;&gt;"",IFERROR(SUMPRODUCT((INDEX(Attendance!$B$7:$AV$206,MATCH(A127,Attendance!$A$7:$A$206,0),0)=1)*Attendance!$B$4:$AV$4),0),"")</f>
        <v/>
      </c>
      <c r="C127" s="78" t="str">
        <f>IF(A127&lt;&gt;"",SUMIFS(Transactions!$F$7:$F$991,Transactions!$D$7:$D$991,"Income",Transactions!$E$7:$E$991,A127),"")</f>
        <v/>
      </c>
      <c r="D127" s="78" t="str">
        <f>IF(A127&lt;&gt;"",SUMIFS(Transactions!$F$7:$F$991,Transactions!$D$7:$D$991,"Expense",Transactions!$E$7:$E$991,A127),"")</f>
        <v/>
      </c>
      <c r="E127" s="76" t="str">
        <f t="shared" si="1"/>
        <v/>
      </c>
      <c r="F127" s="76" t="str">
        <f t="shared" si="2"/>
        <v/>
      </c>
      <c r="G127" s="79" t="str">
        <f>IF(A127&lt;&gt;"",SUMIFS(Transactions!$F$7:$F$991,Transactions!$D$7:$D$991,"Credit",Transactions!$H$7:$H$991,A127),"")</f>
        <v/>
      </c>
      <c r="H127" s="74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9.5" customHeight="1">
      <c r="A128" s="80" t="str">
        <f>IF(Roster!$A$126&lt;&gt;"",Roster!$A$126,"")</f>
        <v/>
      </c>
      <c r="B128" s="80" t="str">
        <f t="array" ref="B128">IF(A128&lt;&gt;"",IFERROR(SUMPRODUCT((INDEX(Attendance!$B$7:$AV$206,MATCH(A128,Attendance!$A$7:$A$206,0),0)=1)*Attendance!$B$4:$AV$4),0),"")</f>
        <v/>
      </c>
      <c r="C128" s="81" t="str">
        <f>IF(A128&lt;&gt;"",SUMIFS(Transactions!$F$7:$F$991,Transactions!$D$7:$D$991,"Income",Transactions!$E$7:$E$991,A128),"")</f>
        <v/>
      </c>
      <c r="D128" s="81" t="str">
        <f>IF(A128&lt;&gt;"",SUMIFS(Transactions!$F$7:$F$991,Transactions!$D$7:$D$991,"Expense",Transactions!$E$7:$E$991,A128),"")</f>
        <v/>
      </c>
      <c r="E128" s="82" t="str">
        <f t="shared" si="1"/>
        <v/>
      </c>
      <c r="F128" s="82" t="str">
        <f t="shared" si="2"/>
        <v/>
      </c>
      <c r="G128" s="79" t="str">
        <f>IF(A128&lt;&gt;"",SUMIFS(Transactions!$F$7:$F$991,Transactions!$D$7:$D$991,"Credit",Transactions!$H$7:$H$991,A128),"")</f>
        <v/>
      </c>
      <c r="H128" s="74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9.5" customHeight="1">
      <c r="A129" s="69" t="str">
        <f>IF(Roster!$A$127&lt;&gt;"",Roster!$A$127,"")</f>
        <v/>
      </c>
      <c r="B129" s="69" t="str">
        <f t="array" ref="B129">IF(A129&lt;&gt;"",IFERROR(SUMPRODUCT((INDEX(Attendance!$B$7:$AV$206,MATCH(A129,Attendance!$A$7:$A$206,0),0)=1)*Attendance!$B$4:$AV$4),0),"")</f>
        <v/>
      </c>
      <c r="C129" s="78" t="str">
        <f>IF(A129&lt;&gt;"",SUMIFS(Transactions!$F$7:$F$991,Transactions!$D$7:$D$991,"Income",Transactions!$E$7:$E$991,A129),"")</f>
        <v/>
      </c>
      <c r="D129" s="78" t="str">
        <f>IF(A129&lt;&gt;"",SUMIFS(Transactions!$F$7:$F$991,Transactions!$D$7:$D$991,"Expense",Transactions!$E$7:$E$991,A129),"")</f>
        <v/>
      </c>
      <c r="E129" s="76" t="str">
        <f t="shared" si="1"/>
        <v/>
      </c>
      <c r="F129" s="76" t="str">
        <f t="shared" si="2"/>
        <v/>
      </c>
      <c r="G129" s="79" t="str">
        <f>IF(A129&lt;&gt;"",SUMIFS(Transactions!$F$7:$F$991,Transactions!$D$7:$D$991,"Credit",Transactions!$H$7:$H$991,A129),"")</f>
        <v/>
      </c>
      <c r="H129" s="74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9.5" customHeight="1">
      <c r="A130" s="80" t="str">
        <f>IF(Roster!$A$128&lt;&gt;"",Roster!$A$128,"")</f>
        <v/>
      </c>
      <c r="B130" s="80" t="str">
        <f t="array" ref="B130">IF(A130&lt;&gt;"",IFERROR(SUMPRODUCT((INDEX(Attendance!$B$7:$AV$206,MATCH(A130,Attendance!$A$7:$A$206,0),0)=1)*Attendance!$B$4:$AV$4),0),"")</f>
        <v/>
      </c>
      <c r="C130" s="81" t="str">
        <f>IF(A130&lt;&gt;"",SUMIFS(Transactions!$F$7:$F$991,Transactions!$D$7:$D$991,"Income",Transactions!$E$7:$E$991,A130),"")</f>
        <v/>
      </c>
      <c r="D130" s="81" t="str">
        <f>IF(A130&lt;&gt;"",SUMIFS(Transactions!$F$7:$F$991,Transactions!$D$7:$D$991,"Expense",Transactions!$E$7:$E$991,A130),"")</f>
        <v/>
      </c>
      <c r="E130" s="82" t="str">
        <f t="shared" si="1"/>
        <v/>
      </c>
      <c r="F130" s="82" t="str">
        <f t="shared" si="2"/>
        <v/>
      </c>
      <c r="G130" s="79" t="str">
        <f>IF(A130&lt;&gt;"",SUMIFS(Transactions!$F$7:$F$991,Transactions!$D$7:$D$991,"Credit",Transactions!$H$7:$H$991,A130),"")</f>
        <v/>
      </c>
      <c r="H130" s="74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9.5" customHeight="1">
      <c r="A131" s="69" t="str">
        <f>IF(Roster!$A$129&lt;&gt;"",Roster!$A$129,"")</f>
        <v/>
      </c>
      <c r="B131" s="69" t="str">
        <f t="array" ref="B131">IF(A131&lt;&gt;"",IFERROR(SUMPRODUCT((INDEX(Attendance!$B$7:$AV$206,MATCH(A131,Attendance!$A$7:$A$206,0),0)=1)*Attendance!$B$4:$AV$4),0),"")</f>
        <v/>
      </c>
      <c r="C131" s="78" t="str">
        <f>IF(A131&lt;&gt;"",SUMIFS(Transactions!$F$7:$F$991,Transactions!$D$7:$D$991,"Income",Transactions!$E$7:$E$991,A131),"")</f>
        <v/>
      </c>
      <c r="D131" s="78" t="str">
        <f>IF(A131&lt;&gt;"",SUMIFS(Transactions!$F$7:$F$991,Transactions!$D$7:$D$991,"Expense",Transactions!$E$7:$E$991,A131),"")</f>
        <v/>
      </c>
      <c r="E131" s="76" t="str">
        <f t="shared" si="1"/>
        <v/>
      </c>
      <c r="F131" s="76" t="str">
        <f t="shared" si="2"/>
        <v/>
      </c>
      <c r="G131" s="79" t="str">
        <f>IF(A131&lt;&gt;"",SUMIFS(Transactions!$F$7:$F$991,Transactions!$D$7:$D$991,"Credit",Transactions!$H$7:$H$991,A131),"")</f>
        <v/>
      </c>
      <c r="H131" s="74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9.5" customHeight="1">
      <c r="A132" s="80" t="str">
        <f>IF(Roster!$A$130&lt;&gt;"",Roster!$A$130,"")</f>
        <v/>
      </c>
      <c r="B132" s="80" t="str">
        <f t="array" ref="B132">IF(A132&lt;&gt;"",IFERROR(SUMPRODUCT((INDEX(Attendance!$B$7:$AV$206,MATCH(A132,Attendance!$A$7:$A$206,0),0)=1)*Attendance!$B$4:$AV$4),0),"")</f>
        <v/>
      </c>
      <c r="C132" s="81" t="str">
        <f>IF(A132&lt;&gt;"",SUMIFS(Transactions!$F$7:$F$991,Transactions!$D$7:$D$991,"Income",Transactions!$E$7:$E$991,A132),"")</f>
        <v/>
      </c>
      <c r="D132" s="81" t="str">
        <f>IF(A132&lt;&gt;"",SUMIFS(Transactions!$F$7:$F$991,Transactions!$D$7:$D$991,"Expense",Transactions!$E$7:$E$991,A132),"")</f>
        <v/>
      </c>
      <c r="E132" s="82" t="str">
        <f t="shared" si="1"/>
        <v/>
      </c>
      <c r="F132" s="82" t="str">
        <f t="shared" si="2"/>
        <v/>
      </c>
      <c r="G132" s="79" t="str">
        <f>IF(A132&lt;&gt;"",SUMIFS(Transactions!$F$7:$F$991,Transactions!$D$7:$D$991,"Credit",Transactions!$H$7:$H$991,A132),"")</f>
        <v/>
      </c>
      <c r="H132" s="74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9.5" customHeight="1">
      <c r="A133" s="69" t="str">
        <f>IF(Roster!$A$131&lt;&gt;"",Roster!$A$131,"")</f>
        <v/>
      </c>
      <c r="B133" s="69" t="str">
        <f t="array" ref="B133">IF(A133&lt;&gt;"",IFERROR(SUMPRODUCT((INDEX(Attendance!$B$7:$AV$206,MATCH(A133,Attendance!$A$7:$A$206,0),0)=1)*Attendance!$B$4:$AV$4),0),"")</f>
        <v/>
      </c>
      <c r="C133" s="78" t="str">
        <f>IF(A133&lt;&gt;"",SUMIFS(Transactions!$F$7:$F$991,Transactions!$D$7:$D$991,"Income",Transactions!$E$7:$E$991,A133),"")</f>
        <v/>
      </c>
      <c r="D133" s="78" t="str">
        <f>IF(A133&lt;&gt;"",SUMIFS(Transactions!$F$7:$F$991,Transactions!$D$7:$D$991,"Expense",Transactions!$E$7:$E$991,A133),"")</f>
        <v/>
      </c>
      <c r="E133" s="76" t="str">
        <f t="shared" si="1"/>
        <v/>
      </c>
      <c r="F133" s="76" t="str">
        <f t="shared" si="2"/>
        <v/>
      </c>
      <c r="G133" s="79" t="str">
        <f>IF(A133&lt;&gt;"",SUMIFS(Transactions!$F$7:$F$991,Transactions!$D$7:$D$991,"Credit",Transactions!$H$7:$H$991,A133),"")</f>
        <v/>
      </c>
      <c r="H133" s="74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9.5" customHeight="1">
      <c r="A134" s="80" t="str">
        <f>IF(Roster!$A$132&lt;&gt;"",Roster!$A$132,"")</f>
        <v/>
      </c>
      <c r="B134" s="80" t="str">
        <f t="array" ref="B134">IF(A134&lt;&gt;"",IFERROR(SUMPRODUCT((INDEX(Attendance!$B$7:$AV$206,MATCH(A134,Attendance!$A$7:$A$206,0),0)=1)*Attendance!$B$4:$AV$4),0),"")</f>
        <v/>
      </c>
      <c r="C134" s="81" t="str">
        <f>IF(A134&lt;&gt;"",SUMIFS(Transactions!$F$7:$F$991,Transactions!$D$7:$D$991,"Income",Transactions!$E$7:$E$991,A134),"")</f>
        <v/>
      </c>
      <c r="D134" s="81" t="str">
        <f>IF(A134&lt;&gt;"",SUMIFS(Transactions!$F$7:$F$991,Transactions!$D$7:$D$991,"Expense",Transactions!$E$7:$E$991,A134),"")</f>
        <v/>
      </c>
      <c r="E134" s="82" t="str">
        <f t="shared" si="1"/>
        <v/>
      </c>
      <c r="F134" s="82" t="str">
        <f t="shared" si="2"/>
        <v/>
      </c>
      <c r="G134" s="79" t="str">
        <f>IF(A134&lt;&gt;"",SUMIFS(Transactions!$F$7:$F$991,Transactions!$D$7:$D$991,"Credit",Transactions!$H$7:$H$991,A134),"")</f>
        <v/>
      </c>
      <c r="H134" s="74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9.5" customHeight="1">
      <c r="A135" s="69" t="str">
        <f>IF(Roster!$A$133&lt;&gt;"",Roster!$A$133,"")</f>
        <v/>
      </c>
      <c r="B135" s="69" t="str">
        <f t="array" ref="B135">IF(A135&lt;&gt;"",IFERROR(SUMPRODUCT((INDEX(Attendance!$B$7:$AV$206,MATCH(A135,Attendance!$A$7:$A$206,0),0)=1)*Attendance!$B$4:$AV$4),0),"")</f>
        <v/>
      </c>
      <c r="C135" s="78" t="str">
        <f>IF(A135&lt;&gt;"",SUMIFS(Transactions!$F$7:$F$991,Transactions!$D$7:$D$991,"Income",Transactions!$E$7:$E$991,A135),"")</f>
        <v/>
      </c>
      <c r="D135" s="78" t="str">
        <f>IF(A135&lt;&gt;"",SUMIFS(Transactions!$F$7:$F$991,Transactions!$D$7:$D$991,"Expense",Transactions!$E$7:$E$991,A135),"")</f>
        <v/>
      </c>
      <c r="E135" s="76" t="str">
        <f t="shared" si="1"/>
        <v/>
      </c>
      <c r="F135" s="76" t="str">
        <f t="shared" si="2"/>
        <v/>
      </c>
      <c r="G135" s="79" t="str">
        <f>IF(A135&lt;&gt;"",SUMIFS(Transactions!$F$7:$F$991,Transactions!$D$7:$D$991,"Credit",Transactions!$H$7:$H$991,A135),"")</f>
        <v/>
      </c>
      <c r="H135" s="74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9.5" customHeight="1">
      <c r="A136" s="80" t="str">
        <f>IF(Roster!$A$134&lt;&gt;"",Roster!$A$134,"")</f>
        <v/>
      </c>
      <c r="B136" s="80" t="str">
        <f t="array" ref="B136">IF(A136&lt;&gt;"",IFERROR(SUMPRODUCT((INDEX(Attendance!$B$7:$AV$206,MATCH(A136,Attendance!$A$7:$A$206,0),0)=1)*Attendance!$B$4:$AV$4),0),"")</f>
        <v/>
      </c>
      <c r="C136" s="81" t="str">
        <f>IF(A136&lt;&gt;"",SUMIFS(Transactions!$F$7:$F$991,Transactions!$D$7:$D$991,"Income",Transactions!$E$7:$E$991,A136),"")</f>
        <v/>
      </c>
      <c r="D136" s="81" t="str">
        <f>IF(A136&lt;&gt;"",SUMIFS(Transactions!$F$7:$F$991,Transactions!$D$7:$D$991,"Expense",Transactions!$E$7:$E$991,A136),"")</f>
        <v/>
      </c>
      <c r="E136" s="82" t="str">
        <f t="shared" si="1"/>
        <v/>
      </c>
      <c r="F136" s="82" t="str">
        <f t="shared" si="2"/>
        <v/>
      </c>
      <c r="G136" s="79" t="str">
        <f>IF(A136&lt;&gt;"",SUMIFS(Transactions!$F$7:$F$991,Transactions!$D$7:$D$991,"Credit",Transactions!$H$7:$H$991,A136),"")</f>
        <v/>
      </c>
      <c r="H136" s="74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9.5" customHeight="1">
      <c r="A137" s="69" t="str">
        <f>IF(Roster!$A$135&lt;&gt;"",Roster!$A$135,"")</f>
        <v/>
      </c>
      <c r="B137" s="69" t="str">
        <f t="array" ref="B137">IF(A137&lt;&gt;"",IFERROR(SUMPRODUCT((INDEX(Attendance!$B$7:$AV$206,MATCH(A137,Attendance!$A$7:$A$206,0),0)=1)*Attendance!$B$4:$AV$4),0),"")</f>
        <v/>
      </c>
      <c r="C137" s="78" t="str">
        <f>IF(A137&lt;&gt;"",SUMIFS(Transactions!$F$7:$F$991,Transactions!$D$7:$D$991,"Income",Transactions!$E$7:$E$991,A137),"")</f>
        <v/>
      </c>
      <c r="D137" s="78" t="str">
        <f>IF(A137&lt;&gt;"",SUMIFS(Transactions!$F$7:$F$991,Transactions!$D$7:$D$991,"Expense",Transactions!$E$7:$E$991,A137),"")</f>
        <v/>
      </c>
      <c r="E137" s="76" t="str">
        <f t="shared" si="1"/>
        <v/>
      </c>
      <c r="F137" s="76" t="str">
        <f t="shared" si="2"/>
        <v/>
      </c>
      <c r="G137" s="79" t="str">
        <f>IF(A137&lt;&gt;"",SUMIFS(Transactions!$F$7:$F$991,Transactions!$D$7:$D$991,"Credit",Transactions!$H$7:$H$991,A137),"")</f>
        <v/>
      </c>
      <c r="H137" s="74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9.5" customHeight="1">
      <c r="A138" s="80" t="str">
        <f>IF(Roster!$A$136&lt;&gt;"",Roster!$A$136,"")</f>
        <v/>
      </c>
      <c r="B138" s="80" t="str">
        <f t="array" ref="B138">IF(A138&lt;&gt;"",IFERROR(SUMPRODUCT((INDEX(Attendance!$B$7:$AV$206,MATCH(A138,Attendance!$A$7:$A$206,0),0)=1)*Attendance!$B$4:$AV$4),0),"")</f>
        <v/>
      </c>
      <c r="C138" s="81" t="str">
        <f>IF(A138&lt;&gt;"",SUMIFS(Transactions!$F$7:$F$991,Transactions!$D$7:$D$991,"Income",Transactions!$E$7:$E$991,A138),"")</f>
        <v/>
      </c>
      <c r="D138" s="81" t="str">
        <f>IF(A138&lt;&gt;"",SUMIFS(Transactions!$F$7:$F$991,Transactions!$D$7:$D$991,"Expense",Transactions!$E$7:$E$991,A138),"")</f>
        <v/>
      </c>
      <c r="E138" s="82" t="str">
        <f t="shared" si="1"/>
        <v/>
      </c>
      <c r="F138" s="82" t="str">
        <f t="shared" si="2"/>
        <v/>
      </c>
      <c r="G138" s="79" t="str">
        <f>IF(A138&lt;&gt;"",SUMIFS(Transactions!$F$7:$F$991,Transactions!$D$7:$D$991,"Credit",Transactions!$H$7:$H$991,A138),"")</f>
        <v/>
      </c>
      <c r="H138" s="74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9.5" customHeight="1">
      <c r="A139" s="69" t="str">
        <f>IF(Roster!$A$137&lt;&gt;"",Roster!$A$137,"")</f>
        <v/>
      </c>
      <c r="B139" s="69" t="str">
        <f t="array" ref="B139">IF(A139&lt;&gt;"",IFERROR(SUMPRODUCT((INDEX(Attendance!$B$7:$AV$206,MATCH(A139,Attendance!$A$7:$A$206,0),0)=1)*Attendance!$B$4:$AV$4),0),"")</f>
        <v/>
      </c>
      <c r="C139" s="78" t="str">
        <f>IF(A139&lt;&gt;"",SUMIFS(Transactions!$F$7:$F$991,Transactions!$D$7:$D$991,"Income",Transactions!$E$7:$E$991,A139),"")</f>
        <v/>
      </c>
      <c r="D139" s="78" t="str">
        <f>IF(A139&lt;&gt;"",SUMIFS(Transactions!$F$7:$F$991,Transactions!$D$7:$D$991,"Expense",Transactions!$E$7:$E$991,A139),"")</f>
        <v/>
      </c>
      <c r="E139" s="76" t="str">
        <f t="shared" si="1"/>
        <v/>
      </c>
      <c r="F139" s="76" t="str">
        <f t="shared" si="2"/>
        <v/>
      </c>
      <c r="G139" s="79" t="str">
        <f>IF(A139&lt;&gt;"",SUMIFS(Transactions!$F$7:$F$991,Transactions!$D$7:$D$991,"Credit",Transactions!$H$7:$H$991,A139),"")</f>
        <v/>
      </c>
      <c r="H139" s="74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9.5" customHeight="1">
      <c r="A140" s="80" t="str">
        <f>IF(Roster!$A$138&lt;&gt;"",Roster!$A$138,"")</f>
        <v/>
      </c>
      <c r="B140" s="80" t="str">
        <f t="array" ref="B140">IF(A140&lt;&gt;"",IFERROR(SUMPRODUCT((INDEX(Attendance!$B$7:$AV$206,MATCH(A140,Attendance!$A$7:$A$206,0),0)=1)*Attendance!$B$4:$AV$4),0),"")</f>
        <v/>
      </c>
      <c r="C140" s="81" t="str">
        <f>IF(A140&lt;&gt;"",SUMIFS(Transactions!$F$7:$F$991,Transactions!$D$7:$D$991,"Income",Transactions!$E$7:$E$991,A140),"")</f>
        <v/>
      </c>
      <c r="D140" s="81" t="str">
        <f>IF(A140&lt;&gt;"",SUMIFS(Transactions!$F$7:$F$991,Transactions!$D$7:$D$991,"Expense",Transactions!$E$7:$E$991,A140),"")</f>
        <v/>
      </c>
      <c r="E140" s="82" t="str">
        <f t="shared" si="1"/>
        <v/>
      </c>
      <c r="F140" s="82" t="str">
        <f t="shared" si="2"/>
        <v/>
      </c>
      <c r="G140" s="79" t="str">
        <f>IF(A140&lt;&gt;"",SUMIFS(Transactions!$F$7:$F$991,Transactions!$D$7:$D$991,"Credit",Transactions!$H$7:$H$991,A140),"")</f>
        <v/>
      </c>
      <c r="H140" s="74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9.5" customHeight="1">
      <c r="A141" s="69" t="str">
        <f>IF(Roster!$A$139&lt;&gt;"",Roster!$A$139,"")</f>
        <v/>
      </c>
      <c r="B141" s="69" t="str">
        <f t="array" ref="B141">IF(A141&lt;&gt;"",IFERROR(SUMPRODUCT((INDEX(Attendance!$B$7:$AV$206,MATCH(A141,Attendance!$A$7:$A$206,0),0)=1)*Attendance!$B$4:$AV$4),0),"")</f>
        <v/>
      </c>
      <c r="C141" s="78" t="str">
        <f>IF(A141&lt;&gt;"",SUMIFS(Transactions!$F$7:$F$991,Transactions!$D$7:$D$991,"Income",Transactions!$E$7:$E$991,A141),"")</f>
        <v/>
      </c>
      <c r="D141" s="78" t="str">
        <f>IF(A141&lt;&gt;"",SUMIFS(Transactions!$F$7:$F$991,Transactions!$D$7:$D$991,"Expense",Transactions!$E$7:$E$991,A141),"")</f>
        <v/>
      </c>
      <c r="E141" s="76" t="str">
        <f t="shared" si="1"/>
        <v/>
      </c>
      <c r="F141" s="76" t="str">
        <f t="shared" si="2"/>
        <v/>
      </c>
      <c r="G141" s="79" t="str">
        <f>IF(A141&lt;&gt;"",SUMIFS(Transactions!$F$7:$F$991,Transactions!$D$7:$D$991,"Credit",Transactions!$H$7:$H$991,A141),"")</f>
        <v/>
      </c>
      <c r="H141" s="74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9.5" customHeight="1">
      <c r="A142" s="80" t="str">
        <f>IF(Roster!$A$140&lt;&gt;"",Roster!$A$140,"")</f>
        <v/>
      </c>
      <c r="B142" s="80" t="str">
        <f t="array" ref="B142">IF(A142&lt;&gt;"",IFERROR(SUMPRODUCT((INDEX(Attendance!$B$7:$AV$206,MATCH(A142,Attendance!$A$7:$A$206,0),0)=1)*Attendance!$B$4:$AV$4),0),"")</f>
        <v/>
      </c>
      <c r="C142" s="81" t="str">
        <f>IF(A142&lt;&gt;"",SUMIFS(Transactions!$F$7:$F$991,Transactions!$D$7:$D$991,"Income",Transactions!$E$7:$E$991,A142),"")</f>
        <v/>
      </c>
      <c r="D142" s="81" t="str">
        <f>IF(A142&lt;&gt;"",SUMIFS(Transactions!$F$7:$F$991,Transactions!$D$7:$D$991,"Expense",Transactions!$E$7:$E$991,A142),"")</f>
        <v/>
      </c>
      <c r="E142" s="82" t="str">
        <f t="shared" si="1"/>
        <v/>
      </c>
      <c r="F142" s="82" t="str">
        <f t="shared" si="2"/>
        <v/>
      </c>
      <c r="G142" s="79" t="str">
        <f>IF(A142&lt;&gt;"",SUMIFS(Transactions!$F$7:$F$991,Transactions!$D$7:$D$991,"Credit",Transactions!$H$7:$H$991,A142),"")</f>
        <v/>
      </c>
      <c r="H142" s="74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9.5" customHeight="1">
      <c r="A143" s="69" t="str">
        <f>IF(Roster!$A$141&lt;&gt;"",Roster!$A$141,"")</f>
        <v/>
      </c>
      <c r="B143" s="69" t="str">
        <f t="array" ref="B143">IF(A143&lt;&gt;"",IFERROR(SUMPRODUCT((INDEX(Attendance!$B$7:$AV$206,MATCH(A143,Attendance!$A$7:$A$206,0),0)=1)*Attendance!$B$4:$AV$4),0),"")</f>
        <v/>
      </c>
      <c r="C143" s="78" t="str">
        <f>IF(A143&lt;&gt;"",SUMIFS(Transactions!$F$7:$F$991,Transactions!$D$7:$D$991,"Income",Transactions!$E$7:$E$991,A143),"")</f>
        <v/>
      </c>
      <c r="D143" s="78" t="str">
        <f>IF(A143&lt;&gt;"",SUMIFS(Transactions!$F$7:$F$991,Transactions!$D$7:$D$991,"Expense",Transactions!$E$7:$E$991,A143),"")</f>
        <v/>
      </c>
      <c r="E143" s="76" t="str">
        <f t="shared" si="1"/>
        <v/>
      </c>
      <c r="F143" s="76" t="str">
        <f t="shared" si="2"/>
        <v/>
      </c>
      <c r="G143" s="79" t="str">
        <f>IF(A143&lt;&gt;"",SUMIFS(Transactions!$F$7:$F$991,Transactions!$D$7:$D$991,"Credit",Transactions!$H$7:$H$991,A143),"")</f>
        <v/>
      </c>
      <c r="H143" s="74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9.5" customHeight="1">
      <c r="A144" s="80" t="str">
        <f>IF(Roster!$A$142&lt;&gt;"",Roster!$A$142,"")</f>
        <v/>
      </c>
      <c r="B144" s="80" t="str">
        <f t="array" ref="B144">IF(A144&lt;&gt;"",IFERROR(SUMPRODUCT((INDEX(Attendance!$B$7:$AV$206,MATCH(A144,Attendance!$A$7:$A$206,0),0)=1)*Attendance!$B$4:$AV$4),0),"")</f>
        <v/>
      </c>
      <c r="C144" s="81" t="str">
        <f>IF(A144&lt;&gt;"",SUMIFS(Transactions!$F$7:$F$991,Transactions!$D$7:$D$991,"Income",Transactions!$E$7:$E$991,A144),"")</f>
        <v/>
      </c>
      <c r="D144" s="81" t="str">
        <f>IF(A144&lt;&gt;"",SUMIFS(Transactions!$F$7:$F$991,Transactions!$D$7:$D$991,"Expense",Transactions!$E$7:$E$991,A144),"")</f>
        <v/>
      </c>
      <c r="E144" s="82" t="str">
        <f t="shared" si="1"/>
        <v/>
      </c>
      <c r="F144" s="82" t="str">
        <f t="shared" si="2"/>
        <v/>
      </c>
      <c r="G144" s="79" t="str">
        <f>IF(A144&lt;&gt;"",SUMIFS(Transactions!$F$7:$F$991,Transactions!$D$7:$D$991,"Credit",Transactions!$H$7:$H$991,A144),"")</f>
        <v/>
      </c>
      <c r="H144" s="74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9.5" customHeight="1">
      <c r="A145" s="69" t="str">
        <f>IF(Roster!$A$143&lt;&gt;"",Roster!$A$143,"")</f>
        <v/>
      </c>
      <c r="B145" s="69" t="str">
        <f t="array" ref="B145">IF(A145&lt;&gt;"",IFERROR(SUMPRODUCT((INDEX(Attendance!$B$7:$AV$206,MATCH(A145,Attendance!$A$7:$A$206,0),0)=1)*Attendance!$B$4:$AV$4),0),"")</f>
        <v/>
      </c>
      <c r="C145" s="78" t="str">
        <f>IF(A145&lt;&gt;"",SUMIFS(Transactions!$F$7:$F$991,Transactions!$D$7:$D$991,"Income",Transactions!$E$7:$E$991,A145),"")</f>
        <v/>
      </c>
      <c r="D145" s="78" t="str">
        <f>IF(A145&lt;&gt;"",SUMIFS(Transactions!$F$7:$F$991,Transactions!$D$7:$D$991,"Expense",Transactions!$E$7:$E$991,A145),"")</f>
        <v/>
      </c>
      <c r="E145" s="76" t="str">
        <f t="shared" si="1"/>
        <v/>
      </c>
      <c r="F145" s="76" t="str">
        <f t="shared" si="2"/>
        <v/>
      </c>
      <c r="G145" s="79" t="str">
        <f>IF(A145&lt;&gt;"",SUMIFS(Transactions!$F$7:$F$991,Transactions!$D$7:$D$991,"Credit",Transactions!$H$7:$H$991,A145),"")</f>
        <v/>
      </c>
      <c r="H145" s="74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9.5" customHeight="1">
      <c r="A146" s="80" t="str">
        <f>IF(Roster!$A$144&lt;&gt;"",Roster!$A$144,"")</f>
        <v/>
      </c>
      <c r="B146" s="80" t="str">
        <f t="array" ref="B146">IF(A146&lt;&gt;"",IFERROR(SUMPRODUCT((INDEX(Attendance!$B$7:$AV$206,MATCH(A146,Attendance!$A$7:$A$206,0),0)=1)*Attendance!$B$4:$AV$4),0),"")</f>
        <v/>
      </c>
      <c r="C146" s="81" t="str">
        <f>IF(A146&lt;&gt;"",SUMIFS(Transactions!$F$7:$F$991,Transactions!$D$7:$D$991,"Income",Transactions!$E$7:$E$991,A146),"")</f>
        <v/>
      </c>
      <c r="D146" s="81" t="str">
        <f>IF(A146&lt;&gt;"",SUMIFS(Transactions!$F$7:$F$991,Transactions!$D$7:$D$991,"Expense",Transactions!$E$7:$E$991,A146),"")</f>
        <v/>
      </c>
      <c r="E146" s="82" t="str">
        <f t="shared" si="1"/>
        <v/>
      </c>
      <c r="F146" s="82" t="str">
        <f t="shared" si="2"/>
        <v/>
      </c>
      <c r="G146" s="79" t="str">
        <f>IF(A146&lt;&gt;"",SUMIFS(Transactions!$F$7:$F$991,Transactions!$D$7:$D$991,"Credit",Transactions!$H$7:$H$991,A146),"")</f>
        <v/>
      </c>
      <c r="H146" s="74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9.5" customHeight="1">
      <c r="A147" s="69" t="str">
        <f>IF(Roster!$A$145&lt;&gt;"",Roster!$A$145,"")</f>
        <v/>
      </c>
      <c r="B147" s="69" t="str">
        <f t="array" ref="B147">IF(A147&lt;&gt;"",IFERROR(SUMPRODUCT((INDEX(Attendance!$B$7:$AV$206,MATCH(A147,Attendance!$A$7:$A$206,0),0)=1)*Attendance!$B$4:$AV$4),0),"")</f>
        <v/>
      </c>
      <c r="C147" s="78" t="str">
        <f>IF(A147&lt;&gt;"",SUMIFS(Transactions!$F$7:$F$991,Transactions!$D$7:$D$991,"Income",Transactions!$E$7:$E$991,A147),"")</f>
        <v/>
      </c>
      <c r="D147" s="78" t="str">
        <f>IF(A147&lt;&gt;"",SUMIFS(Transactions!$F$7:$F$991,Transactions!$D$7:$D$991,"Expense",Transactions!$E$7:$E$991,A147),"")</f>
        <v/>
      </c>
      <c r="E147" s="76" t="str">
        <f t="shared" si="1"/>
        <v/>
      </c>
      <c r="F147" s="76" t="str">
        <f t="shared" si="2"/>
        <v/>
      </c>
      <c r="G147" s="79" t="str">
        <f>IF(A147&lt;&gt;"",SUMIFS(Transactions!$F$7:$F$991,Transactions!$D$7:$D$991,"Credit",Transactions!$H$7:$H$991,A147),"")</f>
        <v/>
      </c>
      <c r="H147" s="74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9.5" customHeight="1">
      <c r="A148" s="80" t="str">
        <f>IF(Roster!$A$146&lt;&gt;"",Roster!$A$146,"")</f>
        <v/>
      </c>
      <c r="B148" s="80" t="str">
        <f t="array" ref="B148">IF(A148&lt;&gt;"",IFERROR(SUMPRODUCT((INDEX(Attendance!$B$7:$AV$206,MATCH(A148,Attendance!$A$7:$A$206,0),0)=1)*Attendance!$B$4:$AV$4),0),"")</f>
        <v/>
      </c>
      <c r="C148" s="81" t="str">
        <f>IF(A148&lt;&gt;"",SUMIFS(Transactions!$F$7:$F$991,Transactions!$D$7:$D$991,"Income",Transactions!$E$7:$E$991,A148),"")</f>
        <v/>
      </c>
      <c r="D148" s="81" t="str">
        <f>IF(A148&lt;&gt;"",SUMIFS(Transactions!$F$7:$F$991,Transactions!$D$7:$D$991,"Expense",Transactions!$E$7:$E$991,A148),"")</f>
        <v/>
      </c>
      <c r="E148" s="82" t="str">
        <f t="shared" si="1"/>
        <v/>
      </c>
      <c r="F148" s="82" t="str">
        <f t="shared" si="2"/>
        <v/>
      </c>
      <c r="G148" s="79" t="str">
        <f>IF(A148&lt;&gt;"",SUMIFS(Transactions!$F$7:$F$991,Transactions!$D$7:$D$991,"Credit",Transactions!$H$7:$H$991,A148),"")</f>
        <v/>
      </c>
      <c r="H148" s="74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9.5" customHeight="1">
      <c r="A149" s="69" t="str">
        <f>IF(Roster!$A$147&lt;&gt;"",Roster!$A$147,"")</f>
        <v/>
      </c>
      <c r="B149" s="69" t="str">
        <f t="array" ref="B149">IF(A149&lt;&gt;"",IFERROR(SUMPRODUCT((INDEX(Attendance!$B$7:$AV$206,MATCH(A149,Attendance!$A$7:$A$206,0),0)=1)*Attendance!$B$4:$AV$4),0),"")</f>
        <v/>
      </c>
      <c r="C149" s="78" t="str">
        <f>IF(A149&lt;&gt;"",SUMIFS(Transactions!$F$7:$F$991,Transactions!$D$7:$D$991,"Income",Transactions!$E$7:$E$991,A149),"")</f>
        <v/>
      </c>
      <c r="D149" s="78" t="str">
        <f>IF(A149&lt;&gt;"",SUMIFS(Transactions!$F$7:$F$991,Transactions!$D$7:$D$991,"Expense",Transactions!$E$7:$E$991,A149),"")</f>
        <v/>
      </c>
      <c r="E149" s="76" t="str">
        <f t="shared" si="1"/>
        <v/>
      </c>
      <c r="F149" s="76" t="str">
        <f t="shared" si="2"/>
        <v/>
      </c>
      <c r="G149" s="79" t="str">
        <f>IF(A149&lt;&gt;"",SUMIFS(Transactions!$F$7:$F$991,Transactions!$D$7:$D$991,"Credit",Transactions!$H$7:$H$991,A149),"")</f>
        <v/>
      </c>
      <c r="H149" s="74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9.5" customHeight="1">
      <c r="A150" s="80" t="str">
        <f>IF(Roster!$A$148&lt;&gt;"",Roster!$A$148,"")</f>
        <v/>
      </c>
      <c r="B150" s="80" t="str">
        <f t="array" ref="B150">IF(A150&lt;&gt;"",IFERROR(SUMPRODUCT((INDEX(Attendance!$B$7:$AV$206,MATCH(A150,Attendance!$A$7:$A$206,0),0)=1)*Attendance!$B$4:$AV$4),0),"")</f>
        <v/>
      </c>
      <c r="C150" s="81" t="str">
        <f>IF(A150&lt;&gt;"",SUMIFS(Transactions!$F$7:$F$991,Transactions!$D$7:$D$991,"Income",Transactions!$E$7:$E$991,A150),"")</f>
        <v/>
      </c>
      <c r="D150" s="81" t="str">
        <f>IF(A150&lt;&gt;"",SUMIFS(Transactions!$F$7:$F$991,Transactions!$D$7:$D$991,"Expense",Transactions!$E$7:$E$991,A150),"")</f>
        <v/>
      </c>
      <c r="E150" s="82" t="str">
        <f t="shared" si="1"/>
        <v/>
      </c>
      <c r="F150" s="82" t="str">
        <f t="shared" si="2"/>
        <v/>
      </c>
      <c r="G150" s="79" t="str">
        <f>IF(A150&lt;&gt;"",SUMIFS(Transactions!$F$7:$F$991,Transactions!$D$7:$D$991,"Credit",Transactions!$H$7:$H$991,A150),"")</f>
        <v/>
      </c>
      <c r="H150" s="74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9.5" customHeight="1">
      <c r="A151" s="69" t="str">
        <f>IF(Roster!$A$149&lt;&gt;"",Roster!$A$149,"")</f>
        <v/>
      </c>
      <c r="B151" s="69" t="str">
        <f t="array" ref="B151">IF(A151&lt;&gt;"",IFERROR(SUMPRODUCT((INDEX(Attendance!$B$7:$AV$206,MATCH(A151,Attendance!$A$7:$A$206,0),0)=1)*Attendance!$B$4:$AV$4),0),"")</f>
        <v/>
      </c>
      <c r="C151" s="78" t="str">
        <f>IF(A151&lt;&gt;"",SUMIFS(Transactions!$F$7:$F$991,Transactions!$D$7:$D$991,"Income",Transactions!$E$7:$E$991,A151),"")</f>
        <v/>
      </c>
      <c r="D151" s="78" t="str">
        <f>IF(A151&lt;&gt;"",SUMIFS(Transactions!$F$7:$F$991,Transactions!$D$7:$D$991,"Expense",Transactions!$E$7:$E$991,A151),"")</f>
        <v/>
      </c>
      <c r="E151" s="76" t="str">
        <f t="shared" si="1"/>
        <v/>
      </c>
      <c r="F151" s="76" t="str">
        <f t="shared" si="2"/>
        <v/>
      </c>
      <c r="G151" s="79" t="str">
        <f>IF(A151&lt;&gt;"",SUMIFS(Transactions!$F$7:$F$991,Transactions!$D$7:$D$991,"Credit",Transactions!$H$7:$H$991,A151),"")</f>
        <v/>
      </c>
      <c r="H151" s="74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9.5" customHeight="1">
      <c r="A152" s="80" t="str">
        <f>IF(Roster!$A$150&lt;&gt;"",Roster!$A$150,"")</f>
        <v/>
      </c>
      <c r="B152" s="80" t="str">
        <f t="array" ref="B152">IF(A152&lt;&gt;"",IFERROR(SUMPRODUCT((INDEX(Attendance!$B$7:$AV$206,MATCH(A152,Attendance!$A$7:$A$206,0),0)=1)*Attendance!$B$4:$AV$4),0),"")</f>
        <v/>
      </c>
      <c r="C152" s="81" t="str">
        <f>IF(A152&lt;&gt;"",SUMIFS(Transactions!$F$7:$F$991,Transactions!$D$7:$D$991,"Income",Transactions!$E$7:$E$991,A152),"")</f>
        <v/>
      </c>
      <c r="D152" s="81" t="str">
        <f>IF(A152&lt;&gt;"",SUMIFS(Transactions!$F$7:$F$991,Transactions!$D$7:$D$991,"Expense",Transactions!$E$7:$E$991,A152),"")</f>
        <v/>
      </c>
      <c r="E152" s="82" t="str">
        <f t="shared" si="1"/>
        <v/>
      </c>
      <c r="F152" s="82" t="str">
        <f t="shared" si="2"/>
        <v/>
      </c>
      <c r="G152" s="79" t="str">
        <f>IF(A152&lt;&gt;"",SUMIFS(Transactions!$F$7:$F$991,Transactions!$D$7:$D$991,"Credit",Transactions!$H$7:$H$991,A152),"")</f>
        <v/>
      </c>
      <c r="H152" s="74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9.5" customHeight="1">
      <c r="A153" s="69" t="str">
        <f>IF(Roster!$A$151&lt;&gt;"",Roster!$A$151,"")</f>
        <v/>
      </c>
      <c r="B153" s="69" t="str">
        <f t="array" ref="B153">IF(A153&lt;&gt;"",IFERROR(SUMPRODUCT((INDEX(Attendance!$B$7:$AV$206,MATCH(A153,Attendance!$A$7:$A$206,0),0)=1)*Attendance!$B$4:$AV$4),0),"")</f>
        <v/>
      </c>
      <c r="C153" s="78" t="str">
        <f>IF(A153&lt;&gt;"",SUMIFS(Transactions!$F$7:$F$991,Transactions!$D$7:$D$991,"Income",Transactions!$E$7:$E$991,A153),"")</f>
        <v/>
      </c>
      <c r="D153" s="78" t="str">
        <f>IF(A153&lt;&gt;"",SUMIFS(Transactions!$F$7:$F$991,Transactions!$D$7:$D$991,"Expense",Transactions!$E$7:$E$991,A153),"")</f>
        <v/>
      </c>
      <c r="E153" s="76" t="str">
        <f t="shared" si="1"/>
        <v/>
      </c>
      <c r="F153" s="76" t="str">
        <f t="shared" si="2"/>
        <v/>
      </c>
      <c r="G153" s="79" t="str">
        <f>IF(A153&lt;&gt;"",SUMIFS(Transactions!$F$7:$F$991,Transactions!$D$7:$D$991,"Credit",Transactions!$H$7:$H$991,A153),"")</f>
        <v/>
      </c>
      <c r="H153" s="74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9.5" customHeight="1">
      <c r="A154" s="80" t="str">
        <f>IF(Roster!$A$152&lt;&gt;"",Roster!$A$152,"")</f>
        <v/>
      </c>
      <c r="B154" s="80" t="str">
        <f t="array" ref="B154">IF(A154&lt;&gt;"",IFERROR(SUMPRODUCT((INDEX(Attendance!$B$7:$AV$206,MATCH(A154,Attendance!$A$7:$A$206,0),0)=1)*Attendance!$B$4:$AV$4),0),"")</f>
        <v/>
      </c>
      <c r="C154" s="81" t="str">
        <f>IF(A154&lt;&gt;"",SUMIFS(Transactions!$F$7:$F$991,Transactions!$D$7:$D$991,"Income",Transactions!$E$7:$E$991,A154),"")</f>
        <v/>
      </c>
      <c r="D154" s="81" t="str">
        <f>IF(A154&lt;&gt;"",SUMIFS(Transactions!$F$7:$F$991,Transactions!$D$7:$D$991,"Expense",Transactions!$E$7:$E$991,A154),"")</f>
        <v/>
      </c>
      <c r="E154" s="82" t="str">
        <f t="shared" si="1"/>
        <v/>
      </c>
      <c r="F154" s="82" t="str">
        <f t="shared" si="2"/>
        <v/>
      </c>
      <c r="G154" s="79" t="str">
        <f>IF(A154&lt;&gt;"",SUMIFS(Transactions!$F$7:$F$991,Transactions!$D$7:$D$991,"Credit",Transactions!$H$7:$H$991,A154),"")</f>
        <v/>
      </c>
      <c r="H154" s="74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9.5" customHeight="1">
      <c r="A155" s="69" t="str">
        <f>IF(Roster!$A$153&lt;&gt;"",Roster!$A$153,"")</f>
        <v/>
      </c>
      <c r="B155" s="69" t="str">
        <f t="array" ref="B155">IF(A155&lt;&gt;"",IFERROR(SUMPRODUCT((INDEX(Attendance!$B$7:$AV$206,MATCH(A155,Attendance!$A$7:$A$206,0),0)=1)*Attendance!$B$4:$AV$4),0),"")</f>
        <v/>
      </c>
      <c r="C155" s="78" t="str">
        <f>IF(A155&lt;&gt;"",SUMIFS(Transactions!$F$7:$F$991,Transactions!$D$7:$D$991,"Income",Transactions!$E$7:$E$991,A155),"")</f>
        <v/>
      </c>
      <c r="D155" s="78" t="str">
        <f>IF(A155&lt;&gt;"",SUMIFS(Transactions!$F$7:$F$991,Transactions!$D$7:$D$991,"Expense",Transactions!$E$7:$E$991,A155),"")</f>
        <v/>
      </c>
      <c r="E155" s="76" t="str">
        <f t="shared" si="1"/>
        <v/>
      </c>
      <c r="F155" s="76" t="str">
        <f t="shared" si="2"/>
        <v/>
      </c>
      <c r="G155" s="79" t="str">
        <f>IF(A155&lt;&gt;"",SUMIFS(Transactions!$F$7:$F$991,Transactions!$D$7:$D$991,"Credit",Transactions!$H$7:$H$991,A155),"")</f>
        <v/>
      </c>
      <c r="H155" s="74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9.5" customHeight="1">
      <c r="A156" s="80" t="str">
        <f>IF(Roster!$A$154&lt;&gt;"",Roster!$A$154,"")</f>
        <v/>
      </c>
      <c r="B156" s="80" t="str">
        <f t="array" ref="B156">IF(A156&lt;&gt;"",IFERROR(SUMPRODUCT((INDEX(Attendance!$B$7:$AV$206,MATCH(A156,Attendance!$A$7:$A$206,0),0)=1)*Attendance!$B$4:$AV$4),0),"")</f>
        <v/>
      </c>
      <c r="C156" s="81" t="str">
        <f>IF(A156&lt;&gt;"",SUMIFS(Transactions!$F$7:$F$991,Transactions!$D$7:$D$991,"Income",Transactions!$E$7:$E$991,A156),"")</f>
        <v/>
      </c>
      <c r="D156" s="81" t="str">
        <f>IF(A156&lt;&gt;"",SUMIFS(Transactions!$F$7:$F$991,Transactions!$D$7:$D$991,"Expense",Transactions!$E$7:$E$991,A156),"")</f>
        <v/>
      </c>
      <c r="E156" s="82" t="str">
        <f t="shared" si="1"/>
        <v/>
      </c>
      <c r="F156" s="82" t="str">
        <f t="shared" si="2"/>
        <v/>
      </c>
      <c r="G156" s="79" t="str">
        <f>IF(A156&lt;&gt;"",SUMIFS(Transactions!$F$7:$F$991,Transactions!$D$7:$D$991,"Credit",Transactions!$H$7:$H$991,A156),"")</f>
        <v/>
      </c>
      <c r="H156" s="74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9.5" customHeight="1">
      <c r="A157" s="69" t="str">
        <f>IF(Roster!$A$155&lt;&gt;"",Roster!$A$155,"")</f>
        <v/>
      </c>
      <c r="B157" s="69" t="str">
        <f t="array" ref="B157">IF(A157&lt;&gt;"",IFERROR(SUMPRODUCT((INDEX(Attendance!$B$7:$AV$206,MATCH(A157,Attendance!$A$7:$A$206,0),0)=1)*Attendance!$B$4:$AV$4),0),"")</f>
        <v/>
      </c>
      <c r="C157" s="78" t="str">
        <f>IF(A157&lt;&gt;"",SUMIFS(Transactions!$F$7:$F$991,Transactions!$D$7:$D$991,"Income",Transactions!$E$7:$E$991,A157),"")</f>
        <v/>
      </c>
      <c r="D157" s="78" t="str">
        <f>IF(A157&lt;&gt;"",SUMIFS(Transactions!$F$7:$F$991,Transactions!$D$7:$D$991,"Expense",Transactions!$E$7:$E$991,A157),"")</f>
        <v/>
      </c>
      <c r="E157" s="76" t="str">
        <f t="shared" si="1"/>
        <v/>
      </c>
      <c r="F157" s="76" t="str">
        <f t="shared" si="2"/>
        <v/>
      </c>
      <c r="G157" s="79" t="str">
        <f>IF(A157&lt;&gt;"",SUMIFS(Transactions!$F$7:$F$991,Transactions!$D$7:$D$991,"Credit",Transactions!$H$7:$H$991,A157),"")</f>
        <v/>
      </c>
      <c r="H157" s="74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9.5" customHeight="1">
      <c r="A158" s="80" t="str">
        <f>IF(Roster!$A$156&lt;&gt;"",Roster!$A$156,"")</f>
        <v/>
      </c>
      <c r="B158" s="80" t="str">
        <f t="array" ref="B158">IF(A158&lt;&gt;"",IFERROR(SUMPRODUCT((INDEX(Attendance!$B$7:$AV$206,MATCH(A158,Attendance!$A$7:$A$206,0),0)=1)*Attendance!$B$4:$AV$4),0),"")</f>
        <v/>
      </c>
      <c r="C158" s="81" t="str">
        <f>IF(A158&lt;&gt;"",SUMIFS(Transactions!$F$7:$F$991,Transactions!$D$7:$D$991,"Income",Transactions!$E$7:$E$991,A158),"")</f>
        <v/>
      </c>
      <c r="D158" s="81" t="str">
        <f>IF(A158&lt;&gt;"",SUMIFS(Transactions!$F$7:$F$991,Transactions!$D$7:$D$991,"Expense",Transactions!$E$7:$E$991,A158),"")</f>
        <v/>
      </c>
      <c r="E158" s="82" t="str">
        <f t="shared" si="1"/>
        <v/>
      </c>
      <c r="F158" s="82" t="str">
        <f t="shared" si="2"/>
        <v/>
      </c>
      <c r="G158" s="79" t="str">
        <f>IF(A158&lt;&gt;"",SUMIFS(Transactions!$F$7:$F$991,Transactions!$D$7:$D$991,"Credit",Transactions!$H$7:$H$991,A158),"")</f>
        <v/>
      </c>
      <c r="H158" s="74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9.5" customHeight="1">
      <c r="A159" s="69" t="str">
        <f>IF(Roster!$A$157&lt;&gt;"",Roster!$A$157,"")</f>
        <v/>
      </c>
      <c r="B159" s="69" t="str">
        <f t="array" ref="B159">IF(A159&lt;&gt;"",IFERROR(SUMPRODUCT((INDEX(Attendance!$B$7:$AV$206,MATCH(A159,Attendance!$A$7:$A$206,0),0)=1)*Attendance!$B$4:$AV$4),0),"")</f>
        <v/>
      </c>
      <c r="C159" s="78" t="str">
        <f>IF(A159&lt;&gt;"",SUMIFS(Transactions!$F$7:$F$991,Transactions!$D$7:$D$991,"Income",Transactions!$E$7:$E$991,A159),"")</f>
        <v/>
      </c>
      <c r="D159" s="78" t="str">
        <f>IF(A159&lt;&gt;"",SUMIFS(Transactions!$F$7:$F$991,Transactions!$D$7:$D$991,"Expense",Transactions!$E$7:$E$991,A159),"")</f>
        <v/>
      </c>
      <c r="E159" s="76" t="str">
        <f t="shared" si="1"/>
        <v/>
      </c>
      <c r="F159" s="76" t="str">
        <f t="shared" si="2"/>
        <v/>
      </c>
      <c r="G159" s="79" t="str">
        <f>IF(A159&lt;&gt;"",SUMIFS(Transactions!$F$7:$F$991,Transactions!$D$7:$D$991,"Credit",Transactions!$H$7:$H$991,A159),"")</f>
        <v/>
      </c>
      <c r="H159" s="74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9.5" customHeight="1">
      <c r="A160" s="80" t="str">
        <f>IF(Roster!$A$158&lt;&gt;"",Roster!$A$158,"")</f>
        <v/>
      </c>
      <c r="B160" s="80" t="str">
        <f t="array" ref="B160">IF(A160&lt;&gt;"",IFERROR(SUMPRODUCT((INDEX(Attendance!$B$7:$AV$206,MATCH(A160,Attendance!$A$7:$A$206,0),0)=1)*Attendance!$B$4:$AV$4),0),"")</f>
        <v/>
      </c>
      <c r="C160" s="81" t="str">
        <f>IF(A160&lt;&gt;"",SUMIFS(Transactions!$F$7:$F$991,Transactions!$D$7:$D$991,"Income",Transactions!$E$7:$E$991,A160),"")</f>
        <v/>
      </c>
      <c r="D160" s="81" t="str">
        <f>IF(A160&lt;&gt;"",SUMIFS(Transactions!$F$7:$F$991,Transactions!$D$7:$D$991,"Expense",Transactions!$E$7:$E$991,A160),"")</f>
        <v/>
      </c>
      <c r="E160" s="82" t="str">
        <f t="shared" si="1"/>
        <v/>
      </c>
      <c r="F160" s="82" t="str">
        <f t="shared" si="2"/>
        <v/>
      </c>
      <c r="G160" s="79" t="str">
        <f>IF(A160&lt;&gt;"",SUMIFS(Transactions!$F$7:$F$991,Transactions!$D$7:$D$991,"Credit",Transactions!$H$7:$H$991,A160),"")</f>
        <v/>
      </c>
      <c r="H160" s="74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9.5" customHeight="1">
      <c r="A161" s="69" t="str">
        <f>IF(Roster!$A$159&lt;&gt;"",Roster!$A$159,"")</f>
        <v/>
      </c>
      <c r="B161" s="69" t="str">
        <f t="array" ref="B161">IF(A161&lt;&gt;"",IFERROR(SUMPRODUCT((INDEX(Attendance!$B$7:$AV$206,MATCH(A161,Attendance!$A$7:$A$206,0),0)=1)*Attendance!$B$4:$AV$4),0),"")</f>
        <v/>
      </c>
      <c r="C161" s="78" t="str">
        <f>IF(A161&lt;&gt;"",SUMIFS(Transactions!$F$7:$F$991,Transactions!$D$7:$D$991,"Income",Transactions!$E$7:$E$991,A161),"")</f>
        <v/>
      </c>
      <c r="D161" s="78" t="str">
        <f>IF(A161&lt;&gt;"",SUMIFS(Transactions!$F$7:$F$991,Transactions!$D$7:$D$991,"Expense",Transactions!$E$7:$E$991,A161),"")</f>
        <v/>
      </c>
      <c r="E161" s="76" t="str">
        <f t="shared" si="1"/>
        <v/>
      </c>
      <c r="F161" s="76" t="str">
        <f t="shared" si="2"/>
        <v/>
      </c>
      <c r="G161" s="79" t="str">
        <f>IF(A161&lt;&gt;"",SUMIFS(Transactions!$F$7:$F$991,Transactions!$D$7:$D$991,"Credit",Transactions!$H$7:$H$991,A161),"")</f>
        <v/>
      </c>
      <c r="H161" s="74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9.5" customHeight="1">
      <c r="A162" s="80" t="str">
        <f>IF(Roster!$A$160&lt;&gt;"",Roster!$A$160,"")</f>
        <v/>
      </c>
      <c r="B162" s="80" t="str">
        <f t="array" ref="B162">IF(A162&lt;&gt;"",IFERROR(SUMPRODUCT((INDEX(Attendance!$B$7:$AV$206,MATCH(A162,Attendance!$A$7:$A$206,0),0)=1)*Attendance!$B$4:$AV$4),0),"")</f>
        <v/>
      </c>
      <c r="C162" s="81" t="str">
        <f>IF(A162&lt;&gt;"",SUMIFS(Transactions!$F$7:$F$991,Transactions!$D$7:$D$991,"Income",Transactions!$E$7:$E$991,A162),"")</f>
        <v/>
      </c>
      <c r="D162" s="81" t="str">
        <f>IF(A162&lt;&gt;"",SUMIFS(Transactions!$F$7:$F$991,Transactions!$D$7:$D$991,"Expense",Transactions!$E$7:$E$991,A162),"")</f>
        <v/>
      </c>
      <c r="E162" s="82" t="str">
        <f t="shared" si="1"/>
        <v/>
      </c>
      <c r="F162" s="82" t="str">
        <f t="shared" si="2"/>
        <v/>
      </c>
      <c r="G162" s="79" t="str">
        <f>IF(A162&lt;&gt;"",SUMIFS(Transactions!$F$7:$F$991,Transactions!$D$7:$D$991,"Credit",Transactions!$H$7:$H$991,A162),"")</f>
        <v/>
      </c>
      <c r="H162" s="74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9.5" customHeight="1">
      <c r="A163" s="69" t="str">
        <f>IF(Roster!$A$161&lt;&gt;"",Roster!$A$161,"")</f>
        <v/>
      </c>
      <c r="B163" s="69" t="str">
        <f t="array" ref="B163">IF(A163&lt;&gt;"",IFERROR(SUMPRODUCT((INDEX(Attendance!$B$7:$AV$206,MATCH(A163,Attendance!$A$7:$A$206,0),0)=1)*Attendance!$B$4:$AV$4),0),"")</f>
        <v/>
      </c>
      <c r="C163" s="78" t="str">
        <f>IF(A163&lt;&gt;"",SUMIFS(Transactions!$F$7:$F$991,Transactions!$D$7:$D$991,"Income",Transactions!$E$7:$E$991,A163),"")</f>
        <v/>
      </c>
      <c r="D163" s="78" t="str">
        <f>IF(A163&lt;&gt;"",SUMIFS(Transactions!$F$7:$F$991,Transactions!$D$7:$D$991,"Expense",Transactions!$E$7:$E$991,A163),"")</f>
        <v/>
      </c>
      <c r="E163" s="76" t="str">
        <f t="shared" si="1"/>
        <v/>
      </c>
      <c r="F163" s="76" t="str">
        <f t="shared" si="2"/>
        <v/>
      </c>
      <c r="G163" s="79" t="str">
        <f>IF(A163&lt;&gt;"",SUMIFS(Transactions!$F$7:$F$991,Transactions!$D$7:$D$991,"Credit",Transactions!$H$7:$H$991,A163),"")</f>
        <v/>
      </c>
      <c r="H163" s="74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9.5" customHeight="1">
      <c r="A164" s="80" t="str">
        <f>IF(Roster!$A$162&lt;&gt;"",Roster!$A$162,"")</f>
        <v/>
      </c>
      <c r="B164" s="80" t="str">
        <f t="array" ref="B164">IF(A164&lt;&gt;"",IFERROR(SUMPRODUCT((INDEX(Attendance!$B$7:$AV$206,MATCH(A164,Attendance!$A$7:$A$206,0),0)=1)*Attendance!$B$4:$AV$4),0),"")</f>
        <v/>
      </c>
      <c r="C164" s="81" t="str">
        <f>IF(A164&lt;&gt;"",SUMIFS(Transactions!$F$7:$F$991,Transactions!$D$7:$D$991,"Income",Transactions!$E$7:$E$991,A164),"")</f>
        <v/>
      </c>
      <c r="D164" s="81" t="str">
        <f>IF(A164&lt;&gt;"",SUMIFS(Transactions!$F$7:$F$991,Transactions!$D$7:$D$991,"Expense",Transactions!$E$7:$E$991,A164),"")</f>
        <v/>
      </c>
      <c r="E164" s="82" t="str">
        <f t="shared" si="1"/>
        <v/>
      </c>
      <c r="F164" s="82" t="str">
        <f t="shared" si="2"/>
        <v/>
      </c>
      <c r="G164" s="79" t="str">
        <f>IF(A164&lt;&gt;"",SUMIFS(Transactions!$F$7:$F$991,Transactions!$D$7:$D$991,"Credit",Transactions!$H$7:$H$991,A164),"")</f>
        <v/>
      </c>
      <c r="H164" s="74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9.5" customHeight="1">
      <c r="A165" s="69" t="str">
        <f>IF(Roster!$A$163&lt;&gt;"",Roster!$A$163,"")</f>
        <v/>
      </c>
      <c r="B165" s="69" t="str">
        <f t="array" ref="B165">IF(A165&lt;&gt;"",IFERROR(SUMPRODUCT((INDEX(Attendance!$B$7:$AV$206,MATCH(A165,Attendance!$A$7:$A$206,0),0)=1)*Attendance!$B$4:$AV$4),0),"")</f>
        <v/>
      </c>
      <c r="C165" s="78" t="str">
        <f>IF(A165&lt;&gt;"",SUMIFS(Transactions!$F$7:$F$991,Transactions!$D$7:$D$991,"Income",Transactions!$E$7:$E$991,A165),"")</f>
        <v/>
      </c>
      <c r="D165" s="78" t="str">
        <f>IF(A165&lt;&gt;"",SUMIFS(Transactions!$F$7:$F$991,Transactions!$D$7:$D$991,"Expense",Transactions!$E$7:$E$991,A165),"")</f>
        <v/>
      </c>
      <c r="E165" s="76" t="str">
        <f t="shared" si="1"/>
        <v/>
      </c>
      <c r="F165" s="76" t="str">
        <f t="shared" si="2"/>
        <v/>
      </c>
      <c r="G165" s="79" t="str">
        <f>IF(A165&lt;&gt;"",SUMIFS(Transactions!$F$7:$F$991,Transactions!$D$7:$D$991,"Credit",Transactions!$H$7:$H$991,A165),"")</f>
        <v/>
      </c>
      <c r="H165" s="74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9.5" customHeight="1">
      <c r="A166" s="80" t="str">
        <f>IF(Roster!$A$164&lt;&gt;"",Roster!$A$164,"")</f>
        <v/>
      </c>
      <c r="B166" s="80" t="str">
        <f t="array" ref="B166">IF(A166&lt;&gt;"",IFERROR(SUMPRODUCT((INDEX(Attendance!$B$7:$AV$206,MATCH(A166,Attendance!$A$7:$A$206,0),0)=1)*Attendance!$B$4:$AV$4),0),"")</f>
        <v/>
      </c>
      <c r="C166" s="81" t="str">
        <f>IF(A166&lt;&gt;"",SUMIFS(Transactions!$F$7:$F$991,Transactions!$D$7:$D$991,"Income",Transactions!$E$7:$E$991,A166),"")</f>
        <v/>
      </c>
      <c r="D166" s="81" t="str">
        <f>IF(A166&lt;&gt;"",SUMIFS(Transactions!$F$7:$F$991,Transactions!$D$7:$D$991,"Expense",Transactions!$E$7:$E$991,A166),"")</f>
        <v/>
      </c>
      <c r="E166" s="82" t="str">
        <f t="shared" si="1"/>
        <v/>
      </c>
      <c r="F166" s="82" t="str">
        <f t="shared" si="2"/>
        <v/>
      </c>
      <c r="G166" s="79" t="str">
        <f>IF(A166&lt;&gt;"",SUMIFS(Transactions!$F$7:$F$991,Transactions!$D$7:$D$991,"Credit",Transactions!$H$7:$H$991,A166),"")</f>
        <v/>
      </c>
      <c r="H166" s="74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9.5" customHeight="1">
      <c r="A167" s="69" t="str">
        <f>IF(Roster!$A$165&lt;&gt;"",Roster!$A$165,"")</f>
        <v/>
      </c>
      <c r="B167" s="69" t="str">
        <f t="array" ref="B167">IF(A167&lt;&gt;"",IFERROR(SUMPRODUCT((INDEX(Attendance!$B$7:$AV$206,MATCH(A167,Attendance!$A$7:$A$206,0),0)=1)*Attendance!$B$4:$AV$4),0),"")</f>
        <v/>
      </c>
      <c r="C167" s="78" t="str">
        <f>IF(A167&lt;&gt;"",SUMIFS(Transactions!$F$7:$F$991,Transactions!$D$7:$D$991,"Income",Transactions!$E$7:$E$991,A167),"")</f>
        <v/>
      </c>
      <c r="D167" s="78" t="str">
        <f>IF(A167&lt;&gt;"",SUMIFS(Transactions!$F$7:$F$991,Transactions!$D$7:$D$991,"Expense",Transactions!$E$7:$E$991,A167),"")</f>
        <v/>
      </c>
      <c r="E167" s="76" t="str">
        <f t="shared" si="1"/>
        <v/>
      </c>
      <c r="F167" s="76" t="str">
        <f t="shared" si="2"/>
        <v/>
      </c>
      <c r="G167" s="79" t="str">
        <f>IF(A167&lt;&gt;"",SUMIFS(Transactions!$F$7:$F$991,Transactions!$D$7:$D$991,"Credit",Transactions!$H$7:$H$991,A167),"")</f>
        <v/>
      </c>
      <c r="H167" s="74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9.5" customHeight="1">
      <c r="A168" s="80" t="str">
        <f>IF(Roster!$A$166&lt;&gt;"",Roster!$A$166,"")</f>
        <v/>
      </c>
      <c r="B168" s="80" t="str">
        <f t="array" ref="B168">IF(A168&lt;&gt;"",IFERROR(SUMPRODUCT((INDEX(Attendance!$B$7:$AV$206,MATCH(A168,Attendance!$A$7:$A$206,0),0)=1)*Attendance!$B$4:$AV$4),0),"")</f>
        <v/>
      </c>
      <c r="C168" s="81" t="str">
        <f>IF(A168&lt;&gt;"",SUMIFS(Transactions!$F$7:$F$991,Transactions!$D$7:$D$991,"Income",Transactions!$E$7:$E$991,A168),"")</f>
        <v/>
      </c>
      <c r="D168" s="81" t="str">
        <f>IF(A168&lt;&gt;"",SUMIFS(Transactions!$F$7:$F$991,Transactions!$D$7:$D$991,"Expense",Transactions!$E$7:$E$991,A168),"")</f>
        <v/>
      </c>
      <c r="E168" s="82" t="str">
        <f t="shared" si="1"/>
        <v/>
      </c>
      <c r="F168" s="82" t="str">
        <f t="shared" si="2"/>
        <v/>
      </c>
      <c r="G168" s="79" t="str">
        <f>IF(A168&lt;&gt;"",SUMIFS(Transactions!$F$7:$F$991,Transactions!$D$7:$D$991,"Credit",Transactions!$H$7:$H$991,A168),"")</f>
        <v/>
      </c>
      <c r="H168" s="74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9.5" customHeight="1">
      <c r="A169" s="69" t="str">
        <f>IF(Roster!$A$167&lt;&gt;"",Roster!$A$167,"")</f>
        <v/>
      </c>
      <c r="B169" s="69" t="str">
        <f t="array" ref="B169">IF(A169&lt;&gt;"",IFERROR(SUMPRODUCT((INDEX(Attendance!$B$7:$AV$206,MATCH(A169,Attendance!$A$7:$A$206,0),0)=1)*Attendance!$B$4:$AV$4),0),"")</f>
        <v/>
      </c>
      <c r="C169" s="78" t="str">
        <f>IF(A169&lt;&gt;"",SUMIFS(Transactions!$F$7:$F$991,Transactions!$D$7:$D$991,"Income",Transactions!$E$7:$E$991,A169),"")</f>
        <v/>
      </c>
      <c r="D169" s="78" t="str">
        <f>IF(A169&lt;&gt;"",SUMIFS(Transactions!$F$7:$F$991,Transactions!$D$7:$D$991,"Expense",Transactions!$E$7:$E$991,A169),"")</f>
        <v/>
      </c>
      <c r="E169" s="76" t="str">
        <f t="shared" si="1"/>
        <v/>
      </c>
      <c r="F169" s="76" t="str">
        <f t="shared" si="2"/>
        <v/>
      </c>
      <c r="G169" s="79" t="str">
        <f>IF(A169&lt;&gt;"",SUMIFS(Transactions!$F$7:$F$991,Transactions!$D$7:$D$991,"Credit",Transactions!$H$7:$H$991,A169),"")</f>
        <v/>
      </c>
      <c r="H169" s="74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9.5" customHeight="1">
      <c r="A170" s="80" t="str">
        <f>IF(Roster!$A$168&lt;&gt;"",Roster!$A$168,"")</f>
        <v/>
      </c>
      <c r="B170" s="80" t="str">
        <f t="array" ref="B170">IF(A170&lt;&gt;"",IFERROR(SUMPRODUCT((INDEX(Attendance!$B$7:$AV$206,MATCH(A170,Attendance!$A$7:$A$206,0),0)=1)*Attendance!$B$4:$AV$4),0),"")</f>
        <v/>
      </c>
      <c r="C170" s="81" t="str">
        <f>IF(A170&lt;&gt;"",SUMIFS(Transactions!$F$7:$F$991,Transactions!$D$7:$D$991,"Income",Transactions!$E$7:$E$991,A170),"")</f>
        <v/>
      </c>
      <c r="D170" s="81" t="str">
        <f>IF(A170&lt;&gt;"",SUMIFS(Transactions!$F$7:$F$991,Transactions!$D$7:$D$991,"Expense",Transactions!$E$7:$E$991,A170),"")</f>
        <v/>
      </c>
      <c r="E170" s="82" t="str">
        <f t="shared" si="1"/>
        <v/>
      </c>
      <c r="F170" s="82" t="str">
        <f t="shared" si="2"/>
        <v/>
      </c>
      <c r="G170" s="79" t="str">
        <f>IF(A170&lt;&gt;"",SUMIFS(Transactions!$F$7:$F$991,Transactions!$D$7:$D$991,"Credit",Transactions!$H$7:$H$991,A170),"")</f>
        <v/>
      </c>
      <c r="H170" s="74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9.5" customHeight="1">
      <c r="A171" s="69" t="str">
        <f>IF(Roster!$A$169&lt;&gt;"",Roster!$A$169,"")</f>
        <v/>
      </c>
      <c r="B171" s="69" t="str">
        <f t="array" ref="B171">IF(A171&lt;&gt;"",IFERROR(SUMPRODUCT((INDEX(Attendance!$B$7:$AV$206,MATCH(A171,Attendance!$A$7:$A$206,0),0)=1)*Attendance!$B$4:$AV$4),0),"")</f>
        <v/>
      </c>
      <c r="C171" s="78" t="str">
        <f>IF(A171&lt;&gt;"",SUMIFS(Transactions!$F$7:$F$991,Transactions!$D$7:$D$991,"Income",Transactions!$E$7:$E$991,A171),"")</f>
        <v/>
      </c>
      <c r="D171" s="78" t="str">
        <f>IF(A171&lt;&gt;"",SUMIFS(Transactions!$F$7:$F$991,Transactions!$D$7:$D$991,"Expense",Transactions!$E$7:$E$991,A171),"")</f>
        <v/>
      </c>
      <c r="E171" s="76" t="str">
        <f t="shared" si="1"/>
        <v/>
      </c>
      <c r="F171" s="76" t="str">
        <f t="shared" si="2"/>
        <v/>
      </c>
      <c r="G171" s="79" t="str">
        <f>IF(A171&lt;&gt;"",SUMIFS(Transactions!$F$7:$F$991,Transactions!$D$7:$D$991,"Credit",Transactions!$H$7:$H$991,A171),"")</f>
        <v/>
      </c>
      <c r="H171" s="74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9.5" customHeight="1">
      <c r="A172" s="80" t="str">
        <f>IF(Roster!$A$170&lt;&gt;"",Roster!$A$170,"")</f>
        <v/>
      </c>
      <c r="B172" s="80" t="str">
        <f t="array" ref="B172">IF(A172&lt;&gt;"",IFERROR(SUMPRODUCT((INDEX(Attendance!$B$7:$AV$206,MATCH(A172,Attendance!$A$7:$A$206,0),0)=1)*Attendance!$B$4:$AV$4),0),"")</f>
        <v/>
      </c>
      <c r="C172" s="81" t="str">
        <f>IF(A172&lt;&gt;"",SUMIFS(Transactions!$F$7:$F$991,Transactions!$D$7:$D$991,"Income",Transactions!$E$7:$E$991,A172),"")</f>
        <v/>
      </c>
      <c r="D172" s="81" t="str">
        <f>IF(A172&lt;&gt;"",SUMIFS(Transactions!$F$7:$F$991,Transactions!$D$7:$D$991,"Expense",Transactions!$E$7:$E$991,A172),"")</f>
        <v/>
      </c>
      <c r="E172" s="82" t="str">
        <f t="shared" si="1"/>
        <v/>
      </c>
      <c r="F172" s="82" t="str">
        <f t="shared" si="2"/>
        <v/>
      </c>
      <c r="G172" s="79" t="str">
        <f>IF(A172&lt;&gt;"",SUMIFS(Transactions!$F$7:$F$991,Transactions!$D$7:$D$991,"Credit",Transactions!$H$7:$H$991,A172),"")</f>
        <v/>
      </c>
      <c r="H172" s="74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9.5" customHeight="1">
      <c r="A173" s="69" t="str">
        <f>IF(Roster!$A$171&lt;&gt;"",Roster!$A$171,"")</f>
        <v/>
      </c>
      <c r="B173" s="69" t="str">
        <f t="array" ref="B173">IF(A173&lt;&gt;"",IFERROR(SUMPRODUCT((INDEX(Attendance!$B$7:$AV$206,MATCH(A173,Attendance!$A$7:$A$206,0),0)=1)*Attendance!$B$4:$AV$4),0),"")</f>
        <v/>
      </c>
      <c r="C173" s="78" t="str">
        <f>IF(A173&lt;&gt;"",SUMIFS(Transactions!$F$7:$F$991,Transactions!$D$7:$D$991,"Income",Transactions!$E$7:$E$991,A173),"")</f>
        <v/>
      </c>
      <c r="D173" s="78" t="str">
        <f>IF(A173&lt;&gt;"",SUMIFS(Transactions!$F$7:$F$991,Transactions!$D$7:$D$991,"Expense",Transactions!$E$7:$E$991,A173),"")</f>
        <v/>
      </c>
      <c r="E173" s="76" t="str">
        <f t="shared" si="1"/>
        <v/>
      </c>
      <c r="F173" s="76" t="str">
        <f t="shared" si="2"/>
        <v/>
      </c>
      <c r="G173" s="79" t="str">
        <f>IF(A173&lt;&gt;"",SUMIFS(Transactions!$F$7:$F$991,Transactions!$D$7:$D$991,"Credit",Transactions!$H$7:$H$991,A173),"")</f>
        <v/>
      </c>
      <c r="H173" s="74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9.5" customHeight="1">
      <c r="A174" s="80" t="str">
        <f>IF(Roster!$A$172&lt;&gt;"",Roster!$A$172,"")</f>
        <v/>
      </c>
      <c r="B174" s="80" t="str">
        <f t="array" ref="B174">IF(A174&lt;&gt;"",IFERROR(SUMPRODUCT((INDEX(Attendance!$B$7:$AV$206,MATCH(A174,Attendance!$A$7:$A$206,0),0)=1)*Attendance!$B$4:$AV$4),0),"")</f>
        <v/>
      </c>
      <c r="C174" s="81" t="str">
        <f>IF(A174&lt;&gt;"",SUMIFS(Transactions!$F$7:$F$991,Transactions!$D$7:$D$991,"Income",Transactions!$E$7:$E$991,A174),"")</f>
        <v/>
      </c>
      <c r="D174" s="81" t="str">
        <f>IF(A174&lt;&gt;"",SUMIFS(Transactions!$F$7:$F$991,Transactions!$D$7:$D$991,"Expense",Transactions!$E$7:$E$991,A174),"")</f>
        <v/>
      </c>
      <c r="E174" s="82" t="str">
        <f t="shared" si="1"/>
        <v/>
      </c>
      <c r="F174" s="82" t="str">
        <f t="shared" si="2"/>
        <v/>
      </c>
      <c r="G174" s="79" t="str">
        <f>IF(A174&lt;&gt;"",SUMIFS(Transactions!$F$7:$F$991,Transactions!$D$7:$D$991,"Credit",Transactions!$H$7:$H$991,A174),"")</f>
        <v/>
      </c>
      <c r="H174" s="74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9.5" customHeight="1">
      <c r="A175" s="69" t="str">
        <f>IF(Roster!$A$173&lt;&gt;"",Roster!$A$173,"")</f>
        <v/>
      </c>
      <c r="B175" s="69" t="str">
        <f t="array" ref="B175">IF(A175&lt;&gt;"",IFERROR(SUMPRODUCT((INDEX(Attendance!$B$7:$AV$206,MATCH(A175,Attendance!$A$7:$A$206,0),0)=1)*Attendance!$B$4:$AV$4),0),"")</f>
        <v/>
      </c>
      <c r="C175" s="78" t="str">
        <f>IF(A175&lt;&gt;"",SUMIFS(Transactions!$F$7:$F$991,Transactions!$D$7:$D$991,"Income",Transactions!$E$7:$E$991,A175),"")</f>
        <v/>
      </c>
      <c r="D175" s="78" t="str">
        <f>IF(A175&lt;&gt;"",SUMIFS(Transactions!$F$7:$F$991,Transactions!$D$7:$D$991,"Expense",Transactions!$E$7:$E$991,A175),"")</f>
        <v/>
      </c>
      <c r="E175" s="76" t="str">
        <f t="shared" si="1"/>
        <v/>
      </c>
      <c r="F175" s="76" t="str">
        <f t="shared" si="2"/>
        <v/>
      </c>
      <c r="G175" s="79" t="str">
        <f>IF(A175&lt;&gt;"",SUMIFS(Transactions!$F$7:$F$991,Transactions!$D$7:$D$991,"Credit",Transactions!$H$7:$H$991,A175),"")</f>
        <v/>
      </c>
      <c r="H175" s="74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9.5" customHeight="1">
      <c r="A176" s="80" t="str">
        <f>IF(Roster!$A$174&lt;&gt;"",Roster!$A$174,"")</f>
        <v/>
      </c>
      <c r="B176" s="80" t="str">
        <f t="array" ref="B176">IF(A176&lt;&gt;"",IFERROR(SUMPRODUCT((INDEX(Attendance!$B$7:$AV$206,MATCH(A176,Attendance!$A$7:$A$206,0),0)=1)*Attendance!$B$4:$AV$4),0),"")</f>
        <v/>
      </c>
      <c r="C176" s="81" t="str">
        <f>IF(A176&lt;&gt;"",SUMIFS(Transactions!$F$7:$F$991,Transactions!$D$7:$D$991,"Income",Transactions!$E$7:$E$991,A176),"")</f>
        <v/>
      </c>
      <c r="D176" s="81" t="str">
        <f>IF(A176&lt;&gt;"",SUMIFS(Transactions!$F$7:$F$991,Transactions!$D$7:$D$991,"Expense",Transactions!$E$7:$E$991,A176),"")</f>
        <v/>
      </c>
      <c r="E176" s="82" t="str">
        <f t="shared" si="1"/>
        <v/>
      </c>
      <c r="F176" s="82" t="str">
        <f t="shared" si="2"/>
        <v/>
      </c>
      <c r="G176" s="79" t="str">
        <f>IF(A176&lt;&gt;"",SUMIFS(Transactions!$F$7:$F$991,Transactions!$D$7:$D$991,"Credit",Transactions!$H$7:$H$991,A176),"")</f>
        <v/>
      </c>
      <c r="H176" s="74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9.5" customHeight="1">
      <c r="A177" s="69" t="str">
        <f>IF(Roster!$A$175&lt;&gt;"",Roster!$A$175,"")</f>
        <v/>
      </c>
      <c r="B177" s="69" t="str">
        <f t="array" ref="B177">IF(A177&lt;&gt;"",IFERROR(SUMPRODUCT((INDEX(Attendance!$B$7:$AV$206,MATCH(A177,Attendance!$A$7:$A$206,0),0)=1)*Attendance!$B$4:$AV$4),0),"")</f>
        <v/>
      </c>
      <c r="C177" s="78" t="str">
        <f>IF(A177&lt;&gt;"",SUMIFS(Transactions!$F$7:$F$991,Transactions!$D$7:$D$991,"Income",Transactions!$E$7:$E$991,A177),"")</f>
        <v/>
      </c>
      <c r="D177" s="78" t="str">
        <f>IF(A177&lt;&gt;"",SUMIFS(Transactions!$F$7:$F$991,Transactions!$D$7:$D$991,"Expense",Transactions!$E$7:$E$991,A177),"")</f>
        <v/>
      </c>
      <c r="E177" s="76" t="str">
        <f t="shared" si="1"/>
        <v/>
      </c>
      <c r="F177" s="76" t="str">
        <f t="shared" si="2"/>
        <v/>
      </c>
      <c r="G177" s="79" t="str">
        <f>IF(A177&lt;&gt;"",SUMIFS(Transactions!$F$7:$F$991,Transactions!$D$7:$D$991,"Credit",Transactions!$H$7:$H$991,A177),"")</f>
        <v/>
      </c>
      <c r="H177" s="74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9.5" customHeight="1">
      <c r="A178" s="80" t="str">
        <f>IF(Roster!$A$176&lt;&gt;"",Roster!$A$176,"")</f>
        <v/>
      </c>
      <c r="B178" s="80" t="str">
        <f t="array" ref="B178">IF(A178&lt;&gt;"",IFERROR(SUMPRODUCT((INDEX(Attendance!$B$7:$AV$206,MATCH(A178,Attendance!$A$7:$A$206,0),0)=1)*Attendance!$B$4:$AV$4),0),"")</f>
        <v/>
      </c>
      <c r="C178" s="81" t="str">
        <f>IF(A178&lt;&gt;"",SUMIFS(Transactions!$F$7:$F$991,Transactions!$D$7:$D$991,"Income",Transactions!$E$7:$E$991,A178),"")</f>
        <v/>
      </c>
      <c r="D178" s="81" t="str">
        <f>IF(A178&lt;&gt;"",SUMIFS(Transactions!$F$7:$F$991,Transactions!$D$7:$D$991,"Expense",Transactions!$E$7:$E$991,A178),"")</f>
        <v/>
      </c>
      <c r="E178" s="82" t="str">
        <f t="shared" si="1"/>
        <v/>
      </c>
      <c r="F178" s="82" t="str">
        <f t="shared" si="2"/>
        <v/>
      </c>
      <c r="G178" s="79" t="str">
        <f>IF(A178&lt;&gt;"",SUMIFS(Transactions!$F$7:$F$991,Transactions!$D$7:$D$991,"Credit",Transactions!$H$7:$H$991,A178),"")</f>
        <v/>
      </c>
      <c r="H178" s="74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9.5" customHeight="1">
      <c r="A179" s="69" t="str">
        <f>IF(Roster!$A$177&lt;&gt;"",Roster!$A$177,"")</f>
        <v/>
      </c>
      <c r="B179" s="69" t="str">
        <f t="array" ref="B179">IF(A179&lt;&gt;"",IFERROR(SUMPRODUCT((INDEX(Attendance!$B$7:$AV$206,MATCH(A179,Attendance!$A$7:$A$206,0),0)=1)*Attendance!$B$4:$AV$4),0),"")</f>
        <v/>
      </c>
      <c r="C179" s="78" t="str">
        <f>IF(A179&lt;&gt;"",SUMIFS(Transactions!$F$7:$F$991,Transactions!$D$7:$D$991,"Income",Transactions!$E$7:$E$991,A179),"")</f>
        <v/>
      </c>
      <c r="D179" s="78" t="str">
        <f>IF(A179&lt;&gt;"",SUMIFS(Transactions!$F$7:$F$991,Transactions!$D$7:$D$991,"Expense",Transactions!$E$7:$E$991,A179),"")</f>
        <v/>
      </c>
      <c r="E179" s="76" t="str">
        <f t="shared" si="1"/>
        <v/>
      </c>
      <c r="F179" s="76" t="str">
        <f t="shared" si="2"/>
        <v/>
      </c>
      <c r="G179" s="79" t="str">
        <f>IF(A179&lt;&gt;"",SUMIFS(Transactions!$F$7:$F$991,Transactions!$D$7:$D$991,"Credit",Transactions!$H$7:$H$991,A179),"")</f>
        <v/>
      </c>
      <c r="H179" s="74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9.5" customHeight="1">
      <c r="A180" s="80" t="str">
        <f>IF(Roster!$A$178&lt;&gt;"",Roster!$A$178,"")</f>
        <v/>
      </c>
      <c r="B180" s="80" t="str">
        <f t="array" ref="B180">IF(A180&lt;&gt;"",IFERROR(SUMPRODUCT((INDEX(Attendance!$B$7:$AV$206,MATCH(A180,Attendance!$A$7:$A$206,0),0)=1)*Attendance!$B$4:$AV$4),0),"")</f>
        <v/>
      </c>
      <c r="C180" s="81" t="str">
        <f>IF(A180&lt;&gt;"",SUMIFS(Transactions!$F$7:$F$991,Transactions!$D$7:$D$991,"Income",Transactions!$E$7:$E$991,A180),"")</f>
        <v/>
      </c>
      <c r="D180" s="81" t="str">
        <f>IF(A180&lt;&gt;"",SUMIFS(Transactions!$F$7:$F$991,Transactions!$D$7:$D$991,"Expense",Transactions!$E$7:$E$991,A180),"")</f>
        <v/>
      </c>
      <c r="E180" s="82" t="str">
        <f t="shared" si="1"/>
        <v/>
      </c>
      <c r="F180" s="82" t="str">
        <f t="shared" si="2"/>
        <v/>
      </c>
      <c r="G180" s="79" t="str">
        <f>IF(A180&lt;&gt;"",SUMIFS(Transactions!$F$7:$F$991,Transactions!$D$7:$D$991,"Credit",Transactions!$H$7:$H$991,A180),"")</f>
        <v/>
      </c>
      <c r="H180" s="74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9.5" customHeight="1">
      <c r="A181" s="69" t="str">
        <f>IF(Roster!$A$179&lt;&gt;"",Roster!$A$179,"")</f>
        <v/>
      </c>
      <c r="B181" s="69" t="str">
        <f t="array" ref="B181">IF(A181&lt;&gt;"",IFERROR(SUMPRODUCT((INDEX(Attendance!$B$7:$AV$206,MATCH(A181,Attendance!$A$7:$A$206,0),0)=1)*Attendance!$B$4:$AV$4),0),"")</f>
        <v/>
      </c>
      <c r="C181" s="78" t="str">
        <f>IF(A181&lt;&gt;"",SUMIFS(Transactions!$F$7:$F$991,Transactions!$D$7:$D$991,"Income",Transactions!$E$7:$E$991,A181),"")</f>
        <v/>
      </c>
      <c r="D181" s="78" t="str">
        <f>IF(A181&lt;&gt;"",SUMIFS(Transactions!$F$7:$F$991,Transactions!$D$7:$D$991,"Expense",Transactions!$E$7:$E$991,A181),"")</f>
        <v/>
      </c>
      <c r="E181" s="76" t="str">
        <f t="shared" si="1"/>
        <v/>
      </c>
      <c r="F181" s="76" t="str">
        <f t="shared" si="2"/>
        <v/>
      </c>
      <c r="G181" s="79" t="str">
        <f>IF(A181&lt;&gt;"",SUMIFS(Transactions!$F$7:$F$991,Transactions!$D$7:$D$991,"Credit",Transactions!$H$7:$H$991,A181),"")</f>
        <v/>
      </c>
      <c r="H181" s="74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9.5" customHeight="1">
      <c r="A182" s="80" t="str">
        <f>IF(Roster!$A$180&lt;&gt;"",Roster!$A$180,"")</f>
        <v/>
      </c>
      <c r="B182" s="80" t="str">
        <f t="array" ref="B182">IF(A182&lt;&gt;"",IFERROR(SUMPRODUCT((INDEX(Attendance!$B$7:$AV$206,MATCH(A182,Attendance!$A$7:$A$206,0),0)=1)*Attendance!$B$4:$AV$4),0),"")</f>
        <v/>
      </c>
      <c r="C182" s="81" t="str">
        <f>IF(A182&lt;&gt;"",SUMIFS(Transactions!$F$7:$F$991,Transactions!$D$7:$D$991,"Income",Transactions!$E$7:$E$991,A182),"")</f>
        <v/>
      </c>
      <c r="D182" s="81" t="str">
        <f>IF(A182&lt;&gt;"",SUMIFS(Transactions!$F$7:$F$991,Transactions!$D$7:$D$991,"Expense",Transactions!$E$7:$E$991,A182),"")</f>
        <v/>
      </c>
      <c r="E182" s="82" t="str">
        <f t="shared" si="1"/>
        <v/>
      </c>
      <c r="F182" s="82" t="str">
        <f t="shared" si="2"/>
        <v/>
      </c>
      <c r="G182" s="79" t="str">
        <f>IF(A182&lt;&gt;"",SUMIFS(Transactions!$F$7:$F$991,Transactions!$D$7:$D$991,"Credit",Transactions!$H$7:$H$991,A182),"")</f>
        <v/>
      </c>
      <c r="H182" s="74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9.5" customHeight="1">
      <c r="A183" s="69" t="str">
        <f>IF(Roster!$A$181&lt;&gt;"",Roster!$A$181,"")</f>
        <v/>
      </c>
      <c r="B183" s="69" t="str">
        <f t="array" ref="B183">IF(A183&lt;&gt;"",IFERROR(SUMPRODUCT((INDEX(Attendance!$B$7:$AV$206,MATCH(A183,Attendance!$A$7:$A$206,0),0)=1)*Attendance!$B$4:$AV$4),0),"")</f>
        <v/>
      </c>
      <c r="C183" s="78" t="str">
        <f>IF(A183&lt;&gt;"",SUMIFS(Transactions!$F$7:$F$991,Transactions!$D$7:$D$991,"Income",Transactions!$E$7:$E$991,A183),"")</f>
        <v/>
      </c>
      <c r="D183" s="78" t="str">
        <f>IF(A183&lt;&gt;"",SUMIFS(Transactions!$F$7:$F$991,Transactions!$D$7:$D$991,"Expense",Transactions!$E$7:$E$991,A183),"")</f>
        <v/>
      </c>
      <c r="E183" s="76" t="str">
        <f t="shared" si="1"/>
        <v/>
      </c>
      <c r="F183" s="76" t="str">
        <f t="shared" si="2"/>
        <v/>
      </c>
      <c r="G183" s="79" t="str">
        <f>IF(A183&lt;&gt;"",SUMIFS(Transactions!$F$7:$F$991,Transactions!$D$7:$D$991,"Credit",Transactions!$H$7:$H$991,A183),"")</f>
        <v/>
      </c>
      <c r="H183" s="74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9.5" customHeight="1">
      <c r="A184" s="80" t="str">
        <f>IF(Roster!$A$182&lt;&gt;"",Roster!$A$182,"")</f>
        <v/>
      </c>
      <c r="B184" s="80" t="str">
        <f t="array" ref="B184">IF(A184&lt;&gt;"",IFERROR(SUMPRODUCT((INDEX(Attendance!$B$7:$AV$206,MATCH(A184,Attendance!$A$7:$A$206,0),0)=1)*Attendance!$B$4:$AV$4),0),"")</f>
        <v/>
      </c>
      <c r="C184" s="81" t="str">
        <f>IF(A184&lt;&gt;"",SUMIFS(Transactions!$F$7:$F$991,Transactions!$D$7:$D$991,"Income",Transactions!$E$7:$E$991,A184),"")</f>
        <v/>
      </c>
      <c r="D184" s="81" t="str">
        <f>IF(A184&lt;&gt;"",SUMIFS(Transactions!$F$7:$F$991,Transactions!$D$7:$D$991,"Expense",Transactions!$E$7:$E$991,A184),"")</f>
        <v/>
      </c>
      <c r="E184" s="82" t="str">
        <f t="shared" si="1"/>
        <v/>
      </c>
      <c r="F184" s="82" t="str">
        <f t="shared" si="2"/>
        <v/>
      </c>
      <c r="G184" s="79" t="str">
        <f>IF(A184&lt;&gt;"",SUMIFS(Transactions!$F$7:$F$991,Transactions!$D$7:$D$991,"Credit",Transactions!$H$7:$H$991,A184),"")</f>
        <v/>
      </c>
      <c r="H184" s="74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9.5" customHeight="1">
      <c r="A185" s="69" t="str">
        <f>IF(Roster!$A$183&lt;&gt;"",Roster!$A$183,"")</f>
        <v/>
      </c>
      <c r="B185" s="69" t="str">
        <f t="array" ref="B185">IF(A185&lt;&gt;"",IFERROR(SUMPRODUCT((INDEX(Attendance!$B$7:$AV$206,MATCH(A185,Attendance!$A$7:$A$206,0),0)=1)*Attendance!$B$4:$AV$4),0),"")</f>
        <v/>
      </c>
      <c r="C185" s="78" t="str">
        <f>IF(A185&lt;&gt;"",SUMIFS(Transactions!$F$7:$F$991,Transactions!$D$7:$D$991,"Income",Transactions!$E$7:$E$991,A185),"")</f>
        <v/>
      </c>
      <c r="D185" s="78" t="str">
        <f>IF(A185&lt;&gt;"",SUMIFS(Transactions!$F$7:$F$991,Transactions!$D$7:$D$991,"Expense",Transactions!$E$7:$E$991,A185),"")</f>
        <v/>
      </c>
      <c r="E185" s="76" t="str">
        <f t="shared" si="1"/>
        <v/>
      </c>
      <c r="F185" s="76" t="str">
        <f t="shared" si="2"/>
        <v/>
      </c>
      <c r="G185" s="79" t="str">
        <f>IF(A185&lt;&gt;"",SUMIFS(Transactions!$F$7:$F$991,Transactions!$D$7:$D$991,"Credit",Transactions!$H$7:$H$991,A185),"")</f>
        <v/>
      </c>
      <c r="H185" s="74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9.5" customHeight="1">
      <c r="A186" s="80" t="str">
        <f>IF(Roster!$A$184&lt;&gt;"",Roster!$A$184,"")</f>
        <v/>
      </c>
      <c r="B186" s="80" t="str">
        <f t="array" ref="B186">IF(A186&lt;&gt;"",IFERROR(SUMPRODUCT((INDEX(Attendance!$B$7:$AV$206,MATCH(A186,Attendance!$A$7:$A$206,0),0)=1)*Attendance!$B$4:$AV$4),0),"")</f>
        <v/>
      </c>
      <c r="C186" s="81" t="str">
        <f>IF(A186&lt;&gt;"",SUMIFS(Transactions!$F$7:$F$991,Transactions!$D$7:$D$991,"Income",Transactions!$E$7:$E$991,A186),"")</f>
        <v/>
      </c>
      <c r="D186" s="81" t="str">
        <f>IF(A186&lt;&gt;"",SUMIFS(Transactions!$F$7:$F$991,Transactions!$D$7:$D$991,"Expense",Transactions!$E$7:$E$991,A186),"")</f>
        <v/>
      </c>
      <c r="E186" s="82" t="str">
        <f t="shared" si="1"/>
        <v/>
      </c>
      <c r="F186" s="82" t="str">
        <f t="shared" si="2"/>
        <v/>
      </c>
      <c r="G186" s="79" t="str">
        <f>IF(A186&lt;&gt;"",SUMIFS(Transactions!$F$7:$F$991,Transactions!$D$7:$D$991,"Credit",Transactions!$H$7:$H$991,A186),"")</f>
        <v/>
      </c>
      <c r="H186" s="74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9.5" customHeight="1">
      <c r="A187" s="69" t="str">
        <f>IF(Roster!$A$185&lt;&gt;"",Roster!$A$185,"")</f>
        <v/>
      </c>
      <c r="B187" s="69" t="str">
        <f t="array" ref="B187">IF(A187&lt;&gt;"",IFERROR(SUMPRODUCT((INDEX(Attendance!$B$7:$AV$206,MATCH(A187,Attendance!$A$7:$A$206,0),0)=1)*Attendance!$B$4:$AV$4),0),"")</f>
        <v/>
      </c>
      <c r="C187" s="78" t="str">
        <f>IF(A187&lt;&gt;"",SUMIFS(Transactions!$F$7:$F$991,Transactions!$D$7:$D$991,"Income",Transactions!$E$7:$E$991,A187),"")</f>
        <v/>
      </c>
      <c r="D187" s="78" t="str">
        <f>IF(A187&lt;&gt;"",SUMIFS(Transactions!$F$7:$F$991,Transactions!$D$7:$D$991,"Expense",Transactions!$E$7:$E$991,A187),"")</f>
        <v/>
      </c>
      <c r="E187" s="76" t="str">
        <f t="shared" si="1"/>
        <v/>
      </c>
      <c r="F187" s="76" t="str">
        <f t="shared" si="2"/>
        <v/>
      </c>
      <c r="G187" s="79" t="str">
        <f>IF(A187&lt;&gt;"",SUMIFS(Transactions!$F$7:$F$991,Transactions!$D$7:$D$991,"Credit",Transactions!$H$7:$H$991,A187),"")</f>
        <v/>
      </c>
      <c r="H187" s="74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9.5" customHeight="1">
      <c r="A188" s="80" t="str">
        <f>IF(Roster!$A$186&lt;&gt;"",Roster!$A$186,"")</f>
        <v/>
      </c>
      <c r="B188" s="80" t="str">
        <f t="array" ref="B188">IF(A188&lt;&gt;"",IFERROR(SUMPRODUCT((INDEX(Attendance!$B$7:$AV$206,MATCH(A188,Attendance!$A$7:$A$206,0),0)=1)*Attendance!$B$4:$AV$4),0),"")</f>
        <v/>
      </c>
      <c r="C188" s="81" t="str">
        <f>IF(A188&lt;&gt;"",SUMIFS(Transactions!$F$7:$F$991,Transactions!$D$7:$D$991,"Income",Transactions!$E$7:$E$991,A188),"")</f>
        <v/>
      </c>
      <c r="D188" s="81" t="str">
        <f>IF(A188&lt;&gt;"",SUMIFS(Transactions!$F$7:$F$991,Transactions!$D$7:$D$991,"Expense",Transactions!$E$7:$E$991,A188),"")</f>
        <v/>
      </c>
      <c r="E188" s="82" t="str">
        <f t="shared" si="1"/>
        <v/>
      </c>
      <c r="F188" s="82" t="str">
        <f t="shared" si="2"/>
        <v/>
      </c>
      <c r="G188" s="79" t="str">
        <f>IF(A188&lt;&gt;"",SUMIFS(Transactions!$F$7:$F$991,Transactions!$D$7:$D$991,"Credit",Transactions!$H$7:$H$991,A188),"")</f>
        <v/>
      </c>
      <c r="H188" s="74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9.5" customHeight="1">
      <c r="A189" s="69" t="str">
        <f>IF(Roster!$A$187&lt;&gt;"",Roster!$A$187,"")</f>
        <v/>
      </c>
      <c r="B189" s="69" t="str">
        <f t="array" ref="B189">IF(A189&lt;&gt;"",IFERROR(SUMPRODUCT((INDEX(Attendance!$B$7:$AV$206,MATCH(A189,Attendance!$A$7:$A$206,0),0)=1)*Attendance!$B$4:$AV$4),0),"")</f>
        <v/>
      </c>
      <c r="C189" s="78" t="str">
        <f>IF(A189&lt;&gt;"",SUMIFS(Transactions!$F$7:$F$991,Transactions!$D$7:$D$991,"Income",Transactions!$E$7:$E$991,A189),"")</f>
        <v/>
      </c>
      <c r="D189" s="78" t="str">
        <f>IF(A189&lt;&gt;"",SUMIFS(Transactions!$F$7:$F$991,Transactions!$D$7:$D$991,"Expense",Transactions!$E$7:$E$991,A189),"")</f>
        <v/>
      </c>
      <c r="E189" s="76" t="str">
        <f t="shared" si="1"/>
        <v/>
      </c>
      <c r="F189" s="76" t="str">
        <f t="shared" si="2"/>
        <v/>
      </c>
      <c r="G189" s="79" t="str">
        <f>IF(A189&lt;&gt;"",SUMIFS(Transactions!$F$7:$F$991,Transactions!$D$7:$D$991,"Credit",Transactions!$H$7:$H$991,A189),"")</f>
        <v/>
      </c>
      <c r="H189" s="74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9.5" customHeight="1">
      <c r="A190" s="80" t="str">
        <f>IF(Roster!$A$188&lt;&gt;"",Roster!$A$188,"")</f>
        <v/>
      </c>
      <c r="B190" s="80" t="str">
        <f t="array" ref="B190">IF(A190&lt;&gt;"",IFERROR(SUMPRODUCT((INDEX(Attendance!$B$7:$AV$206,MATCH(A190,Attendance!$A$7:$A$206,0),0)=1)*Attendance!$B$4:$AV$4),0),"")</f>
        <v/>
      </c>
      <c r="C190" s="81" t="str">
        <f>IF(A190&lt;&gt;"",SUMIFS(Transactions!$F$7:$F$991,Transactions!$D$7:$D$991,"Income",Transactions!$E$7:$E$991,A190),"")</f>
        <v/>
      </c>
      <c r="D190" s="81" t="str">
        <f>IF(A190&lt;&gt;"",SUMIFS(Transactions!$F$7:$F$991,Transactions!$D$7:$D$991,"Expense",Transactions!$E$7:$E$991,A190),"")</f>
        <v/>
      </c>
      <c r="E190" s="82" t="str">
        <f t="shared" si="1"/>
        <v/>
      </c>
      <c r="F190" s="82" t="str">
        <f t="shared" si="2"/>
        <v/>
      </c>
      <c r="G190" s="79" t="str">
        <f>IF(A190&lt;&gt;"",SUMIFS(Transactions!$F$7:$F$991,Transactions!$D$7:$D$991,"Credit",Transactions!$H$7:$H$991,A190),"")</f>
        <v/>
      </c>
      <c r="H190" s="74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9.5" customHeight="1">
      <c r="A191" s="69" t="str">
        <f>IF(Roster!$A$189&lt;&gt;"",Roster!$A$189,"")</f>
        <v/>
      </c>
      <c r="B191" s="69" t="str">
        <f t="array" ref="B191">IF(A191&lt;&gt;"",IFERROR(SUMPRODUCT((INDEX(Attendance!$B$7:$AV$206,MATCH(A191,Attendance!$A$7:$A$206,0),0)=1)*Attendance!$B$4:$AV$4),0),"")</f>
        <v/>
      </c>
      <c r="C191" s="78" t="str">
        <f>IF(A191&lt;&gt;"",SUMIFS(Transactions!$F$7:$F$991,Transactions!$D$7:$D$991,"Income",Transactions!$E$7:$E$991,A191),"")</f>
        <v/>
      </c>
      <c r="D191" s="78" t="str">
        <f>IF(A191&lt;&gt;"",SUMIFS(Transactions!$F$7:$F$991,Transactions!$D$7:$D$991,"Expense",Transactions!$E$7:$E$991,A191),"")</f>
        <v/>
      </c>
      <c r="E191" s="76" t="str">
        <f t="shared" si="1"/>
        <v/>
      </c>
      <c r="F191" s="76" t="str">
        <f t="shared" si="2"/>
        <v/>
      </c>
      <c r="G191" s="79" t="str">
        <f>IF(A191&lt;&gt;"",SUMIFS(Transactions!$F$7:$F$991,Transactions!$D$7:$D$991,"Credit",Transactions!$H$7:$H$991,A191),"")</f>
        <v/>
      </c>
      <c r="H191" s="74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9.5" customHeight="1">
      <c r="A192" s="80" t="str">
        <f>IF(Roster!$A$190&lt;&gt;"",Roster!$A$190,"")</f>
        <v/>
      </c>
      <c r="B192" s="80" t="str">
        <f t="array" ref="B192">IF(A192&lt;&gt;"",IFERROR(SUMPRODUCT((INDEX(Attendance!$B$7:$AV$206,MATCH(A192,Attendance!$A$7:$A$206,0),0)=1)*Attendance!$B$4:$AV$4),0),"")</f>
        <v/>
      </c>
      <c r="C192" s="81" t="str">
        <f>IF(A192&lt;&gt;"",SUMIFS(Transactions!$F$7:$F$991,Transactions!$D$7:$D$991,"Income",Transactions!$E$7:$E$991,A192),"")</f>
        <v/>
      </c>
      <c r="D192" s="81" t="str">
        <f>IF(A192&lt;&gt;"",SUMIFS(Transactions!$F$7:$F$991,Transactions!$D$7:$D$991,"Expense",Transactions!$E$7:$E$991,A192),"")</f>
        <v/>
      </c>
      <c r="E192" s="82" t="str">
        <f t="shared" si="1"/>
        <v/>
      </c>
      <c r="F192" s="82" t="str">
        <f t="shared" si="2"/>
        <v/>
      </c>
      <c r="G192" s="79" t="str">
        <f>IF(A192&lt;&gt;"",SUMIFS(Transactions!$F$7:$F$991,Transactions!$D$7:$D$991,"Credit",Transactions!$H$7:$H$991,A192),"")</f>
        <v/>
      </c>
      <c r="H192" s="74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9.5" customHeight="1">
      <c r="A193" s="69" t="str">
        <f>IF(Roster!$A$191&lt;&gt;"",Roster!$A$191,"")</f>
        <v/>
      </c>
      <c r="B193" s="69" t="str">
        <f t="array" ref="B193">IF(A193&lt;&gt;"",IFERROR(SUMPRODUCT((INDEX(Attendance!$B$7:$AV$206,MATCH(A193,Attendance!$A$7:$A$206,0),0)=1)*Attendance!$B$4:$AV$4),0),"")</f>
        <v/>
      </c>
      <c r="C193" s="78" t="str">
        <f>IF(A193&lt;&gt;"",SUMIFS(Transactions!$F$7:$F$991,Transactions!$D$7:$D$991,"Income",Transactions!$E$7:$E$991,A193),"")</f>
        <v/>
      </c>
      <c r="D193" s="78" t="str">
        <f>IF(A193&lt;&gt;"",SUMIFS(Transactions!$F$7:$F$991,Transactions!$D$7:$D$991,"Expense",Transactions!$E$7:$E$991,A193),"")</f>
        <v/>
      </c>
      <c r="E193" s="76" t="str">
        <f t="shared" si="1"/>
        <v/>
      </c>
      <c r="F193" s="76" t="str">
        <f t="shared" si="2"/>
        <v/>
      </c>
      <c r="G193" s="79" t="str">
        <f>IF(A193&lt;&gt;"",SUMIFS(Transactions!$F$7:$F$991,Transactions!$D$7:$D$991,"Credit",Transactions!$H$7:$H$991,A193),"")</f>
        <v/>
      </c>
      <c r="H193" s="74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9.5" customHeight="1">
      <c r="A194" s="80" t="str">
        <f>IF(Roster!$A$192&lt;&gt;"",Roster!$A$192,"")</f>
        <v/>
      </c>
      <c r="B194" s="80" t="str">
        <f t="array" ref="B194">IF(A194&lt;&gt;"",IFERROR(SUMPRODUCT((INDEX(Attendance!$B$7:$AV$206,MATCH(A194,Attendance!$A$7:$A$206,0),0)=1)*Attendance!$B$4:$AV$4),0),"")</f>
        <v/>
      </c>
      <c r="C194" s="81" t="str">
        <f>IF(A194&lt;&gt;"",SUMIFS(Transactions!$F$7:$F$991,Transactions!$D$7:$D$991,"Income",Transactions!$E$7:$E$991,A194),"")</f>
        <v/>
      </c>
      <c r="D194" s="81" t="str">
        <f>IF(A194&lt;&gt;"",SUMIFS(Transactions!$F$7:$F$991,Transactions!$D$7:$D$991,"Expense",Transactions!$E$7:$E$991,A194),"")</f>
        <v/>
      </c>
      <c r="E194" s="82" t="str">
        <f t="shared" si="1"/>
        <v/>
      </c>
      <c r="F194" s="82" t="str">
        <f t="shared" si="2"/>
        <v/>
      </c>
      <c r="G194" s="79" t="str">
        <f>IF(A194&lt;&gt;"",SUMIFS(Transactions!$F$7:$F$991,Transactions!$D$7:$D$991,"Credit",Transactions!$H$7:$H$991,A194),"")</f>
        <v/>
      </c>
      <c r="H194" s="74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9.5" customHeight="1">
      <c r="A195" s="69" t="str">
        <f>IF(Roster!$A$193&lt;&gt;"",Roster!$A$193,"")</f>
        <v/>
      </c>
      <c r="B195" s="69" t="str">
        <f t="array" ref="B195">IF(A195&lt;&gt;"",IFERROR(SUMPRODUCT((INDEX(Attendance!$B$7:$AV$206,MATCH(A195,Attendance!$A$7:$A$206,0),0)=1)*Attendance!$B$4:$AV$4),0),"")</f>
        <v/>
      </c>
      <c r="C195" s="78" t="str">
        <f>IF(A195&lt;&gt;"",SUMIFS(Transactions!$F$7:$F$991,Transactions!$D$7:$D$991,"Income",Transactions!$E$7:$E$991,A195),"")</f>
        <v/>
      </c>
      <c r="D195" s="78" t="str">
        <f>IF(A195&lt;&gt;"",SUMIFS(Transactions!$F$7:$F$991,Transactions!$D$7:$D$991,"Expense",Transactions!$E$7:$E$991,A195),"")</f>
        <v/>
      </c>
      <c r="E195" s="76" t="str">
        <f t="shared" si="1"/>
        <v/>
      </c>
      <c r="F195" s="76" t="str">
        <f t="shared" si="2"/>
        <v/>
      </c>
      <c r="G195" s="79" t="str">
        <f>IF(A195&lt;&gt;"",SUMIFS(Transactions!$F$7:$F$991,Transactions!$D$7:$D$991,"Credit",Transactions!$H$7:$H$991,A195),"")</f>
        <v/>
      </c>
      <c r="H195" s="74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9.5" customHeight="1">
      <c r="A196" s="80" t="str">
        <f>IF(Roster!$A$194&lt;&gt;"",Roster!$A$194,"")</f>
        <v/>
      </c>
      <c r="B196" s="80" t="str">
        <f t="array" ref="B196">IF(A196&lt;&gt;"",IFERROR(SUMPRODUCT((INDEX(Attendance!$B$7:$AV$206,MATCH(A196,Attendance!$A$7:$A$206,0),0)=1)*Attendance!$B$4:$AV$4),0),"")</f>
        <v/>
      </c>
      <c r="C196" s="81" t="str">
        <f>IF(A196&lt;&gt;"",SUMIFS(Transactions!$F$7:$F$991,Transactions!$D$7:$D$991,"Income",Transactions!$E$7:$E$991,A196),"")</f>
        <v/>
      </c>
      <c r="D196" s="81" t="str">
        <f>IF(A196&lt;&gt;"",SUMIFS(Transactions!$F$7:$F$991,Transactions!$D$7:$D$991,"Expense",Transactions!$E$7:$E$991,A196),"")</f>
        <v/>
      </c>
      <c r="E196" s="82" t="str">
        <f t="shared" si="1"/>
        <v/>
      </c>
      <c r="F196" s="82" t="str">
        <f t="shared" si="2"/>
        <v/>
      </c>
      <c r="G196" s="79" t="str">
        <f>IF(A196&lt;&gt;"",SUMIFS(Transactions!$F$7:$F$991,Transactions!$D$7:$D$991,"Credit",Transactions!$H$7:$H$991,A196),"")</f>
        <v/>
      </c>
      <c r="H196" s="74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9.5" customHeight="1">
      <c r="A197" s="69" t="str">
        <f>IF(Roster!$A$195&lt;&gt;"",Roster!$A$195,"")</f>
        <v/>
      </c>
      <c r="B197" s="69" t="str">
        <f t="array" ref="B197">IF(A197&lt;&gt;"",IFERROR(SUMPRODUCT((INDEX(Attendance!$B$7:$AV$206,MATCH(A197,Attendance!$A$7:$A$206,0),0)=1)*Attendance!$B$4:$AV$4),0),"")</f>
        <v/>
      </c>
      <c r="C197" s="78" t="str">
        <f>IF(A197&lt;&gt;"",SUMIFS(Transactions!$F$7:$F$991,Transactions!$D$7:$D$991,"Income",Transactions!$E$7:$E$991,A197),"")</f>
        <v/>
      </c>
      <c r="D197" s="78" t="str">
        <f>IF(A197&lt;&gt;"",SUMIFS(Transactions!$F$7:$F$991,Transactions!$D$7:$D$991,"Expense",Transactions!$E$7:$E$991,A197),"")</f>
        <v/>
      </c>
      <c r="E197" s="76" t="str">
        <f t="shared" si="1"/>
        <v/>
      </c>
      <c r="F197" s="76" t="str">
        <f t="shared" si="2"/>
        <v/>
      </c>
      <c r="G197" s="79" t="str">
        <f>IF(A197&lt;&gt;"",SUMIFS(Transactions!$F$7:$F$991,Transactions!$D$7:$D$991,"Credit",Transactions!$H$7:$H$991,A197),"")</f>
        <v/>
      </c>
      <c r="H197" s="74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9.5" customHeight="1">
      <c r="A198" s="80" t="str">
        <f>IF(Roster!$A$196&lt;&gt;"",Roster!$A$196,"")</f>
        <v/>
      </c>
      <c r="B198" s="80" t="str">
        <f t="array" ref="B198">IF(A198&lt;&gt;"",IFERROR(SUMPRODUCT((INDEX(Attendance!$B$7:$AV$206,MATCH(A198,Attendance!$A$7:$A$206,0),0)=1)*Attendance!$B$4:$AV$4),0),"")</f>
        <v/>
      </c>
      <c r="C198" s="81" t="str">
        <f>IF(A198&lt;&gt;"",SUMIFS(Transactions!$F$7:$F$991,Transactions!$D$7:$D$991,"Income",Transactions!$E$7:$E$991,A198),"")</f>
        <v/>
      </c>
      <c r="D198" s="81" t="str">
        <f>IF(A198&lt;&gt;"",SUMIFS(Transactions!$F$7:$F$991,Transactions!$D$7:$D$991,"Expense",Transactions!$E$7:$E$991,A198),"")</f>
        <v/>
      </c>
      <c r="E198" s="82" t="str">
        <f t="shared" si="1"/>
        <v/>
      </c>
      <c r="F198" s="82" t="str">
        <f t="shared" si="2"/>
        <v/>
      </c>
      <c r="G198" s="79" t="str">
        <f>IF(A198&lt;&gt;"",SUMIFS(Transactions!$F$7:$F$991,Transactions!$D$7:$D$991,"Credit",Transactions!$H$7:$H$991,A198),"")</f>
        <v/>
      </c>
      <c r="H198" s="74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9.5" customHeight="1">
      <c r="A199" s="69" t="str">
        <f>IF(Roster!$A$197&lt;&gt;"",Roster!$A$197,"")</f>
        <v/>
      </c>
      <c r="B199" s="69" t="str">
        <f t="array" ref="B199">IF(A199&lt;&gt;"",IFERROR(SUMPRODUCT((INDEX(Attendance!$B$7:$AV$206,MATCH(A199,Attendance!$A$7:$A$206,0),0)=1)*Attendance!$B$4:$AV$4),0),"")</f>
        <v/>
      </c>
      <c r="C199" s="78" t="str">
        <f>IF(A199&lt;&gt;"",SUMIFS(Transactions!$F$7:$F$991,Transactions!$D$7:$D$991,"Income",Transactions!$E$7:$E$991,A199),"")</f>
        <v/>
      </c>
      <c r="D199" s="78" t="str">
        <f>IF(A199&lt;&gt;"",SUMIFS(Transactions!$F$7:$F$991,Transactions!$D$7:$D$991,"Expense",Transactions!$E$7:$E$991,A199),"")</f>
        <v/>
      </c>
      <c r="E199" s="76" t="str">
        <f t="shared" si="1"/>
        <v/>
      </c>
      <c r="F199" s="76" t="str">
        <f t="shared" si="2"/>
        <v/>
      </c>
      <c r="G199" s="79" t="str">
        <f>IF(A199&lt;&gt;"",SUMIFS(Transactions!$F$7:$F$991,Transactions!$D$7:$D$991,"Credit",Transactions!$H$7:$H$991,A199),"")</f>
        <v/>
      </c>
      <c r="H199" s="74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9.5" customHeight="1">
      <c r="A200" s="80" t="str">
        <f>IF(Roster!$A$198&lt;&gt;"",Roster!$A$198,"")</f>
        <v/>
      </c>
      <c r="B200" s="80" t="str">
        <f t="array" ref="B200">IF(A200&lt;&gt;"",IFERROR(SUMPRODUCT((INDEX(Attendance!$B$7:$AV$206,MATCH(A200,Attendance!$A$7:$A$206,0),0)=1)*Attendance!$B$4:$AV$4),0),"")</f>
        <v/>
      </c>
      <c r="C200" s="81" t="str">
        <f>IF(A200&lt;&gt;"",SUMIFS(Transactions!$F$7:$F$991,Transactions!$D$7:$D$991,"Income",Transactions!$E$7:$E$991,A200),"")</f>
        <v/>
      </c>
      <c r="D200" s="81" t="str">
        <f>IF(A200&lt;&gt;"",SUMIFS(Transactions!$F$7:$F$991,Transactions!$D$7:$D$991,"Expense",Transactions!$E$7:$E$991,A200),"")</f>
        <v/>
      </c>
      <c r="E200" s="82" t="str">
        <f t="shared" si="1"/>
        <v/>
      </c>
      <c r="F200" s="82" t="str">
        <f t="shared" si="2"/>
        <v/>
      </c>
      <c r="G200" s="79" t="str">
        <f>IF(A200&lt;&gt;"",SUMIFS(Transactions!$F$7:$F$991,Transactions!$D$7:$D$991,"Credit",Transactions!$H$7:$H$991,A200),"")</f>
        <v/>
      </c>
      <c r="H200" s="74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9.5" customHeight="1">
      <c r="A201" s="69" t="str">
        <f>IF(Roster!$A$199&lt;&gt;"",Roster!$A$199,"")</f>
        <v/>
      </c>
      <c r="B201" s="69" t="str">
        <f t="array" ref="B201">IF(A201&lt;&gt;"",IFERROR(SUMPRODUCT((INDEX(Attendance!$B$7:$AV$206,MATCH(A201,Attendance!$A$7:$A$206,0),0)=1)*Attendance!$B$4:$AV$4),0),"")</f>
        <v/>
      </c>
      <c r="C201" s="78" t="str">
        <f>IF(A201&lt;&gt;"",SUMIFS(Transactions!$F$7:$F$991,Transactions!$D$7:$D$991,"Income",Transactions!$E$7:$E$991,A201),"")</f>
        <v/>
      </c>
      <c r="D201" s="78" t="str">
        <f>IF(A201&lt;&gt;"",SUMIFS(Transactions!$F$7:$F$991,Transactions!$D$7:$D$991,"Expense",Transactions!$E$7:$E$991,A201),"")</f>
        <v/>
      </c>
      <c r="E201" s="76" t="str">
        <f t="shared" si="1"/>
        <v/>
      </c>
      <c r="F201" s="76" t="str">
        <f t="shared" si="2"/>
        <v/>
      </c>
      <c r="G201" s="79" t="str">
        <f>IF(A201&lt;&gt;"",SUMIFS(Transactions!$F$7:$F$991,Transactions!$D$7:$D$991,"Credit",Transactions!$H$7:$H$991,A201),"")</f>
        <v/>
      </c>
      <c r="H201" s="74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9.5" customHeight="1">
      <c r="A202" s="80" t="str">
        <f>IF(Roster!$A$200&lt;&gt;"",Roster!$A$200,"")</f>
        <v/>
      </c>
      <c r="B202" s="80" t="str">
        <f t="array" ref="B202">IF(A202&lt;&gt;"",IFERROR(SUMPRODUCT((INDEX(Attendance!$B$7:$AV$206,MATCH(A202,Attendance!$A$7:$A$206,0),0)=1)*Attendance!$B$4:$AV$4),0),"")</f>
        <v/>
      </c>
      <c r="C202" s="81" t="str">
        <f>IF(A202&lt;&gt;"",SUMIFS(Transactions!$F$7:$F$991,Transactions!$D$7:$D$991,"Income",Transactions!$E$7:$E$991,A202),"")</f>
        <v/>
      </c>
      <c r="D202" s="81" t="str">
        <f>IF(A202&lt;&gt;"",SUMIFS(Transactions!$F$7:$F$991,Transactions!$D$7:$D$991,"Expense",Transactions!$E$7:$E$991,A202),"")</f>
        <v/>
      </c>
      <c r="E202" s="82" t="str">
        <f t="shared" si="1"/>
        <v/>
      </c>
      <c r="F202" s="82" t="str">
        <f t="shared" si="2"/>
        <v/>
      </c>
      <c r="G202" s="79" t="str">
        <f>IF(A202&lt;&gt;"",SUMIFS(Transactions!$F$7:$F$991,Transactions!$D$7:$D$991,"Credit",Transactions!$H$7:$H$991,A202),"")</f>
        <v/>
      </c>
      <c r="H202" s="74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9.5" customHeight="1">
      <c r="A203" s="69" t="str">
        <f>IF(Roster!$A$201&lt;&gt;"",Roster!$A$201,"")</f>
        <v/>
      </c>
      <c r="B203" s="69" t="str">
        <f t="array" ref="B203">IF(A203&lt;&gt;"",IFERROR(SUMPRODUCT((INDEX(Attendance!$B$7:$AV$206,MATCH(A203,Attendance!$A$7:$A$206,0),0)=1)*Attendance!$B$4:$AV$4),0),"")</f>
        <v/>
      </c>
      <c r="C203" s="78" t="str">
        <f>IF(A203&lt;&gt;"",SUMIFS(Transactions!$F$7:$F$991,Transactions!$D$7:$D$991,"Income",Transactions!$E$7:$E$991,A203),"")</f>
        <v/>
      </c>
      <c r="D203" s="78" t="str">
        <f>IF(A203&lt;&gt;"",SUMIFS(Transactions!$F$7:$F$991,Transactions!$D$7:$D$991,"Expense",Transactions!$E$7:$E$991,A203),"")</f>
        <v/>
      </c>
      <c r="E203" s="76" t="str">
        <f t="shared" si="1"/>
        <v/>
      </c>
      <c r="F203" s="76" t="str">
        <f t="shared" si="2"/>
        <v/>
      </c>
      <c r="G203" s="79" t="str">
        <f>IF(A203&lt;&gt;"",SUMIFS(Transactions!$F$7:$F$991,Transactions!$D$7:$D$991,"Credit",Transactions!$H$7:$H$991,A203),"")</f>
        <v/>
      </c>
      <c r="H203" s="74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9.5" customHeight="1">
      <c r="A204" s="80" t="str">
        <f>IF(Roster!$A$202&lt;&gt;"",Roster!$A$202,"")</f>
        <v/>
      </c>
      <c r="B204" s="80" t="str">
        <f t="array" ref="B204">IF(A204&lt;&gt;"",IFERROR(SUMPRODUCT((INDEX(Attendance!$B$7:$AV$206,MATCH(A204,Attendance!$A$7:$A$206,0),0)=1)*Attendance!$B$4:$AV$4),0),"")</f>
        <v/>
      </c>
      <c r="C204" s="81" t="str">
        <f>IF(A204&lt;&gt;"",SUMIFS(Transactions!$F$7:$F$991,Transactions!$D$7:$D$991,"Income",Transactions!$E$7:$E$991,A204),"")</f>
        <v/>
      </c>
      <c r="D204" s="81" t="str">
        <f>IF(A204&lt;&gt;"",SUMIFS(Transactions!$F$7:$F$991,Transactions!$D$7:$D$991,"Expense",Transactions!$E$7:$E$991,A204),"")</f>
        <v/>
      </c>
      <c r="E204" s="82" t="str">
        <f t="shared" si="1"/>
        <v/>
      </c>
      <c r="F204" s="82" t="str">
        <f t="shared" si="2"/>
        <v/>
      </c>
      <c r="G204" s="79" t="str">
        <f>IF(A204&lt;&gt;"",SUMIFS(Transactions!$F$7:$F$991,Transactions!$D$7:$D$991,"Credit",Transactions!$H$7:$H$991,A204),"")</f>
        <v/>
      </c>
      <c r="H204" s="74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9.5" customHeight="1">
      <c r="A205" s="69" t="str">
        <f>IF(Roster!$A$203&lt;&gt;"",Roster!$A$203,"")</f>
        <v/>
      </c>
      <c r="B205" s="69" t="str">
        <f t="array" ref="B205">IF(A205&lt;&gt;"",IFERROR(SUMPRODUCT((INDEX(Attendance!$B$7:$AV$206,MATCH(A205,Attendance!$A$7:$A$206,0),0)=1)*Attendance!$B$4:$AV$4),0),"")</f>
        <v/>
      </c>
      <c r="C205" s="78" t="str">
        <f>IF(A205&lt;&gt;"",SUMIFS(Transactions!$F$7:$F$991,Transactions!$D$7:$D$991,"Income",Transactions!$E$7:$E$991,A205),"")</f>
        <v/>
      </c>
      <c r="D205" s="78" t="str">
        <f>IF(A205&lt;&gt;"",SUMIFS(Transactions!$F$7:$F$991,Transactions!$D$7:$D$991,"Expense",Transactions!$E$7:$E$991,A205),"")</f>
        <v/>
      </c>
      <c r="E205" s="76" t="str">
        <f t="shared" si="1"/>
        <v/>
      </c>
      <c r="F205" s="76" t="str">
        <f t="shared" si="2"/>
        <v/>
      </c>
      <c r="G205" s="79" t="str">
        <f>IF(A205&lt;&gt;"",SUMIFS(Transactions!$F$7:$F$991,Transactions!$D$7:$D$991,"Credit",Transactions!$H$7:$H$991,A205),"")</f>
        <v/>
      </c>
      <c r="H205" s="74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9.5" customHeight="1">
      <c r="A206" s="80" t="str">
        <f>IF(Roster!$A$204&lt;&gt;"",Roster!$A$204,"")</f>
        <v/>
      </c>
      <c r="B206" s="80" t="str">
        <f t="array" ref="B206">IF(A206&lt;&gt;"",IFERROR(SUMPRODUCT((INDEX(Attendance!$B$7:$AV$206,MATCH(A206,Attendance!$A$7:$A$206,0),0)=1)*Attendance!$B$4:$AV$4),0),"")</f>
        <v/>
      </c>
      <c r="C206" s="81" t="str">
        <f>IF(A206&lt;&gt;"",SUMIFS(Transactions!$F$7:$F$991,Transactions!$D$7:$D$991,"Income",Transactions!$E$7:$E$991,A206),"")</f>
        <v/>
      </c>
      <c r="D206" s="81" t="str">
        <f>IF(A206&lt;&gt;"",SUMIFS(Transactions!$F$7:$F$991,Transactions!$D$7:$D$991,"Expense",Transactions!$E$7:$E$991,A206),"")</f>
        <v/>
      </c>
      <c r="E206" s="82" t="str">
        <f t="shared" si="1"/>
        <v/>
      </c>
      <c r="F206" s="82" t="str">
        <f t="shared" si="2"/>
        <v/>
      </c>
      <c r="G206" s="79" t="str">
        <f>IF(A206&lt;&gt;"",SUMIFS(Transactions!$F$7:$F$991,Transactions!$D$7:$D$991,"Credit",Transactions!$H$7:$H$991,A206),"")</f>
        <v/>
      </c>
      <c r="H206" s="74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3" t="s">
        <v>139</v>
      </c>
      <c r="B1" s="84"/>
      <c r="C1" s="84"/>
      <c r="D1" s="84"/>
      <c r="E1" s="84"/>
      <c r="F1" s="84"/>
      <c r="G1" s="84"/>
      <c r="H1" s="84"/>
      <c r="I1" s="84"/>
      <c r="J1" s="84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>
      <c r="A2" s="86" t="s">
        <v>140</v>
      </c>
      <c r="B2" s="84"/>
      <c r="C2" s="84"/>
      <c r="D2" s="84"/>
      <c r="E2" s="84"/>
      <c r="F2" s="84"/>
      <c r="G2" s="84"/>
      <c r="H2" s="84"/>
      <c r="I2" s="84"/>
      <c r="J2" s="84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>
      <c r="A3" s="87" t="s">
        <v>29</v>
      </c>
      <c r="B3" s="87" t="s">
        <v>30</v>
      </c>
      <c r="C3" s="87" t="s">
        <v>19</v>
      </c>
      <c r="D3" s="87" t="s">
        <v>32</v>
      </c>
      <c r="E3" s="87" t="s">
        <v>33</v>
      </c>
      <c r="F3" s="87" t="s">
        <v>35</v>
      </c>
      <c r="G3" s="87" t="s">
        <v>36</v>
      </c>
      <c r="H3" s="87" t="s">
        <v>37</v>
      </c>
      <c r="I3" s="87" t="s">
        <v>9</v>
      </c>
      <c r="J3" s="87" t="s">
        <v>141</v>
      </c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>
      <c r="A4" s="88">
        <v>46192.0</v>
      </c>
      <c r="B4" s="89" t="s">
        <v>67</v>
      </c>
      <c r="C4" s="89" t="s">
        <v>142</v>
      </c>
      <c r="D4" s="89" t="s">
        <v>43</v>
      </c>
      <c r="E4" s="89" t="s">
        <v>143</v>
      </c>
      <c r="F4" s="89">
        <v>185.69</v>
      </c>
      <c r="G4" s="89" t="s">
        <v>39</v>
      </c>
      <c r="H4" s="90"/>
      <c r="I4" s="89" t="s">
        <v>144</v>
      </c>
      <c r="J4" s="91" t="s">
        <v>145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>
      <c r="A5" s="92">
        <v>46195.0</v>
      </c>
      <c r="B5" s="93" t="s">
        <v>146</v>
      </c>
      <c r="C5" s="93" t="s">
        <v>71</v>
      </c>
      <c r="D5" s="93" t="s">
        <v>43</v>
      </c>
      <c r="E5" s="93" t="s">
        <v>87</v>
      </c>
      <c r="F5" s="93">
        <v>228.44</v>
      </c>
      <c r="G5" s="93" t="s">
        <v>39</v>
      </c>
      <c r="H5" s="94"/>
      <c r="I5" s="93" t="s">
        <v>147</v>
      </c>
      <c r="J5" s="91" t="s">
        <v>145</v>
      </c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>
      <c r="A6" s="90"/>
      <c r="B6" s="90"/>
      <c r="C6" s="90"/>
      <c r="D6" s="90"/>
      <c r="E6" s="90"/>
      <c r="F6" s="90"/>
      <c r="G6" s="90"/>
      <c r="H6" s="90"/>
      <c r="I6" s="90"/>
      <c r="J6" s="9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>
      <c r="A7" s="96"/>
      <c r="B7" s="94"/>
      <c r="C7" s="94"/>
      <c r="D7" s="94"/>
      <c r="E7" s="94"/>
      <c r="F7" s="94"/>
      <c r="G7" s="94"/>
      <c r="H7" s="94"/>
      <c r="I7" s="94"/>
      <c r="J7" s="9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>
      <c r="A8" s="97"/>
      <c r="B8" s="90"/>
      <c r="C8" s="90"/>
      <c r="D8" s="90"/>
      <c r="E8" s="90"/>
      <c r="F8" s="90"/>
      <c r="G8" s="90"/>
      <c r="H8" s="90"/>
      <c r="I8" s="90"/>
      <c r="J8" s="9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>
      <c r="A9" s="94"/>
      <c r="B9" s="94"/>
      <c r="C9" s="94"/>
      <c r="D9" s="94"/>
      <c r="E9" s="94"/>
      <c r="F9" s="94"/>
      <c r="G9" s="94"/>
      <c r="H9" s="94"/>
      <c r="I9" s="94"/>
      <c r="J9" s="9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>
      <c r="A10" s="90"/>
      <c r="B10" s="90"/>
      <c r="C10" s="90"/>
      <c r="D10" s="90"/>
      <c r="E10" s="90"/>
      <c r="F10" s="90"/>
      <c r="G10" s="90"/>
      <c r="H10" s="90"/>
      <c r="I10" s="90"/>
      <c r="J10" s="9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>
      <c r="A11" s="94"/>
      <c r="B11" s="94"/>
      <c r="C11" s="94"/>
      <c r="D11" s="94"/>
      <c r="E11" s="94"/>
      <c r="F11" s="94"/>
      <c r="G11" s="94"/>
      <c r="H11" s="94"/>
      <c r="I11" s="94"/>
      <c r="J11" s="9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>
      <c r="A12" s="90"/>
      <c r="B12" s="90"/>
      <c r="C12" s="90"/>
      <c r="D12" s="90"/>
      <c r="E12" s="90"/>
      <c r="F12" s="90"/>
      <c r="G12" s="90"/>
      <c r="H12" s="90"/>
      <c r="I12" s="90"/>
      <c r="J12" s="9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>
      <c r="A13" s="94"/>
      <c r="B13" s="94"/>
      <c r="C13" s="94"/>
      <c r="D13" s="94"/>
      <c r="E13" s="94"/>
      <c r="F13" s="94"/>
      <c r="G13" s="94"/>
      <c r="H13" s="94"/>
      <c r="I13" s="94"/>
      <c r="J13" s="9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>
      <c r="A14" s="90"/>
      <c r="B14" s="90"/>
      <c r="C14" s="90"/>
      <c r="D14" s="90"/>
      <c r="E14" s="90"/>
      <c r="F14" s="90"/>
      <c r="G14" s="90"/>
      <c r="H14" s="90"/>
      <c r="I14" s="90"/>
      <c r="J14" s="9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>
      <c r="A15" s="94"/>
      <c r="B15" s="94"/>
      <c r="C15" s="94"/>
      <c r="D15" s="94"/>
      <c r="E15" s="94"/>
      <c r="F15" s="94"/>
      <c r="G15" s="94"/>
      <c r="H15" s="94"/>
      <c r="I15" s="94"/>
      <c r="J15" s="9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>
      <c r="A16" s="90"/>
      <c r="B16" s="90"/>
      <c r="C16" s="90"/>
      <c r="D16" s="90"/>
      <c r="E16" s="90"/>
      <c r="F16" s="90"/>
      <c r="G16" s="90"/>
      <c r="H16" s="90"/>
      <c r="I16" s="90"/>
      <c r="J16" s="9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>
      <c r="A17" s="94"/>
      <c r="B17" s="94"/>
      <c r="C17" s="94"/>
      <c r="D17" s="94"/>
      <c r="E17" s="94"/>
      <c r="F17" s="94"/>
      <c r="G17" s="94"/>
      <c r="H17" s="94"/>
      <c r="I17" s="94"/>
      <c r="J17" s="9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>
      <c r="A18" s="90"/>
      <c r="B18" s="90"/>
      <c r="C18" s="90"/>
      <c r="D18" s="90"/>
      <c r="E18" s="90"/>
      <c r="F18" s="90"/>
      <c r="G18" s="90"/>
      <c r="H18" s="90"/>
      <c r="I18" s="90"/>
      <c r="J18" s="9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>
      <c r="A19" s="94"/>
      <c r="B19" s="94"/>
      <c r="C19" s="94"/>
      <c r="D19" s="94"/>
      <c r="E19" s="94"/>
      <c r="F19" s="94"/>
      <c r="G19" s="94"/>
      <c r="H19" s="94"/>
      <c r="I19" s="94"/>
      <c r="J19" s="9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>
      <c r="A20" s="90"/>
      <c r="B20" s="90"/>
      <c r="C20" s="90"/>
      <c r="D20" s="90"/>
      <c r="E20" s="90"/>
      <c r="F20" s="90"/>
      <c r="G20" s="90"/>
      <c r="H20" s="90"/>
      <c r="I20" s="90"/>
      <c r="J20" s="9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94"/>
      <c r="J21" s="9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90"/>
      <c r="J22" s="9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94"/>
      <c r="J23" s="9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90"/>
      <c r="J24" s="9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94"/>
      <c r="J25" s="9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5.75" customHeight="1">
      <c r="A26" s="90"/>
      <c r="B26" s="90"/>
      <c r="C26" s="90"/>
      <c r="D26" s="90"/>
      <c r="E26" s="90"/>
      <c r="F26" s="90"/>
      <c r="G26" s="90"/>
      <c r="H26" s="90"/>
      <c r="I26" s="90"/>
      <c r="J26" s="9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94"/>
      <c r="J27" s="9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90"/>
      <c r="J28" s="9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94"/>
      <c r="J29" s="9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90"/>
      <c r="J30" s="9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94"/>
      <c r="J31" s="9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90"/>
      <c r="J32" s="9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90"/>
      <c r="J36" s="9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 ht="15.75" customHeight="1">
      <c r="A221" s="7"/>
      <c r="B221" s="7"/>
      <c r="C221" s="7"/>
      <c r="D221" s="7"/>
      <c r="E221" s="7"/>
      <c r="F221" s="7"/>
      <c r="G221" s="7"/>
    </row>
    <row r="222" ht="15.75" customHeight="1">
      <c r="A222" s="7"/>
      <c r="B222" s="7"/>
      <c r="C222" s="7"/>
      <c r="D222" s="7"/>
      <c r="E222" s="7"/>
      <c r="F222" s="7"/>
      <c r="G222" s="7"/>
    </row>
    <row r="223" ht="15.75" customHeight="1">
      <c r="A223" s="7"/>
      <c r="B223" s="7"/>
      <c r="C223" s="7"/>
      <c r="D223" s="7"/>
      <c r="E223" s="7"/>
      <c r="F223" s="7"/>
      <c r="G223" s="7"/>
    </row>
    <row r="224" ht="15.75" customHeight="1">
      <c r="A224" s="7"/>
      <c r="B224" s="7"/>
      <c r="C224" s="7"/>
      <c r="D224" s="7"/>
      <c r="E224" s="7"/>
      <c r="F224" s="7"/>
      <c r="G224" s="7"/>
    </row>
    <row r="225" ht="15.75" customHeight="1">
      <c r="A225" s="7"/>
      <c r="B225" s="7"/>
      <c r="C225" s="7"/>
      <c r="D225" s="7"/>
      <c r="E225" s="7"/>
      <c r="F225" s="7"/>
      <c r="G225" s="7"/>
    </row>
    <row r="226" ht="15.75" customHeight="1">
      <c r="A226" s="7"/>
      <c r="B226" s="7"/>
      <c r="C226" s="7"/>
      <c r="D226" s="7"/>
      <c r="E226" s="7"/>
      <c r="F226" s="7"/>
      <c r="G226" s="7"/>
    </row>
    <row r="227" ht="15.75" customHeight="1">
      <c r="A227" s="7"/>
      <c r="B227" s="7"/>
      <c r="C227" s="7"/>
      <c r="D227" s="7"/>
      <c r="E227" s="7"/>
      <c r="F227" s="7"/>
      <c r="G227" s="7"/>
    </row>
    <row r="228" ht="15.75" customHeight="1">
      <c r="A228" s="7"/>
      <c r="B228" s="7"/>
      <c r="C228" s="7"/>
      <c r="D228" s="7"/>
      <c r="E228" s="7"/>
      <c r="F228" s="7"/>
      <c r="G228" s="7"/>
    </row>
    <row r="229" ht="15.75" customHeight="1">
      <c r="A229" s="7"/>
      <c r="B229" s="7"/>
      <c r="C229" s="7"/>
      <c r="D229" s="7"/>
      <c r="E229" s="7"/>
      <c r="F229" s="7"/>
      <c r="G229" s="7"/>
    </row>
    <row r="230" ht="15.75" customHeight="1">
      <c r="A230" s="7"/>
      <c r="B230" s="7"/>
      <c r="C230" s="7"/>
      <c r="D230" s="7"/>
      <c r="E230" s="7"/>
      <c r="F230" s="7"/>
      <c r="G230" s="7"/>
    </row>
    <row r="231" ht="15.75" customHeight="1">
      <c r="A231" s="7"/>
      <c r="B231" s="7"/>
      <c r="C231" s="7"/>
      <c r="D231" s="7"/>
      <c r="E231" s="7"/>
      <c r="F231" s="7"/>
      <c r="G231" s="7"/>
    </row>
    <row r="232" ht="15.75" customHeight="1">
      <c r="A232" s="7"/>
      <c r="B232" s="7"/>
      <c r="C232" s="7"/>
      <c r="D232" s="7"/>
      <c r="E232" s="7"/>
      <c r="F232" s="7"/>
      <c r="G232" s="7"/>
    </row>
    <row r="233" ht="15.75" customHeight="1">
      <c r="A233" s="7"/>
      <c r="B233" s="7"/>
      <c r="C233" s="7"/>
      <c r="D233" s="7"/>
      <c r="E233" s="7"/>
      <c r="F233" s="7"/>
      <c r="G233" s="7"/>
    </row>
    <row r="234" ht="15.75" customHeight="1">
      <c r="A234" s="7"/>
      <c r="B234" s="7"/>
      <c r="C234" s="7"/>
      <c r="D234" s="7"/>
      <c r="E234" s="7"/>
      <c r="F234" s="7"/>
      <c r="G234" s="7"/>
    </row>
    <row r="235" ht="15.75" customHeight="1">
      <c r="A235" s="7"/>
      <c r="B235" s="7"/>
      <c r="C235" s="7"/>
      <c r="D235" s="7"/>
      <c r="E235" s="7"/>
      <c r="F235" s="7"/>
      <c r="G235" s="7"/>
    </row>
    <row r="236" ht="15.75" customHeight="1">
      <c r="A236" s="7"/>
      <c r="B236" s="7"/>
      <c r="C236" s="7"/>
      <c r="D236" s="7"/>
      <c r="E236" s="7"/>
      <c r="F236" s="7"/>
      <c r="G236" s="7"/>
    </row>
    <row r="237" ht="15.75" customHeight="1">
      <c r="A237" s="7"/>
      <c r="B237" s="7"/>
      <c r="C237" s="7"/>
      <c r="D237" s="7"/>
      <c r="E237" s="7"/>
      <c r="F237" s="7"/>
      <c r="G237" s="7"/>
    </row>
    <row r="238" ht="15.75" customHeight="1">
      <c r="A238" s="7"/>
      <c r="B238" s="7"/>
      <c r="C238" s="7"/>
      <c r="D238" s="7"/>
      <c r="E238" s="7"/>
      <c r="F238" s="7"/>
      <c r="G238" s="7"/>
    </row>
    <row r="239" ht="15.75" customHeight="1">
      <c r="A239" s="7"/>
      <c r="B239" s="7"/>
      <c r="C239" s="7"/>
      <c r="D239" s="7"/>
      <c r="E239" s="7"/>
      <c r="F239" s="7"/>
      <c r="G239" s="7"/>
    </row>
    <row r="240" ht="15.75" customHeight="1">
      <c r="A240" s="7"/>
      <c r="B240" s="7"/>
      <c r="C240" s="7"/>
      <c r="D240" s="7"/>
      <c r="E240" s="7"/>
      <c r="F240" s="7"/>
      <c r="G240" s="7"/>
    </row>
    <row r="241" ht="15.75" customHeight="1">
      <c r="A241" s="7"/>
      <c r="B241" s="7"/>
      <c r="C241" s="7"/>
      <c r="D241" s="7"/>
      <c r="E241" s="7"/>
      <c r="F241" s="7"/>
      <c r="G241" s="7"/>
    </row>
    <row r="242" ht="15.75" customHeight="1">
      <c r="A242" s="7"/>
      <c r="B242" s="7"/>
      <c r="C242" s="7"/>
      <c r="D242" s="7"/>
      <c r="E242" s="7"/>
      <c r="F242" s="7"/>
      <c r="G242" s="7"/>
    </row>
    <row r="243" ht="15.75" customHeight="1">
      <c r="A243" s="7"/>
      <c r="B243" s="7"/>
      <c r="C243" s="7"/>
      <c r="D243" s="7"/>
      <c r="E243" s="7"/>
      <c r="F243" s="7"/>
      <c r="G243" s="7"/>
    </row>
    <row r="244" ht="15.75" customHeight="1">
      <c r="A244" s="7"/>
      <c r="B244" s="7"/>
      <c r="C244" s="7"/>
      <c r="D244" s="7"/>
      <c r="E244" s="7"/>
      <c r="F244" s="7"/>
      <c r="G244" s="7"/>
    </row>
    <row r="245" ht="15.75" customHeight="1">
      <c r="A245" s="7"/>
      <c r="B245" s="7"/>
      <c r="C245" s="7"/>
      <c r="D245" s="7"/>
      <c r="E245" s="7"/>
      <c r="F245" s="7"/>
      <c r="G245" s="7"/>
    </row>
    <row r="246" ht="15.75" customHeight="1">
      <c r="A246" s="7"/>
      <c r="B246" s="7"/>
      <c r="C246" s="7"/>
      <c r="D246" s="7"/>
      <c r="E246" s="7"/>
      <c r="F246" s="7"/>
      <c r="G246" s="7"/>
    </row>
    <row r="247" ht="15.75" customHeight="1">
      <c r="A247" s="7"/>
      <c r="B247" s="7"/>
      <c r="C247" s="7"/>
      <c r="D247" s="7"/>
      <c r="E247" s="7"/>
      <c r="F247" s="7"/>
      <c r="G247" s="7"/>
    </row>
    <row r="248" ht="15.75" customHeight="1">
      <c r="A248" s="7"/>
      <c r="B248" s="7"/>
      <c r="C248" s="7"/>
      <c r="D248" s="7"/>
      <c r="E248" s="7"/>
      <c r="F248" s="7"/>
      <c r="G248" s="7"/>
    </row>
    <row r="249" ht="15.75" customHeight="1">
      <c r="A249" s="7"/>
      <c r="B249" s="7"/>
      <c r="C249" s="7"/>
      <c r="D249" s="7"/>
      <c r="E249" s="7"/>
      <c r="F249" s="7"/>
      <c r="G249" s="7"/>
    </row>
    <row r="250" ht="15.75" customHeight="1">
      <c r="A250" s="7"/>
      <c r="B250" s="7"/>
      <c r="C250" s="7"/>
      <c r="D250" s="7"/>
      <c r="E250" s="7"/>
      <c r="F250" s="7"/>
      <c r="G250" s="7"/>
    </row>
    <row r="251" ht="15.75" customHeight="1">
      <c r="A251" s="7"/>
      <c r="B251" s="7"/>
      <c r="C251" s="7"/>
      <c r="D251" s="7"/>
      <c r="E251" s="7"/>
      <c r="F251" s="7"/>
      <c r="G251" s="7"/>
    </row>
    <row r="252" ht="15.75" customHeight="1">
      <c r="A252" s="7"/>
      <c r="B252" s="7"/>
      <c r="C252" s="7"/>
      <c r="D252" s="7"/>
      <c r="E252" s="7"/>
      <c r="F252" s="7"/>
      <c r="G252" s="7"/>
    </row>
    <row r="253" ht="15.75" customHeight="1">
      <c r="A253" s="7"/>
      <c r="B253" s="7"/>
      <c r="C253" s="7"/>
      <c r="D253" s="7"/>
      <c r="E253" s="7"/>
      <c r="F253" s="7"/>
      <c r="G253" s="7"/>
    </row>
    <row r="254" ht="15.75" customHeight="1">
      <c r="A254" s="7"/>
      <c r="B254" s="7"/>
      <c r="C254" s="7"/>
      <c r="D254" s="7"/>
      <c r="E254" s="7"/>
      <c r="F254" s="7"/>
      <c r="G254" s="7"/>
    </row>
    <row r="255" ht="15.75" customHeight="1">
      <c r="A255" s="7"/>
      <c r="B255" s="7"/>
      <c r="C255" s="7"/>
      <c r="D255" s="7"/>
      <c r="E255" s="7"/>
      <c r="F255" s="7"/>
      <c r="G255" s="7"/>
    </row>
    <row r="256" ht="15.75" customHeight="1">
      <c r="A256" s="7"/>
      <c r="B256" s="7"/>
      <c r="C256" s="7"/>
      <c r="D256" s="7"/>
      <c r="E256" s="7"/>
      <c r="F256" s="7"/>
      <c r="G256" s="7"/>
    </row>
    <row r="257" ht="15.75" customHeight="1">
      <c r="A257" s="7"/>
      <c r="B257" s="7"/>
      <c r="C257" s="7"/>
      <c r="D257" s="7"/>
      <c r="E257" s="7"/>
      <c r="F257" s="7"/>
      <c r="G257" s="7"/>
    </row>
    <row r="258" ht="15.75" customHeight="1">
      <c r="A258" s="7"/>
      <c r="B258" s="7"/>
      <c r="C258" s="7"/>
      <c r="D258" s="7"/>
      <c r="E258" s="7"/>
      <c r="F258" s="7"/>
      <c r="G258" s="7"/>
    </row>
    <row r="259" ht="15.75" customHeight="1">
      <c r="A259" s="7"/>
      <c r="B259" s="7"/>
      <c r="C259" s="7"/>
      <c r="D259" s="7"/>
      <c r="E259" s="7"/>
      <c r="F259" s="7"/>
      <c r="G259" s="7"/>
    </row>
    <row r="260" ht="15.75" customHeight="1">
      <c r="A260" s="7"/>
      <c r="B260" s="7"/>
      <c r="C260" s="7"/>
      <c r="D260" s="7"/>
      <c r="E260" s="7"/>
      <c r="F260" s="7"/>
      <c r="G260" s="7"/>
    </row>
    <row r="261" ht="15.75" customHeight="1">
      <c r="A261" s="7"/>
      <c r="B261" s="7"/>
      <c r="C261" s="7"/>
      <c r="D261" s="7"/>
      <c r="E261" s="7"/>
      <c r="F261" s="7"/>
      <c r="G261" s="7"/>
    </row>
    <row r="262" ht="15.75" customHeight="1">
      <c r="A262" s="7"/>
      <c r="B262" s="7"/>
      <c r="C262" s="7"/>
      <c r="D262" s="7"/>
      <c r="E262" s="7"/>
      <c r="F262" s="7"/>
      <c r="G262" s="7"/>
    </row>
    <row r="263" ht="15.75" customHeight="1">
      <c r="A263" s="7"/>
      <c r="B263" s="7"/>
      <c r="C263" s="7"/>
      <c r="D263" s="7"/>
      <c r="E263" s="7"/>
      <c r="F263" s="7"/>
      <c r="G263" s="7"/>
    </row>
    <row r="264" ht="15.75" customHeight="1">
      <c r="A264" s="7"/>
      <c r="B264" s="7"/>
      <c r="C264" s="7"/>
      <c r="D264" s="7"/>
      <c r="E264" s="7"/>
      <c r="F264" s="7"/>
      <c r="G264" s="7"/>
    </row>
    <row r="265" ht="15.75" customHeight="1">
      <c r="A265" s="7"/>
      <c r="B265" s="7"/>
      <c r="C265" s="7"/>
      <c r="D265" s="7"/>
      <c r="E265" s="7"/>
      <c r="F265" s="7"/>
      <c r="G265" s="7"/>
    </row>
    <row r="266" ht="15.75" customHeight="1">
      <c r="A266" s="7"/>
      <c r="B266" s="7"/>
      <c r="C266" s="7"/>
      <c r="D266" s="7"/>
      <c r="E266" s="7"/>
      <c r="F266" s="7"/>
      <c r="G266" s="7"/>
    </row>
    <row r="267" ht="15.75" customHeight="1">
      <c r="A267" s="7"/>
      <c r="B267" s="7"/>
      <c r="C267" s="7"/>
      <c r="D267" s="7"/>
      <c r="E267" s="7"/>
      <c r="F267" s="7"/>
      <c r="G267" s="7"/>
    </row>
    <row r="268" ht="15.75" customHeight="1">
      <c r="A268" s="7"/>
      <c r="B268" s="7"/>
      <c r="C268" s="7"/>
      <c r="D268" s="7"/>
      <c r="E268" s="7"/>
      <c r="F268" s="7"/>
      <c r="G268" s="7"/>
    </row>
    <row r="269" ht="15.75" customHeight="1">
      <c r="A269" s="7"/>
      <c r="B269" s="7"/>
      <c r="C269" s="7"/>
      <c r="D269" s="7"/>
      <c r="E269" s="7"/>
      <c r="F269" s="7"/>
      <c r="G269" s="7"/>
    </row>
    <row r="270" ht="15.75" customHeight="1">
      <c r="A270" s="7"/>
      <c r="B270" s="7"/>
      <c r="C270" s="7"/>
      <c r="D270" s="7"/>
      <c r="E270" s="7"/>
      <c r="F270" s="7"/>
      <c r="G270" s="7"/>
    </row>
    <row r="271" ht="15.75" customHeight="1">
      <c r="A271" s="7"/>
      <c r="B271" s="7"/>
      <c r="C271" s="7"/>
      <c r="D271" s="7"/>
      <c r="E271" s="7"/>
      <c r="F271" s="7"/>
      <c r="G271" s="7"/>
    </row>
    <row r="272" ht="15.75" customHeight="1">
      <c r="A272" s="7"/>
      <c r="B272" s="7"/>
      <c r="C272" s="7"/>
      <c r="D272" s="7"/>
      <c r="E272" s="7"/>
      <c r="F272" s="7"/>
      <c r="G272" s="7"/>
    </row>
    <row r="273" ht="15.75" customHeight="1">
      <c r="A273" s="7"/>
      <c r="B273" s="7"/>
      <c r="C273" s="7"/>
      <c r="D273" s="7"/>
      <c r="E273" s="7"/>
      <c r="F273" s="7"/>
      <c r="G273" s="7"/>
    </row>
    <row r="274" ht="15.75" customHeight="1">
      <c r="A274" s="7"/>
      <c r="B274" s="7"/>
      <c r="C274" s="7"/>
      <c r="D274" s="7"/>
      <c r="E274" s="7"/>
      <c r="F274" s="7"/>
      <c r="G274" s="7"/>
    </row>
    <row r="275" ht="15.75" customHeight="1">
      <c r="A275" s="7"/>
      <c r="B275" s="7"/>
      <c r="C275" s="7"/>
      <c r="D275" s="7"/>
      <c r="E275" s="7"/>
      <c r="F275" s="7"/>
      <c r="G275" s="7"/>
    </row>
    <row r="276" ht="15.75" customHeight="1">
      <c r="A276" s="7"/>
      <c r="B276" s="7"/>
      <c r="C276" s="7"/>
      <c r="D276" s="7"/>
      <c r="E276" s="7"/>
      <c r="F276" s="7"/>
      <c r="G276" s="7"/>
    </row>
    <row r="277" ht="15.75" customHeight="1">
      <c r="A277" s="7"/>
      <c r="B277" s="7"/>
      <c r="C277" s="7"/>
      <c r="D277" s="7"/>
      <c r="E277" s="7"/>
      <c r="F277" s="7"/>
      <c r="G277" s="7"/>
    </row>
    <row r="278" ht="15.75" customHeight="1">
      <c r="A278" s="7"/>
      <c r="B278" s="7"/>
      <c r="C278" s="7"/>
      <c r="D278" s="7"/>
      <c r="E278" s="7"/>
      <c r="F278" s="7"/>
      <c r="G278" s="7"/>
    </row>
    <row r="279" ht="15.75" customHeight="1">
      <c r="A279" s="7"/>
      <c r="B279" s="7"/>
      <c r="C279" s="7"/>
      <c r="D279" s="7"/>
      <c r="E279" s="7"/>
      <c r="F279" s="7"/>
      <c r="G279" s="7"/>
    </row>
    <row r="280" ht="15.75" customHeight="1">
      <c r="A280" s="7"/>
      <c r="B280" s="7"/>
      <c r="C280" s="7"/>
      <c r="D280" s="7"/>
      <c r="E280" s="7"/>
      <c r="F280" s="7"/>
      <c r="G280" s="7"/>
    </row>
    <row r="281" ht="15.75" customHeight="1">
      <c r="A281" s="7"/>
      <c r="B281" s="7"/>
      <c r="C281" s="7"/>
      <c r="D281" s="7"/>
      <c r="E281" s="7"/>
      <c r="F281" s="7"/>
      <c r="G281" s="7"/>
    </row>
    <row r="282" ht="15.75" customHeight="1">
      <c r="A282" s="7"/>
      <c r="B282" s="7"/>
      <c r="C282" s="7"/>
      <c r="D282" s="7"/>
      <c r="E282" s="7"/>
      <c r="F282" s="7"/>
      <c r="G282" s="7"/>
    </row>
    <row r="283" ht="15.75" customHeight="1">
      <c r="A283" s="7"/>
      <c r="B283" s="7"/>
      <c r="C283" s="7"/>
      <c r="D283" s="7"/>
      <c r="E283" s="7"/>
      <c r="F283" s="7"/>
      <c r="G283" s="7"/>
    </row>
    <row r="284" ht="15.75" customHeight="1">
      <c r="A284" s="7"/>
      <c r="B284" s="7"/>
      <c r="C284" s="7"/>
      <c r="D284" s="7"/>
      <c r="E284" s="7"/>
      <c r="F284" s="7"/>
      <c r="G284" s="7"/>
    </row>
    <row r="285" ht="15.75" customHeight="1">
      <c r="A285" s="7"/>
      <c r="B285" s="7"/>
      <c r="C285" s="7"/>
      <c r="D285" s="7"/>
      <c r="E285" s="7"/>
      <c r="F285" s="7"/>
      <c r="G285" s="7"/>
    </row>
    <row r="286" ht="15.75" customHeight="1">
      <c r="A286" s="7"/>
      <c r="B286" s="7"/>
      <c r="C286" s="7"/>
      <c r="D286" s="7"/>
      <c r="E286" s="7"/>
      <c r="F286" s="7"/>
      <c r="G286" s="7"/>
    </row>
    <row r="287" ht="15.75" customHeight="1">
      <c r="A287" s="7"/>
      <c r="B287" s="7"/>
      <c r="C287" s="7"/>
      <c r="D287" s="7"/>
      <c r="E287" s="7"/>
      <c r="F287" s="7"/>
      <c r="G287" s="7"/>
    </row>
    <row r="288" ht="15.75" customHeight="1">
      <c r="A288" s="7"/>
      <c r="B288" s="7"/>
      <c r="C288" s="7"/>
      <c r="D288" s="7"/>
      <c r="E288" s="7"/>
      <c r="F288" s="7"/>
      <c r="G288" s="7"/>
    </row>
    <row r="289" ht="15.75" customHeight="1">
      <c r="A289" s="7"/>
      <c r="B289" s="7"/>
      <c r="C289" s="7"/>
      <c r="D289" s="7"/>
      <c r="E289" s="7"/>
      <c r="F289" s="7"/>
      <c r="G289" s="7"/>
    </row>
    <row r="290" ht="15.75" customHeight="1">
      <c r="A290" s="7"/>
      <c r="B290" s="7"/>
      <c r="C290" s="7"/>
      <c r="D290" s="7"/>
      <c r="E290" s="7"/>
      <c r="F290" s="7"/>
      <c r="G290" s="7"/>
    </row>
    <row r="291" ht="15.75" customHeight="1">
      <c r="A291" s="7"/>
      <c r="B291" s="7"/>
      <c r="C291" s="7"/>
      <c r="D291" s="7"/>
      <c r="E291" s="7"/>
      <c r="F291" s="7"/>
      <c r="G291" s="7"/>
    </row>
    <row r="292" ht="15.75" customHeight="1">
      <c r="A292" s="7"/>
      <c r="B292" s="7"/>
      <c r="C292" s="7"/>
      <c r="D292" s="7"/>
      <c r="E292" s="7"/>
      <c r="F292" s="7"/>
      <c r="G292" s="7"/>
    </row>
    <row r="293" ht="15.75" customHeight="1">
      <c r="A293" s="7"/>
      <c r="B293" s="7"/>
      <c r="C293" s="7"/>
      <c r="D293" s="7"/>
      <c r="E293" s="7"/>
      <c r="F293" s="7"/>
      <c r="G293" s="7"/>
    </row>
    <row r="294" ht="15.75" customHeight="1">
      <c r="A294" s="7"/>
      <c r="B294" s="7"/>
      <c r="C294" s="7"/>
      <c r="D294" s="7"/>
      <c r="E294" s="7"/>
      <c r="F294" s="7"/>
      <c r="G294" s="7"/>
    </row>
    <row r="295" ht="15.75" customHeight="1">
      <c r="A295" s="7"/>
      <c r="B295" s="7"/>
      <c r="C295" s="7"/>
      <c r="D295" s="7"/>
      <c r="E295" s="7"/>
      <c r="F295" s="7"/>
      <c r="G295" s="7"/>
    </row>
    <row r="296" ht="15.75" customHeight="1">
      <c r="A296" s="7"/>
      <c r="B296" s="7"/>
      <c r="C296" s="7"/>
      <c r="D296" s="7"/>
      <c r="E296" s="7"/>
      <c r="F296" s="7"/>
      <c r="G296" s="7"/>
    </row>
    <row r="297" ht="15.75" customHeight="1">
      <c r="A297" s="7"/>
      <c r="B297" s="7"/>
      <c r="C297" s="7"/>
      <c r="D297" s="7"/>
      <c r="E297" s="7"/>
      <c r="F297" s="7"/>
      <c r="G297" s="7"/>
    </row>
    <row r="298" ht="15.75" customHeight="1">
      <c r="A298" s="7"/>
      <c r="B298" s="7"/>
      <c r="C298" s="7"/>
      <c r="D298" s="7"/>
      <c r="E298" s="7"/>
      <c r="F298" s="7"/>
      <c r="G298" s="7"/>
    </row>
    <row r="299" ht="15.75" customHeight="1">
      <c r="A299" s="7"/>
      <c r="B299" s="7"/>
      <c r="C299" s="7"/>
      <c r="D299" s="7"/>
      <c r="E299" s="7"/>
      <c r="F299" s="7"/>
      <c r="G299" s="7"/>
    </row>
    <row r="300" ht="15.75" customHeight="1">
      <c r="A300" s="7"/>
      <c r="B300" s="7"/>
      <c r="C300" s="7"/>
      <c r="D300" s="7"/>
      <c r="E300" s="7"/>
      <c r="F300" s="7"/>
      <c r="G300" s="7"/>
    </row>
    <row r="301" ht="15.75" customHeight="1">
      <c r="A301" s="7"/>
      <c r="B301" s="7"/>
      <c r="C301" s="7"/>
      <c r="D301" s="7"/>
      <c r="E301" s="7"/>
      <c r="F301" s="7"/>
      <c r="G301" s="7"/>
    </row>
    <row r="302" ht="15.75" customHeight="1">
      <c r="A302" s="7"/>
      <c r="B302" s="7"/>
      <c r="C302" s="7"/>
      <c r="D302" s="7"/>
      <c r="E302" s="7"/>
      <c r="F302" s="7"/>
      <c r="G302" s="7"/>
    </row>
    <row r="303" ht="15.75" customHeight="1">
      <c r="A303" s="7"/>
      <c r="B303" s="7"/>
      <c r="C303" s="7"/>
      <c r="D303" s="7"/>
      <c r="E303" s="7"/>
      <c r="F303" s="7"/>
      <c r="G303" s="7"/>
    </row>
    <row r="304" ht="15.75" customHeight="1">
      <c r="A304" s="7"/>
      <c r="B304" s="7"/>
      <c r="C304" s="7"/>
      <c r="D304" s="7"/>
      <c r="E304" s="7"/>
      <c r="F304" s="7"/>
      <c r="G304" s="7"/>
    </row>
    <row r="305" ht="15.75" customHeight="1">
      <c r="A305" s="7"/>
      <c r="B305" s="7"/>
      <c r="C305" s="7"/>
      <c r="D305" s="7"/>
      <c r="E305" s="7"/>
      <c r="F305" s="7"/>
      <c r="G305" s="7"/>
    </row>
    <row r="306" ht="15.75" customHeight="1">
      <c r="A306" s="7"/>
      <c r="B306" s="7"/>
      <c r="C306" s="7"/>
      <c r="D306" s="7"/>
      <c r="E306" s="7"/>
      <c r="F306" s="7"/>
      <c r="G306" s="7"/>
    </row>
    <row r="307" ht="15.75" customHeight="1">
      <c r="A307" s="7"/>
      <c r="B307" s="7"/>
      <c r="C307" s="7"/>
      <c r="D307" s="7"/>
      <c r="E307" s="7"/>
      <c r="F307" s="7"/>
      <c r="G307" s="7"/>
    </row>
    <row r="308" ht="15.75" customHeight="1">
      <c r="A308" s="7"/>
      <c r="B308" s="7"/>
      <c r="C308" s="7"/>
      <c r="D308" s="7"/>
      <c r="E308" s="7"/>
      <c r="F308" s="7"/>
      <c r="G308" s="7"/>
    </row>
    <row r="309" ht="15.75" customHeight="1">
      <c r="A309" s="7"/>
      <c r="B309" s="7"/>
      <c r="C309" s="7"/>
      <c r="D309" s="7"/>
      <c r="E309" s="7"/>
      <c r="F309" s="7"/>
      <c r="G309" s="7"/>
    </row>
    <row r="310" ht="15.75" customHeight="1">
      <c r="A310" s="7"/>
      <c r="B310" s="7"/>
      <c r="C310" s="7"/>
      <c r="D310" s="7"/>
      <c r="E310" s="7"/>
      <c r="F310" s="7"/>
      <c r="G310" s="7"/>
    </row>
    <row r="311" ht="15.75" customHeight="1">
      <c r="A311" s="7"/>
      <c r="B311" s="7"/>
      <c r="C311" s="7"/>
      <c r="D311" s="7"/>
      <c r="E311" s="7"/>
      <c r="F311" s="7"/>
      <c r="G311" s="7"/>
    </row>
    <row r="312" ht="15.75" customHeight="1">
      <c r="A312" s="7"/>
      <c r="B312" s="7"/>
      <c r="C312" s="7"/>
      <c r="D312" s="7"/>
      <c r="E312" s="7"/>
      <c r="F312" s="7"/>
      <c r="G312" s="7"/>
    </row>
    <row r="313" ht="15.75" customHeight="1">
      <c r="A313" s="7"/>
      <c r="B313" s="7"/>
      <c r="C313" s="7"/>
      <c r="D313" s="7"/>
      <c r="E313" s="7"/>
      <c r="F313" s="7"/>
      <c r="G313" s="7"/>
    </row>
    <row r="314" ht="15.75" customHeight="1">
      <c r="A314" s="7"/>
      <c r="B314" s="7"/>
      <c r="C314" s="7"/>
      <c r="D314" s="7"/>
      <c r="E314" s="7"/>
      <c r="F314" s="7"/>
      <c r="G314" s="7"/>
    </row>
    <row r="315" ht="15.75" customHeight="1">
      <c r="A315" s="7"/>
      <c r="B315" s="7"/>
      <c r="C315" s="7"/>
      <c r="D315" s="7"/>
      <c r="E315" s="7"/>
      <c r="F315" s="7"/>
      <c r="G315" s="7"/>
    </row>
    <row r="316" ht="15.75" customHeight="1">
      <c r="A316" s="7"/>
      <c r="B316" s="7"/>
      <c r="C316" s="7"/>
      <c r="D316" s="7"/>
      <c r="E316" s="7"/>
      <c r="F316" s="7"/>
      <c r="G316" s="7"/>
    </row>
    <row r="317" ht="15.75" customHeight="1">
      <c r="A317" s="7"/>
      <c r="B317" s="7"/>
      <c r="C317" s="7"/>
      <c r="D317" s="7"/>
      <c r="E317" s="7"/>
      <c r="F317" s="7"/>
      <c r="G317" s="7"/>
    </row>
    <row r="318" ht="15.75" customHeight="1">
      <c r="A318" s="7"/>
      <c r="B318" s="7"/>
      <c r="C318" s="7"/>
      <c r="D318" s="7"/>
      <c r="E318" s="7"/>
      <c r="F318" s="7"/>
      <c r="G318" s="7"/>
    </row>
    <row r="319" ht="15.75" customHeight="1">
      <c r="A319" s="7"/>
      <c r="B319" s="7"/>
      <c r="C319" s="7"/>
      <c r="D319" s="7"/>
      <c r="E319" s="7"/>
      <c r="F319" s="7"/>
      <c r="G319" s="7"/>
    </row>
    <row r="320" ht="15.75" customHeight="1">
      <c r="A320" s="7"/>
      <c r="B320" s="7"/>
      <c r="C320" s="7"/>
      <c r="D320" s="7"/>
      <c r="E320" s="7"/>
      <c r="F320" s="7"/>
      <c r="G320" s="7"/>
    </row>
    <row r="321" ht="15.75" customHeight="1">
      <c r="A321" s="7"/>
      <c r="B321" s="7"/>
      <c r="C321" s="7"/>
      <c r="D321" s="7"/>
      <c r="E321" s="7"/>
      <c r="F321" s="7"/>
      <c r="G321" s="7"/>
    </row>
    <row r="322" ht="15.75" customHeight="1">
      <c r="A322" s="7"/>
      <c r="B322" s="7"/>
      <c r="C322" s="7"/>
      <c r="D322" s="7"/>
      <c r="E322" s="7"/>
      <c r="F322" s="7"/>
      <c r="G322" s="7"/>
    </row>
    <row r="323" ht="15.75" customHeight="1">
      <c r="A323" s="7"/>
      <c r="B323" s="7"/>
      <c r="C323" s="7"/>
      <c r="D323" s="7"/>
      <c r="E323" s="7"/>
      <c r="F323" s="7"/>
      <c r="G323" s="7"/>
    </row>
    <row r="324" ht="15.75" customHeight="1">
      <c r="A324" s="7"/>
      <c r="B324" s="7"/>
      <c r="C324" s="7"/>
      <c r="D324" s="7"/>
      <c r="E324" s="7"/>
      <c r="F324" s="7"/>
      <c r="G324" s="7"/>
    </row>
    <row r="325" ht="15.75" customHeight="1">
      <c r="A325" s="7"/>
      <c r="B325" s="7"/>
      <c r="C325" s="7"/>
      <c r="D325" s="7"/>
      <c r="E325" s="7"/>
      <c r="F325" s="7"/>
      <c r="G325" s="7"/>
    </row>
    <row r="326" ht="15.75" customHeight="1">
      <c r="A326" s="7"/>
      <c r="B326" s="7"/>
      <c r="C326" s="7"/>
      <c r="D326" s="7"/>
      <c r="E326" s="7"/>
      <c r="F326" s="7"/>
      <c r="G326" s="7"/>
    </row>
    <row r="327" ht="15.75" customHeight="1">
      <c r="A327" s="7"/>
      <c r="B327" s="7"/>
      <c r="C327" s="7"/>
      <c r="D327" s="7"/>
      <c r="E327" s="7"/>
      <c r="F327" s="7"/>
      <c r="G327" s="7"/>
    </row>
    <row r="328" ht="15.75" customHeight="1">
      <c r="A328" s="7"/>
      <c r="B328" s="7"/>
      <c r="C328" s="7"/>
      <c r="D328" s="7"/>
      <c r="E328" s="7"/>
      <c r="F328" s="7"/>
      <c r="G328" s="7"/>
    </row>
    <row r="329" ht="15.75" customHeight="1">
      <c r="A329" s="7"/>
      <c r="B329" s="7"/>
      <c r="C329" s="7"/>
      <c r="D329" s="7"/>
      <c r="E329" s="7"/>
      <c r="F329" s="7"/>
      <c r="G329" s="7"/>
    </row>
    <row r="330" ht="15.75" customHeight="1">
      <c r="A330" s="7"/>
      <c r="B330" s="7"/>
      <c r="C330" s="7"/>
      <c r="D330" s="7"/>
      <c r="E330" s="7"/>
      <c r="F330" s="7"/>
      <c r="G330" s="7"/>
    </row>
    <row r="331" ht="15.75" customHeight="1">
      <c r="A331" s="7"/>
      <c r="B331" s="7"/>
      <c r="C331" s="7"/>
      <c r="D331" s="7"/>
      <c r="E331" s="7"/>
      <c r="F331" s="7"/>
      <c r="G331" s="7"/>
    </row>
    <row r="332" ht="15.75" customHeight="1">
      <c r="A332" s="7"/>
      <c r="B332" s="7"/>
      <c r="C332" s="7"/>
      <c r="D332" s="7"/>
      <c r="E332" s="7"/>
      <c r="F332" s="7"/>
      <c r="G332" s="7"/>
    </row>
    <row r="333" ht="15.75" customHeight="1">
      <c r="A333" s="7"/>
      <c r="B333" s="7"/>
      <c r="C333" s="7"/>
      <c r="D333" s="7"/>
      <c r="E333" s="7"/>
      <c r="F333" s="7"/>
      <c r="G333" s="7"/>
    </row>
    <row r="334" ht="15.75" customHeight="1">
      <c r="A334" s="7"/>
      <c r="B334" s="7"/>
      <c r="C334" s="7"/>
      <c r="D334" s="7"/>
      <c r="E334" s="7"/>
      <c r="F334" s="7"/>
      <c r="G334" s="7"/>
    </row>
    <row r="335" ht="15.75" customHeight="1">
      <c r="A335" s="7"/>
      <c r="B335" s="7"/>
      <c r="C335" s="7"/>
      <c r="D335" s="7"/>
      <c r="E335" s="7"/>
      <c r="F335" s="7"/>
      <c r="G335" s="7"/>
    </row>
    <row r="336" ht="15.75" customHeight="1">
      <c r="A336" s="7"/>
      <c r="B336" s="7"/>
      <c r="C336" s="7"/>
      <c r="D336" s="7"/>
      <c r="E336" s="7"/>
      <c r="F336" s="7"/>
      <c r="G336" s="7"/>
    </row>
    <row r="337" ht="15.75" customHeight="1">
      <c r="A337" s="7"/>
      <c r="B337" s="7"/>
      <c r="C337" s="7"/>
      <c r="D337" s="7"/>
      <c r="E337" s="7"/>
      <c r="F337" s="7"/>
      <c r="G337" s="7"/>
    </row>
    <row r="338" ht="15.75" customHeight="1">
      <c r="A338" s="7"/>
      <c r="B338" s="7"/>
      <c r="C338" s="7"/>
      <c r="D338" s="7"/>
      <c r="E338" s="7"/>
      <c r="F338" s="7"/>
      <c r="G338" s="7"/>
    </row>
    <row r="339" ht="15.75" customHeight="1">
      <c r="A339" s="7"/>
      <c r="B339" s="7"/>
      <c r="C339" s="7"/>
      <c r="D339" s="7"/>
      <c r="E339" s="7"/>
      <c r="F339" s="7"/>
      <c r="G339" s="7"/>
    </row>
    <row r="340" ht="15.75" customHeight="1">
      <c r="A340" s="7"/>
      <c r="B340" s="7"/>
      <c r="C340" s="7"/>
      <c r="D340" s="7"/>
      <c r="E340" s="7"/>
      <c r="F340" s="7"/>
      <c r="G340" s="7"/>
    </row>
    <row r="341" ht="15.75" customHeight="1">
      <c r="A341" s="7"/>
      <c r="B341" s="7"/>
      <c r="C341" s="7"/>
      <c r="D341" s="7"/>
      <c r="E341" s="7"/>
      <c r="F341" s="7"/>
      <c r="G341" s="7"/>
    </row>
    <row r="342" ht="15.75" customHeight="1">
      <c r="A342" s="7"/>
      <c r="B342" s="7"/>
      <c r="C342" s="7"/>
      <c r="D342" s="7"/>
      <c r="E342" s="7"/>
      <c r="F342" s="7"/>
      <c r="G342" s="7"/>
    </row>
    <row r="343" ht="15.75" customHeight="1">
      <c r="A343" s="7"/>
      <c r="B343" s="7"/>
      <c r="C343" s="7"/>
      <c r="D343" s="7"/>
      <c r="E343" s="7"/>
      <c r="F343" s="7"/>
      <c r="G343" s="7"/>
    </row>
    <row r="344" ht="15.75" customHeight="1">
      <c r="A344" s="7"/>
      <c r="B344" s="7"/>
      <c r="C344" s="7"/>
      <c r="D344" s="7"/>
      <c r="E344" s="7"/>
      <c r="F344" s="7"/>
      <c r="G344" s="7"/>
    </row>
    <row r="345" ht="15.75" customHeight="1">
      <c r="A345" s="7"/>
      <c r="B345" s="7"/>
      <c r="C345" s="7"/>
      <c r="D345" s="7"/>
      <c r="E345" s="7"/>
      <c r="F345" s="7"/>
      <c r="G345" s="7"/>
    </row>
    <row r="346" ht="15.75" customHeight="1">
      <c r="A346" s="7"/>
      <c r="B346" s="7"/>
      <c r="C346" s="7"/>
      <c r="D346" s="7"/>
      <c r="E346" s="7"/>
      <c r="F346" s="7"/>
      <c r="G346" s="7"/>
    </row>
    <row r="347" ht="15.75" customHeight="1">
      <c r="A347" s="7"/>
      <c r="B347" s="7"/>
      <c r="C347" s="7"/>
      <c r="D347" s="7"/>
      <c r="E347" s="7"/>
      <c r="F347" s="7"/>
      <c r="G347" s="7"/>
    </row>
    <row r="348" ht="15.75" customHeight="1">
      <c r="A348" s="7"/>
      <c r="B348" s="7"/>
      <c r="C348" s="7"/>
      <c r="D348" s="7"/>
      <c r="E348" s="7"/>
      <c r="F348" s="7"/>
      <c r="G348" s="7"/>
    </row>
    <row r="349" ht="15.75" customHeight="1">
      <c r="A349" s="7"/>
      <c r="B349" s="7"/>
      <c r="C349" s="7"/>
      <c r="D349" s="7"/>
      <c r="E349" s="7"/>
      <c r="F349" s="7"/>
      <c r="G349" s="7"/>
    </row>
    <row r="350" ht="15.75" customHeight="1">
      <c r="A350" s="7"/>
      <c r="B350" s="7"/>
      <c r="C350" s="7"/>
      <c r="D350" s="7"/>
      <c r="E350" s="7"/>
      <c r="F350" s="7"/>
      <c r="G350" s="7"/>
    </row>
    <row r="351" ht="15.75" customHeight="1">
      <c r="A351" s="7"/>
      <c r="B351" s="7"/>
      <c r="C351" s="7"/>
      <c r="D351" s="7"/>
      <c r="E351" s="7"/>
      <c r="F351" s="7"/>
      <c r="G351" s="7"/>
    </row>
    <row r="352" ht="15.75" customHeight="1">
      <c r="A352" s="7"/>
      <c r="B352" s="7"/>
      <c r="C352" s="7"/>
      <c r="D352" s="7"/>
      <c r="E352" s="7"/>
      <c r="F352" s="7"/>
      <c r="G352" s="7"/>
    </row>
    <row r="353" ht="15.75" customHeight="1">
      <c r="A353" s="7"/>
      <c r="B353" s="7"/>
      <c r="C353" s="7"/>
      <c r="D353" s="7"/>
      <c r="E353" s="7"/>
      <c r="F353" s="7"/>
      <c r="G353" s="7"/>
    </row>
    <row r="354" ht="15.75" customHeight="1">
      <c r="A354" s="7"/>
      <c r="B354" s="7"/>
      <c r="C354" s="7"/>
      <c r="D354" s="7"/>
      <c r="E354" s="7"/>
      <c r="F354" s="7"/>
      <c r="G354" s="7"/>
    </row>
    <row r="355" ht="15.75" customHeight="1">
      <c r="A355" s="7"/>
      <c r="B355" s="7"/>
      <c r="C355" s="7"/>
      <c r="D355" s="7"/>
      <c r="E355" s="7"/>
      <c r="F355" s="7"/>
      <c r="G355" s="7"/>
    </row>
    <row r="356" ht="15.75" customHeight="1">
      <c r="A356" s="7"/>
      <c r="B356" s="7"/>
      <c r="C356" s="7"/>
      <c r="D356" s="7"/>
      <c r="E356" s="7"/>
      <c r="F356" s="7"/>
      <c r="G356" s="7"/>
    </row>
    <row r="357" ht="15.75" customHeight="1">
      <c r="A357" s="7"/>
      <c r="B357" s="7"/>
      <c r="C357" s="7"/>
      <c r="D357" s="7"/>
      <c r="E357" s="7"/>
      <c r="F357" s="7"/>
      <c r="G357" s="7"/>
    </row>
    <row r="358" ht="15.75" customHeight="1">
      <c r="A358" s="7"/>
      <c r="B358" s="7"/>
      <c r="C358" s="7"/>
      <c r="D358" s="7"/>
      <c r="E358" s="7"/>
      <c r="F358" s="7"/>
      <c r="G358" s="7"/>
    </row>
    <row r="359" ht="15.75" customHeight="1">
      <c r="A359" s="7"/>
      <c r="B359" s="7"/>
      <c r="C359" s="7"/>
      <c r="D359" s="7"/>
      <c r="E359" s="7"/>
      <c r="F359" s="7"/>
      <c r="G359" s="7"/>
    </row>
    <row r="360" ht="15.75" customHeight="1">
      <c r="A360" s="7"/>
      <c r="B360" s="7"/>
      <c r="C360" s="7"/>
      <c r="D360" s="7"/>
      <c r="E360" s="7"/>
      <c r="F360" s="7"/>
      <c r="G360" s="7"/>
    </row>
    <row r="361" ht="15.75" customHeight="1">
      <c r="A361" s="7"/>
      <c r="B361" s="7"/>
      <c r="C361" s="7"/>
      <c r="D361" s="7"/>
      <c r="E361" s="7"/>
      <c r="F361" s="7"/>
      <c r="G361" s="7"/>
    </row>
    <row r="362" ht="15.75" customHeight="1">
      <c r="A362" s="7"/>
      <c r="B362" s="7"/>
      <c r="C362" s="7"/>
      <c r="D362" s="7"/>
      <c r="E362" s="7"/>
      <c r="F362" s="7"/>
      <c r="G362" s="7"/>
    </row>
    <row r="363" ht="15.75" customHeight="1">
      <c r="A363" s="7"/>
      <c r="B363" s="7"/>
      <c r="C363" s="7"/>
      <c r="D363" s="7"/>
      <c r="E363" s="7"/>
      <c r="F363" s="7"/>
      <c r="G363" s="7"/>
    </row>
    <row r="364" ht="15.75" customHeight="1">
      <c r="A364" s="7"/>
      <c r="B364" s="7"/>
      <c r="C364" s="7"/>
      <c r="D364" s="7"/>
      <c r="E364" s="7"/>
      <c r="F364" s="7"/>
      <c r="G364" s="7"/>
    </row>
    <row r="365" ht="15.75" customHeight="1">
      <c r="A365" s="7"/>
      <c r="B365" s="7"/>
      <c r="C365" s="7"/>
      <c r="D365" s="7"/>
      <c r="E365" s="7"/>
      <c r="F365" s="7"/>
      <c r="G365" s="7"/>
    </row>
    <row r="366" ht="15.75" customHeight="1">
      <c r="A366" s="7"/>
      <c r="B366" s="7"/>
      <c r="C366" s="7"/>
      <c r="D366" s="7"/>
      <c r="E366" s="7"/>
      <c r="F366" s="7"/>
      <c r="G366" s="7"/>
    </row>
    <row r="367" ht="15.75" customHeight="1">
      <c r="A367" s="7"/>
      <c r="B367" s="7"/>
      <c r="C367" s="7"/>
      <c r="D367" s="7"/>
      <c r="E367" s="7"/>
      <c r="F367" s="7"/>
      <c r="G367" s="7"/>
    </row>
    <row r="368" ht="15.75" customHeight="1">
      <c r="A368" s="7"/>
      <c r="B368" s="7"/>
      <c r="C368" s="7"/>
      <c r="D368" s="7"/>
      <c r="E368" s="7"/>
      <c r="F368" s="7"/>
      <c r="G368" s="7"/>
    </row>
    <row r="369" ht="15.75" customHeight="1">
      <c r="A369" s="7"/>
      <c r="B369" s="7"/>
      <c r="C369" s="7"/>
      <c r="D369" s="7"/>
      <c r="E369" s="7"/>
      <c r="F369" s="7"/>
      <c r="G369" s="7"/>
    </row>
    <row r="370" ht="15.75" customHeight="1">
      <c r="A370" s="7"/>
      <c r="B370" s="7"/>
      <c r="C370" s="7"/>
      <c r="D370" s="7"/>
      <c r="E370" s="7"/>
      <c r="F370" s="7"/>
      <c r="G370" s="7"/>
    </row>
    <row r="371" ht="15.75" customHeight="1">
      <c r="A371" s="7"/>
      <c r="B371" s="7"/>
      <c r="C371" s="7"/>
      <c r="D371" s="7"/>
      <c r="E371" s="7"/>
      <c r="F371" s="7"/>
      <c r="G371" s="7"/>
    </row>
    <row r="372" ht="15.75" customHeight="1">
      <c r="A372" s="7"/>
      <c r="B372" s="7"/>
      <c r="C372" s="7"/>
      <c r="D372" s="7"/>
      <c r="E372" s="7"/>
      <c r="F372" s="7"/>
      <c r="G372" s="7"/>
    </row>
    <row r="373" ht="15.75" customHeight="1">
      <c r="A373" s="7"/>
      <c r="B373" s="7"/>
      <c r="C373" s="7"/>
      <c r="D373" s="7"/>
      <c r="E373" s="7"/>
      <c r="F373" s="7"/>
      <c r="G373" s="7"/>
    </row>
    <row r="374" ht="15.75" customHeight="1">
      <c r="A374" s="7"/>
      <c r="B374" s="7"/>
      <c r="C374" s="7"/>
      <c r="D374" s="7"/>
      <c r="E374" s="7"/>
      <c r="F374" s="7"/>
      <c r="G374" s="7"/>
    </row>
    <row r="375" ht="15.75" customHeight="1">
      <c r="A375" s="7"/>
      <c r="B375" s="7"/>
      <c r="C375" s="7"/>
      <c r="D375" s="7"/>
      <c r="E375" s="7"/>
      <c r="F375" s="7"/>
      <c r="G375" s="7"/>
    </row>
    <row r="376" ht="15.75" customHeight="1">
      <c r="A376" s="7"/>
      <c r="B376" s="7"/>
      <c r="C376" s="7"/>
      <c r="D376" s="7"/>
      <c r="E376" s="7"/>
      <c r="F376" s="7"/>
      <c r="G376" s="7"/>
    </row>
    <row r="377" ht="15.75" customHeight="1">
      <c r="A377" s="7"/>
      <c r="B377" s="7"/>
      <c r="C377" s="7"/>
      <c r="D377" s="7"/>
      <c r="E377" s="7"/>
      <c r="F377" s="7"/>
      <c r="G377" s="7"/>
    </row>
    <row r="378" ht="15.75" customHeight="1">
      <c r="A378" s="7"/>
      <c r="B378" s="7"/>
      <c r="C378" s="7"/>
      <c r="D378" s="7"/>
      <c r="E378" s="7"/>
      <c r="F378" s="7"/>
      <c r="G378" s="7"/>
    </row>
    <row r="379" ht="15.75" customHeight="1">
      <c r="A379" s="7"/>
      <c r="B379" s="7"/>
      <c r="C379" s="7"/>
      <c r="D379" s="7"/>
      <c r="E379" s="7"/>
      <c r="F379" s="7"/>
      <c r="G379" s="7"/>
    </row>
    <row r="380" ht="15.75" customHeight="1">
      <c r="A380" s="7"/>
      <c r="B380" s="7"/>
      <c r="C380" s="7"/>
      <c r="D380" s="7"/>
      <c r="E380" s="7"/>
      <c r="F380" s="7"/>
      <c r="G380" s="7"/>
    </row>
    <row r="381" ht="15.75" customHeight="1">
      <c r="A381" s="7"/>
      <c r="B381" s="7"/>
      <c r="C381" s="7"/>
      <c r="D381" s="7"/>
      <c r="E381" s="7"/>
      <c r="F381" s="7"/>
      <c r="G381" s="7"/>
    </row>
    <row r="382" ht="15.75" customHeight="1">
      <c r="A382" s="7"/>
      <c r="B382" s="7"/>
      <c r="C382" s="7"/>
      <c r="D382" s="7"/>
      <c r="E382" s="7"/>
      <c r="F382" s="7"/>
      <c r="G382" s="7"/>
    </row>
    <row r="383" ht="15.75" customHeight="1">
      <c r="A383" s="7"/>
      <c r="B383" s="7"/>
      <c r="C383" s="7"/>
      <c r="D383" s="7"/>
      <c r="E383" s="7"/>
      <c r="F383" s="7"/>
      <c r="G383" s="7"/>
    </row>
    <row r="384" ht="15.75" customHeight="1">
      <c r="A384" s="7"/>
      <c r="B384" s="7"/>
      <c r="C384" s="7"/>
      <c r="D384" s="7"/>
      <c r="E384" s="7"/>
      <c r="F384" s="7"/>
      <c r="G384" s="7"/>
    </row>
    <row r="385" ht="15.75" customHeight="1">
      <c r="A385" s="7"/>
      <c r="B385" s="7"/>
      <c r="C385" s="7"/>
      <c r="D385" s="7"/>
      <c r="E385" s="7"/>
      <c r="F385" s="7"/>
      <c r="G385" s="7"/>
    </row>
    <row r="386" ht="15.75" customHeight="1">
      <c r="A386" s="7"/>
      <c r="B386" s="7"/>
      <c r="C386" s="7"/>
      <c r="D386" s="7"/>
      <c r="E386" s="7"/>
      <c r="F386" s="7"/>
      <c r="G386" s="7"/>
    </row>
    <row r="387" ht="15.75" customHeight="1">
      <c r="A387" s="7"/>
      <c r="B387" s="7"/>
      <c r="C387" s="7"/>
      <c r="D387" s="7"/>
      <c r="E387" s="7"/>
      <c r="F387" s="7"/>
      <c r="G387" s="7"/>
    </row>
    <row r="388" ht="15.75" customHeight="1">
      <c r="A388" s="7"/>
      <c r="B388" s="7"/>
      <c r="C388" s="7"/>
      <c r="D388" s="7"/>
      <c r="E388" s="7"/>
      <c r="F388" s="7"/>
      <c r="G388" s="7"/>
    </row>
    <row r="389" ht="15.75" customHeight="1">
      <c r="A389" s="7"/>
      <c r="B389" s="7"/>
      <c r="C389" s="7"/>
      <c r="D389" s="7"/>
      <c r="E389" s="7"/>
      <c r="F389" s="7"/>
      <c r="G389" s="7"/>
    </row>
    <row r="390" ht="15.75" customHeight="1">
      <c r="A390" s="7"/>
      <c r="B390" s="7"/>
      <c r="C390" s="7"/>
      <c r="D390" s="7"/>
      <c r="E390" s="7"/>
      <c r="F390" s="7"/>
      <c r="G390" s="7"/>
    </row>
    <row r="391" ht="15.75" customHeight="1">
      <c r="A391" s="7"/>
      <c r="B391" s="7"/>
      <c r="C391" s="7"/>
      <c r="D391" s="7"/>
      <c r="E391" s="7"/>
      <c r="F391" s="7"/>
      <c r="G391" s="7"/>
    </row>
    <row r="392" ht="15.75" customHeight="1">
      <c r="A392" s="7"/>
      <c r="B392" s="7"/>
      <c r="C392" s="7"/>
      <c r="D392" s="7"/>
      <c r="E392" s="7"/>
      <c r="F392" s="7"/>
      <c r="G392" s="7"/>
    </row>
    <row r="393" ht="15.75" customHeight="1">
      <c r="A393" s="7"/>
      <c r="B393" s="7"/>
      <c r="C393" s="7"/>
      <c r="D393" s="7"/>
      <c r="E393" s="7"/>
      <c r="F393" s="7"/>
      <c r="G393" s="7"/>
    </row>
    <row r="394" ht="15.75" customHeight="1">
      <c r="A394" s="7"/>
      <c r="B394" s="7"/>
      <c r="C394" s="7"/>
      <c r="D394" s="7"/>
      <c r="E394" s="7"/>
      <c r="F394" s="7"/>
      <c r="G394" s="7"/>
    </row>
    <row r="395" ht="15.75" customHeight="1">
      <c r="A395" s="7"/>
      <c r="B395" s="7"/>
      <c r="C395" s="7"/>
      <c r="D395" s="7"/>
      <c r="E395" s="7"/>
      <c r="F395" s="7"/>
      <c r="G395" s="7"/>
    </row>
    <row r="396" ht="15.75" customHeight="1">
      <c r="A396" s="7"/>
      <c r="B396" s="7"/>
      <c r="C396" s="7"/>
      <c r="D396" s="7"/>
      <c r="E396" s="7"/>
      <c r="F396" s="7"/>
      <c r="G396" s="7"/>
    </row>
    <row r="397" ht="15.75" customHeight="1">
      <c r="A397" s="7"/>
      <c r="B397" s="7"/>
      <c r="C397" s="7"/>
      <c r="D397" s="7"/>
      <c r="E397" s="7"/>
      <c r="F397" s="7"/>
      <c r="G397" s="7"/>
    </row>
    <row r="398" ht="15.75" customHeight="1">
      <c r="A398" s="7"/>
      <c r="B398" s="7"/>
      <c r="C398" s="7"/>
      <c r="D398" s="7"/>
      <c r="E398" s="7"/>
      <c r="F398" s="7"/>
      <c r="G398" s="7"/>
    </row>
    <row r="399" ht="15.75" customHeight="1">
      <c r="A399" s="7"/>
      <c r="B399" s="7"/>
      <c r="C399" s="7"/>
      <c r="D399" s="7"/>
      <c r="E399" s="7"/>
      <c r="F399" s="7"/>
      <c r="G399" s="7"/>
    </row>
    <row r="400" ht="15.75" customHeight="1">
      <c r="A400" s="7"/>
      <c r="B400" s="7"/>
      <c r="C400" s="7"/>
      <c r="D400" s="7"/>
      <c r="E400" s="7"/>
      <c r="F400" s="7"/>
      <c r="G400" s="7"/>
    </row>
    <row r="401" ht="15.75" customHeight="1">
      <c r="A401" s="7"/>
      <c r="B401" s="7"/>
      <c r="C401" s="7"/>
      <c r="D401" s="7"/>
      <c r="E401" s="7"/>
      <c r="F401" s="7"/>
      <c r="G401" s="7"/>
    </row>
    <row r="402" ht="15.75" customHeight="1">
      <c r="A402" s="7"/>
      <c r="B402" s="7"/>
      <c r="C402" s="7"/>
      <c r="D402" s="7"/>
      <c r="E402" s="7"/>
      <c r="F402" s="7"/>
      <c r="G402" s="7"/>
    </row>
    <row r="403" ht="15.75" customHeight="1">
      <c r="A403" s="7"/>
      <c r="B403" s="7"/>
      <c r="C403" s="7"/>
      <c r="D403" s="7"/>
      <c r="E403" s="7"/>
      <c r="F403" s="7"/>
      <c r="G403" s="7"/>
    </row>
    <row r="404" ht="15.75" customHeight="1">
      <c r="A404" s="7"/>
      <c r="B404" s="7"/>
      <c r="C404" s="7"/>
      <c r="D404" s="7"/>
      <c r="E404" s="7"/>
      <c r="F404" s="7"/>
      <c r="G404" s="7"/>
    </row>
    <row r="405" ht="15.75" customHeight="1">
      <c r="A405" s="7"/>
      <c r="B405" s="7"/>
      <c r="C405" s="7"/>
      <c r="D405" s="7"/>
      <c r="E405" s="7"/>
      <c r="F405" s="7"/>
      <c r="G405" s="7"/>
    </row>
    <row r="406" ht="15.75" customHeight="1">
      <c r="A406" s="7"/>
      <c r="B406" s="7"/>
      <c r="C406" s="7"/>
      <c r="D406" s="7"/>
      <c r="E406" s="7"/>
      <c r="F406" s="7"/>
      <c r="G406" s="7"/>
    </row>
    <row r="407" ht="15.75" customHeight="1">
      <c r="A407" s="7"/>
      <c r="B407" s="7"/>
      <c r="C407" s="7"/>
      <c r="D407" s="7"/>
      <c r="E407" s="7"/>
      <c r="F407" s="7"/>
      <c r="G407" s="7"/>
    </row>
    <row r="408" ht="15.75" customHeight="1">
      <c r="A408" s="7"/>
      <c r="B408" s="7"/>
      <c r="C408" s="7"/>
      <c r="D408" s="7"/>
      <c r="E408" s="7"/>
      <c r="F408" s="7"/>
      <c r="G408" s="7"/>
    </row>
    <row r="409" ht="15.75" customHeight="1">
      <c r="A409" s="7"/>
      <c r="B409" s="7"/>
      <c r="C409" s="7"/>
      <c r="D409" s="7"/>
      <c r="E409" s="7"/>
      <c r="F409" s="7"/>
      <c r="G409" s="7"/>
    </row>
    <row r="410" ht="15.75" customHeight="1">
      <c r="A410" s="7"/>
      <c r="B410" s="7"/>
      <c r="C410" s="7"/>
      <c r="D410" s="7"/>
      <c r="E410" s="7"/>
      <c r="F410" s="7"/>
      <c r="G410" s="7"/>
    </row>
    <row r="411" ht="15.75" customHeight="1">
      <c r="A411" s="7"/>
      <c r="B411" s="7"/>
      <c r="C411" s="7"/>
      <c r="D411" s="7"/>
      <c r="E411" s="7"/>
      <c r="F411" s="7"/>
      <c r="G411" s="7"/>
    </row>
    <row r="412" ht="15.75" customHeight="1">
      <c r="A412" s="7"/>
      <c r="B412" s="7"/>
      <c r="C412" s="7"/>
      <c r="D412" s="7"/>
      <c r="E412" s="7"/>
      <c r="F412" s="7"/>
      <c r="G412" s="7"/>
    </row>
    <row r="413" ht="15.75" customHeight="1">
      <c r="A413" s="7"/>
      <c r="B413" s="7"/>
      <c r="C413" s="7"/>
      <c r="D413" s="7"/>
      <c r="E413" s="7"/>
      <c r="F413" s="7"/>
      <c r="G413" s="7"/>
    </row>
    <row r="414" ht="15.75" customHeight="1">
      <c r="A414" s="7"/>
      <c r="B414" s="7"/>
      <c r="C414" s="7"/>
      <c r="D414" s="7"/>
      <c r="E414" s="7"/>
      <c r="F414" s="7"/>
      <c r="G414" s="7"/>
    </row>
    <row r="415" ht="15.75" customHeight="1">
      <c r="A415" s="7"/>
      <c r="B415" s="7"/>
      <c r="C415" s="7"/>
      <c r="D415" s="7"/>
      <c r="E415" s="7"/>
      <c r="F415" s="7"/>
      <c r="G415" s="7"/>
    </row>
    <row r="416" ht="15.75" customHeight="1">
      <c r="A416" s="7"/>
      <c r="B416" s="7"/>
      <c r="C416" s="7"/>
      <c r="D416" s="7"/>
      <c r="E416" s="7"/>
      <c r="F416" s="7"/>
      <c r="G416" s="7"/>
    </row>
    <row r="417" ht="15.75" customHeight="1">
      <c r="A417" s="7"/>
      <c r="B417" s="7"/>
      <c r="C417" s="7"/>
      <c r="D417" s="7"/>
      <c r="E417" s="7"/>
      <c r="F417" s="7"/>
      <c r="G417" s="7"/>
    </row>
    <row r="418" ht="15.75" customHeight="1">
      <c r="A418" s="7"/>
      <c r="B418" s="7"/>
      <c r="C418" s="7"/>
      <c r="D418" s="7"/>
      <c r="E418" s="7"/>
      <c r="F418" s="7"/>
      <c r="G418" s="7"/>
    </row>
    <row r="419" ht="15.75" customHeight="1">
      <c r="A419" s="7"/>
      <c r="B419" s="7"/>
      <c r="C419" s="7"/>
      <c r="D419" s="7"/>
      <c r="E419" s="7"/>
      <c r="F419" s="7"/>
      <c r="G419" s="7"/>
    </row>
    <row r="420" ht="15.75" customHeight="1">
      <c r="A420" s="7"/>
      <c r="B420" s="7"/>
      <c r="C420" s="7"/>
      <c r="D420" s="7"/>
      <c r="E420" s="7"/>
      <c r="F420" s="7"/>
      <c r="G420" s="7"/>
    </row>
    <row r="421" ht="15.75" customHeight="1">
      <c r="A421" s="7"/>
      <c r="B421" s="7"/>
      <c r="C421" s="7"/>
      <c r="D421" s="7"/>
      <c r="E421" s="7"/>
      <c r="F421" s="7"/>
      <c r="G421" s="7"/>
    </row>
    <row r="422" ht="15.75" customHeight="1">
      <c r="A422" s="7"/>
      <c r="B422" s="7"/>
      <c r="C422" s="7"/>
      <c r="D422" s="7"/>
      <c r="E422" s="7"/>
      <c r="F422" s="7"/>
      <c r="G422" s="7"/>
    </row>
    <row r="423" ht="15.75" customHeight="1">
      <c r="A423" s="7"/>
      <c r="B423" s="7"/>
      <c r="C423" s="7"/>
      <c r="D423" s="7"/>
      <c r="E423" s="7"/>
      <c r="F423" s="7"/>
      <c r="G423" s="7"/>
    </row>
    <row r="424" ht="15.75" customHeight="1">
      <c r="A424" s="7"/>
      <c r="B424" s="7"/>
      <c r="C424" s="7"/>
      <c r="D424" s="7"/>
      <c r="E424" s="7"/>
      <c r="F424" s="7"/>
      <c r="G424" s="7"/>
    </row>
    <row r="425" ht="15.75" customHeight="1">
      <c r="A425" s="7"/>
      <c r="B425" s="7"/>
      <c r="C425" s="7"/>
      <c r="D425" s="7"/>
      <c r="E425" s="7"/>
      <c r="F425" s="7"/>
      <c r="G425" s="7"/>
    </row>
    <row r="426" ht="15.75" customHeight="1">
      <c r="A426" s="7"/>
      <c r="B426" s="7"/>
      <c r="C426" s="7"/>
      <c r="D426" s="7"/>
      <c r="E426" s="7"/>
      <c r="F426" s="7"/>
      <c r="G426" s="7"/>
    </row>
    <row r="427" ht="15.75" customHeight="1">
      <c r="A427" s="7"/>
      <c r="B427" s="7"/>
      <c r="C427" s="7"/>
      <c r="D427" s="7"/>
      <c r="E427" s="7"/>
      <c r="F427" s="7"/>
      <c r="G427" s="7"/>
    </row>
    <row r="428" ht="15.75" customHeight="1">
      <c r="A428" s="7"/>
      <c r="B428" s="7"/>
      <c r="C428" s="7"/>
      <c r="D428" s="7"/>
      <c r="E428" s="7"/>
      <c r="F428" s="7"/>
      <c r="G428" s="7"/>
    </row>
    <row r="429" ht="15.75" customHeight="1">
      <c r="A429" s="7"/>
      <c r="B429" s="7"/>
      <c r="C429" s="7"/>
      <c r="D429" s="7"/>
      <c r="E429" s="7"/>
      <c r="F429" s="7"/>
      <c r="G429" s="7"/>
    </row>
    <row r="430" ht="15.75" customHeight="1">
      <c r="A430" s="7"/>
      <c r="B430" s="7"/>
      <c r="C430" s="7"/>
      <c r="D430" s="7"/>
      <c r="E430" s="7"/>
      <c r="F430" s="7"/>
      <c r="G430" s="7"/>
    </row>
    <row r="431" ht="15.75" customHeight="1">
      <c r="A431" s="7"/>
      <c r="B431" s="7"/>
      <c r="C431" s="7"/>
      <c r="D431" s="7"/>
      <c r="E431" s="7"/>
      <c r="F431" s="7"/>
      <c r="G431" s="7"/>
    </row>
    <row r="432" ht="15.75" customHeight="1">
      <c r="A432" s="7"/>
      <c r="B432" s="7"/>
      <c r="C432" s="7"/>
      <c r="D432" s="7"/>
      <c r="E432" s="7"/>
      <c r="F432" s="7"/>
      <c r="G432" s="7"/>
    </row>
    <row r="433" ht="15.75" customHeight="1">
      <c r="A433" s="7"/>
      <c r="B433" s="7"/>
      <c r="C433" s="7"/>
      <c r="D433" s="7"/>
      <c r="E433" s="7"/>
      <c r="F433" s="7"/>
      <c r="G433" s="7"/>
    </row>
    <row r="434" ht="15.75" customHeight="1">
      <c r="A434" s="7"/>
      <c r="B434" s="7"/>
      <c r="C434" s="7"/>
      <c r="D434" s="7"/>
      <c r="E434" s="7"/>
      <c r="F434" s="7"/>
      <c r="G434" s="7"/>
    </row>
    <row r="435" ht="15.75" customHeight="1">
      <c r="A435" s="7"/>
      <c r="B435" s="7"/>
      <c r="C435" s="7"/>
      <c r="D435" s="7"/>
      <c r="E435" s="7"/>
      <c r="F435" s="7"/>
      <c r="G435" s="7"/>
    </row>
    <row r="436" ht="15.75" customHeight="1">
      <c r="A436" s="7"/>
      <c r="B436" s="7"/>
      <c r="C436" s="7"/>
      <c r="D436" s="7"/>
      <c r="E436" s="7"/>
      <c r="F436" s="7"/>
      <c r="G436" s="7"/>
    </row>
    <row r="437" ht="15.75" customHeight="1">
      <c r="A437" s="7"/>
      <c r="B437" s="7"/>
      <c r="C437" s="7"/>
      <c r="D437" s="7"/>
      <c r="E437" s="7"/>
      <c r="F437" s="7"/>
      <c r="G437" s="7"/>
    </row>
    <row r="438" ht="15.75" customHeight="1">
      <c r="A438" s="7"/>
      <c r="B438" s="7"/>
      <c r="C438" s="7"/>
      <c r="D438" s="7"/>
      <c r="E438" s="7"/>
      <c r="F438" s="7"/>
      <c r="G438" s="7"/>
    </row>
    <row r="439" ht="15.75" customHeight="1">
      <c r="A439" s="7"/>
      <c r="B439" s="7"/>
      <c r="C439" s="7"/>
      <c r="D439" s="7"/>
      <c r="E439" s="7"/>
      <c r="F439" s="7"/>
      <c r="G439" s="7"/>
    </row>
    <row r="440" ht="15.75" customHeight="1">
      <c r="A440" s="7"/>
      <c r="B440" s="7"/>
      <c r="C440" s="7"/>
      <c r="D440" s="7"/>
      <c r="E440" s="7"/>
      <c r="F440" s="7"/>
      <c r="G440" s="7"/>
    </row>
    <row r="441" ht="15.75" customHeight="1">
      <c r="A441" s="7"/>
      <c r="B441" s="7"/>
      <c r="C441" s="7"/>
      <c r="D441" s="7"/>
      <c r="E441" s="7"/>
      <c r="F441" s="7"/>
      <c r="G441" s="7"/>
    </row>
    <row r="442" ht="15.75" customHeight="1">
      <c r="A442" s="7"/>
      <c r="B442" s="7"/>
      <c r="C442" s="7"/>
      <c r="D442" s="7"/>
      <c r="E442" s="7"/>
      <c r="F442" s="7"/>
      <c r="G442" s="7"/>
    </row>
    <row r="443" ht="15.75" customHeight="1">
      <c r="A443" s="7"/>
      <c r="B443" s="7"/>
      <c r="C443" s="7"/>
      <c r="D443" s="7"/>
      <c r="E443" s="7"/>
      <c r="F443" s="7"/>
      <c r="G443" s="7"/>
    </row>
    <row r="444" ht="15.75" customHeight="1">
      <c r="A444" s="7"/>
      <c r="B444" s="7"/>
      <c r="C444" s="7"/>
      <c r="D444" s="7"/>
      <c r="E444" s="7"/>
      <c r="F444" s="7"/>
      <c r="G444" s="7"/>
    </row>
    <row r="445" ht="15.75" customHeight="1">
      <c r="A445" s="7"/>
      <c r="B445" s="7"/>
      <c r="C445" s="7"/>
      <c r="D445" s="7"/>
      <c r="E445" s="7"/>
      <c r="F445" s="7"/>
      <c r="G445" s="7"/>
    </row>
    <row r="446" ht="15.75" customHeight="1">
      <c r="A446" s="7"/>
      <c r="B446" s="7"/>
      <c r="C446" s="7"/>
      <c r="D446" s="7"/>
      <c r="E446" s="7"/>
      <c r="F446" s="7"/>
      <c r="G446" s="7"/>
    </row>
    <row r="447" ht="15.75" customHeight="1">
      <c r="A447" s="7"/>
      <c r="B447" s="7"/>
      <c r="C447" s="7"/>
      <c r="D447" s="7"/>
      <c r="E447" s="7"/>
      <c r="F447" s="7"/>
      <c r="G447" s="7"/>
    </row>
    <row r="448" ht="15.75" customHeight="1">
      <c r="A448" s="7"/>
      <c r="B448" s="7"/>
      <c r="C448" s="7"/>
      <c r="D448" s="7"/>
      <c r="E448" s="7"/>
      <c r="F448" s="7"/>
      <c r="G448" s="7"/>
    </row>
    <row r="449" ht="15.75" customHeight="1">
      <c r="A449" s="7"/>
      <c r="B449" s="7"/>
      <c r="C449" s="7"/>
      <c r="D449" s="7"/>
      <c r="E449" s="7"/>
      <c r="F449" s="7"/>
      <c r="G449" s="7"/>
    </row>
    <row r="450" ht="15.75" customHeight="1">
      <c r="A450" s="7"/>
      <c r="B450" s="7"/>
      <c r="C450" s="7"/>
      <c r="D450" s="7"/>
      <c r="E450" s="7"/>
      <c r="F450" s="7"/>
      <c r="G450" s="7"/>
    </row>
    <row r="451" ht="15.75" customHeight="1">
      <c r="A451" s="7"/>
      <c r="B451" s="7"/>
      <c r="C451" s="7"/>
      <c r="D451" s="7"/>
      <c r="E451" s="7"/>
      <c r="F451" s="7"/>
      <c r="G451" s="7"/>
    </row>
    <row r="452" ht="15.75" customHeight="1">
      <c r="A452" s="7"/>
      <c r="B452" s="7"/>
      <c r="C452" s="7"/>
      <c r="D452" s="7"/>
      <c r="E452" s="7"/>
      <c r="F452" s="7"/>
      <c r="G452" s="7"/>
    </row>
    <row r="453" ht="15.75" customHeight="1">
      <c r="A453" s="7"/>
      <c r="B453" s="7"/>
      <c r="C453" s="7"/>
      <c r="D453" s="7"/>
      <c r="E453" s="7"/>
      <c r="F453" s="7"/>
      <c r="G453" s="7"/>
    </row>
    <row r="454" ht="15.75" customHeight="1">
      <c r="A454" s="7"/>
      <c r="B454" s="7"/>
      <c r="C454" s="7"/>
      <c r="D454" s="7"/>
      <c r="E454" s="7"/>
      <c r="F454" s="7"/>
      <c r="G454" s="7"/>
    </row>
    <row r="455" ht="15.75" customHeight="1">
      <c r="A455" s="7"/>
      <c r="B455" s="7"/>
      <c r="C455" s="7"/>
      <c r="D455" s="7"/>
      <c r="E455" s="7"/>
      <c r="F455" s="7"/>
      <c r="G455" s="7"/>
    </row>
    <row r="456" ht="15.75" customHeight="1">
      <c r="A456" s="7"/>
      <c r="B456" s="7"/>
      <c r="C456" s="7"/>
      <c r="D456" s="7"/>
      <c r="E456" s="7"/>
      <c r="F456" s="7"/>
      <c r="G456" s="7"/>
    </row>
    <row r="457" ht="15.75" customHeight="1">
      <c r="A457" s="7"/>
      <c r="B457" s="7"/>
      <c r="C457" s="7"/>
      <c r="D457" s="7"/>
      <c r="E457" s="7"/>
      <c r="F457" s="7"/>
      <c r="G457" s="7"/>
    </row>
    <row r="458" ht="15.75" customHeight="1">
      <c r="A458" s="7"/>
      <c r="B458" s="7"/>
      <c r="C458" s="7"/>
      <c r="D458" s="7"/>
      <c r="E458" s="7"/>
      <c r="F458" s="7"/>
      <c r="G458" s="7"/>
    </row>
    <row r="459" ht="15.75" customHeight="1">
      <c r="A459" s="7"/>
      <c r="B459" s="7"/>
      <c r="C459" s="7"/>
      <c r="D459" s="7"/>
      <c r="E459" s="7"/>
      <c r="F459" s="7"/>
      <c r="G459" s="7"/>
    </row>
    <row r="460" ht="15.75" customHeight="1">
      <c r="A460" s="7"/>
      <c r="B460" s="7"/>
      <c r="C460" s="7"/>
      <c r="D460" s="7"/>
      <c r="E460" s="7"/>
      <c r="F460" s="7"/>
      <c r="G460" s="7"/>
    </row>
    <row r="461" ht="15.75" customHeight="1">
      <c r="A461" s="7"/>
      <c r="B461" s="7"/>
      <c r="C461" s="7"/>
      <c r="D461" s="7"/>
      <c r="E461" s="7"/>
      <c r="F461" s="7"/>
      <c r="G461" s="7"/>
    </row>
    <row r="462" ht="15.75" customHeight="1">
      <c r="A462" s="7"/>
      <c r="B462" s="7"/>
      <c r="C462" s="7"/>
      <c r="D462" s="7"/>
      <c r="E462" s="7"/>
      <c r="F462" s="7"/>
      <c r="G462" s="7"/>
    </row>
    <row r="463" ht="15.75" customHeight="1">
      <c r="A463" s="7"/>
      <c r="B463" s="7"/>
      <c r="C463" s="7"/>
      <c r="D463" s="7"/>
      <c r="E463" s="7"/>
      <c r="F463" s="7"/>
      <c r="G463" s="7"/>
    </row>
    <row r="464" ht="15.75" customHeight="1">
      <c r="A464" s="7"/>
      <c r="B464" s="7"/>
      <c r="C464" s="7"/>
      <c r="D464" s="7"/>
      <c r="E464" s="7"/>
      <c r="F464" s="7"/>
      <c r="G464" s="7"/>
    </row>
    <row r="465" ht="15.75" customHeight="1">
      <c r="A465" s="7"/>
      <c r="B465" s="7"/>
      <c r="C465" s="7"/>
      <c r="D465" s="7"/>
      <c r="E465" s="7"/>
      <c r="F465" s="7"/>
      <c r="G465" s="7"/>
    </row>
    <row r="466" ht="15.75" customHeight="1">
      <c r="A466" s="7"/>
      <c r="B466" s="7"/>
      <c r="C466" s="7"/>
      <c r="D466" s="7"/>
      <c r="E466" s="7"/>
      <c r="F466" s="7"/>
      <c r="G466" s="7"/>
    </row>
    <row r="467" ht="15.75" customHeight="1">
      <c r="A467" s="7"/>
      <c r="B467" s="7"/>
      <c r="C467" s="7"/>
      <c r="D467" s="7"/>
      <c r="E467" s="7"/>
      <c r="F467" s="7"/>
      <c r="G467" s="7"/>
    </row>
    <row r="468" ht="15.75" customHeight="1">
      <c r="A468" s="7"/>
      <c r="B468" s="7"/>
      <c r="C468" s="7"/>
      <c r="D468" s="7"/>
      <c r="E468" s="7"/>
      <c r="F468" s="7"/>
      <c r="G468" s="7"/>
    </row>
    <row r="469" ht="15.75" customHeight="1">
      <c r="A469" s="7"/>
      <c r="B469" s="7"/>
      <c r="C469" s="7"/>
      <c r="D469" s="7"/>
      <c r="E469" s="7"/>
      <c r="F469" s="7"/>
      <c r="G469" s="7"/>
    </row>
    <row r="470" ht="15.75" customHeight="1">
      <c r="A470" s="7"/>
      <c r="B470" s="7"/>
      <c r="C470" s="7"/>
      <c r="D470" s="7"/>
      <c r="E470" s="7"/>
      <c r="F470" s="7"/>
      <c r="G470" s="7"/>
    </row>
    <row r="471" ht="15.75" customHeight="1">
      <c r="A471" s="7"/>
      <c r="B471" s="7"/>
      <c r="C471" s="7"/>
      <c r="D471" s="7"/>
      <c r="E471" s="7"/>
      <c r="F471" s="7"/>
      <c r="G471" s="7"/>
    </row>
    <row r="472" ht="15.75" customHeight="1">
      <c r="A472" s="7"/>
      <c r="B472" s="7"/>
      <c r="C472" s="7"/>
      <c r="D472" s="7"/>
      <c r="E472" s="7"/>
      <c r="F472" s="7"/>
      <c r="G472" s="7"/>
    </row>
    <row r="473" ht="15.75" customHeight="1">
      <c r="A473" s="7"/>
      <c r="B473" s="7"/>
      <c r="C473" s="7"/>
      <c r="D473" s="7"/>
      <c r="E473" s="7"/>
      <c r="F473" s="7"/>
      <c r="G473" s="7"/>
    </row>
    <row r="474" ht="15.75" customHeight="1">
      <c r="A474" s="7"/>
      <c r="B474" s="7"/>
      <c r="C474" s="7"/>
      <c r="D474" s="7"/>
      <c r="E474" s="7"/>
      <c r="F474" s="7"/>
      <c r="G474" s="7"/>
    </row>
    <row r="475" ht="15.75" customHeight="1">
      <c r="A475" s="7"/>
      <c r="B475" s="7"/>
      <c r="C475" s="7"/>
      <c r="D475" s="7"/>
      <c r="E475" s="7"/>
      <c r="F475" s="7"/>
      <c r="G475" s="7"/>
    </row>
    <row r="476" ht="15.75" customHeight="1">
      <c r="A476" s="7"/>
      <c r="B476" s="7"/>
      <c r="C476" s="7"/>
      <c r="D476" s="7"/>
      <c r="E476" s="7"/>
      <c r="F476" s="7"/>
      <c r="G476" s="7"/>
    </row>
    <row r="477" ht="15.75" customHeight="1">
      <c r="A477" s="7"/>
      <c r="B477" s="7"/>
      <c r="C477" s="7"/>
      <c r="D477" s="7"/>
      <c r="E477" s="7"/>
      <c r="F477" s="7"/>
      <c r="G477" s="7"/>
    </row>
    <row r="478" ht="15.75" customHeight="1">
      <c r="A478" s="7"/>
      <c r="B478" s="7"/>
      <c r="C478" s="7"/>
      <c r="D478" s="7"/>
      <c r="E478" s="7"/>
      <c r="F478" s="7"/>
      <c r="G478" s="7"/>
    </row>
    <row r="479" ht="15.75" customHeight="1">
      <c r="A479" s="7"/>
      <c r="B479" s="7"/>
      <c r="C479" s="7"/>
      <c r="D479" s="7"/>
      <c r="E479" s="7"/>
      <c r="F479" s="7"/>
      <c r="G479" s="7"/>
    </row>
    <row r="480" ht="15.75" customHeight="1">
      <c r="A480" s="7"/>
      <c r="B480" s="7"/>
      <c r="C480" s="7"/>
      <c r="D480" s="7"/>
      <c r="E480" s="7"/>
      <c r="F480" s="7"/>
      <c r="G480" s="7"/>
    </row>
    <row r="481" ht="15.75" customHeight="1">
      <c r="A481" s="7"/>
      <c r="B481" s="7"/>
      <c r="C481" s="7"/>
      <c r="D481" s="7"/>
      <c r="E481" s="7"/>
      <c r="F481" s="7"/>
      <c r="G481" s="7"/>
    </row>
    <row r="482" ht="15.75" customHeight="1">
      <c r="A482" s="7"/>
      <c r="B482" s="7"/>
      <c r="C482" s="7"/>
      <c r="D482" s="7"/>
      <c r="E482" s="7"/>
      <c r="F482" s="7"/>
      <c r="G482" s="7"/>
    </row>
    <row r="483" ht="15.75" customHeight="1">
      <c r="A483" s="7"/>
      <c r="B483" s="7"/>
      <c r="C483" s="7"/>
      <c r="D483" s="7"/>
      <c r="E483" s="7"/>
      <c r="F483" s="7"/>
      <c r="G483" s="7"/>
    </row>
    <row r="484" ht="15.75" customHeight="1">
      <c r="A484" s="7"/>
      <c r="B484" s="7"/>
      <c r="C484" s="7"/>
      <c r="D484" s="7"/>
      <c r="E484" s="7"/>
      <c r="F484" s="7"/>
      <c r="G484" s="7"/>
    </row>
    <row r="485" ht="15.75" customHeight="1">
      <c r="A485" s="7"/>
      <c r="B485" s="7"/>
      <c r="C485" s="7"/>
      <c r="D485" s="7"/>
      <c r="E485" s="7"/>
      <c r="F485" s="7"/>
      <c r="G485" s="7"/>
    </row>
    <row r="486" ht="15.75" customHeight="1">
      <c r="A486" s="7"/>
      <c r="B486" s="7"/>
      <c r="C486" s="7"/>
      <c r="D486" s="7"/>
      <c r="E486" s="7"/>
      <c r="F486" s="7"/>
      <c r="G486" s="7"/>
    </row>
    <row r="487" ht="15.75" customHeight="1">
      <c r="A487" s="7"/>
      <c r="B487" s="7"/>
      <c r="C487" s="7"/>
      <c r="D487" s="7"/>
      <c r="E487" s="7"/>
      <c r="F487" s="7"/>
      <c r="G487" s="7"/>
    </row>
    <row r="488" ht="15.75" customHeight="1">
      <c r="A488" s="7"/>
      <c r="B488" s="7"/>
      <c r="C488" s="7"/>
      <c r="D488" s="7"/>
      <c r="E488" s="7"/>
      <c r="F488" s="7"/>
      <c r="G488" s="7"/>
    </row>
    <row r="489" ht="15.75" customHeight="1">
      <c r="A489" s="7"/>
      <c r="B489" s="7"/>
      <c r="C489" s="7"/>
      <c r="D489" s="7"/>
      <c r="E489" s="7"/>
      <c r="F489" s="7"/>
      <c r="G489" s="7"/>
    </row>
    <row r="490" ht="15.75" customHeight="1">
      <c r="A490" s="7"/>
      <c r="B490" s="7"/>
      <c r="C490" s="7"/>
      <c r="D490" s="7"/>
      <c r="E490" s="7"/>
      <c r="F490" s="7"/>
      <c r="G490" s="7"/>
    </row>
    <row r="491" ht="15.75" customHeight="1">
      <c r="A491" s="7"/>
      <c r="B491" s="7"/>
      <c r="C491" s="7"/>
      <c r="D491" s="7"/>
      <c r="E491" s="7"/>
      <c r="F491" s="7"/>
      <c r="G491" s="7"/>
    </row>
    <row r="492" ht="15.75" customHeight="1">
      <c r="A492" s="7"/>
      <c r="B492" s="7"/>
      <c r="C492" s="7"/>
      <c r="D492" s="7"/>
      <c r="E492" s="7"/>
      <c r="F492" s="7"/>
      <c r="G492" s="7"/>
    </row>
    <row r="493" ht="15.75" customHeight="1">
      <c r="A493" s="7"/>
      <c r="B493" s="7"/>
      <c r="C493" s="7"/>
      <c r="D493" s="7"/>
      <c r="E493" s="7"/>
      <c r="F493" s="7"/>
      <c r="G493" s="7"/>
    </row>
    <row r="494" ht="15.75" customHeight="1">
      <c r="A494" s="7"/>
      <c r="B494" s="7"/>
      <c r="C494" s="7"/>
      <c r="D494" s="7"/>
      <c r="E494" s="7"/>
      <c r="F494" s="7"/>
      <c r="G494" s="7"/>
    </row>
    <row r="495" ht="15.75" customHeight="1">
      <c r="A495" s="7"/>
      <c r="B495" s="7"/>
      <c r="C495" s="7"/>
      <c r="D495" s="7"/>
      <c r="E495" s="7"/>
      <c r="F495" s="7"/>
      <c r="G495" s="7"/>
    </row>
    <row r="496" ht="15.75" customHeight="1">
      <c r="A496" s="7"/>
      <c r="B496" s="7"/>
      <c r="C496" s="7"/>
      <c r="D496" s="7"/>
      <c r="E496" s="7"/>
      <c r="F496" s="7"/>
      <c r="G496" s="7"/>
    </row>
    <row r="497" ht="15.75" customHeight="1">
      <c r="A497" s="7"/>
      <c r="B497" s="7"/>
      <c r="C497" s="7"/>
      <c r="D497" s="7"/>
      <c r="E497" s="7"/>
      <c r="F497" s="7"/>
      <c r="G497" s="7"/>
    </row>
    <row r="498" ht="15.75" customHeight="1">
      <c r="A498" s="7"/>
      <c r="B498" s="7"/>
      <c r="C498" s="7"/>
      <c r="D498" s="7"/>
      <c r="E498" s="7"/>
      <c r="F498" s="7"/>
      <c r="G498" s="7"/>
    </row>
    <row r="499" ht="15.75" customHeight="1">
      <c r="A499" s="7"/>
      <c r="B499" s="7"/>
      <c r="C499" s="7"/>
      <c r="D499" s="7"/>
      <c r="E499" s="7"/>
      <c r="F499" s="7"/>
      <c r="G499" s="7"/>
    </row>
    <row r="500" ht="15.75" customHeight="1">
      <c r="A500" s="7"/>
      <c r="B500" s="7"/>
      <c r="C500" s="7"/>
      <c r="D500" s="7"/>
      <c r="E500" s="7"/>
      <c r="F500" s="7"/>
      <c r="G500" s="7"/>
    </row>
    <row r="501" ht="15.75" customHeight="1">
      <c r="A501" s="7"/>
      <c r="B501" s="7"/>
      <c r="C501" s="7"/>
      <c r="D501" s="7"/>
      <c r="E501" s="7"/>
      <c r="F501" s="7"/>
      <c r="G501" s="7"/>
    </row>
    <row r="502" ht="15.75" customHeight="1">
      <c r="A502" s="7"/>
      <c r="B502" s="7"/>
      <c r="C502" s="7"/>
      <c r="D502" s="7"/>
      <c r="E502" s="7"/>
      <c r="F502" s="7"/>
      <c r="G502" s="7"/>
    </row>
    <row r="503" ht="15.75" customHeight="1">
      <c r="A503" s="7"/>
      <c r="B503" s="7"/>
      <c r="C503" s="7"/>
      <c r="D503" s="7"/>
      <c r="E503" s="7"/>
      <c r="F503" s="7"/>
      <c r="G503" s="7"/>
    </row>
    <row r="504" ht="15.75" customHeight="1">
      <c r="A504" s="7"/>
      <c r="B504" s="7"/>
      <c r="C504" s="7"/>
      <c r="D504" s="7"/>
      <c r="E504" s="7"/>
      <c r="F504" s="7"/>
      <c r="G504" s="7"/>
    </row>
    <row r="505" ht="15.75" customHeight="1">
      <c r="A505" s="7"/>
      <c r="B505" s="7"/>
      <c r="C505" s="7"/>
      <c r="D505" s="7"/>
      <c r="E505" s="7"/>
      <c r="F505" s="7"/>
      <c r="G505" s="7"/>
    </row>
    <row r="506" ht="15.75" customHeight="1">
      <c r="A506" s="7"/>
      <c r="B506" s="7"/>
      <c r="C506" s="7"/>
      <c r="D506" s="7"/>
      <c r="E506" s="7"/>
      <c r="F506" s="7"/>
      <c r="G506" s="7"/>
    </row>
    <row r="507" ht="15.75" customHeight="1">
      <c r="A507" s="7"/>
      <c r="B507" s="7"/>
      <c r="C507" s="7"/>
      <c r="D507" s="7"/>
      <c r="E507" s="7"/>
      <c r="F507" s="7"/>
      <c r="G507" s="7"/>
    </row>
    <row r="508" ht="15.75" customHeight="1">
      <c r="A508" s="7"/>
      <c r="B508" s="7"/>
      <c r="C508" s="7"/>
      <c r="D508" s="7"/>
      <c r="E508" s="7"/>
      <c r="F508" s="7"/>
      <c r="G508" s="7"/>
    </row>
    <row r="509" ht="15.75" customHeight="1">
      <c r="A509" s="7"/>
      <c r="B509" s="7"/>
      <c r="C509" s="7"/>
      <c r="D509" s="7"/>
      <c r="E509" s="7"/>
      <c r="F509" s="7"/>
      <c r="G509" s="7"/>
    </row>
    <row r="510" ht="15.75" customHeight="1">
      <c r="A510" s="7"/>
      <c r="B510" s="7"/>
      <c r="C510" s="7"/>
      <c r="D510" s="7"/>
      <c r="E510" s="7"/>
      <c r="F510" s="7"/>
      <c r="G510" s="7"/>
    </row>
    <row r="511" ht="15.75" customHeight="1">
      <c r="A511" s="7"/>
      <c r="B511" s="7"/>
      <c r="C511" s="7"/>
      <c r="D511" s="7"/>
      <c r="E511" s="7"/>
      <c r="F511" s="7"/>
      <c r="G511" s="7"/>
    </row>
    <row r="512" ht="15.75" customHeight="1">
      <c r="A512" s="7"/>
      <c r="B512" s="7"/>
      <c r="C512" s="7"/>
      <c r="D512" s="7"/>
      <c r="E512" s="7"/>
      <c r="F512" s="7"/>
      <c r="G512" s="7"/>
    </row>
    <row r="513" ht="15.75" customHeight="1">
      <c r="A513" s="7"/>
      <c r="B513" s="7"/>
      <c r="C513" s="7"/>
      <c r="D513" s="7"/>
      <c r="E513" s="7"/>
      <c r="F513" s="7"/>
      <c r="G513" s="7"/>
    </row>
    <row r="514" ht="15.75" customHeight="1">
      <c r="A514" s="7"/>
      <c r="B514" s="7"/>
      <c r="C514" s="7"/>
      <c r="D514" s="7"/>
      <c r="E514" s="7"/>
      <c r="F514" s="7"/>
      <c r="G514" s="7"/>
    </row>
    <row r="515" ht="15.75" customHeight="1">
      <c r="A515" s="7"/>
      <c r="B515" s="7"/>
      <c r="C515" s="7"/>
      <c r="D515" s="7"/>
      <c r="E515" s="7"/>
      <c r="F515" s="7"/>
      <c r="G515" s="7"/>
    </row>
    <row r="516" ht="15.75" customHeight="1">
      <c r="A516" s="7"/>
      <c r="B516" s="7"/>
      <c r="C516" s="7"/>
      <c r="D516" s="7"/>
      <c r="E516" s="7"/>
      <c r="F516" s="7"/>
      <c r="G516" s="7"/>
    </row>
    <row r="517" ht="15.75" customHeight="1">
      <c r="A517" s="7"/>
      <c r="B517" s="7"/>
      <c r="C517" s="7"/>
      <c r="D517" s="7"/>
      <c r="E517" s="7"/>
      <c r="F517" s="7"/>
      <c r="G517" s="7"/>
    </row>
    <row r="518" ht="15.75" customHeight="1">
      <c r="A518" s="7"/>
      <c r="B518" s="7"/>
      <c r="C518" s="7"/>
      <c r="D518" s="7"/>
      <c r="E518" s="7"/>
      <c r="F518" s="7"/>
      <c r="G518" s="7"/>
    </row>
    <row r="519" ht="15.75" customHeight="1">
      <c r="A519" s="7"/>
      <c r="B519" s="7"/>
      <c r="C519" s="7"/>
      <c r="D519" s="7"/>
      <c r="E519" s="7"/>
      <c r="F519" s="7"/>
      <c r="G519" s="7"/>
    </row>
    <row r="520" ht="15.75" customHeight="1">
      <c r="A520" s="7"/>
      <c r="B520" s="7"/>
      <c r="C520" s="7"/>
      <c r="D520" s="7"/>
      <c r="E520" s="7"/>
      <c r="F520" s="7"/>
      <c r="G520" s="7"/>
    </row>
    <row r="521" ht="15.75" customHeight="1">
      <c r="A521" s="7"/>
      <c r="B521" s="7"/>
      <c r="C521" s="7"/>
      <c r="D521" s="7"/>
      <c r="E521" s="7"/>
      <c r="F521" s="7"/>
      <c r="G521" s="7"/>
    </row>
    <row r="522" ht="15.75" customHeight="1">
      <c r="A522" s="7"/>
      <c r="B522" s="7"/>
      <c r="C522" s="7"/>
      <c r="D522" s="7"/>
      <c r="E522" s="7"/>
      <c r="F522" s="7"/>
      <c r="G522" s="7"/>
    </row>
    <row r="523" ht="15.75" customHeight="1">
      <c r="A523" s="7"/>
      <c r="B523" s="7"/>
      <c r="C523" s="7"/>
      <c r="D523" s="7"/>
      <c r="E523" s="7"/>
      <c r="F523" s="7"/>
      <c r="G523" s="7"/>
    </row>
    <row r="524" ht="15.75" customHeight="1">
      <c r="A524" s="7"/>
      <c r="B524" s="7"/>
      <c r="C524" s="7"/>
      <c r="D524" s="7"/>
      <c r="E524" s="7"/>
      <c r="F524" s="7"/>
      <c r="G524" s="7"/>
    </row>
    <row r="525" ht="15.75" customHeight="1">
      <c r="A525" s="7"/>
      <c r="B525" s="7"/>
      <c r="C525" s="7"/>
      <c r="D525" s="7"/>
      <c r="E525" s="7"/>
      <c r="F525" s="7"/>
      <c r="G525" s="7"/>
    </row>
    <row r="526" ht="15.75" customHeight="1">
      <c r="A526" s="7"/>
      <c r="B526" s="7"/>
      <c r="C526" s="7"/>
      <c r="D526" s="7"/>
      <c r="E526" s="7"/>
      <c r="F526" s="7"/>
      <c r="G526" s="7"/>
    </row>
    <row r="527" ht="15.75" customHeight="1">
      <c r="A527" s="7"/>
      <c r="B527" s="7"/>
      <c r="C527" s="7"/>
      <c r="D527" s="7"/>
      <c r="E527" s="7"/>
      <c r="F527" s="7"/>
      <c r="G527" s="7"/>
    </row>
    <row r="528" ht="15.75" customHeight="1">
      <c r="A528" s="7"/>
      <c r="B528" s="7"/>
      <c r="C528" s="7"/>
      <c r="D528" s="7"/>
      <c r="E528" s="7"/>
      <c r="F528" s="7"/>
      <c r="G528" s="7"/>
    </row>
    <row r="529" ht="15.75" customHeight="1">
      <c r="A529" s="7"/>
      <c r="B529" s="7"/>
      <c r="C529" s="7"/>
      <c r="D529" s="7"/>
      <c r="E529" s="7"/>
      <c r="F529" s="7"/>
      <c r="G529" s="7"/>
    </row>
    <row r="530" ht="15.75" customHeight="1">
      <c r="A530" s="7"/>
      <c r="B530" s="7"/>
      <c r="C530" s="7"/>
      <c r="D530" s="7"/>
      <c r="E530" s="7"/>
      <c r="F530" s="7"/>
      <c r="G530" s="7"/>
    </row>
    <row r="531" ht="15.75" customHeight="1">
      <c r="A531" s="7"/>
      <c r="B531" s="7"/>
      <c r="C531" s="7"/>
      <c r="D531" s="7"/>
      <c r="E531" s="7"/>
      <c r="F531" s="7"/>
      <c r="G531" s="7"/>
    </row>
    <row r="532" ht="15.75" customHeight="1">
      <c r="A532" s="7"/>
      <c r="B532" s="7"/>
      <c r="C532" s="7"/>
      <c r="D532" s="7"/>
      <c r="E532" s="7"/>
      <c r="F532" s="7"/>
      <c r="G532" s="7"/>
    </row>
    <row r="533" ht="15.75" customHeight="1">
      <c r="A533" s="7"/>
      <c r="B533" s="7"/>
      <c r="C533" s="7"/>
      <c r="D533" s="7"/>
      <c r="E533" s="7"/>
      <c r="F533" s="7"/>
      <c r="G533" s="7"/>
    </row>
    <row r="534" ht="15.75" customHeight="1">
      <c r="A534" s="7"/>
      <c r="B534" s="7"/>
      <c r="C534" s="7"/>
      <c r="D534" s="7"/>
      <c r="E534" s="7"/>
      <c r="F534" s="7"/>
      <c r="G534" s="7"/>
    </row>
    <row r="535" ht="15.75" customHeight="1">
      <c r="A535" s="7"/>
      <c r="B535" s="7"/>
      <c r="C535" s="7"/>
      <c r="D535" s="7"/>
      <c r="E535" s="7"/>
      <c r="F535" s="7"/>
      <c r="G535" s="7"/>
    </row>
    <row r="536" ht="15.75" customHeight="1">
      <c r="A536" s="7"/>
      <c r="B536" s="7"/>
      <c r="C536" s="7"/>
      <c r="D536" s="7"/>
      <c r="E536" s="7"/>
      <c r="F536" s="7"/>
      <c r="G536" s="7"/>
    </row>
    <row r="537" ht="15.75" customHeight="1">
      <c r="A537" s="7"/>
      <c r="B537" s="7"/>
      <c r="C537" s="7"/>
      <c r="D537" s="7"/>
      <c r="E537" s="7"/>
      <c r="F537" s="7"/>
      <c r="G537" s="7"/>
    </row>
    <row r="538" ht="15.75" customHeight="1">
      <c r="A538" s="7"/>
      <c r="B538" s="7"/>
      <c r="C538" s="7"/>
      <c r="D538" s="7"/>
      <c r="E538" s="7"/>
      <c r="F538" s="7"/>
      <c r="G538" s="7"/>
    </row>
    <row r="539" ht="15.75" customHeight="1">
      <c r="A539" s="7"/>
      <c r="B539" s="7"/>
      <c r="C539" s="7"/>
      <c r="D539" s="7"/>
      <c r="E539" s="7"/>
      <c r="F539" s="7"/>
      <c r="G539" s="7"/>
    </row>
    <row r="540" ht="15.75" customHeight="1">
      <c r="A540" s="7"/>
      <c r="B540" s="7"/>
      <c r="C540" s="7"/>
      <c r="D540" s="7"/>
      <c r="E540" s="7"/>
      <c r="F540" s="7"/>
      <c r="G540" s="7"/>
    </row>
    <row r="541" ht="15.75" customHeight="1">
      <c r="A541" s="7"/>
      <c r="B541" s="7"/>
      <c r="C541" s="7"/>
      <c r="D541" s="7"/>
      <c r="E541" s="7"/>
      <c r="F541" s="7"/>
      <c r="G541" s="7"/>
    </row>
    <row r="542" ht="15.75" customHeight="1">
      <c r="A542" s="7"/>
      <c r="B542" s="7"/>
      <c r="C542" s="7"/>
      <c r="D542" s="7"/>
      <c r="E542" s="7"/>
      <c r="F542" s="7"/>
      <c r="G542" s="7"/>
    </row>
    <row r="543" ht="15.75" customHeight="1">
      <c r="A543" s="7"/>
      <c r="B543" s="7"/>
      <c r="C543" s="7"/>
      <c r="D543" s="7"/>
      <c r="E543" s="7"/>
      <c r="F543" s="7"/>
      <c r="G543" s="7"/>
    </row>
    <row r="544" ht="15.75" customHeight="1">
      <c r="A544" s="7"/>
      <c r="B544" s="7"/>
      <c r="C544" s="7"/>
      <c r="D544" s="7"/>
      <c r="E544" s="7"/>
      <c r="F544" s="7"/>
      <c r="G544" s="7"/>
    </row>
    <row r="545" ht="15.75" customHeight="1">
      <c r="A545" s="7"/>
      <c r="B545" s="7"/>
      <c r="C545" s="7"/>
      <c r="D545" s="7"/>
      <c r="E545" s="7"/>
      <c r="F545" s="7"/>
      <c r="G545" s="7"/>
    </row>
    <row r="546" ht="15.75" customHeight="1">
      <c r="A546" s="7"/>
      <c r="B546" s="7"/>
      <c r="C546" s="7"/>
      <c r="D546" s="7"/>
      <c r="E546" s="7"/>
      <c r="F546" s="7"/>
      <c r="G546" s="7"/>
    </row>
    <row r="547" ht="15.75" customHeight="1">
      <c r="A547" s="7"/>
      <c r="B547" s="7"/>
      <c r="C547" s="7"/>
      <c r="D547" s="7"/>
      <c r="E547" s="7"/>
      <c r="F547" s="7"/>
      <c r="G547" s="7"/>
    </row>
    <row r="548" ht="15.75" customHeight="1">
      <c r="A548" s="7"/>
      <c r="B548" s="7"/>
      <c r="C548" s="7"/>
      <c r="D548" s="7"/>
      <c r="E548" s="7"/>
      <c r="F548" s="7"/>
      <c r="G548" s="7"/>
    </row>
    <row r="549" ht="15.75" customHeight="1">
      <c r="A549" s="7"/>
      <c r="B549" s="7"/>
      <c r="C549" s="7"/>
      <c r="D549" s="7"/>
      <c r="E549" s="7"/>
      <c r="F549" s="7"/>
      <c r="G549" s="7"/>
    </row>
    <row r="550" ht="15.75" customHeight="1">
      <c r="A550" s="7"/>
      <c r="B550" s="7"/>
      <c r="C550" s="7"/>
      <c r="D550" s="7"/>
      <c r="E550" s="7"/>
      <c r="F550" s="7"/>
      <c r="G550" s="7"/>
    </row>
    <row r="551" ht="15.75" customHeight="1">
      <c r="A551" s="7"/>
      <c r="B551" s="7"/>
      <c r="C551" s="7"/>
      <c r="D551" s="7"/>
      <c r="E551" s="7"/>
      <c r="F551" s="7"/>
      <c r="G551" s="7"/>
    </row>
    <row r="552" ht="15.75" customHeight="1">
      <c r="A552" s="7"/>
      <c r="B552" s="7"/>
      <c r="C552" s="7"/>
      <c r="D552" s="7"/>
      <c r="E552" s="7"/>
      <c r="F552" s="7"/>
      <c r="G552" s="7"/>
    </row>
    <row r="553" ht="15.75" customHeight="1">
      <c r="A553" s="7"/>
      <c r="B553" s="7"/>
      <c r="C553" s="7"/>
      <c r="D553" s="7"/>
      <c r="E553" s="7"/>
      <c r="F553" s="7"/>
      <c r="G553" s="7"/>
    </row>
    <row r="554" ht="15.75" customHeight="1">
      <c r="A554" s="7"/>
      <c r="B554" s="7"/>
      <c r="C554" s="7"/>
      <c r="D554" s="7"/>
      <c r="E554" s="7"/>
      <c r="F554" s="7"/>
      <c r="G554" s="7"/>
    </row>
    <row r="555" ht="15.75" customHeight="1">
      <c r="A555" s="7"/>
      <c r="B555" s="7"/>
      <c r="C555" s="7"/>
      <c r="D555" s="7"/>
      <c r="E555" s="7"/>
      <c r="F555" s="7"/>
      <c r="G555" s="7"/>
    </row>
    <row r="556" ht="15.75" customHeight="1">
      <c r="A556" s="7"/>
      <c r="B556" s="7"/>
      <c r="C556" s="7"/>
      <c r="D556" s="7"/>
      <c r="E556" s="7"/>
      <c r="F556" s="7"/>
      <c r="G556" s="7"/>
    </row>
    <row r="557" ht="15.75" customHeight="1">
      <c r="A557" s="7"/>
      <c r="B557" s="7"/>
      <c r="C557" s="7"/>
      <c r="D557" s="7"/>
      <c r="E557" s="7"/>
      <c r="F557" s="7"/>
      <c r="G557" s="7"/>
    </row>
    <row r="558" ht="15.75" customHeight="1">
      <c r="A558" s="7"/>
      <c r="B558" s="7"/>
      <c r="C558" s="7"/>
      <c r="D558" s="7"/>
      <c r="E558" s="7"/>
      <c r="F558" s="7"/>
      <c r="G558" s="7"/>
    </row>
    <row r="559" ht="15.75" customHeight="1">
      <c r="A559" s="7"/>
      <c r="B559" s="7"/>
      <c r="C559" s="7"/>
      <c r="D559" s="7"/>
      <c r="E559" s="7"/>
      <c r="F559" s="7"/>
      <c r="G559" s="7"/>
    </row>
    <row r="560" ht="15.75" customHeight="1">
      <c r="A560" s="7"/>
      <c r="B560" s="7"/>
      <c r="C560" s="7"/>
      <c r="D560" s="7"/>
      <c r="E560" s="7"/>
      <c r="F560" s="7"/>
      <c r="G560" s="7"/>
    </row>
    <row r="561" ht="15.75" customHeight="1">
      <c r="A561" s="7"/>
      <c r="B561" s="7"/>
      <c r="C561" s="7"/>
      <c r="D561" s="7"/>
      <c r="E561" s="7"/>
      <c r="F561" s="7"/>
      <c r="G561" s="7"/>
    </row>
    <row r="562" ht="15.75" customHeight="1">
      <c r="A562" s="7"/>
      <c r="B562" s="7"/>
      <c r="C562" s="7"/>
      <c r="D562" s="7"/>
      <c r="E562" s="7"/>
      <c r="F562" s="7"/>
      <c r="G562" s="7"/>
    </row>
    <row r="563" ht="15.75" customHeight="1">
      <c r="A563" s="7"/>
      <c r="B563" s="7"/>
      <c r="C563" s="7"/>
      <c r="D563" s="7"/>
      <c r="E563" s="7"/>
      <c r="F563" s="7"/>
      <c r="G563" s="7"/>
    </row>
    <row r="564" ht="15.75" customHeight="1">
      <c r="A564" s="7"/>
      <c r="B564" s="7"/>
      <c r="C564" s="7"/>
      <c r="D564" s="7"/>
      <c r="E564" s="7"/>
      <c r="F564" s="7"/>
      <c r="G564" s="7"/>
    </row>
    <row r="565" ht="15.75" customHeight="1">
      <c r="A565" s="7"/>
      <c r="B565" s="7"/>
      <c r="C565" s="7"/>
      <c r="D565" s="7"/>
      <c r="E565" s="7"/>
      <c r="F565" s="7"/>
      <c r="G565" s="7"/>
    </row>
    <row r="566" ht="15.75" customHeight="1">
      <c r="A566" s="7"/>
      <c r="B566" s="7"/>
      <c r="C566" s="7"/>
      <c r="D566" s="7"/>
      <c r="E566" s="7"/>
      <c r="F566" s="7"/>
      <c r="G566" s="7"/>
    </row>
    <row r="567" ht="15.75" customHeight="1">
      <c r="A567" s="7"/>
      <c r="B567" s="7"/>
      <c r="C567" s="7"/>
      <c r="D567" s="7"/>
      <c r="E567" s="7"/>
      <c r="F567" s="7"/>
      <c r="G567" s="7"/>
    </row>
    <row r="568" ht="15.75" customHeight="1">
      <c r="A568" s="7"/>
      <c r="B568" s="7"/>
      <c r="C568" s="7"/>
      <c r="D568" s="7"/>
      <c r="E568" s="7"/>
      <c r="F568" s="7"/>
      <c r="G568" s="7"/>
    </row>
    <row r="569" ht="15.75" customHeight="1">
      <c r="A569" s="7"/>
      <c r="B569" s="7"/>
      <c r="C569" s="7"/>
      <c r="D569" s="7"/>
      <c r="E569" s="7"/>
      <c r="F569" s="7"/>
      <c r="G569" s="7"/>
    </row>
    <row r="570" ht="15.75" customHeight="1">
      <c r="A570" s="7"/>
      <c r="B570" s="7"/>
      <c r="C570" s="7"/>
      <c r="D570" s="7"/>
      <c r="E570" s="7"/>
      <c r="F570" s="7"/>
      <c r="G570" s="7"/>
    </row>
    <row r="571" ht="15.75" customHeight="1">
      <c r="A571" s="7"/>
      <c r="B571" s="7"/>
      <c r="C571" s="7"/>
      <c r="D571" s="7"/>
      <c r="E571" s="7"/>
      <c r="F571" s="7"/>
      <c r="G571" s="7"/>
    </row>
    <row r="572" ht="15.75" customHeight="1">
      <c r="A572" s="7"/>
      <c r="B572" s="7"/>
      <c r="C572" s="7"/>
      <c r="D572" s="7"/>
      <c r="E572" s="7"/>
      <c r="F572" s="7"/>
      <c r="G572" s="7"/>
    </row>
    <row r="573" ht="15.75" customHeight="1">
      <c r="A573" s="7"/>
      <c r="B573" s="7"/>
      <c r="C573" s="7"/>
      <c r="D573" s="7"/>
      <c r="E573" s="7"/>
      <c r="F573" s="7"/>
      <c r="G573" s="7"/>
    </row>
    <row r="574" ht="15.75" customHeight="1">
      <c r="A574" s="7"/>
      <c r="B574" s="7"/>
      <c r="C574" s="7"/>
      <c r="D574" s="7"/>
      <c r="E574" s="7"/>
      <c r="F574" s="7"/>
      <c r="G574" s="7"/>
    </row>
    <row r="575" ht="15.75" customHeight="1">
      <c r="A575" s="7"/>
      <c r="B575" s="7"/>
      <c r="C575" s="7"/>
      <c r="D575" s="7"/>
      <c r="E575" s="7"/>
      <c r="F575" s="7"/>
      <c r="G575" s="7"/>
    </row>
    <row r="576" ht="15.75" customHeight="1">
      <c r="A576" s="7"/>
      <c r="B576" s="7"/>
      <c r="C576" s="7"/>
      <c r="D576" s="7"/>
      <c r="E576" s="7"/>
      <c r="F576" s="7"/>
      <c r="G576" s="7"/>
    </row>
    <row r="577" ht="15.75" customHeight="1">
      <c r="A577" s="7"/>
      <c r="B577" s="7"/>
      <c r="C577" s="7"/>
      <c r="D577" s="7"/>
      <c r="E577" s="7"/>
      <c r="F577" s="7"/>
      <c r="G577" s="7"/>
    </row>
    <row r="578" ht="15.75" customHeight="1">
      <c r="A578" s="7"/>
      <c r="B578" s="7"/>
      <c r="C578" s="7"/>
      <c r="D578" s="7"/>
      <c r="E578" s="7"/>
      <c r="F578" s="7"/>
      <c r="G578" s="7"/>
    </row>
    <row r="579" ht="15.75" customHeight="1">
      <c r="A579" s="7"/>
      <c r="B579" s="7"/>
      <c r="C579" s="7"/>
      <c r="D579" s="7"/>
      <c r="E579" s="7"/>
      <c r="F579" s="7"/>
      <c r="G579" s="7"/>
    </row>
    <row r="580" ht="15.75" customHeight="1">
      <c r="A580" s="7"/>
      <c r="B580" s="7"/>
      <c r="C580" s="7"/>
      <c r="D580" s="7"/>
      <c r="E580" s="7"/>
      <c r="F580" s="7"/>
      <c r="G580" s="7"/>
    </row>
    <row r="581" ht="15.75" customHeight="1">
      <c r="A581" s="7"/>
      <c r="B581" s="7"/>
      <c r="C581" s="7"/>
      <c r="D581" s="7"/>
      <c r="E581" s="7"/>
      <c r="F581" s="7"/>
      <c r="G581" s="7"/>
    </row>
    <row r="582" ht="15.75" customHeight="1">
      <c r="A582" s="7"/>
      <c r="B582" s="7"/>
      <c r="C582" s="7"/>
      <c r="D582" s="7"/>
      <c r="E582" s="7"/>
      <c r="F582" s="7"/>
      <c r="G582" s="7"/>
    </row>
    <row r="583" ht="15.75" customHeight="1">
      <c r="A583" s="7"/>
      <c r="B583" s="7"/>
      <c r="C583" s="7"/>
      <c r="D583" s="7"/>
      <c r="E583" s="7"/>
      <c r="F583" s="7"/>
      <c r="G583" s="7"/>
    </row>
    <row r="584" ht="15.75" customHeight="1">
      <c r="A584" s="7"/>
      <c r="B584" s="7"/>
      <c r="C584" s="7"/>
      <c r="D584" s="7"/>
      <c r="E584" s="7"/>
      <c r="F584" s="7"/>
      <c r="G584" s="7"/>
    </row>
    <row r="585" ht="15.75" customHeight="1">
      <c r="A585" s="7"/>
      <c r="B585" s="7"/>
      <c r="C585" s="7"/>
      <c r="D585" s="7"/>
      <c r="E585" s="7"/>
      <c r="F585" s="7"/>
      <c r="G585" s="7"/>
    </row>
    <row r="586" ht="15.75" customHeight="1">
      <c r="A586" s="7"/>
      <c r="B586" s="7"/>
      <c r="C586" s="7"/>
      <c r="D586" s="7"/>
      <c r="E586" s="7"/>
      <c r="F586" s="7"/>
      <c r="G586" s="7"/>
    </row>
    <row r="587" ht="15.75" customHeight="1">
      <c r="A587" s="7"/>
      <c r="B587" s="7"/>
      <c r="C587" s="7"/>
      <c r="D587" s="7"/>
      <c r="E587" s="7"/>
      <c r="F587" s="7"/>
      <c r="G587" s="7"/>
    </row>
    <row r="588" ht="15.75" customHeight="1">
      <c r="A588" s="7"/>
      <c r="B588" s="7"/>
      <c r="C588" s="7"/>
      <c r="D588" s="7"/>
      <c r="E588" s="7"/>
      <c r="F588" s="7"/>
      <c r="G588" s="7"/>
    </row>
    <row r="589" ht="15.75" customHeight="1">
      <c r="A589" s="7"/>
      <c r="B589" s="7"/>
      <c r="C589" s="7"/>
      <c r="D589" s="7"/>
      <c r="E589" s="7"/>
      <c r="F589" s="7"/>
      <c r="G589" s="7"/>
    </row>
    <row r="590" ht="15.75" customHeight="1">
      <c r="A590" s="7"/>
      <c r="B590" s="7"/>
      <c r="C590" s="7"/>
      <c r="D590" s="7"/>
      <c r="E590" s="7"/>
      <c r="F590" s="7"/>
      <c r="G590" s="7"/>
    </row>
    <row r="591" ht="15.75" customHeight="1">
      <c r="A591" s="7"/>
      <c r="B591" s="7"/>
      <c r="C591" s="7"/>
      <c r="D591" s="7"/>
      <c r="E591" s="7"/>
      <c r="F591" s="7"/>
      <c r="G591" s="7"/>
    </row>
    <row r="592" ht="15.75" customHeight="1">
      <c r="A592" s="7"/>
      <c r="B592" s="7"/>
      <c r="C592" s="7"/>
      <c r="D592" s="7"/>
      <c r="E592" s="7"/>
      <c r="F592" s="7"/>
      <c r="G592" s="7"/>
    </row>
    <row r="593" ht="15.75" customHeight="1">
      <c r="A593" s="7"/>
      <c r="B593" s="7"/>
      <c r="C593" s="7"/>
      <c r="D593" s="7"/>
      <c r="E593" s="7"/>
      <c r="F593" s="7"/>
      <c r="G593" s="7"/>
    </row>
    <row r="594" ht="15.75" customHeight="1">
      <c r="A594" s="7"/>
      <c r="B594" s="7"/>
      <c r="C594" s="7"/>
      <c r="D594" s="7"/>
      <c r="E594" s="7"/>
      <c r="F594" s="7"/>
      <c r="G594" s="7"/>
    </row>
    <row r="595" ht="15.75" customHeight="1">
      <c r="A595" s="7"/>
      <c r="B595" s="7"/>
      <c r="C595" s="7"/>
      <c r="D595" s="7"/>
      <c r="E595" s="7"/>
      <c r="F595" s="7"/>
      <c r="G595" s="7"/>
    </row>
    <row r="596" ht="15.75" customHeight="1">
      <c r="A596" s="7"/>
      <c r="B596" s="7"/>
      <c r="C596" s="7"/>
      <c r="D596" s="7"/>
      <c r="E596" s="7"/>
      <c r="F596" s="7"/>
      <c r="G596" s="7"/>
    </row>
    <row r="597" ht="15.75" customHeight="1">
      <c r="A597" s="7"/>
      <c r="B597" s="7"/>
      <c r="C597" s="7"/>
      <c r="D597" s="7"/>
      <c r="E597" s="7"/>
      <c r="F597" s="7"/>
      <c r="G597" s="7"/>
    </row>
    <row r="598" ht="15.75" customHeight="1">
      <c r="A598" s="7"/>
      <c r="B598" s="7"/>
      <c r="C598" s="7"/>
      <c r="D598" s="7"/>
      <c r="E598" s="7"/>
      <c r="F598" s="7"/>
      <c r="G598" s="7"/>
    </row>
    <row r="599" ht="15.75" customHeight="1">
      <c r="A599" s="7"/>
      <c r="B599" s="7"/>
      <c r="C599" s="7"/>
      <c r="D599" s="7"/>
      <c r="E599" s="7"/>
      <c r="F599" s="7"/>
      <c r="G599" s="7"/>
    </row>
    <row r="600" ht="15.75" customHeight="1">
      <c r="A600" s="7"/>
      <c r="B600" s="7"/>
      <c r="C600" s="7"/>
      <c r="D600" s="7"/>
      <c r="E600" s="7"/>
      <c r="F600" s="7"/>
      <c r="G600" s="7"/>
    </row>
    <row r="601" ht="15.75" customHeight="1">
      <c r="A601" s="7"/>
      <c r="B601" s="7"/>
      <c r="C601" s="7"/>
      <c r="D601" s="7"/>
      <c r="E601" s="7"/>
      <c r="F601" s="7"/>
      <c r="G601" s="7"/>
    </row>
    <row r="602" ht="15.75" customHeight="1">
      <c r="A602" s="7"/>
      <c r="B602" s="7"/>
      <c r="C602" s="7"/>
      <c r="D602" s="7"/>
      <c r="E602" s="7"/>
      <c r="F602" s="7"/>
      <c r="G602" s="7"/>
    </row>
    <row r="603" ht="15.75" customHeight="1">
      <c r="A603" s="7"/>
      <c r="B603" s="7"/>
      <c r="C603" s="7"/>
      <c r="D603" s="7"/>
      <c r="E603" s="7"/>
      <c r="F603" s="7"/>
      <c r="G603" s="7"/>
    </row>
    <row r="604" ht="15.75" customHeight="1">
      <c r="A604" s="7"/>
      <c r="B604" s="7"/>
      <c r="C604" s="7"/>
      <c r="D604" s="7"/>
      <c r="E604" s="7"/>
      <c r="F604" s="7"/>
      <c r="G604" s="7"/>
    </row>
    <row r="605" ht="15.75" customHeight="1">
      <c r="A605" s="7"/>
      <c r="B605" s="7"/>
      <c r="C605" s="7"/>
      <c r="D605" s="7"/>
      <c r="E605" s="7"/>
      <c r="F605" s="7"/>
      <c r="G605" s="7"/>
    </row>
    <row r="606" ht="15.75" customHeight="1">
      <c r="A606" s="7"/>
      <c r="B606" s="7"/>
      <c r="C606" s="7"/>
      <c r="D606" s="7"/>
      <c r="E606" s="7"/>
      <c r="F606" s="7"/>
      <c r="G606" s="7"/>
    </row>
    <row r="607" ht="15.75" customHeight="1">
      <c r="A607" s="7"/>
      <c r="B607" s="7"/>
      <c r="C607" s="7"/>
      <c r="D607" s="7"/>
      <c r="E607" s="7"/>
      <c r="F607" s="7"/>
      <c r="G607" s="7"/>
    </row>
    <row r="608" ht="15.75" customHeight="1">
      <c r="A608" s="7"/>
      <c r="B608" s="7"/>
      <c r="C608" s="7"/>
      <c r="D608" s="7"/>
      <c r="E608" s="7"/>
      <c r="F608" s="7"/>
      <c r="G608" s="7"/>
    </row>
    <row r="609" ht="15.75" customHeight="1">
      <c r="A609" s="7"/>
      <c r="B609" s="7"/>
      <c r="C609" s="7"/>
      <c r="D609" s="7"/>
      <c r="E609" s="7"/>
      <c r="F609" s="7"/>
      <c r="G609" s="7"/>
    </row>
    <row r="610" ht="15.75" customHeight="1">
      <c r="A610" s="7"/>
      <c r="B610" s="7"/>
      <c r="C610" s="7"/>
      <c r="D610" s="7"/>
      <c r="E610" s="7"/>
      <c r="F610" s="7"/>
      <c r="G610" s="7"/>
    </row>
    <row r="611" ht="15.75" customHeight="1">
      <c r="A611" s="7"/>
      <c r="B611" s="7"/>
      <c r="C611" s="7"/>
      <c r="D611" s="7"/>
      <c r="E611" s="7"/>
      <c r="F611" s="7"/>
      <c r="G611" s="7"/>
    </row>
    <row r="612" ht="15.75" customHeight="1">
      <c r="A612" s="7"/>
      <c r="B612" s="7"/>
      <c r="C612" s="7"/>
      <c r="D612" s="7"/>
      <c r="E612" s="7"/>
      <c r="F612" s="7"/>
      <c r="G612" s="7"/>
    </row>
    <row r="613" ht="15.75" customHeight="1">
      <c r="A613" s="7"/>
      <c r="B613" s="7"/>
      <c r="C613" s="7"/>
      <c r="D613" s="7"/>
      <c r="E613" s="7"/>
      <c r="F613" s="7"/>
      <c r="G613" s="7"/>
    </row>
    <row r="614" ht="15.75" customHeight="1">
      <c r="A614" s="7"/>
      <c r="B614" s="7"/>
      <c r="C614" s="7"/>
      <c r="D614" s="7"/>
      <c r="E614" s="7"/>
      <c r="F614" s="7"/>
      <c r="G614" s="7"/>
    </row>
    <row r="615" ht="15.75" customHeight="1">
      <c r="A615" s="7"/>
      <c r="B615" s="7"/>
      <c r="C615" s="7"/>
      <c r="D615" s="7"/>
      <c r="E615" s="7"/>
      <c r="F615" s="7"/>
      <c r="G615" s="7"/>
    </row>
    <row r="616" ht="15.75" customHeight="1">
      <c r="A616" s="7"/>
      <c r="B616" s="7"/>
      <c r="C616" s="7"/>
      <c r="D616" s="7"/>
      <c r="E616" s="7"/>
      <c r="F616" s="7"/>
      <c r="G616" s="7"/>
    </row>
    <row r="617" ht="15.75" customHeight="1">
      <c r="A617" s="7"/>
      <c r="B617" s="7"/>
      <c r="C617" s="7"/>
      <c r="D617" s="7"/>
      <c r="E617" s="7"/>
      <c r="F617" s="7"/>
      <c r="G617" s="7"/>
    </row>
    <row r="618" ht="15.75" customHeight="1">
      <c r="A618" s="7"/>
      <c r="B618" s="7"/>
      <c r="C618" s="7"/>
      <c r="D618" s="7"/>
      <c r="E618" s="7"/>
      <c r="F618" s="7"/>
      <c r="G618" s="7"/>
    </row>
    <row r="619" ht="15.75" customHeight="1">
      <c r="A619" s="7"/>
      <c r="B619" s="7"/>
      <c r="C619" s="7"/>
      <c r="D619" s="7"/>
      <c r="E619" s="7"/>
      <c r="F619" s="7"/>
      <c r="G619" s="7"/>
    </row>
    <row r="620" ht="15.75" customHeight="1">
      <c r="A620" s="7"/>
      <c r="B620" s="7"/>
      <c r="C620" s="7"/>
      <c r="D620" s="7"/>
      <c r="E620" s="7"/>
      <c r="F620" s="7"/>
      <c r="G620" s="7"/>
    </row>
    <row r="621" ht="15.75" customHeight="1">
      <c r="A621" s="7"/>
      <c r="B621" s="7"/>
      <c r="C621" s="7"/>
      <c r="D621" s="7"/>
      <c r="E621" s="7"/>
      <c r="F621" s="7"/>
      <c r="G621" s="7"/>
    </row>
    <row r="622" ht="15.75" customHeight="1">
      <c r="A622" s="7"/>
      <c r="B622" s="7"/>
      <c r="C622" s="7"/>
      <c r="D622" s="7"/>
      <c r="E622" s="7"/>
      <c r="F622" s="7"/>
      <c r="G622" s="7"/>
    </row>
    <row r="623" ht="15.75" customHeight="1">
      <c r="A623" s="7"/>
      <c r="B623" s="7"/>
      <c r="C623" s="7"/>
      <c r="D623" s="7"/>
      <c r="E623" s="7"/>
      <c r="F623" s="7"/>
      <c r="G623" s="7"/>
    </row>
    <row r="624" ht="15.75" customHeight="1">
      <c r="A624" s="7"/>
      <c r="B624" s="7"/>
      <c r="C624" s="7"/>
      <c r="D624" s="7"/>
      <c r="E624" s="7"/>
      <c r="F624" s="7"/>
      <c r="G624" s="7"/>
    </row>
    <row r="625" ht="15.75" customHeight="1">
      <c r="A625" s="7"/>
      <c r="B625" s="7"/>
      <c r="C625" s="7"/>
      <c r="D625" s="7"/>
      <c r="E625" s="7"/>
      <c r="F625" s="7"/>
      <c r="G625" s="7"/>
    </row>
    <row r="626" ht="15.75" customHeight="1">
      <c r="A626" s="7"/>
      <c r="B626" s="7"/>
      <c r="C626" s="7"/>
      <c r="D626" s="7"/>
      <c r="E626" s="7"/>
      <c r="F626" s="7"/>
      <c r="G626" s="7"/>
    </row>
    <row r="627" ht="15.75" customHeight="1">
      <c r="A627" s="7"/>
      <c r="B627" s="7"/>
      <c r="C627" s="7"/>
      <c r="D627" s="7"/>
      <c r="E627" s="7"/>
      <c r="F627" s="7"/>
      <c r="G627" s="7"/>
    </row>
    <row r="628" ht="15.75" customHeight="1">
      <c r="A628" s="7"/>
      <c r="B628" s="7"/>
      <c r="C628" s="7"/>
      <c r="D628" s="7"/>
      <c r="E628" s="7"/>
      <c r="F628" s="7"/>
      <c r="G628" s="7"/>
    </row>
    <row r="629" ht="15.75" customHeight="1">
      <c r="A629" s="7"/>
      <c r="B629" s="7"/>
      <c r="C629" s="7"/>
      <c r="D629" s="7"/>
      <c r="E629" s="7"/>
      <c r="F629" s="7"/>
      <c r="G629" s="7"/>
    </row>
    <row r="630" ht="15.75" customHeight="1">
      <c r="A630" s="7"/>
      <c r="B630" s="7"/>
      <c r="C630" s="7"/>
      <c r="D630" s="7"/>
      <c r="E630" s="7"/>
      <c r="F630" s="7"/>
      <c r="G630" s="7"/>
    </row>
    <row r="631" ht="15.75" customHeight="1">
      <c r="A631" s="7"/>
      <c r="B631" s="7"/>
      <c r="C631" s="7"/>
      <c r="D631" s="7"/>
      <c r="E631" s="7"/>
      <c r="F631" s="7"/>
      <c r="G631" s="7"/>
    </row>
    <row r="632" ht="15.75" customHeight="1">
      <c r="A632" s="7"/>
      <c r="B632" s="7"/>
      <c r="C632" s="7"/>
      <c r="D632" s="7"/>
      <c r="E632" s="7"/>
      <c r="F632" s="7"/>
      <c r="G632" s="7"/>
    </row>
    <row r="633" ht="15.75" customHeight="1">
      <c r="A633" s="7"/>
      <c r="B633" s="7"/>
      <c r="C633" s="7"/>
      <c r="D633" s="7"/>
      <c r="E633" s="7"/>
      <c r="F633" s="7"/>
      <c r="G633" s="7"/>
    </row>
    <row r="634" ht="15.75" customHeight="1">
      <c r="A634" s="7"/>
      <c r="B634" s="7"/>
      <c r="C634" s="7"/>
      <c r="D634" s="7"/>
      <c r="E634" s="7"/>
      <c r="F634" s="7"/>
      <c r="G634" s="7"/>
    </row>
    <row r="635" ht="15.75" customHeight="1">
      <c r="A635" s="7"/>
      <c r="B635" s="7"/>
      <c r="C635" s="7"/>
      <c r="D635" s="7"/>
      <c r="E635" s="7"/>
      <c r="F635" s="7"/>
      <c r="G635" s="7"/>
    </row>
    <row r="636" ht="15.75" customHeight="1">
      <c r="A636" s="7"/>
      <c r="B636" s="7"/>
      <c r="C636" s="7"/>
      <c r="D636" s="7"/>
      <c r="E636" s="7"/>
      <c r="F636" s="7"/>
      <c r="G636" s="7"/>
    </row>
    <row r="637" ht="15.75" customHeight="1">
      <c r="A637" s="7"/>
      <c r="B637" s="7"/>
      <c r="C637" s="7"/>
      <c r="D637" s="7"/>
      <c r="E637" s="7"/>
      <c r="F637" s="7"/>
      <c r="G637" s="7"/>
    </row>
    <row r="638" ht="15.75" customHeight="1">
      <c r="A638" s="7"/>
      <c r="B638" s="7"/>
      <c r="C638" s="7"/>
      <c r="D638" s="7"/>
      <c r="E638" s="7"/>
      <c r="F638" s="7"/>
      <c r="G638" s="7"/>
    </row>
    <row r="639" ht="15.75" customHeight="1">
      <c r="A639" s="7"/>
      <c r="B639" s="7"/>
      <c r="C639" s="7"/>
      <c r="D639" s="7"/>
      <c r="E639" s="7"/>
      <c r="F639" s="7"/>
      <c r="G639" s="7"/>
    </row>
    <row r="640" ht="15.75" customHeight="1">
      <c r="A640" s="7"/>
      <c r="B640" s="7"/>
      <c r="C640" s="7"/>
      <c r="D640" s="7"/>
      <c r="E640" s="7"/>
      <c r="F640" s="7"/>
      <c r="G640" s="7"/>
    </row>
    <row r="641" ht="15.75" customHeight="1">
      <c r="A641" s="7"/>
      <c r="B641" s="7"/>
      <c r="C641" s="7"/>
      <c r="D641" s="7"/>
      <c r="E641" s="7"/>
      <c r="F641" s="7"/>
      <c r="G641" s="7"/>
    </row>
    <row r="642" ht="15.75" customHeight="1">
      <c r="A642" s="7"/>
      <c r="B642" s="7"/>
      <c r="C642" s="7"/>
      <c r="D642" s="7"/>
      <c r="E642" s="7"/>
      <c r="F642" s="7"/>
      <c r="G642" s="7"/>
    </row>
    <row r="643" ht="15.75" customHeight="1">
      <c r="A643" s="7"/>
      <c r="B643" s="7"/>
      <c r="C643" s="7"/>
      <c r="D643" s="7"/>
      <c r="E643" s="7"/>
      <c r="F643" s="7"/>
      <c r="G643" s="7"/>
    </row>
    <row r="644" ht="15.75" customHeight="1">
      <c r="A644" s="7"/>
      <c r="B644" s="7"/>
      <c r="C644" s="7"/>
      <c r="D644" s="7"/>
      <c r="E644" s="7"/>
      <c r="F644" s="7"/>
      <c r="G644" s="7"/>
    </row>
    <row r="645" ht="15.75" customHeight="1">
      <c r="A645" s="7"/>
      <c r="B645" s="7"/>
      <c r="C645" s="7"/>
      <c r="D645" s="7"/>
      <c r="E645" s="7"/>
      <c r="F645" s="7"/>
      <c r="G645" s="7"/>
    </row>
    <row r="646" ht="15.75" customHeight="1">
      <c r="A646" s="7"/>
      <c r="B646" s="7"/>
      <c r="C646" s="7"/>
      <c r="D646" s="7"/>
      <c r="E646" s="7"/>
      <c r="F646" s="7"/>
      <c r="G646" s="7"/>
    </row>
    <row r="647" ht="15.75" customHeight="1">
      <c r="A647" s="7"/>
      <c r="B647" s="7"/>
      <c r="C647" s="7"/>
      <c r="D647" s="7"/>
      <c r="E647" s="7"/>
      <c r="F647" s="7"/>
      <c r="G647" s="7"/>
    </row>
    <row r="648" ht="15.75" customHeight="1">
      <c r="A648" s="7"/>
      <c r="B648" s="7"/>
      <c r="C648" s="7"/>
      <c r="D648" s="7"/>
      <c r="E648" s="7"/>
      <c r="F648" s="7"/>
      <c r="G648" s="7"/>
    </row>
    <row r="649" ht="15.75" customHeight="1">
      <c r="A649" s="7"/>
      <c r="B649" s="7"/>
      <c r="C649" s="7"/>
      <c r="D649" s="7"/>
      <c r="E649" s="7"/>
      <c r="F649" s="7"/>
      <c r="G649" s="7"/>
    </row>
    <row r="650" ht="15.75" customHeight="1">
      <c r="A650" s="7"/>
      <c r="B650" s="7"/>
      <c r="C650" s="7"/>
      <c r="D650" s="7"/>
      <c r="E650" s="7"/>
      <c r="F650" s="7"/>
      <c r="G650" s="7"/>
    </row>
    <row r="651" ht="15.75" customHeight="1">
      <c r="A651" s="7"/>
      <c r="B651" s="7"/>
      <c r="C651" s="7"/>
      <c r="D651" s="7"/>
      <c r="E651" s="7"/>
      <c r="F651" s="7"/>
      <c r="G651" s="7"/>
    </row>
    <row r="652" ht="15.75" customHeight="1">
      <c r="A652" s="7"/>
      <c r="B652" s="7"/>
      <c r="C652" s="7"/>
      <c r="D652" s="7"/>
      <c r="E652" s="7"/>
      <c r="F652" s="7"/>
      <c r="G652" s="7"/>
    </row>
    <row r="653" ht="15.75" customHeight="1">
      <c r="A653" s="7"/>
      <c r="B653" s="7"/>
      <c r="C653" s="7"/>
      <c r="D653" s="7"/>
      <c r="E653" s="7"/>
      <c r="F653" s="7"/>
      <c r="G653" s="7"/>
    </row>
    <row r="654" ht="15.75" customHeight="1">
      <c r="A654" s="7"/>
      <c r="B654" s="7"/>
      <c r="C654" s="7"/>
      <c r="D654" s="7"/>
      <c r="E654" s="7"/>
      <c r="F654" s="7"/>
      <c r="G654" s="7"/>
    </row>
    <row r="655" ht="15.75" customHeight="1">
      <c r="A655" s="7"/>
      <c r="B655" s="7"/>
      <c r="C655" s="7"/>
      <c r="D655" s="7"/>
      <c r="E655" s="7"/>
      <c r="F655" s="7"/>
      <c r="G655" s="7"/>
    </row>
    <row r="656" ht="15.75" customHeight="1">
      <c r="A656" s="7"/>
      <c r="B656" s="7"/>
      <c r="C656" s="7"/>
      <c r="D656" s="7"/>
      <c r="E656" s="7"/>
      <c r="F656" s="7"/>
      <c r="G656" s="7"/>
    </row>
    <row r="657" ht="15.75" customHeight="1">
      <c r="A657" s="7"/>
      <c r="B657" s="7"/>
      <c r="C657" s="7"/>
      <c r="D657" s="7"/>
      <c r="E657" s="7"/>
      <c r="F657" s="7"/>
      <c r="G657" s="7"/>
    </row>
    <row r="658" ht="15.75" customHeight="1">
      <c r="A658" s="7"/>
      <c r="B658" s="7"/>
      <c r="C658" s="7"/>
      <c r="D658" s="7"/>
      <c r="E658" s="7"/>
      <c r="F658" s="7"/>
      <c r="G658" s="7"/>
    </row>
    <row r="659" ht="15.75" customHeight="1">
      <c r="A659" s="7"/>
      <c r="B659" s="7"/>
      <c r="C659" s="7"/>
      <c r="D659" s="7"/>
      <c r="E659" s="7"/>
      <c r="F659" s="7"/>
      <c r="G659" s="7"/>
    </row>
    <row r="660" ht="15.75" customHeight="1">
      <c r="A660" s="7"/>
      <c r="B660" s="7"/>
      <c r="C660" s="7"/>
      <c r="D660" s="7"/>
      <c r="E660" s="7"/>
      <c r="F660" s="7"/>
      <c r="G660" s="7"/>
    </row>
    <row r="661" ht="15.75" customHeight="1">
      <c r="A661" s="7"/>
      <c r="B661" s="7"/>
      <c r="C661" s="7"/>
      <c r="D661" s="7"/>
      <c r="E661" s="7"/>
      <c r="F661" s="7"/>
      <c r="G661" s="7"/>
    </row>
    <row r="662" ht="15.75" customHeight="1">
      <c r="A662" s="7"/>
      <c r="B662" s="7"/>
      <c r="C662" s="7"/>
      <c r="D662" s="7"/>
      <c r="E662" s="7"/>
      <c r="F662" s="7"/>
      <c r="G662" s="7"/>
    </row>
    <row r="663" ht="15.75" customHeight="1">
      <c r="A663" s="7"/>
      <c r="B663" s="7"/>
      <c r="C663" s="7"/>
      <c r="D663" s="7"/>
      <c r="E663" s="7"/>
      <c r="F663" s="7"/>
      <c r="G663" s="7"/>
    </row>
    <row r="664" ht="15.75" customHeight="1">
      <c r="A664" s="7"/>
      <c r="B664" s="7"/>
      <c r="C664" s="7"/>
      <c r="D664" s="7"/>
      <c r="E664" s="7"/>
      <c r="F664" s="7"/>
      <c r="G664" s="7"/>
    </row>
    <row r="665" ht="15.75" customHeight="1">
      <c r="A665" s="7"/>
      <c r="B665" s="7"/>
      <c r="C665" s="7"/>
      <c r="D665" s="7"/>
      <c r="E665" s="7"/>
      <c r="F665" s="7"/>
      <c r="G665" s="7"/>
    </row>
    <row r="666" ht="15.75" customHeight="1">
      <c r="A666" s="7"/>
      <c r="B666" s="7"/>
      <c r="C666" s="7"/>
      <c r="D666" s="7"/>
      <c r="E666" s="7"/>
      <c r="F666" s="7"/>
      <c r="G666" s="7"/>
    </row>
    <row r="667" ht="15.75" customHeight="1">
      <c r="A667" s="7"/>
      <c r="B667" s="7"/>
      <c r="C667" s="7"/>
      <c r="D667" s="7"/>
      <c r="E667" s="7"/>
      <c r="F667" s="7"/>
      <c r="G667" s="7"/>
    </row>
    <row r="668" ht="15.75" customHeight="1">
      <c r="A668" s="7"/>
      <c r="B668" s="7"/>
      <c r="C668" s="7"/>
      <c r="D668" s="7"/>
      <c r="E668" s="7"/>
      <c r="F668" s="7"/>
      <c r="G668" s="7"/>
    </row>
    <row r="669" ht="15.75" customHeight="1">
      <c r="A669" s="7"/>
      <c r="B669" s="7"/>
      <c r="C669" s="7"/>
      <c r="D669" s="7"/>
      <c r="E669" s="7"/>
      <c r="F669" s="7"/>
      <c r="G669" s="7"/>
    </row>
    <row r="670" ht="15.75" customHeight="1">
      <c r="A670" s="7"/>
      <c r="B670" s="7"/>
      <c r="C670" s="7"/>
      <c r="D670" s="7"/>
      <c r="E670" s="7"/>
      <c r="F670" s="7"/>
      <c r="G670" s="7"/>
    </row>
    <row r="671" ht="15.75" customHeight="1">
      <c r="A671" s="7"/>
      <c r="B671" s="7"/>
      <c r="C671" s="7"/>
      <c r="D671" s="7"/>
      <c r="E671" s="7"/>
      <c r="F671" s="7"/>
      <c r="G671" s="7"/>
    </row>
    <row r="672" ht="15.75" customHeight="1">
      <c r="A672" s="7"/>
      <c r="B672" s="7"/>
      <c r="C672" s="7"/>
      <c r="D672" s="7"/>
      <c r="E672" s="7"/>
      <c r="F672" s="7"/>
      <c r="G672" s="7"/>
    </row>
    <row r="673" ht="15.75" customHeight="1">
      <c r="A673" s="7"/>
      <c r="B673" s="7"/>
      <c r="C673" s="7"/>
      <c r="D673" s="7"/>
      <c r="E673" s="7"/>
      <c r="F673" s="7"/>
      <c r="G673" s="7"/>
    </row>
    <row r="674" ht="15.75" customHeight="1">
      <c r="A674" s="7"/>
      <c r="B674" s="7"/>
      <c r="C674" s="7"/>
      <c r="D674" s="7"/>
      <c r="E674" s="7"/>
      <c r="F674" s="7"/>
      <c r="G674" s="7"/>
    </row>
    <row r="675" ht="15.75" customHeight="1">
      <c r="A675" s="7"/>
      <c r="B675" s="7"/>
      <c r="C675" s="7"/>
      <c r="D675" s="7"/>
      <c r="E675" s="7"/>
      <c r="F675" s="7"/>
      <c r="G675" s="7"/>
    </row>
    <row r="676" ht="15.75" customHeight="1">
      <c r="A676" s="7"/>
      <c r="B676" s="7"/>
      <c r="C676" s="7"/>
      <c r="D676" s="7"/>
      <c r="E676" s="7"/>
      <c r="F676" s="7"/>
      <c r="G676" s="7"/>
    </row>
    <row r="677" ht="15.75" customHeight="1">
      <c r="A677" s="7"/>
      <c r="B677" s="7"/>
      <c r="C677" s="7"/>
      <c r="D677" s="7"/>
      <c r="E677" s="7"/>
      <c r="F677" s="7"/>
      <c r="G677" s="7"/>
    </row>
    <row r="678" ht="15.75" customHeight="1">
      <c r="A678" s="7"/>
      <c r="B678" s="7"/>
      <c r="C678" s="7"/>
      <c r="D678" s="7"/>
      <c r="E678" s="7"/>
      <c r="F678" s="7"/>
      <c r="G678" s="7"/>
    </row>
    <row r="679" ht="15.75" customHeight="1">
      <c r="A679" s="7"/>
      <c r="B679" s="7"/>
      <c r="C679" s="7"/>
      <c r="D679" s="7"/>
      <c r="E679" s="7"/>
      <c r="F679" s="7"/>
      <c r="G679" s="7"/>
    </row>
    <row r="680" ht="15.75" customHeight="1">
      <c r="A680" s="7"/>
      <c r="B680" s="7"/>
      <c r="C680" s="7"/>
      <c r="D680" s="7"/>
      <c r="E680" s="7"/>
      <c r="F680" s="7"/>
      <c r="G680" s="7"/>
    </row>
    <row r="681" ht="15.75" customHeight="1">
      <c r="A681" s="7"/>
      <c r="B681" s="7"/>
      <c r="C681" s="7"/>
      <c r="D681" s="7"/>
      <c r="E681" s="7"/>
      <c r="F681" s="7"/>
      <c r="G681" s="7"/>
    </row>
    <row r="682" ht="15.75" customHeight="1">
      <c r="A682" s="7"/>
      <c r="B682" s="7"/>
      <c r="C682" s="7"/>
      <c r="D682" s="7"/>
      <c r="E682" s="7"/>
      <c r="F682" s="7"/>
      <c r="G682" s="7"/>
    </row>
    <row r="683" ht="15.75" customHeight="1">
      <c r="A683" s="7"/>
      <c r="B683" s="7"/>
      <c r="C683" s="7"/>
      <c r="D683" s="7"/>
      <c r="E683" s="7"/>
      <c r="F683" s="7"/>
      <c r="G683" s="7"/>
    </row>
    <row r="684" ht="15.75" customHeight="1">
      <c r="A684" s="7"/>
      <c r="B684" s="7"/>
      <c r="C684" s="7"/>
      <c r="D684" s="7"/>
      <c r="E684" s="7"/>
      <c r="F684" s="7"/>
      <c r="G684" s="7"/>
    </row>
    <row r="685" ht="15.75" customHeight="1">
      <c r="A685" s="7"/>
      <c r="B685" s="7"/>
      <c r="C685" s="7"/>
      <c r="D685" s="7"/>
      <c r="E685" s="7"/>
      <c r="F685" s="7"/>
      <c r="G685" s="7"/>
    </row>
    <row r="686" ht="15.75" customHeight="1">
      <c r="A686" s="7"/>
      <c r="B686" s="7"/>
      <c r="C686" s="7"/>
      <c r="D686" s="7"/>
      <c r="E686" s="7"/>
      <c r="F686" s="7"/>
      <c r="G686" s="7"/>
    </row>
    <row r="687" ht="15.75" customHeight="1">
      <c r="A687" s="7"/>
      <c r="B687" s="7"/>
      <c r="C687" s="7"/>
      <c r="D687" s="7"/>
      <c r="E687" s="7"/>
      <c r="F687" s="7"/>
      <c r="G687" s="7"/>
    </row>
    <row r="688" ht="15.75" customHeight="1">
      <c r="A688" s="7"/>
      <c r="B688" s="7"/>
      <c r="C688" s="7"/>
      <c r="D688" s="7"/>
      <c r="E688" s="7"/>
      <c r="F688" s="7"/>
      <c r="G688" s="7"/>
    </row>
    <row r="689" ht="15.75" customHeight="1">
      <c r="A689" s="7"/>
      <c r="B689" s="7"/>
      <c r="C689" s="7"/>
      <c r="D689" s="7"/>
      <c r="E689" s="7"/>
      <c r="F689" s="7"/>
      <c r="G689" s="7"/>
    </row>
    <row r="690" ht="15.75" customHeight="1">
      <c r="A690" s="7"/>
      <c r="B690" s="7"/>
      <c r="C690" s="7"/>
      <c r="D690" s="7"/>
      <c r="E690" s="7"/>
      <c r="F690" s="7"/>
      <c r="G690" s="7"/>
    </row>
    <row r="691" ht="15.75" customHeight="1">
      <c r="A691" s="7"/>
      <c r="B691" s="7"/>
      <c r="C691" s="7"/>
      <c r="D691" s="7"/>
      <c r="E691" s="7"/>
      <c r="F691" s="7"/>
      <c r="G691" s="7"/>
    </row>
    <row r="692" ht="15.75" customHeight="1">
      <c r="A692" s="7"/>
      <c r="B692" s="7"/>
      <c r="C692" s="7"/>
      <c r="D692" s="7"/>
      <c r="E692" s="7"/>
      <c r="F692" s="7"/>
      <c r="G692" s="7"/>
    </row>
    <row r="693" ht="15.75" customHeight="1">
      <c r="A693" s="7"/>
      <c r="B693" s="7"/>
      <c r="C693" s="7"/>
      <c r="D693" s="7"/>
      <c r="E693" s="7"/>
      <c r="F693" s="7"/>
      <c r="G693" s="7"/>
    </row>
    <row r="694" ht="15.75" customHeight="1">
      <c r="A694" s="7"/>
      <c r="B694" s="7"/>
      <c r="C694" s="7"/>
      <c r="D694" s="7"/>
      <c r="E694" s="7"/>
      <c r="F694" s="7"/>
      <c r="G694" s="7"/>
    </row>
    <row r="695" ht="15.75" customHeight="1">
      <c r="A695" s="7"/>
      <c r="B695" s="7"/>
      <c r="C695" s="7"/>
      <c r="D695" s="7"/>
      <c r="E695" s="7"/>
      <c r="F695" s="7"/>
      <c r="G695" s="7"/>
    </row>
    <row r="696" ht="15.75" customHeight="1">
      <c r="A696" s="7"/>
      <c r="B696" s="7"/>
      <c r="C696" s="7"/>
      <c r="D696" s="7"/>
      <c r="E696" s="7"/>
      <c r="F696" s="7"/>
      <c r="G696" s="7"/>
    </row>
    <row r="697" ht="15.75" customHeight="1">
      <c r="A697" s="7"/>
      <c r="B697" s="7"/>
      <c r="C697" s="7"/>
      <c r="D697" s="7"/>
      <c r="E697" s="7"/>
      <c r="F697" s="7"/>
      <c r="G697" s="7"/>
    </row>
    <row r="698" ht="15.75" customHeight="1">
      <c r="A698" s="7"/>
      <c r="B698" s="7"/>
      <c r="C698" s="7"/>
      <c r="D698" s="7"/>
      <c r="E698" s="7"/>
      <c r="F698" s="7"/>
      <c r="G698" s="7"/>
    </row>
    <row r="699" ht="15.75" customHeight="1">
      <c r="A699" s="7"/>
      <c r="B699" s="7"/>
      <c r="C699" s="7"/>
      <c r="D699" s="7"/>
      <c r="E699" s="7"/>
      <c r="F699" s="7"/>
      <c r="G699" s="7"/>
    </row>
    <row r="700" ht="15.75" customHeight="1">
      <c r="A700" s="7"/>
      <c r="B700" s="7"/>
      <c r="C700" s="7"/>
      <c r="D700" s="7"/>
      <c r="E700" s="7"/>
      <c r="F700" s="7"/>
      <c r="G700" s="7"/>
    </row>
    <row r="701" ht="15.75" customHeight="1">
      <c r="A701" s="7"/>
      <c r="B701" s="7"/>
      <c r="C701" s="7"/>
      <c r="D701" s="7"/>
      <c r="E701" s="7"/>
      <c r="F701" s="7"/>
      <c r="G701" s="7"/>
    </row>
    <row r="702" ht="15.75" customHeight="1">
      <c r="A702" s="7"/>
      <c r="B702" s="7"/>
      <c r="C702" s="7"/>
      <c r="D702" s="7"/>
      <c r="E702" s="7"/>
      <c r="F702" s="7"/>
      <c r="G702" s="7"/>
    </row>
    <row r="703" ht="15.75" customHeight="1">
      <c r="A703" s="7"/>
      <c r="B703" s="7"/>
      <c r="C703" s="7"/>
      <c r="D703" s="7"/>
      <c r="E703" s="7"/>
      <c r="F703" s="7"/>
      <c r="G703" s="7"/>
    </row>
    <row r="704" ht="15.75" customHeight="1">
      <c r="A704" s="7"/>
      <c r="B704" s="7"/>
      <c r="C704" s="7"/>
      <c r="D704" s="7"/>
      <c r="E704" s="7"/>
      <c r="F704" s="7"/>
      <c r="G704" s="7"/>
    </row>
    <row r="705" ht="15.75" customHeight="1">
      <c r="A705" s="7"/>
      <c r="B705" s="7"/>
      <c r="C705" s="7"/>
      <c r="D705" s="7"/>
      <c r="E705" s="7"/>
      <c r="F705" s="7"/>
      <c r="G705" s="7"/>
    </row>
    <row r="706" ht="15.75" customHeight="1">
      <c r="A706" s="7"/>
      <c r="B706" s="7"/>
      <c r="C706" s="7"/>
      <c r="D706" s="7"/>
      <c r="E706" s="7"/>
      <c r="F706" s="7"/>
      <c r="G706" s="7"/>
    </row>
    <row r="707" ht="15.75" customHeight="1">
      <c r="A707" s="7"/>
      <c r="B707" s="7"/>
      <c r="C707" s="7"/>
      <c r="D707" s="7"/>
      <c r="E707" s="7"/>
      <c r="F707" s="7"/>
      <c r="G707" s="7"/>
    </row>
    <row r="708" ht="15.75" customHeight="1">
      <c r="A708" s="7"/>
      <c r="B708" s="7"/>
      <c r="C708" s="7"/>
      <c r="D708" s="7"/>
      <c r="E708" s="7"/>
      <c r="F708" s="7"/>
      <c r="G708" s="7"/>
    </row>
    <row r="709" ht="15.75" customHeight="1">
      <c r="A709" s="7"/>
      <c r="B709" s="7"/>
      <c r="C709" s="7"/>
      <c r="D709" s="7"/>
      <c r="E709" s="7"/>
      <c r="F709" s="7"/>
      <c r="G709" s="7"/>
    </row>
    <row r="710" ht="15.75" customHeight="1">
      <c r="A710" s="7"/>
      <c r="B710" s="7"/>
      <c r="C710" s="7"/>
      <c r="D710" s="7"/>
      <c r="E710" s="7"/>
      <c r="F710" s="7"/>
      <c r="G710" s="7"/>
    </row>
    <row r="711" ht="15.75" customHeight="1">
      <c r="A711" s="7"/>
      <c r="B711" s="7"/>
      <c r="C711" s="7"/>
      <c r="D711" s="7"/>
      <c r="E711" s="7"/>
      <c r="F711" s="7"/>
      <c r="G711" s="7"/>
    </row>
    <row r="712" ht="15.75" customHeight="1">
      <c r="A712" s="7"/>
      <c r="B712" s="7"/>
      <c r="C712" s="7"/>
      <c r="D712" s="7"/>
      <c r="E712" s="7"/>
      <c r="F712" s="7"/>
      <c r="G712" s="7"/>
    </row>
    <row r="713" ht="15.75" customHeight="1">
      <c r="A713" s="7"/>
      <c r="B713" s="7"/>
      <c r="C713" s="7"/>
      <c r="D713" s="7"/>
      <c r="E713" s="7"/>
      <c r="F713" s="7"/>
      <c r="G713" s="7"/>
    </row>
    <row r="714" ht="15.75" customHeight="1">
      <c r="A714" s="7"/>
      <c r="B714" s="7"/>
      <c r="C714" s="7"/>
      <c r="D714" s="7"/>
      <c r="E714" s="7"/>
      <c r="F714" s="7"/>
      <c r="G714" s="7"/>
    </row>
    <row r="715" ht="15.75" customHeight="1">
      <c r="A715" s="7"/>
      <c r="B715" s="7"/>
      <c r="C715" s="7"/>
      <c r="D715" s="7"/>
      <c r="E715" s="7"/>
      <c r="F715" s="7"/>
      <c r="G715" s="7"/>
    </row>
    <row r="716" ht="15.75" customHeight="1">
      <c r="A716" s="7"/>
      <c r="B716" s="7"/>
      <c r="C716" s="7"/>
      <c r="D716" s="7"/>
      <c r="E716" s="7"/>
      <c r="F716" s="7"/>
      <c r="G716" s="7"/>
    </row>
    <row r="717" ht="15.75" customHeight="1">
      <c r="A717" s="7"/>
      <c r="B717" s="7"/>
      <c r="C717" s="7"/>
      <c r="D717" s="7"/>
      <c r="E717" s="7"/>
      <c r="F717" s="7"/>
      <c r="G717" s="7"/>
    </row>
    <row r="718" ht="15.75" customHeight="1">
      <c r="A718" s="7"/>
      <c r="B718" s="7"/>
      <c r="C718" s="7"/>
      <c r="D718" s="7"/>
      <c r="E718" s="7"/>
      <c r="F718" s="7"/>
      <c r="G718" s="7"/>
    </row>
    <row r="719" ht="15.75" customHeight="1">
      <c r="A719" s="7"/>
      <c r="B719" s="7"/>
      <c r="C719" s="7"/>
      <c r="D719" s="7"/>
      <c r="E719" s="7"/>
      <c r="F719" s="7"/>
      <c r="G719" s="7"/>
    </row>
    <row r="720" ht="15.75" customHeight="1">
      <c r="A720" s="7"/>
      <c r="B720" s="7"/>
      <c r="C720" s="7"/>
      <c r="D720" s="7"/>
      <c r="E720" s="7"/>
      <c r="F720" s="7"/>
      <c r="G720" s="7"/>
    </row>
    <row r="721" ht="15.75" customHeight="1">
      <c r="A721" s="7"/>
      <c r="B721" s="7"/>
      <c r="C721" s="7"/>
      <c r="D721" s="7"/>
      <c r="E721" s="7"/>
      <c r="F721" s="7"/>
      <c r="G721" s="7"/>
    </row>
    <row r="722" ht="15.75" customHeight="1">
      <c r="A722" s="7"/>
      <c r="B722" s="7"/>
      <c r="C722" s="7"/>
      <c r="D722" s="7"/>
      <c r="E722" s="7"/>
      <c r="F722" s="7"/>
      <c r="G722" s="7"/>
    </row>
    <row r="723" ht="15.75" customHeight="1">
      <c r="A723" s="7"/>
      <c r="B723" s="7"/>
      <c r="C723" s="7"/>
      <c r="D723" s="7"/>
      <c r="E723" s="7"/>
      <c r="F723" s="7"/>
      <c r="G723" s="7"/>
    </row>
    <row r="724" ht="15.75" customHeight="1">
      <c r="A724" s="7"/>
      <c r="B724" s="7"/>
      <c r="C724" s="7"/>
      <c r="D724" s="7"/>
      <c r="E724" s="7"/>
      <c r="F724" s="7"/>
      <c r="G724" s="7"/>
    </row>
    <row r="725" ht="15.75" customHeight="1">
      <c r="A725" s="7"/>
      <c r="B725" s="7"/>
      <c r="C725" s="7"/>
      <c r="D725" s="7"/>
      <c r="E725" s="7"/>
      <c r="F725" s="7"/>
      <c r="G725" s="7"/>
    </row>
    <row r="726" ht="15.75" customHeight="1">
      <c r="A726" s="7"/>
      <c r="B726" s="7"/>
      <c r="C726" s="7"/>
      <c r="D726" s="7"/>
      <c r="E726" s="7"/>
      <c r="F726" s="7"/>
      <c r="G726" s="7"/>
    </row>
    <row r="727" ht="15.75" customHeight="1">
      <c r="A727" s="7"/>
      <c r="B727" s="7"/>
      <c r="C727" s="7"/>
      <c r="D727" s="7"/>
      <c r="E727" s="7"/>
      <c r="F727" s="7"/>
      <c r="G727" s="7"/>
    </row>
    <row r="728" ht="15.75" customHeight="1">
      <c r="A728" s="7"/>
      <c r="B728" s="7"/>
      <c r="C728" s="7"/>
      <c r="D728" s="7"/>
      <c r="E728" s="7"/>
      <c r="F728" s="7"/>
      <c r="G728" s="7"/>
    </row>
    <row r="729" ht="15.75" customHeight="1">
      <c r="A729" s="7"/>
      <c r="B729" s="7"/>
      <c r="C729" s="7"/>
      <c r="D729" s="7"/>
      <c r="E729" s="7"/>
      <c r="F729" s="7"/>
      <c r="G729" s="7"/>
    </row>
    <row r="730" ht="15.75" customHeight="1">
      <c r="A730" s="7"/>
      <c r="B730" s="7"/>
      <c r="C730" s="7"/>
      <c r="D730" s="7"/>
      <c r="E730" s="7"/>
      <c r="F730" s="7"/>
      <c r="G730" s="7"/>
    </row>
    <row r="731" ht="15.75" customHeight="1">
      <c r="A731" s="7"/>
      <c r="B731" s="7"/>
      <c r="C731" s="7"/>
      <c r="D731" s="7"/>
      <c r="E731" s="7"/>
      <c r="F731" s="7"/>
      <c r="G731" s="7"/>
    </row>
    <row r="732" ht="15.75" customHeight="1">
      <c r="A732" s="7"/>
      <c r="B732" s="7"/>
      <c r="C732" s="7"/>
      <c r="D732" s="7"/>
      <c r="E732" s="7"/>
      <c r="F732" s="7"/>
      <c r="G732" s="7"/>
    </row>
    <row r="733" ht="15.75" customHeight="1">
      <c r="A733" s="7"/>
      <c r="B733" s="7"/>
      <c r="C733" s="7"/>
      <c r="D733" s="7"/>
      <c r="E733" s="7"/>
      <c r="F733" s="7"/>
      <c r="G733" s="7"/>
    </row>
    <row r="734" ht="15.75" customHeight="1">
      <c r="A734" s="7"/>
      <c r="B734" s="7"/>
      <c r="C734" s="7"/>
      <c r="D734" s="7"/>
      <c r="E734" s="7"/>
      <c r="F734" s="7"/>
      <c r="G734" s="7"/>
    </row>
    <row r="735" ht="15.75" customHeight="1">
      <c r="A735" s="7"/>
      <c r="B735" s="7"/>
      <c r="C735" s="7"/>
      <c r="D735" s="7"/>
      <c r="E735" s="7"/>
      <c r="F735" s="7"/>
      <c r="G735" s="7"/>
    </row>
    <row r="736" ht="15.75" customHeight="1">
      <c r="A736" s="7"/>
      <c r="B736" s="7"/>
      <c r="C736" s="7"/>
      <c r="D736" s="7"/>
      <c r="E736" s="7"/>
      <c r="F736" s="7"/>
      <c r="G736" s="7"/>
    </row>
    <row r="737" ht="15.75" customHeight="1">
      <c r="A737" s="7"/>
      <c r="B737" s="7"/>
      <c r="C737" s="7"/>
      <c r="D737" s="7"/>
      <c r="E737" s="7"/>
      <c r="F737" s="7"/>
      <c r="G737" s="7"/>
    </row>
    <row r="738" ht="15.75" customHeight="1">
      <c r="A738" s="7"/>
      <c r="B738" s="7"/>
      <c r="C738" s="7"/>
      <c r="D738" s="7"/>
      <c r="E738" s="7"/>
      <c r="F738" s="7"/>
      <c r="G738" s="7"/>
    </row>
    <row r="739" ht="15.75" customHeight="1">
      <c r="A739" s="7"/>
      <c r="B739" s="7"/>
      <c r="C739" s="7"/>
      <c r="D739" s="7"/>
      <c r="E739" s="7"/>
      <c r="F739" s="7"/>
      <c r="G739" s="7"/>
    </row>
    <row r="740" ht="15.75" customHeight="1">
      <c r="A740" s="7"/>
      <c r="B740" s="7"/>
      <c r="C740" s="7"/>
      <c r="D740" s="7"/>
      <c r="E740" s="7"/>
      <c r="F740" s="7"/>
      <c r="G740" s="7"/>
    </row>
    <row r="741" ht="15.75" customHeight="1">
      <c r="A741" s="7"/>
      <c r="B741" s="7"/>
      <c r="C741" s="7"/>
      <c r="D741" s="7"/>
      <c r="E741" s="7"/>
      <c r="F741" s="7"/>
      <c r="G741" s="7"/>
    </row>
    <row r="742" ht="15.75" customHeight="1">
      <c r="A742" s="7"/>
      <c r="B742" s="7"/>
      <c r="C742" s="7"/>
      <c r="D742" s="7"/>
      <c r="E742" s="7"/>
      <c r="F742" s="7"/>
      <c r="G742" s="7"/>
    </row>
    <row r="743" ht="15.75" customHeight="1">
      <c r="A743" s="7"/>
      <c r="B743" s="7"/>
      <c r="C743" s="7"/>
      <c r="D743" s="7"/>
      <c r="E743" s="7"/>
      <c r="F743" s="7"/>
      <c r="G743" s="7"/>
    </row>
    <row r="744" ht="15.75" customHeight="1">
      <c r="A744" s="7"/>
      <c r="B744" s="7"/>
      <c r="C744" s="7"/>
      <c r="D744" s="7"/>
      <c r="E744" s="7"/>
      <c r="F744" s="7"/>
      <c r="G744" s="7"/>
    </row>
    <row r="745" ht="15.75" customHeight="1">
      <c r="A745" s="7"/>
      <c r="B745" s="7"/>
      <c r="C745" s="7"/>
      <c r="D745" s="7"/>
      <c r="E745" s="7"/>
      <c r="F745" s="7"/>
      <c r="G745" s="7"/>
    </row>
    <row r="746" ht="15.75" customHeight="1">
      <c r="A746" s="7"/>
      <c r="B746" s="7"/>
      <c r="C746" s="7"/>
      <c r="D746" s="7"/>
      <c r="E746" s="7"/>
      <c r="F746" s="7"/>
      <c r="G746" s="7"/>
    </row>
    <row r="747" ht="15.75" customHeight="1">
      <c r="A747" s="7"/>
      <c r="B747" s="7"/>
      <c r="C747" s="7"/>
      <c r="D747" s="7"/>
      <c r="E747" s="7"/>
      <c r="F747" s="7"/>
      <c r="G747" s="7"/>
    </row>
    <row r="748" ht="15.75" customHeight="1">
      <c r="A748" s="7"/>
      <c r="B748" s="7"/>
      <c r="C748" s="7"/>
      <c r="D748" s="7"/>
      <c r="E748" s="7"/>
      <c r="F748" s="7"/>
      <c r="G748" s="7"/>
    </row>
    <row r="749" ht="15.75" customHeight="1">
      <c r="A749" s="7"/>
      <c r="B749" s="7"/>
      <c r="C749" s="7"/>
      <c r="D749" s="7"/>
      <c r="E749" s="7"/>
      <c r="F749" s="7"/>
      <c r="G749" s="7"/>
    </row>
    <row r="750" ht="15.75" customHeight="1">
      <c r="A750" s="7"/>
      <c r="B750" s="7"/>
      <c r="C750" s="7"/>
      <c r="D750" s="7"/>
      <c r="E750" s="7"/>
      <c r="F750" s="7"/>
      <c r="G750" s="7"/>
    </row>
    <row r="751" ht="15.75" customHeight="1">
      <c r="A751" s="7"/>
      <c r="B751" s="7"/>
      <c r="C751" s="7"/>
      <c r="D751" s="7"/>
      <c r="E751" s="7"/>
      <c r="F751" s="7"/>
      <c r="G751" s="7"/>
    </row>
    <row r="752" ht="15.75" customHeight="1">
      <c r="A752" s="7"/>
      <c r="B752" s="7"/>
      <c r="C752" s="7"/>
      <c r="D752" s="7"/>
      <c r="E752" s="7"/>
      <c r="F752" s="7"/>
      <c r="G752" s="7"/>
    </row>
    <row r="753" ht="15.75" customHeight="1">
      <c r="A753" s="7"/>
      <c r="B753" s="7"/>
      <c r="C753" s="7"/>
      <c r="D753" s="7"/>
      <c r="E753" s="7"/>
      <c r="F753" s="7"/>
      <c r="G753" s="7"/>
    </row>
    <row r="754" ht="15.75" customHeight="1">
      <c r="A754" s="7"/>
      <c r="B754" s="7"/>
      <c r="C754" s="7"/>
      <c r="D754" s="7"/>
      <c r="E754" s="7"/>
      <c r="F754" s="7"/>
      <c r="G754" s="7"/>
    </row>
    <row r="755" ht="15.75" customHeight="1">
      <c r="A755" s="7"/>
      <c r="B755" s="7"/>
      <c r="C755" s="7"/>
      <c r="D755" s="7"/>
      <c r="E755" s="7"/>
      <c r="F755" s="7"/>
      <c r="G755" s="7"/>
    </row>
    <row r="756" ht="15.75" customHeight="1">
      <c r="A756" s="7"/>
      <c r="B756" s="7"/>
      <c r="C756" s="7"/>
      <c r="D756" s="7"/>
      <c r="E756" s="7"/>
      <c r="F756" s="7"/>
      <c r="G756" s="7"/>
    </row>
    <row r="757" ht="15.75" customHeight="1">
      <c r="A757" s="7"/>
      <c r="B757" s="7"/>
      <c r="C757" s="7"/>
      <c r="D757" s="7"/>
      <c r="E757" s="7"/>
      <c r="F757" s="7"/>
      <c r="G757" s="7"/>
    </row>
    <row r="758" ht="15.75" customHeight="1">
      <c r="A758" s="7"/>
      <c r="B758" s="7"/>
      <c r="C758" s="7"/>
      <c r="D758" s="7"/>
      <c r="E758" s="7"/>
      <c r="F758" s="7"/>
      <c r="G758" s="7"/>
    </row>
    <row r="759" ht="15.75" customHeight="1">
      <c r="A759" s="7"/>
      <c r="B759" s="7"/>
      <c r="C759" s="7"/>
      <c r="D759" s="7"/>
      <c r="E759" s="7"/>
      <c r="F759" s="7"/>
      <c r="G759" s="7"/>
    </row>
    <row r="760" ht="15.75" customHeight="1">
      <c r="A760" s="7"/>
      <c r="B760" s="7"/>
      <c r="C760" s="7"/>
      <c r="D760" s="7"/>
      <c r="E760" s="7"/>
      <c r="F760" s="7"/>
      <c r="G760" s="7"/>
    </row>
    <row r="761" ht="15.75" customHeight="1">
      <c r="A761" s="7"/>
      <c r="B761" s="7"/>
      <c r="C761" s="7"/>
      <c r="D761" s="7"/>
      <c r="E761" s="7"/>
      <c r="F761" s="7"/>
      <c r="G761" s="7"/>
    </row>
    <row r="762" ht="15.75" customHeight="1">
      <c r="A762" s="7"/>
      <c r="B762" s="7"/>
      <c r="C762" s="7"/>
      <c r="D762" s="7"/>
      <c r="E762" s="7"/>
      <c r="F762" s="7"/>
      <c r="G762" s="7"/>
    </row>
    <row r="763" ht="15.75" customHeight="1">
      <c r="A763" s="7"/>
      <c r="B763" s="7"/>
      <c r="C763" s="7"/>
      <c r="D763" s="7"/>
      <c r="E763" s="7"/>
      <c r="F763" s="7"/>
      <c r="G763" s="7"/>
    </row>
    <row r="764" ht="15.75" customHeight="1">
      <c r="A764" s="7"/>
      <c r="B764" s="7"/>
      <c r="C764" s="7"/>
      <c r="D764" s="7"/>
      <c r="E764" s="7"/>
      <c r="F764" s="7"/>
      <c r="G764" s="7"/>
    </row>
    <row r="765" ht="15.75" customHeight="1">
      <c r="A765" s="7"/>
      <c r="B765" s="7"/>
      <c r="C765" s="7"/>
      <c r="D765" s="7"/>
      <c r="E765" s="7"/>
      <c r="F765" s="7"/>
      <c r="G765" s="7"/>
    </row>
    <row r="766" ht="15.75" customHeight="1">
      <c r="A766" s="7"/>
      <c r="B766" s="7"/>
      <c r="C766" s="7"/>
      <c r="D766" s="7"/>
      <c r="E766" s="7"/>
      <c r="F766" s="7"/>
      <c r="G766" s="7"/>
    </row>
    <row r="767" ht="15.75" customHeight="1">
      <c r="A767" s="7"/>
      <c r="B767" s="7"/>
      <c r="C767" s="7"/>
      <c r="D767" s="7"/>
      <c r="E767" s="7"/>
      <c r="F767" s="7"/>
      <c r="G767" s="7"/>
    </row>
    <row r="768" ht="15.75" customHeight="1">
      <c r="A768" s="7"/>
      <c r="B768" s="7"/>
      <c r="C768" s="7"/>
      <c r="D768" s="7"/>
      <c r="E768" s="7"/>
      <c r="F768" s="7"/>
      <c r="G768" s="7"/>
    </row>
    <row r="769" ht="15.75" customHeight="1">
      <c r="A769" s="7"/>
      <c r="B769" s="7"/>
      <c r="C769" s="7"/>
      <c r="D769" s="7"/>
      <c r="E769" s="7"/>
      <c r="F769" s="7"/>
      <c r="G769" s="7"/>
    </row>
    <row r="770" ht="15.75" customHeight="1">
      <c r="A770" s="7"/>
      <c r="B770" s="7"/>
      <c r="C770" s="7"/>
      <c r="D770" s="7"/>
      <c r="E770" s="7"/>
      <c r="F770" s="7"/>
      <c r="G770" s="7"/>
    </row>
    <row r="771" ht="15.75" customHeight="1">
      <c r="A771" s="7"/>
      <c r="B771" s="7"/>
      <c r="C771" s="7"/>
      <c r="D771" s="7"/>
      <c r="E771" s="7"/>
      <c r="F771" s="7"/>
      <c r="G771" s="7"/>
    </row>
    <row r="772" ht="15.75" customHeight="1">
      <c r="A772" s="7"/>
      <c r="B772" s="7"/>
      <c r="C772" s="7"/>
      <c r="D772" s="7"/>
      <c r="E772" s="7"/>
      <c r="F772" s="7"/>
      <c r="G772" s="7"/>
    </row>
    <row r="773" ht="15.75" customHeight="1">
      <c r="A773" s="7"/>
      <c r="B773" s="7"/>
      <c r="C773" s="7"/>
      <c r="D773" s="7"/>
      <c r="E773" s="7"/>
      <c r="F773" s="7"/>
      <c r="G773" s="7"/>
    </row>
    <row r="774" ht="15.75" customHeight="1">
      <c r="A774" s="7"/>
      <c r="B774" s="7"/>
      <c r="C774" s="7"/>
      <c r="D774" s="7"/>
      <c r="E774" s="7"/>
      <c r="F774" s="7"/>
      <c r="G774" s="7"/>
    </row>
    <row r="775" ht="15.75" customHeight="1">
      <c r="A775" s="7"/>
      <c r="B775" s="7"/>
      <c r="C775" s="7"/>
      <c r="D775" s="7"/>
      <c r="E775" s="7"/>
      <c r="F775" s="7"/>
      <c r="G775" s="7"/>
    </row>
    <row r="776" ht="15.75" customHeight="1">
      <c r="A776" s="7"/>
      <c r="B776" s="7"/>
      <c r="C776" s="7"/>
      <c r="D776" s="7"/>
      <c r="E776" s="7"/>
      <c r="F776" s="7"/>
      <c r="G776" s="7"/>
    </row>
    <row r="777" ht="15.75" customHeight="1">
      <c r="A777" s="7"/>
      <c r="B777" s="7"/>
      <c r="C777" s="7"/>
      <c r="D777" s="7"/>
      <c r="E777" s="7"/>
      <c r="F777" s="7"/>
      <c r="G777" s="7"/>
    </row>
    <row r="778" ht="15.75" customHeight="1">
      <c r="A778" s="7"/>
      <c r="B778" s="7"/>
      <c r="C778" s="7"/>
      <c r="D778" s="7"/>
      <c r="E778" s="7"/>
      <c r="F778" s="7"/>
      <c r="G778" s="7"/>
    </row>
    <row r="779" ht="15.75" customHeight="1">
      <c r="A779" s="7"/>
      <c r="B779" s="7"/>
      <c r="C779" s="7"/>
      <c r="D779" s="7"/>
      <c r="E779" s="7"/>
      <c r="F779" s="7"/>
      <c r="G779" s="7"/>
    </row>
    <row r="780" ht="15.75" customHeight="1">
      <c r="A780" s="7"/>
      <c r="B780" s="7"/>
      <c r="C780" s="7"/>
      <c r="D780" s="7"/>
      <c r="E780" s="7"/>
      <c r="F780" s="7"/>
      <c r="G780" s="7"/>
    </row>
    <row r="781" ht="15.75" customHeight="1">
      <c r="A781" s="7"/>
      <c r="B781" s="7"/>
      <c r="C781" s="7"/>
      <c r="D781" s="7"/>
      <c r="E781" s="7"/>
      <c r="F781" s="7"/>
      <c r="G781" s="7"/>
    </row>
    <row r="782" ht="15.75" customHeight="1">
      <c r="A782" s="7"/>
      <c r="B782" s="7"/>
      <c r="C782" s="7"/>
      <c r="D782" s="7"/>
      <c r="E782" s="7"/>
      <c r="F782" s="7"/>
      <c r="G782" s="7"/>
    </row>
    <row r="783" ht="15.75" customHeight="1">
      <c r="A783" s="7"/>
      <c r="B783" s="7"/>
      <c r="C783" s="7"/>
      <c r="D783" s="7"/>
      <c r="E783" s="7"/>
      <c r="F783" s="7"/>
      <c r="G783" s="7"/>
    </row>
    <row r="784" ht="15.75" customHeight="1">
      <c r="A784" s="7"/>
      <c r="B784" s="7"/>
      <c r="C784" s="7"/>
      <c r="D784" s="7"/>
      <c r="E784" s="7"/>
      <c r="F784" s="7"/>
      <c r="G784" s="7"/>
    </row>
    <row r="785" ht="15.75" customHeight="1">
      <c r="A785" s="7"/>
      <c r="B785" s="7"/>
      <c r="C785" s="7"/>
      <c r="D785" s="7"/>
      <c r="E785" s="7"/>
      <c r="F785" s="7"/>
      <c r="G785" s="7"/>
    </row>
    <row r="786" ht="15.75" customHeight="1">
      <c r="A786" s="7"/>
      <c r="B786" s="7"/>
      <c r="C786" s="7"/>
      <c r="D786" s="7"/>
      <c r="E786" s="7"/>
      <c r="F786" s="7"/>
      <c r="G786" s="7"/>
    </row>
    <row r="787" ht="15.75" customHeight="1">
      <c r="A787" s="7"/>
      <c r="B787" s="7"/>
      <c r="C787" s="7"/>
      <c r="D787" s="7"/>
      <c r="E787" s="7"/>
      <c r="F787" s="7"/>
      <c r="G787" s="7"/>
    </row>
    <row r="788" ht="15.75" customHeight="1">
      <c r="A788" s="7"/>
      <c r="B788" s="7"/>
      <c r="C788" s="7"/>
      <c r="D788" s="7"/>
      <c r="E788" s="7"/>
      <c r="F788" s="7"/>
      <c r="G788" s="7"/>
    </row>
    <row r="789" ht="15.75" customHeight="1">
      <c r="A789" s="7"/>
      <c r="B789" s="7"/>
      <c r="C789" s="7"/>
      <c r="D789" s="7"/>
      <c r="E789" s="7"/>
      <c r="F789" s="7"/>
      <c r="G789" s="7"/>
    </row>
    <row r="790" ht="15.75" customHeight="1">
      <c r="A790" s="7"/>
      <c r="B790" s="7"/>
      <c r="C790" s="7"/>
      <c r="D790" s="7"/>
      <c r="E790" s="7"/>
      <c r="F790" s="7"/>
      <c r="G790" s="7"/>
    </row>
    <row r="791" ht="15.75" customHeight="1">
      <c r="A791" s="7"/>
      <c r="B791" s="7"/>
      <c r="C791" s="7"/>
      <c r="D791" s="7"/>
      <c r="E791" s="7"/>
      <c r="F791" s="7"/>
      <c r="G791" s="7"/>
    </row>
    <row r="792" ht="15.75" customHeight="1">
      <c r="A792" s="7"/>
      <c r="B792" s="7"/>
      <c r="C792" s="7"/>
      <c r="D792" s="7"/>
      <c r="E792" s="7"/>
      <c r="F792" s="7"/>
      <c r="G792" s="7"/>
    </row>
    <row r="793" ht="15.75" customHeight="1">
      <c r="A793" s="7"/>
      <c r="B793" s="7"/>
      <c r="C793" s="7"/>
      <c r="D793" s="7"/>
      <c r="E793" s="7"/>
      <c r="F793" s="7"/>
      <c r="G793" s="7"/>
    </row>
    <row r="794" ht="15.75" customHeight="1">
      <c r="A794" s="7"/>
      <c r="B794" s="7"/>
      <c r="C794" s="7"/>
      <c r="D794" s="7"/>
      <c r="E794" s="7"/>
      <c r="F794" s="7"/>
      <c r="G794" s="7"/>
    </row>
    <row r="795" ht="15.75" customHeight="1">
      <c r="A795" s="7"/>
      <c r="B795" s="7"/>
      <c r="C795" s="7"/>
      <c r="D795" s="7"/>
      <c r="E795" s="7"/>
      <c r="F795" s="7"/>
      <c r="G795" s="7"/>
    </row>
    <row r="796" ht="15.75" customHeight="1">
      <c r="A796" s="7"/>
      <c r="B796" s="7"/>
      <c r="C796" s="7"/>
      <c r="D796" s="7"/>
      <c r="E796" s="7"/>
      <c r="F796" s="7"/>
      <c r="G796" s="7"/>
    </row>
    <row r="797" ht="15.75" customHeight="1">
      <c r="A797" s="7"/>
      <c r="B797" s="7"/>
      <c r="C797" s="7"/>
      <c r="D797" s="7"/>
      <c r="E797" s="7"/>
      <c r="F797" s="7"/>
      <c r="G797" s="7"/>
    </row>
    <row r="798" ht="15.75" customHeight="1">
      <c r="A798" s="7"/>
      <c r="B798" s="7"/>
      <c r="C798" s="7"/>
      <c r="D798" s="7"/>
      <c r="E798" s="7"/>
      <c r="F798" s="7"/>
      <c r="G798" s="7"/>
    </row>
    <row r="799" ht="15.75" customHeight="1">
      <c r="A799" s="7"/>
      <c r="B799" s="7"/>
      <c r="C799" s="7"/>
      <c r="D799" s="7"/>
      <c r="E799" s="7"/>
      <c r="F799" s="7"/>
      <c r="G799" s="7"/>
    </row>
    <row r="800" ht="15.75" customHeight="1">
      <c r="A800" s="7"/>
      <c r="B800" s="7"/>
      <c r="C800" s="7"/>
      <c r="D800" s="7"/>
      <c r="E800" s="7"/>
      <c r="F800" s="7"/>
      <c r="G800" s="7"/>
    </row>
    <row r="801" ht="15.75" customHeight="1">
      <c r="A801" s="7"/>
      <c r="B801" s="7"/>
      <c r="C801" s="7"/>
      <c r="D801" s="7"/>
      <c r="E801" s="7"/>
      <c r="F801" s="7"/>
      <c r="G801" s="7"/>
    </row>
    <row r="802" ht="15.75" customHeight="1">
      <c r="A802" s="7"/>
      <c r="B802" s="7"/>
      <c r="C802" s="7"/>
      <c r="D802" s="7"/>
      <c r="E802" s="7"/>
      <c r="F802" s="7"/>
      <c r="G802" s="7"/>
    </row>
    <row r="803" ht="15.75" customHeight="1">
      <c r="A803" s="7"/>
      <c r="B803" s="7"/>
      <c r="C803" s="7"/>
      <c r="D803" s="7"/>
      <c r="E803" s="7"/>
      <c r="F803" s="7"/>
      <c r="G803" s="7"/>
    </row>
    <row r="804" ht="15.75" customHeight="1">
      <c r="A804" s="7"/>
      <c r="B804" s="7"/>
      <c r="C804" s="7"/>
      <c r="D804" s="7"/>
      <c r="E804" s="7"/>
      <c r="F804" s="7"/>
      <c r="G804" s="7"/>
    </row>
    <row r="805" ht="15.75" customHeight="1">
      <c r="A805" s="7"/>
      <c r="B805" s="7"/>
      <c r="C805" s="7"/>
      <c r="D805" s="7"/>
      <c r="E805" s="7"/>
      <c r="F805" s="7"/>
      <c r="G805" s="7"/>
    </row>
    <row r="806" ht="15.75" customHeight="1">
      <c r="A806" s="7"/>
      <c r="B806" s="7"/>
      <c r="C806" s="7"/>
      <c r="D806" s="7"/>
      <c r="E806" s="7"/>
      <c r="F806" s="7"/>
      <c r="G806" s="7"/>
    </row>
    <row r="807" ht="15.75" customHeight="1">
      <c r="A807" s="7"/>
      <c r="B807" s="7"/>
      <c r="C807" s="7"/>
      <c r="D807" s="7"/>
      <c r="E807" s="7"/>
      <c r="F807" s="7"/>
      <c r="G807" s="7"/>
    </row>
    <row r="808" ht="15.75" customHeight="1">
      <c r="A808" s="7"/>
      <c r="B808" s="7"/>
      <c r="C808" s="7"/>
      <c r="D808" s="7"/>
      <c r="E808" s="7"/>
      <c r="F808" s="7"/>
      <c r="G808" s="7"/>
    </row>
    <row r="809" ht="15.75" customHeight="1">
      <c r="A809" s="7"/>
      <c r="B809" s="7"/>
      <c r="C809" s="7"/>
      <c r="D809" s="7"/>
      <c r="E809" s="7"/>
      <c r="F809" s="7"/>
      <c r="G809" s="7"/>
    </row>
    <row r="810" ht="15.75" customHeight="1">
      <c r="A810" s="7"/>
      <c r="B810" s="7"/>
      <c r="C810" s="7"/>
      <c r="D810" s="7"/>
      <c r="E810" s="7"/>
      <c r="F810" s="7"/>
      <c r="G810" s="7"/>
    </row>
    <row r="811" ht="15.75" customHeight="1">
      <c r="A811" s="7"/>
      <c r="B811" s="7"/>
      <c r="C811" s="7"/>
      <c r="D811" s="7"/>
      <c r="E811" s="7"/>
      <c r="F811" s="7"/>
      <c r="G811" s="7"/>
    </row>
    <row r="812" ht="15.75" customHeight="1">
      <c r="A812" s="7"/>
      <c r="B812" s="7"/>
      <c r="C812" s="7"/>
      <c r="D812" s="7"/>
      <c r="E812" s="7"/>
      <c r="F812" s="7"/>
      <c r="G812" s="7"/>
    </row>
    <row r="813" ht="15.75" customHeight="1">
      <c r="A813" s="7"/>
      <c r="B813" s="7"/>
      <c r="C813" s="7"/>
      <c r="D813" s="7"/>
      <c r="E813" s="7"/>
      <c r="F813" s="7"/>
      <c r="G813" s="7"/>
    </row>
    <row r="814" ht="15.75" customHeight="1">
      <c r="A814" s="7"/>
      <c r="B814" s="7"/>
      <c r="C814" s="7"/>
      <c r="D814" s="7"/>
      <c r="E814" s="7"/>
      <c r="F814" s="7"/>
      <c r="G814" s="7"/>
    </row>
    <row r="815" ht="15.75" customHeight="1">
      <c r="A815" s="7"/>
      <c r="B815" s="7"/>
      <c r="C815" s="7"/>
      <c r="D815" s="7"/>
      <c r="E815" s="7"/>
      <c r="F815" s="7"/>
      <c r="G815" s="7"/>
    </row>
    <row r="816" ht="15.75" customHeight="1">
      <c r="A816" s="7"/>
      <c r="B816" s="7"/>
      <c r="C816" s="7"/>
      <c r="D816" s="7"/>
      <c r="E816" s="7"/>
      <c r="F816" s="7"/>
      <c r="G816" s="7"/>
    </row>
    <row r="817" ht="15.75" customHeight="1">
      <c r="A817" s="7"/>
      <c r="B817" s="7"/>
      <c r="C817" s="7"/>
      <c r="D817" s="7"/>
      <c r="E817" s="7"/>
      <c r="F817" s="7"/>
      <c r="G817" s="7"/>
    </row>
    <row r="818" ht="15.75" customHeight="1">
      <c r="A818" s="7"/>
      <c r="B818" s="7"/>
      <c r="C818" s="7"/>
      <c r="D818" s="7"/>
      <c r="E818" s="7"/>
      <c r="F818" s="7"/>
      <c r="G818" s="7"/>
    </row>
    <row r="819" ht="15.75" customHeight="1">
      <c r="A819" s="7"/>
      <c r="B819" s="7"/>
      <c r="C819" s="7"/>
      <c r="D819" s="7"/>
      <c r="E819" s="7"/>
      <c r="F819" s="7"/>
      <c r="G819" s="7"/>
    </row>
    <row r="820" ht="15.75" customHeight="1">
      <c r="A820" s="7"/>
      <c r="B820" s="7"/>
      <c r="C820" s="7"/>
      <c r="D820" s="7"/>
      <c r="E820" s="7"/>
      <c r="F820" s="7"/>
      <c r="G820" s="7"/>
    </row>
    <row r="821" ht="15.75" customHeight="1">
      <c r="A821" s="7"/>
      <c r="B821" s="7"/>
      <c r="C821" s="7"/>
      <c r="D821" s="7"/>
      <c r="E821" s="7"/>
      <c r="F821" s="7"/>
      <c r="G821" s="7"/>
    </row>
    <row r="822" ht="15.75" customHeight="1">
      <c r="A822" s="7"/>
      <c r="B822" s="7"/>
      <c r="C822" s="7"/>
      <c r="D822" s="7"/>
      <c r="E822" s="7"/>
      <c r="F822" s="7"/>
      <c r="G822" s="7"/>
    </row>
    <row r="823" ht="15.75" customHeight="1">
      <c r="A823" s="7"/>
      <c r="B823" s="7"/>
      <c r="C823" s="7"/>
      <c r="D823" s="7"/>
      <c r="E823" s="7"/>
      <c r="F823" s="7"/>
      <c r="G823" s="7"/>
    </row>
    <row r="824" ht="15.75" customHeight="1">
      <c r="A824" s="7"/>
      <c r="B824" s="7"/>
      <c r="C824" s="7"/>
      <c r="D824" s="7"/>
      <c r="E824" s="7"/>
      <c r="F824" s="7"/>
      <c r="G824" s="7"/>
    </row>
    <row r="825" ht="15.75" customHeight="1">
      <c r="A825" s="7"/>
      <c r="B825" s="7"/>
      <c r="C825" s="7"/>
      <c r="D825" s="7"/>
      <c r="E825" s="7"/>
      <c r="F825" s="7"/>
      <c r="G825" s="7"/>
    </row>
    <row r="826" ht="15.75" customHeight="1">
      <c r="A826" s="7"/>
      <c r="B826" s="7"/>
      <c r="C826" s="7"/>
      <c r="D826" s="7"/>
      <c r="E826" s="7"/>
      <c r="F826" s="7"/>
      <c r="G826" s="7"/>
    </row>
    <row r="827" ht="15.75" customHeight="1">
      <c r="A827" s="7"/>
      <c r="B827" s="7"/>
      <c r="C827" s="7"/>
      <c r="D827" s="7"/>
      <c r="E827" s="7"/>
      <c r="F827" s="7"/>
      <c r="G827" s="7"/>
    </row>
    <row r="828" ht="15.75" customHeight="1">
      <c r="A828" s="7"/>
      <c r="B828" s="7"/>
      <c r="C828" s="7"/>
      <c r="D828" s="7"/>
      <c r="E828" s="7"/>
      <c r="F828" s="7"/>
      <c r="G828" s="7"/>
    </row>
    <row r="829" ht="15.75" customHeight="1">
      <c r="A829" s="7"/>
      <c r="B829" s="7"/>
      <c r="C829" s="7"/>
      <c r="D829" s="7"/>
      <c r="E829" s="7"/>
      <c r="F829" s="7"/>
      <c r="G829" s="7"/>
    </row>
    <row r="830" ht="15.75" customHeight="1">
      <c r="A830" s="7"/>
      <c r="B830" s="7"/>
      <c r="C830" s="7"/>
      <c r="D830" s="7"/>
      <c r="E830" s="7"/>
      <c r="F830" s="7"/>
      <c r="G830" s="7"/>
    </row>
    <row r="831" ht="15.75" customHeight="1">
      <c r="A831" s="7"/>
      <c r="B831" s="7"/>
      <c r="C831" s="7"/>
      <c r="D831" s="7"/>
      <c r="E831" s="7"/>
      <c r="F831" s="7"/>
      <c r="G831" s="7"/>
    </row>
    <row r="832" ht="15.75" customHeight="1">
      <c r="A832" s="7"/>
      <c r="B832" s="7"/>
      <c r="C832" s="7"/>
      <c r="D832" s="7"/>
      <c r="E832" s="7"/>
      <c r="F832" s="7"/>
      <c r="G832" s="7"/>
    </row>
    <row r="833" ht="15.75" customHeight="1">
      <c r="A833" s="7"/>
      <c r="B833" s="7"/>
      <c r="C833" s="7"/>
      <c r="D833" s="7"/>
      <c r="E833" s="7"/>
      <c r="F833" s="7"/>
      <c r="G833" s="7"/>
    </row>
    <row r="834" ht="15.75" customHeight="1">
      <c r="A834" s="7"/>
      <c r="B834" s="7"/>
      <c r="C834" s="7"/>
      <c r="D834" s="7"/>
      <c r="E834" s="7"/>
      <c r="F834" s="7"/>
      <c r="G834" s="7"/>
    </row>
    <row r="835" ht="15.75" customHeight="1">
      <c r="A835" s="7"/>
      <c r="B835" s="7"/>
      <c r="C835" s="7"/>
      <c r="D835" s="7"/>
      <c r="E835" s="7"/>
      <c r="F835" s="7"/>
      <c r="G835" s="7"/>
    </row>
    <row r="836" ht="15.75" customHeight="1">
      <c r="A836" s="7"/>
      <c r="B836" s="7"/>
      <c r="C836" s="7"/>
      <c r="D836" s="7"/>
      <c r="E836" s="7"/>
      <c r="F836" s="7"/>
      <c r="G836" s="7"/>
    </row>
    <row r="837" ht="15.75" customHeight="1">
      <c r="A837" s="7"/>
      <c r="B837" s="7"/>
      <c r="C837" s="7"/>
      <c r="D837" s="7"/>
      <c r="E837" s="7"/>
      <c r="F837" s="7"/>
      <c r="G837" s="7"/>
    </row>
    <row r="838" ht="15.75" customHeight="1">
      <c r="A838" s="7"/>
      <c r="B838" s="7"/>
      <c r="C838" s="7"/>
      <c r="D838" s="7"/>
      <c r="E838" s="7"/>
      <c r="F838" s="7"/>
      <c r="G838" s="7"/>
    </row>
    <row r="839" ht="15.75" customHeight="1">
      <c r="A839" s="7"/>
      <c r="B839" s="7"/>
      <c r="C839" s="7"/>
      <c r="D839" s="7"/>
      <c r="E839" s="7"/>
      <c r="F839" s="7"/>
      <c r="G839" s="7"/>
    </row>
    <row r="840" ht="15.75" customHeight="1">
      <c r="A840" s="7"/>
      <c r="B840" s="7"/>
      <c r="C840" s="7"/>
      <c r="D840" s="7"/>
      <c r="E840" s="7"/>
      <c r="F840" s="7"/>
      <c r="G840" s="7"/>
    </row>
    <row r="841" ht="15.75" customHeight="1">
      <c r="A841" s="7"/>
      <c r="B841" s="7"/>
      <c r="C841" s="7"/>
      <c r="D841" s="7"/>
      <c r="E841" s="7"/>
      <c r="F841" s="7"/>
      <c r="G841" s="7"/>
    </row>
    <row r="842" ht="15.75" customHeight="1">
      <c r="A842" s="7"/>
      <c r="B842" s="7"/>
      <c r="C842" s="7"/>
      <c r="D842" s="7"/>
      <c r="E842" s="7"/>
      <c r="F842" s="7"/>
      <c r="G842" s="7"/>
    </row>
    <row r="843" ht="15.75" customHeight="1">
      <c r="A843" s="7"/>
      <c r="B843" s="7"/>
      <c r="C843" s="7"/>
      <c r="D843" s="7"/>
      <c r="E843" s="7"/>
      <c r="F843" s="7"/>
      <c r="G843" s="7"/>
    </row>
    <row r="844" ht="15.75" customHeight="1">
      <c r="A844" s="7"/>
      <c r="B844" s="7"/>
      <c r="C844" s="7"/>
      <c r="D844" s="7"/>
      <c r="E844" s="7"/>
      <c r="F844" s="7"/>
      <c r="G844" s="7"/>
    </row>
    <row r="845" ht="15.75" customHeight="1">
      <c r="A845" s="7"/>
      <c r="B845" s="7"/>
      <c r="C845" s="7"/>
      <c r="D845" s="7"/>
      <c r="E845" s="7"/>
      <c r="F845" s="7"/>
      <c r="G845" s="7"/>
    </row>
    <row r="846" ht="15.75" customHeight="1">
      <c r="A846" s="7"/>
      <c r="B846" s="7"/>
      <c r="C846" s="7"/>
      <c r="D846" s="7"/>
      <c r="E846" s="7"/>
      <c r="F846" s="7"/>
      <c r="G846" s="7"/>
    </row>
    <row r="847" ht="15.75" customHeight="1">
      <c r="A847" s="7"/>
      <c r="B847" s="7"/>
      <c r="C847" s="7"/>
      <c r="D847" s="7"/>
      <c r="E847" s="7"/>
      <c r="F847" s="7"/>
      <c r="G847" s="7"/>
    </row>
    <row r="848" ht="15.75" customHeight="1">
      <c r="A848" s="7"/>
      <c r="B848" s="7"/>
      <c r="C848" s="7"/>
      <c r="D848" s="7"/>
      <c r="E848" s="7"/>
      <c r="F848" s="7"/>
      <c r="G848" s="7"/>
    </row>
    <row r="849" ht="15.75" customHeight="1">
      <c r="A849" s="7"/>
      <c r="B849" s="7"/>
      <c r="C849" s="7"/>
      <c r="D849" s="7"/>
      <c r="E849" s="7"/>
      <c r="F849" s="7"/>
      <c r="G849" s="7"/>
    </row>
    <row r="850" ht="15.75" customHeight="1">
      <c r="A850" s="7"/>
      <c r="B850" s="7"/>
      <c r="C850" s="7"/>
      <c r="D850" s="7"/>
      <c r="E850" s="7"/>
      <c r="F850" s="7"/>
      <c r="G850" s="7"/>
    </row>
    <row r="851" ht="15.75" customHeight="1">
      <c r="A851" s="7"/>
      <c r="B851" s="7"/>
      <c r="C851" s="7"/>
      <c r="D851" s="7"/>
      <c r="E851" s="7"/>
      <c r="F851" s="7"/>
      <c r="G851" s="7"/>
    </row>
    <row r="852" ht="15.75" customHeight="1">
      <c r="A852" s="7"/>
      <c r="B852" s="7"/>
      <c r="C852" s="7"/>
      <c r="D852" s="7"/>
      <c r="E852" s="7"/>
      <c r="F852" s="7"/>
      <c r="G852" s="7"/>
    </row>
    <row r="853" ht="15.75" customHeight="1">
      <c r="A853" s="7"/>
      <c r="B853" s="7"/>
      <c r="C853" s="7"/>
      <c r="D853" s="7"/>
      <c r="E853" s="7"/>
      <c r="F853" s="7"/>
      <c r="G853" s="7"/>
    </row>
    <row r="854" ht="15.75" customHeight="1">
      <c r="A854" s="7"/>
      <c r="B854" s="7"/>
      <c r="C854" s="7"/>
      <c r="D854" s="7"/>
      <c r="E854" s="7"/>
      <c r="F854" s="7"/>
      <c r="G854" s="7"/>
    </row>
    <row r="855" ht="15.75" customHeight="1">
      <c r="A855" s="7"/>
      <c r="B855" s="7"/>
      <c r="C855" s="7"/>
      <c r="D855" s="7"/>
      <c r="E855" s="7"/>
      <c r="F855" s="7"/>
      <c r="G855" s="7"/>
    </row>
    <row r="856" ht="15.75" customHeight="1">
      <c r="A856" s="7"/>
      <c r="B856" s="7"/>
      <c r="C856" s="7"/>
      <c r="D856" s="7"/>
      <c r="E856" s="7"/>
      <c r="F856" s="7"/>
      <c r="G856" s="7"/>
    </row>
    <row r="857" ht="15.75" customHeight="1">
      <c r="A857" s="7"/>
      <c r="B857" s="7"/>
      <c r="C857" s="7"/>
      <c r="D857" s="7"/>
      <c r="E857" s="7"/>
      <c r="F857" s="7"/>
      <c r="G857" s="7"/>
    </row>
    <row r="858" ht="15.75" customHeight="1">
      <c r="A858" s="7"/>
      <c r="B858" s="7"/>
      <c r="C858" s="7"/>
      <c r="D858" s="7"/>
      <c r="E858" s="7"/>
      <c r="F858" s="7"/>
      <c r="G858" s="7"/>
    </row>
    <row r="859" ht="15.75" customHeight="1">
      <c r="A859" s="7"/>
      <c r="B859" s="7"/>
      <c r="C859" s="7"/>
      <c r="D859" s="7"/>
      <c r="E859" s="7"/>
      <c r="F859" s="7"/>
      <c r="G859" s="7"/>
    </row>
    <row r="860" ht="15.75" customHeight="1">
      <c r="A860" s="7"/>
      <c r="B860" s="7"/>
      <c r="C860" s="7"/>
      <c r="D860" s="7"/>
      <c r="E860" s="7"/>
      <c r="F860" s="7"/>
      <c r="G860" s="7"/>
    </row>
    <row r="861" ht="15.75" customHeight="1">
      <c r="A861" s="7"/>
      <c r="B861" s="7"/>
      <c r="C861" s="7"/>
      <c r="D861" s="7"/>
      <c r="E861" s="7"/>
      <c r="F861" s="7"/>
      <c r="G861" s="7"/>
    </row>
    <row r="862" ht="15.75" customHeight="1">
      <c r="A862" s="7"/>
      <c r="B862" s="7"/>
      <c r="C862" s="7"/>
      <c r="D862" s="7"/>
      <c r="E862" s="7"/>
      <c r="F862" s="7"/>
      <c r="G862" s="7"/>
    </row>
    <row r="863" ht="15.75" customHeight="1">
      <c r="A863" s="7"/>
      <c r="B863" s="7"/>
      <c r="C863" s="7"/>
      <c r="D863" s="7"/>
      <c r="E863" s="7"/>
      <c r="F863" s="7"/>
      <c r="G863" s="7"/>
    </row>
    <row r="864" ht="15.75" customHeight="1">
      <c r="A864" s="7"/>
      <c r="B864" s="7"/>
      <c r="C864" s="7"/>
      <c r="D864" s="7"/>
      <c r="E864" s="7"/>
      <c r="F864" s="7"/>
      <c r="G864" s="7"/>
    </row>
    <row r="865" ht="15.75" customHeight="1">
      <c r="A865" s="7"/>
      <c r="B865" s="7"/>
      <c r="C865" s="7"/>
      <c r="D865" s="7"/>
      <c r="E865" s="7"/>
      <c r="F865" s="7"/>
      <c r="G865" s="7"/>
    </row>
    <row r="866" ht="15.75" customHeight="1">
      <c r="A866" s="7"/>
      <c r="B866" s="7"/>
      <c r="C866" s="7"/>
      <c r="D866" s="7"/>
      <c r="E866" s="7"/>
      <c r="F866" s="7"/>
      <c r="G866" s="7"/>
    </row>
    <row r="867" ht="15.75" customHeight="1">
      <c r="A867" s="7"/>
      <c r="B867" s="7"/>
      <c r="C867" s="7"/>
      <c r="D867" s="7"/>
      <c r="E867" s="7"/>
      <c r="F867" s="7"/>
      <c r="G867" s="7"/>
    </row>
    <row r="868" ht="15.75" customHeight="1">
      <c r="A868" s="7"/>
      <c r="B868" s="7"/>
      <c r="C868" s="7"/>
      <c r="D868" s="7"/>
      <c r="E868" s="7"/>
      <c r="F868" s="7"/>
      <c r="G868" s="7"/>
    </row>
    <row r="869" ht="15.75" customHeight="1">
      <c r="A869" s="7"/>
      <c r="B869" s="7"/>
      <c r="C869" s="7"/>
      <c r="D869" s="7"/>
      <c r="E869" s="7"/>
      <c r="F869" s="7"/>
      <c r="G869" s="7"/>
    </row>
    <row r="870" ht="15.75" customHeight="1">
      <c r="A870" s="7"/>
      <c r="B870" s="7"/>
      <c r="C870" s="7"/>
      <c r="D870" s="7"/>
      <c r="E870" s="7"/>
      <c r="F870" s="7"/>
      <c r="G870" s="7"/>
    </row>
    <row r="871" ht="15.75" customHeight="1">
      <c r="A871" s="7"/>
      <c r="B871" s="7"/>
      <c r="C871" s="7"/>
      <c r="D871" s="7"/>
      <c r="E871" s="7"/>
      <c r="F871" s="7"/>
      <c r="G871" s="7"/>
    </row>
    <row r="872" ht="15.75" customHeight="1">
      <c r="A872" s="7"/>
      <c r="B872" s="7"/>
      <c r="C872" s="7"/>
      <c r="D872" s="7"/>
      <c r="E872" s="7"/>
      <c r="F872" s="7"/>
      <c r="G872" s="7"/>
    </row>
    <row r="873" ht="15.75" customHeight="1">
      <c r="A873" s="7"/>
      <c r="B873" s="7"/>
      <c r="C873" s="7"/>
      <c r="D873" s="7"/>
      <c r="E873" s="7"/>
      <c r="F873" s="7"/>
      <c r="G873" s="7"/>
    </row>
    <row r="874" ht="15.75" customHeight="1">
      <c r="A874" s="7"/>
      <c r="B874" s="7"/>
      <c r="C874" s="7"/>
      <c r="D874" s="7"/>
      <c r="E874" s="7"/>
      <c r="F874" s="7"/>
      <c r="G874" s="7"/>
    </row>
    <row r="875" ht="15.75" customHeight="1">
      <c r="A875" s="7"/>
      <c r="B875" s="7"/>
      <c r="C875" s="7"/>
      <c r="D875" s="7"/>
      <c r="E875" s="7"/>
      <c r="F875" s="7"/>
      <c r="G875" s="7"/>
    </row>
    <row r="876" ht="15.75" customHeight="1">
      <c r="A876" s="7"/>
      <c r="B876" s="7"/>
      <c r="C876" s="7"/>
      <c r="D876" s="7"/>
      <c r="E876" s="7"/>
      <c r="F876" s="7"/>
      <c r="G876" s="7"/>
    </row>
    <row r="877" ht="15.75" customHeight="1">
      <c r="A877" s="7"/>
      <c r="B877" s="7"/>
      <c r="C877" s="7"/>
      <c r="D877" s="7"/>
      <c r="E877" s="7"/>
      <c r="F877" s="7"/>
      <c r="G877" s="7"/>
    </row>
    <row r="878" ht="15.75" customHeight="1">
      <c r="A878" s="7"/>
      <c r="B878" s="7"/>
      <c r="C878" s="7"/>
      <c r="D878" s="7"/>
      <c r="E878" s="7"/>
      <c r="F878" s="7"/>
      <c r="G878" s="7"/>
    </row>
    <row r="879" ht="15.75" customHeight="1">
      <c r="A879" s="7"/>
      <c r="B879" s="7"/>
      <c r="C879" s="7"/>
      <c r="D879" s="7"/>
      <c r="E879" s="7"/>
      <c r="F879" s="7"/>
      <c r="G879" s="7"/>
    </row>
    <row r="880" ht="15.75" customHeight="1">
      <c r="A880" s="7"/>
      <c r="B880" s="7"/>
      <c r="C880" s="7"/>
      <c r="D880" s="7"/>
      <c r="E880" s="7"/>
      <c r="F880" s="7"/>
      <c r="G880" s="7"/>
    </row>
    <row r="881" ht="15.75" customHeight="1">
      <c r="A881" s="7"/>
      <c r="B881" s="7"/>
      <c r="C881" s="7"/>
      <c r="D881" s="7"/>
      <c r="E881" s="7"/>
      <c r="F881" s="7"/>
      <c r="G881" s="7"/>
    </row>
    <row r="882" ht="15.75" customHeight="1">
      <c r="A882" s="7"/>
      <c r="B882" s="7"/>
      <c r="C882" s="7"/>
      <c r="D882" s="7"/>
      <c r="E882" s="7"/>
      <c r="F882" s="7"/>
      <c r="G882" s="7"/>
    </row>
    <row r="883" ht="15.75" customHeight="1">
      <c r="A883" s="7"/>
      <c r="B883" s="7"/>
      <c r="C883" s="7"/>
      <c r="D883" s="7"/>
      <c r="E883" s="7"/>
      <c r="F883" s="7"/>
      <c r="G883" s="7"/>
    </row>
    <row r="884" ht="15.75" customHeight="1">
      <c r="A884" s="7"/>
      <c r="B884" s="7"/>
      <c r="C884" s="7"/>
      <c r="D884" s="7"/>
      <c r="E884" s="7"/>
      <c r="F884" s="7"/>
      <c r="G884" s="7"/>
    </row>
    <row r="885" ht="15.75" customHeight="1">
      <c r="A885" s="7"/>
      <c r="B885" s="7"/>
      <c r="C885" s="7"/>
      <c r="D885" s="7"/>
      <c r="E885" s="7"/>
      <c r="F885" s="7"/>
      <c r="G885" s="7"/>
    </row>
    <row r="886" ht="15.75" customHeight="1">
      <c r="A886" s="7"/>
      <c r="B886" s="7"/>
      <c r="C886" s="7"/>
      <c r="D886" s="7"/>
      <c r="E886" s="7"/>
      <c r="F886" s="7"/>
      <c r="G886" s="7"/>
    </row>
    <row r="887" ht="15.75" customHeight="1">
      <c r="A887" s="7"/>
      <c r="B887" s="7"/>
      <c r="C887" s="7"/>
      <c r="D887" s="7"/>
      <c r="E887" s="7"/>
      <c r="F887" s="7"/>
      <c r="G887" s="7"/>
    </row>
    <row r="888" ht="15.75" customHeight="1">
      <c r="A888" s="7"/>
      <c r="B888" s="7"/>
      <c r="C888" s="7"/>
      <c r="D888" s="7"/>
      <c r="E888" s="7"/>
      <c r="F888" s="7"/>
      <c r="G888" s="7"/>
    </row>
    <row r="889" ht="15.75" customHeight="1">
      <c r="A889" s="7"/>
      <c r="B889" s="7"/>
      <c r="C889" s="7"/>
      <c r="D889" s="7"/>
      <c r="E889" s="7"/>
      <c r="F889" s="7"/>
      <c r="G889" s="7"/>
    </row>
    <row r="890" ht="15.75" customHeight="1">
      <c r="A890" s="7"/>
      <c r="B890" s="7"/>
      <c r="C890" s="7"/>
      <c r="D890" s="7"/>
      <c r="E890" s="7"/>
      <c r="F890" s="7"/>
      <c r="G890" s="7"/>
    </row>
    <row r="891" ht="15.75" customHeight="1">
      <c r="A891" s="7"/>
      <c r="B891" s="7"/>
      <c r="C891" s="7"/>
      <c r="D891" s="7"/>
      <c r="E891" s="7"/>
      <c r="F891" s="7"/>
      <c r="G891" s="7"/>
    </row>
    <row r="892" ht="15.75" customHeight="1">
      <c r="A892" s="7"/>
      <c r="B892" s="7"/>
      <c r="C892" s="7"/>
      <c r="D892" s="7"/>
      <c r="E892" s="7"/>
      <c r="F892" s="7"/>
      <c r="G892" s="7"/>
    </row>
    <row r="893" ht="15.75" customHeight="1">
      <c r="A893" s="7"/>
      <c r="B893" s="7"/>
      <c r="C893" s="7"/>
      <c r="D893" s="7"/>
      <c r="E893" s="7"/>
      <c r="F893" s="7"/>
      <c r="G893" s="7"/>
    </row>
    <row r="894" ht="15.75" customHeight="1">
      <c r="A894" s="7"/>
      <c r="B894" s="7"/>
      <c r="C894" s="7"/>
      <c r="D894" s="7"/>
      <c r="E894" s="7"/>
      <c r="F894" s="7"/>
      <c r="G894" s="7"/>
    </row>
    <row r="895" ht="15.75" customHeight="1">
      <c r="A895" s="7"/>
      <c r="B895" s="7"/>
      <c r="C895" s="7"/>
      <c r="D895" s="7"/>
      <c r="E895" s="7"/>
      <c r="F895" s="7"/>
      <c r="G895" s="7"/>
    </row>
    <row r="896" ht="15.75" customHeight="1">
      <c r="A896" s="7"/>
      <c r="B896" s="7"/>
      <c r="C896" s="7"/>
      <c r="D896" s="7"/>
      <c r="E896" s="7"/>
      <c r="F896" s="7"/>
      <c r="G896" s="7"/>
    </row>
    <row r="897" ht="15.75" customHeight="1">
      <c r="A897" s="7"/>
      <c r="B897" s="7"/>
      <c r="C897" s="7"/>
      <c r="D897" s="7"/>
      <c r="E897" s="7"/>
      <c r="F897" s="7"/>
      <c r="G897" s="7"/>
    </row>
    <row r="898" ht="15.75" customHeight="1">
      <c r="A898" s="7"/>
      <c r="B898" s="7"/>
      <c r="C898" s="7"/>
      <c r="D898" s="7"/>
      <c r="E898" s="7"/>
      <c r="F898" s="7"/>
      <c r="G898" s="7"/>
    </row>
    <row r="899" ht="15.75" customHeight="1">
      <c r="A899" s="7"/>
      <c r="B899" s="7"/>
      <c r="C899" s="7"/>
      <c r="D899" s="7"/>
      <c r="E899" s="7"/>
      <c r="F899" s="7"/>
      <c r="G899" s="7"/>
    </row>
    <row r="900" ht="15.75" customHeight="1">
      <c r="A900" s="7"/>
      <c r="B900" s="7"/>
      <c r="C900" s="7"/>
      <c r="D900" s="7"/>
      <c r="E900" s="7"/>
      <c r="F900" s="7"/>
      <c r="G900" s="7"/>
    </row>
    <row r="901" ht="15.75" customHeight="1">
      <c r="A901" s="7"/>
      <c r="B901" s="7"/>
      <c r="C901" s="7"/>
      <c r="D901" s="7"/>
      <c r="E901" s="7"/>
      <c r="F901" s="7"/>
      <c r="G901" s="7"/>
    </row>
    <row r="902" ht="15.75" customHeight="1">
      <c r="A902" s="7"/>
      <c r="B902" s="7"/>
      <c r="C902" s="7"/>
      <c r="D902" s="7"/>
      <c r="E902" s="7"/>
      <c r="F902" s="7"/>
      <c r="G902" s="7"/>
    </row>
    <row r="903" ht="15.75" customHeight="1">
      <c r="A903" s="7"/>
      <c r="B903" s="7"/>
      <c r="C903" s="7"/>
      <c r="D903" s="7"/>
      <c r="E903" s="7"/>
      <c r="F903" s="7"/>
      <c r="G903" s="7"/>
    </row>
    <row r="904" ht="15.75" customHeight="1">
      <c r="A904" s="7"/>
      <c r="B904" s="7"/>
      <c r="C904" s="7"/>
      <c r="D904" s="7"/>
      <c r="E904" s="7"/>
      <c r="F904" s="7"/>
      <c r="G904" s="7"/>
    </row>
    <row r="905" ht="15.75" customHeight="1">
      <c r="A905" s="7"/>
      <c r="B905" s="7"/>
      <c r="C905" s="7"/>
      <c r="D905" s="7"/>
      <c r="E905" s="7"/>
      <c r="F905" s="7"/>
      <c r="G905" s="7"/>
    </row>
    <row r="906" ht="15.75" customHeight="1">
      <c r="A906" s="7"/>
      <c r="B906" s="7"/>
      <c r="C906" s="7"/>
      <c r="D906" s="7"/>
      <c r="E906" s="7"/>
      <c r="F906" s="7"/>
      <c r="G906" s="7"/>
    </row>
    <row r="907" ht="15.75" customHeight="1">
      <c r="A907" s="7"/>
      <c r="B907" s="7"/>
      <c r="C907" s="7"/>
      <c r="D907" s="7"/>
      <c r="E907" s="7"/>
      <c r="F907" s="7"/>
      <c r="G907" s="7"/>
    </row>
    <row r="908" ht="15.75" customHeight="1">
      <c r="A908" s="7"/>
      <c r="B908" s="7"/>
      <c r="C908" s="7"/>
      <c r="D908" s="7"/>
      <c r="E908" s="7"/>
      <c r="F908" s="7"/>
      <c r="G908" s="7"/>
    </row>
    <row r="909" ht="15.75" customHeight="1">
      <c r="A909" s="7"/>
      <c r="B909" s="7"/>
      <c r="C909" s="7"/>
      <c r="D909" s="7"/>
      <c r="E909" s="7"/>
      <c r="F909" s="7"/>
      <c r="G909" s="7"/>
    </row>
    <row r="910" ht="15.75" customHeight="1">
      <c r="A910" s="7"/>
      <c r="B910" s="7"/>
      <c r="C910" s="7"/>
      <c r="D910" s="7"/>
      <c r="E910" s="7"/>
      <c r="F910" s="7"/>
      <c r="G910" s="7"/>
    </row>
    <row r="911" ht="15.75" customHeight="1">
      <c r="A911" s="7"/>
      <c r="B911" s="7"/>
      <c r="C911" s="7"/>
      <c r="D911" s="7"/>
      <c r="E911" s="7"/>
      <c r="F911" s="7"/>
      <c r="G911" s="7"/>
    </row>
    <row r="912" ht="15.75" customHeight="1">
      <c r="A912" s="7"/>
      <c r="B912" s="7"/>
      <c r="C912" s="7"/>
      <c r="D912" s="7"/>
      <c r="E912" s="7"/>
      <c r="F912" s="7"/>
      <c r="G912" s="7"/>
    </row>
    <row r="913" ht="15.75" customHeight="1">
      <c r="A913" s="7"/>
      <c r="B913" s="7"/>
      <c r="C913" s="7"/>
      <c r="D913" s="7"/>
      <c r="E913" s="7"/>
      <c r="F913" s="7"/>
      <c r="G913" s="7"/>
    </row>
    <row r="914" ht="15.75" customHeight="1">
      <c r="A914" s="7"/>
      <c r="B914" s="7"/>
      <c r="C914" s="7"/>
      <c r="D914" s="7"/>
      <c r="E914" s="7"/>
      <c r="F914" s="7"/>
      <c r="G914" s="7"/>
    </row>
    <row r="915" ht="15.75" customHeight="1">
      <c r="A915" s="7"/>
      <c r="B915" s="7"/>
      <c r="C915" s="7"/>
      <c r="D915" s="7"/>
      <c r="E915" s="7"/>
      <c r="F915" s="7"/>
      <c r="G915" s="7"/>
    </row>
    <row r="916" ht="15.75" customHeight="1">
      <c r="A916" s="7"/>
      <c r="B916" s="7"/>
      <c r="C916" s="7"/>
      <c r="D916" s="7"/>
      <c r="E916" s="7"/>
      <c r="F916" s="7"/>
      <c r="G916" s="7"/>
    </row>
    <row r="917" ht="15.75" customHeight="1">
      <c r="A917" s="7"/>
      <c r="B917" s="7"/>
      <c r="C917" s="7"/>
      <c r="D917" s="7"/>
      <c r="E917" s="7"/>
      <c r="F917" s="7"/>
      <c r="G917" s="7"/>
    </row>
    <row r="918" ht="15.75" customHeight="1">
      <c r="A918" s="7"/>
      <c r="B918" s="7"/>
      <c r="C918" s="7"/>
      <c r="D918" s="7"/>
      <c r="E918" s="7"/>
      <c r="F918" s="7"/>
      <c r="G918" s="7"/>
    </row>
    <row r="919" ht="15.75" customHeight="1">
      <c r="A919" s="7"/>
      <c r="B919" s="7"/>
      <c r="C919" s="7"/>
      <c r="D919" s="7"/>
      <c r="E919" s="7"/>
      <c r="F919" s="7"/>
      <c r="G919" s="7"/>
    </row>
    <row r="920" ht="15.75" customHeight="1">
      <c r="A920" s="7"/>
      <c r="B920" s="7"/>
      <c r="C920" s="7"/>
      <c r="D920" s="7"/>
      <c r="E920" s="7"/>
      <c r="F920" s="7"/>
      <c r="G920" s="7"/>
    </row>
    <row r="921" ht="15.75" customHeight="1">
      <c r="A921" s="7"/>
      <c r="B921" s="7"/>
      <c r="C921" s="7"/>
      <c r="D921" s="7"/>
      <c r="E921" s="7"/>
      <c r="F921" s="7"/>
      <c r="G921" s="7"/>
    </row>
    <row r="922" ht="15.75" customHeight="1">
      <c r="A922" s="7"/>
      <c r="B922" s="7"/>
      <c r="C922" s="7"/>
      <c r="D922" s="7"/>
      <c r="E922" s="7"/>
      <c r="F922" s="7"/>
      <c r="G922" s="7"/>
    </row>
    <row r="923" ht="15.75" customHeight="1">
      <c r="A923" s="7"/>
      <c r="B923" s="7"/>
      <c r="C923" s="7"/>
      <c r="D923" s="7"/>
      <c r="E923" s="7"/>
      <c r="F923" s="7"/>
      <c r="G923" s="7"/>
    </row>
    <row r="924" ht="15.75" customHeight="1">
      <c r="A924" s="7"/>
      <c r="B924" s="7"/>
      <c r="C924" s="7"/>
      <c r="D924" s="7"/>
      <c r="E924" s="7"/>
      <c r="F924" s="7"/>
      <c r="G924" s="7"/>
    </row>
    <row r="925" ht="15.75" customHeight="1">
      <c r="A925" s="7"/>
      <c r="B925" s="7"/>
      <c r="C925" s="7"/>
      <c r="D925" s="7"/>
      <c r="E925" s="7"/>
      <c r="F925" s="7"/>
      <c r="G925" s="7"/>
    </row>
    <row r="926" ht="15.75" customHeight="1">
      <c r="A926" s="7"/>
      <c r="B926" s="7"/>
      <c r="C926" s="7"/>
      <c r="D926" s="7"/>
      <c r="E926" s="7"/>
      <c r="F926" s="7"/>
      <c r="G926" s="7"/>
    </row>
    <row r="927" ht="15.75" customHeight="1">
      <c r="A927" s="7"/>
      <c r="B927" s="7"/>
      <c r="C927" s="7"/>
      <c r="D927" s="7"/>
      <c r="E927" s="7"/>
      <c r="F927" s="7"/>
      <c r="G927" s="7"/>
    </row>
    <row r="928" ht="15.75" customHeight="1">
      <c r="A928" s="7"/>
      <c r="B928" s="7"/>
      <c r="C928" s="7"/>
      <c r="D928" s="7"/>
      <c r="E928" s="7"/>
      <c r="F928" s="7"/>
      <c r="G928" s="7"/>
    </row>
    <row r="929" ht="15.75" customHeight="1">
      <c r="A929" s="7"/>
      <c r="B929" s="7"/>
      <c r="C929" s="7"/>
      <c r="D929" s="7"/>
      <c r="E929" s="7"/>
      <c r="F929" s="7"/>
      <c r="G929" s="7"/>
    </row>
    <row r="930" ht="15.75" customHeight="1">
      <c r="A930" s="7"/>
      <c r="B930" s="7"/>
      <c r="C930" s="7"/>
      <c r="D930" s="7"/>
      <c r="E930" s="7"/>
      <c r="F930" s="7"/>
      <c r="G930" s="7"/>
    </row>
    <row r="931" ht="15.75" customHeight="1">
      <c r="A931" s="7"/>
      <c r="B931" s="7"/>
      <c r="C931" s="7"/>
      <c r="D931" s="7"/>
      <c r="E931" s="7"/>
      <c r="F931" s="7"/>
      <c r="G931" s="7"/>
    </row>
    <row r="932" ht="15.75" customHeight="1">
      <c r="A932" s="7"/>
      <c r="B932" s="7"/>
      <c r="C932" s="7"/>
      <c r="D932" s="7"/>
      <c r="E932" s="7"/>
      <c r="F932" s="7"/>
      <c r="G932" s="7"/>
    </row>
    <row r="933" ht="15.75" customHeight="1">
      <c r="A933" s="7"/>
      <c r="B933" s="7"/>
      <c r="C933" s="7"/>
      <c r="D933" s="7"/>
      <c r="E933" s="7"/>
      <c r="F933" s="7"/>
      <c r="G933" s="7"/>
    </row>
    <row r="934" ht="15.75" customHeight="1">
      <c r="A934" s="7"/>
      <c r="B934" s="7"/>
      <c r="C934" s="7"/>
      <c r="D934" s="7"/>
      <c r="E934" s="7"/>
      <c r="F934" s="7"/>
      <c r="G934" s="7"/>
    </row>
    <row r="935" ht="15.75" customHeight="1">
      <c r="A935" s="7"/>
      <c r="B935" s="7"/>
      <c r="C935" s="7"/>
      <c r="D935" s="7"/>
      <c r="E935" s="7"/>
      <c r="F935" s="7"/>
      <c r="G935" s="7"/>
    </row>
    <row r="936" ht="15.75" customHeight="1">
      <c r="A936" s="7"/>
      <c r="B936" s="7"/>
      <c r="C936" s="7"/>
      <c r="D936" s="7"/>
      <c r="E936" s="7"/>
      <c r="F936" s="7"/>
      <c r="G936" s="7"/>
    </row>
    <row r="937" ht="15.75" customHeight="1">
      <c r="A937" s="7"/>
      <c r="B937" s="7"/>
      <c r="C937" s="7"/>
      <c r="D937" s="7"/>
      <c r="E937" s="7"/>
      <c r="F937" s="7"/>
      <c r="G937" s="7"/>
    </row>
    <row r="938" ht="15.75" customHeight="1">
      <c r="A938" s="7"/>
      <c r="B938" s="7"/>
      <c r="C938" s="7"/>
      <c r="D938" s="7"/>
      <c r="E938" s="7"/>
      <c r="F938" s="7"/>
      <c r="G938" s="7"/>
    </row>
    <row r="939" ht="15.75" customHeight="1">
      <c r="A939" s="7"/>
      <c r="B939" s="7"/>
      <c r="C939" s="7"/>
      <c r="D939" s="7"/>
      <c r="E939" s="7"/>
      <c r="F939" s="7"/>
      <c r="G939" s="7"/>
    </row>
    <row r="940" ht="15.75" customHeight="1">
      <c r="A940" s="7"/>
      <c r="B940" s="7"/>
      <c r="C940" s="7"/>
      <c r="D940" s="7"/>
      <c r="E940" s="7"/>
      <c r="F940" s="7"/>
      <c r="G940" s="7"/>
    </row>
    <row r="941" ht="15.75" customHeight="1">
      <c r="A941" s="7"/>
      <c r="B941" s="7"/>
      <c r="C941" s="7"/>
      <c r="D941" s="7"/>
      <c r="E941" s="7"/>
      <c r="F941" s="7"/>
      <c r="G941" s="7"/>
    </row>
    <row r="942" ht="15.75" customHeight="1">
      <c r="A942" s="7"/>
      <c r="B942" s="7"/>
      <c r="C942" s="7"/>
      <c r="D942" s="7"/>
      <c r="E942" s="7"/>
      <c r="F942" s="7"/>
      <c r="G942" s="7"/>
    </row>
    <row r="943" ht="15.75" customHeight="1">
      <c r="A943" s="7"/>
      <c r="B943" s="7"/>
      <c r="C943" s="7"/>
      <c r="D943" s="7"/>
      <c r="E943" s="7"/>
      <c r="F943" s="7"/>
      <c r="G943" s="7"/>
    </row>
    <row r="944" ht="15.75" customHeight="1">
      <c r="A944" s="7"/>
      <c r="B944" s="7"/>
      <c r="C944" s="7"/>
      <c r="D944" s="7"/>
      <c r="E944" s="7"/>
      <c r="F944" s="7"/>
      <c r="G944" s="7"/>
    </row>
    <row r="945" ht="15.75" customHeight="1">
      <c r="A945" s="7"/>
      <c r="B945" s="7"/>
      <c r="C945" s="7"/>
      <c r="D945" s="7"/>
      <c r="E945" s="7"/>
      <c r="F945" s="7"/>
      <c r="G945" s="7"/>
    </row>
    <row r="946" ht="15.75" customHeight="1">
      <c r="A946" s="7"/>
      <c r="B946" s="7"/>
      <c r="C946" s="7"/>
      <c r="D946" s="7"/>
      <c r="E946" s="7"/>
      <c r="F946" s="7"/>
      <c r="G946" s="7"/>
    </row>
    <row r="947" ht="15.75" customHeight="1">
      <c r="A947" s="7"/>
      <c r="B947" s="7"/>
      <c r="C947" s="7"/>
      <c r="D947" s="7"/>
      <c r="E947" s="7"/>
      <c r="F947" s="7"/>
      <c r="G947" s="7"/>
    </row>
    <row r="948" ht="15.75" customHeight="1">
      <c r="A948" s="7"/>
      <c r="B948" s="7"/>
      <c r="C948" s="7"/>
      <c r="D948" s="7"/>
      <c r="E948" s="7"/>
      <c r="F948" s="7"/>
      <c r="G948" s="7"/>
    </row>
    <row r="949" ht="15.75" customHeight="1">
      <c r="A949" s="7"/>
      <c r="B949" s="7"/>
      <c r="C949" s="7"/>
      <c r="D949" s="7"/>
      <c r="E949" s="7"/>
      <c r="F949" s="7"/>
      <c r="G949" s="7"/>
    </row>
    <row r="950" ht="15.75" customHeight="1">
      <c r="A950" s="7"/>
      <c r="B950" s="7"/>
      <c r="C950" s="7"/>
      <c r="D950" s="7"/>
      <c r="E950" s="7"/>
      <c r="F950" s="7"/>
      <c r="G950" s="7"/>
    </row>
    <row r="951" ht="15.75" customHeight="1">
      <c r="A951" s="7"/>
      <c r="B951" s="7"/>
      <c r="C951" s="7"/>
      <c r="D951" s="7"/>
      <c r="E951" s="7"/>
      <c r="F951" s="7"/>
      <c r="G951" s="7"/>
    </row>
    <row r="952" ht="15.75" customHeight="1">
      <c r="A952" s="7"/>
      <c r="B952" s="7"/>
      <c r="C952" s="7"/>
      <c r="D952" s="7"/>
      <c r="E952" s="7"/>
      <c r="F952" s="7"/>
      <c r="G952" s="7"/>
    </row>
    <row r="953" ht="15.75" customHeight="1">
      <c r="A953" s="7"/>
      <c r="B953" s="7"/>
      <c r="C953" s="7"/>
      <c r="D953" s="7"/>
      <c r="E953" s="7"/>
      <c r="F953" s="7"/>
      <c r="G953" s="7"/>
    </row>
    <row r="954" ht="15.75" customHeight="1">
      <c r="A954" s="7"/>
      <c r="B954" s="7"/>
      <c r="C954" s="7"/>
      <c r="D954" s="7"/>
      <c r="E954" s="7"/>
      <c r="F954" s="7"/>
      <c r="G954" s="7"/>
    </row>
    <row r="955" ht="15.75" customHeight="1">
      <c r="A955" s="7"/>
      <c r="B955" s="7"/>
      <c r="C955" s="7"/>
      <c r="D955" s="7"/>
      <c r="E955" s="7"/>
      <c r="F955" s="7"/>
      <c r="G955" s="7"/>
    </row>
    <row r="956" ht="15.75" customHeight="1">
      <c r="A956" s="7"/>
      <c r="B956" s="7"/>
      <c r="C956" s="7"/>
      <c r="D956" s="7"/>
      <c r="E956" s="7"/>
      <c r="F956" s="7"/>
      <c r="G956" s="7"/>
    </row>
    <row r="957" ht="15.75" customHeight="1">
      <c r="A957" s="7"/>
      <c r="B957" s="7"/>
      <c r="C957" s="7"/>
      <c r="D957" s="7"/>
      <c r="E957" s="7"/>
      <c r="F957" s="7"/>
      <c r="G957" s="7"/>
    </row>
    <row r="958" ht="15.75" customHeight="1">
      <c r="A958" s="7"/>
      <c r="B958" s="7"/>
      <c r="C958" s="7"/>
      <c r="D958" s="7"/>
      <c r="E958" s="7"/>
      <c r="F958" s="7"/>
      <c r="G958" s="7"/>
    </row>
    <row r="959" ht="15.75" customHeight="1">
      <c r="A959" s="7"/>
      <c r="B959" s="7"/>
      <c r="C959" s="7"/>
      <c r="D959" s="7"/>
      <c r="E959" s="7"/>
      <c r="F959" s="7"/>
      <c r="G959" s="7"/>
    </row>
    <row r="960" ht="15.75" customHeight="1">
      <c r="A960" s="7"/>
      <c r="B960" s="7"/>
      <c r="C960" s="7"/>
      <c r="D960" s="7"/>
      <c r="E960" s="7"/>
      <c r="F960" s="7"/>
      <c r="G960" s="7"/>
    </row>
    <row r="961" ht="15.75" customHeight="1">
      <c r="A961" s="7"/>
      <c r="B961" s="7"/>
      <c r="C961" s="7"/>
      <c r="D961" s="7"/>
      <c r="E961" s="7"/>
      <c r="F961" s="7"/>
      <c r="G961" s="7"/>
    </row>
    <row r="962" ht="15.75" customHeight="1">
      <c r="A962" s="7"/>
      <c r="B962" s="7"/>
      <c r="C962" s="7"/>
      <c r="D962" s="7"/>
      <c r="E962" s="7"/>
      <c r="F962" s="7"/>
      <c r="G962" s="7"/>
    </row>
    <row r="963" ht="15.75" customHeight="1">
      <c r="A963" s="7"/>
      <c r="B963" s="7"/>
      <c r="C963" s="7"/>
      <c r="D963" s="7"/>
      <c r="E963" s="7"/>
      <c r="F963" s="7"/>
      <c r="G963" s="7"/>
    </row>
    <row r="964" ht="15.75" customHeight="1">
      <c r="A964" s="7"/>
      <c r="B964" s="7"/>
      <c r="C964" s="7"/>
      <c r="D964" s="7"/>
      <c r="E964" s="7"/>
      <c r="F964" s="7"/>
      <c r="G964" s="7"/>
    </row>
    <row r="965" ht="15.75" customHeight="1">
      <c r="A965" s="7"/>
      <c r="B965" s="7"/>
      <c r="C965" s="7"/>
      <c r="D965" s="7"/>
      <c r="E965" s="7"/>
      <c r="F965" s="7"/>
      <c r="G965" s="7"/>
    </row>
    <row r="966" ht="15.75" customHeight="1">
      <c r="A966" s="7"/>
      <c r="B966" s="7"/>
      <c r="C966" s="7"/>
      <c r="D966" s="7"/>
      <c r="E966" s="7"/>
      <c r="F966" s="7"/>
      <c r="G966" s="7"/>
    </row>
    <row r="967" ht="15.75" customHeight="1">
      <c r="A967" s="7"/>
      <c r="B967" s="7"/>
      <c r="C967" s="7"/>
      <c r="D967" s="7"/>
      <c r="E967" s="7"/>
      <c r="F967" s="7"/>
      <c r="G967" s="7"/>
    </row>
    <row r="968" ht="15.75" customHeight="1">
      <c r="A968" s="7"/>
      <c r="B968" s="7"/>
      <c r="C968" s="7"/>
      <c r="D968" s="7"/>
      <c r="E968" s="7"/>
      <c r="F968" s="7"/>
      <c r="G968" s="7"/>
    </row>
    <row r="969" ht="15.75" customHeight="1">
      <c r="A969" s="7"/>
      <c r="B969" s="7"/>
      <c r="C969" s="7"/>
      <c r="D969" s="7"/>
      <c r="E969" s="7"/>
      <c r="F969" s="7"/>
      <c r="G969" s="7"/>
    </row>
    <row r="970" ht="15.75" customHeight="1">
      <c r="A970" s="7"/>
      <c r="B970" s="7"/>
      <c r="C970" s="7"/>
      <c r="D970" s="7"/>
      <c r="E970" s="7"/>
      <c r="F970" s="7"/>
      <c r="G970" s="7"/>
    </row>
    <row r="971" ht="15.75" customHeight="1">
      <c r="A971" s="7"/>
      <c r="B971" s="7"/>
      <c r="C971" s="7"/>
      <c r="D971" s="7"/>
      <c r="E971" s="7"/>
      <c r="F971" s="7"/>
      <c r="G971" s="7"/>
    </row>
    <row r="972" ht="15.75" customHeight="1">
      <c r="A972" s="7"/>
      <c r="B972" s="7"/>
      <c r="C972" s="7"/>
      <c r="D972" s="7"/>
      <c r="E972" s="7"/>
      <c r="F972" s="7"/>
      <c r="G972" s="7"/>
    </row>
    <row r="973" ht="15.75" customHeight="1">
      <c r="A973" s="7"/>
      <c r="B973" s="7"/>
      <c r="C973" s="7"/>
      <c r="D973" s="7"/>
      <c r="E973" s="7"/>
      <c r="F973" s="7"/>
      <c r="G973" s="7"/>
    </row>
    <row r="974" ht="15.75" customHeight="1">
      <c r="A974" s="7"/>
      <c r="B974" s="7"/>
      <c r="C974" s="7"/>
      <c r="D974" s="7"/>
      <c r="E974" s="7"/>
      <c r="F974" s="7"/>
      <c r="G974" s="7"/>
    </row>
    <row r="975" ht="15.75" customHeight="1">
      <c r="A975" s="7"/>
      <c r="B975" s="7"/>
      <c r="C975" s="7"/>
      <c r="D975" s="7"/>
      <c r="E975" s="7"/>
      <c r="F975" s="7"/>
      <c r="G975" s="7"/>
    </row>
    <row r="976" ht="15.75" customHeight="1">
      <c r="A976" s="7"/>
      <c r="B976" s="7"/>
      <c r="C976" s="7"/>
      <c r="D976" s="7"/>
      <c r="E976" s="7"/>
      <c r="F976" s="7"/>
      <c r="G976" s="7"/>
    </row>
    <row r="977" ht="15.75" customHeight="1">
      <c r="A977" s="7"/>
      <c r="B977" s="7"/>
      <c r="C977" s="7"/>
      <c r="D977" s="7"/>
      <c r="E977" s="7"/>
      <c r="F977" s="7"/>
      <c r="G977" s="7"/>
    </row>
    <row r="978" ht="15.75" customHeight="1">
      <c r="A978" s="7"/>
      <c r="B978" s="7"/>
      <c r="C978" s="7"/>
      <c r="D978" s="7"/>
      <c r="E978" s="7"/>
      <c r="F978" s="7"/>
      <c r="G978" s="7"/>
    </row>
    <row r="979" ht="15.75" customHeight="1">
      <c r="A979" s="7"/>
      <c r="B979" s="7"/>
      <c r="C979" s="7"/>
      <c r="D979" s="7"/>
      <c r="E979" s="7"/>
      <c r="F979" s="7"/>
      <c r="G979" s="7"/>
    </row>
    <row r="980" ht="15.75" customHeight="1">
      <c r="A980" s="7"/>
      <c r="B980" s="7"/>
      <c r="C980" s="7"/>
      <c r="D980" s="7"/>
      <c r="E980" s="7"/>
      <c r="F980" s="7"/>
      <c r="G980" s="7"/>
    </row>
    <row r="981" ht="15.75" customHeight="1">
      <c r="A981" s="7"/>
      <c r="B981" s="7"/>
      <c r="C981" s="7"/>
      <c r="D981" s="7"/>
      <c r="E981" s="7"/>
      <c r="F981" s="7"/>
      <c r="G981" s="7"/>
    </row>
    <row r="982" ht="15.75" customHeight="1">
      <c r="A982" s="7"/>
      <c r="B982" s="7"/>
      <c r="C982" s="7"/>
      <c r="D982" s="7"/>
      <c r="E982" s="7"/>
      <c r="F982" s="7"/>
      <c r="G982" s="7"/>
    </row>
    <row r="983" ht="15.75" customHeight="1">
      <c r="A983" s="7"/>
      <c r="B983" s="7"/>
      <c r="C983" s="7"/>
      <c r="D983" s="7"/>
      <c r="E983" s="7"/>
      <c r="F983" s="7"/>
      <c r="G983" s="7"/>
    </row>
    <row r="984" ht="15.75" customHeight="1">
      <c r="A984" s="7"/>
      <c r="B984" s="7"/>
      <c r="C984" s="7"/>
      <c r="D984" s="7"/>
      <c r="E984" s="7"/>
      <c r="F984" s="7"/>
      <c r="G984" s="7"/>
    </row>
    <row r="985" ht="15.75" customHeight="1">
      <c r="A985" s="7"/>
      <c r="B985" s="7"/>
      <c r="C985" s="7"/>
      <c r="D985" s="7"/>
      <c r="E985" s="7"/>
      <c r="F985" s="7"/>
      <c r="G985" s="7"/>
    </row>
    <row r="986" ht="15.75" customHeight="1">
      <c r="A986" s="7"/>
      <c r="B986" s="7"/>
      <c r="C986" s="7"/>
      <c r="D986" s="7"/>
      <c r="E986" s="7"/>
      <c r="F986" s="7"/>
      <c r="G986" s="7"/>
    </row>
    <row r="987" ht="15.75" customHeight="1">
      <c r="A987" s="7"/>
      <c r="B987" s="7"/>
      <c r="C987" s="7"/>
      <c r="D987" s="7"/>
      <c r="E987" s="7"/>
      <c r="F987" s="7"/>
      <c r="G987" s="7"/>
    </row>
    <row r="988" ht="15.75" customHeight="1">
      <c r="A988" s="7"/>
      <c r="B988" s="7"/>
      <c r="C988" s="7"/>
      <c r="D988" s="7"/>
      <c r="E988" s="7"/>
      <c r="F988" s="7"/>
      <c r="G988" s="7"/>
    </row>
    <row r="989" ht="15.75" customHeight="1">
      <c r="A989" s="7"/>
      <c r="B989" s="7"/>
      <c r="C989" s="7"/>
      <c r="D989" s="7"/>
      <c r="E989" s="7"/>
      <c r="F989" s="7"/>
      <c r="G989" s="7"/>
    </row>
    <row r="990" ht="15.75" customHeight="1">
      <c r="A990" s="7"/>
      <c r="B990" s="7"/>
      <c r="C990" s="7"/>
      <c r="D990" s="7"/>
      <c r="E990" s="7"/>
      <c r="F990" s="7"/>
      <c r="G990" s="7"/>
    </row>
    <row r="991" ht="15.75" customHeight="1">
      <c r="A991" s="7"/>
      <c r="B991" s="7"/>
      <c r="C991" s="7"/>
      <c r="D991" s="7"/>
      <c r="E991" s="7"/>
      <c r="F991" s="7"/>
      <c r="G991" s="7"/>
    </row>
    <row r="992" ht="15.75" customHeight="1">
      <c r="A992" s="7"/>
      <c r="B992" s="7"/>
      <c r="C992" s="7"/>
      <c r="D992" s="7"/>
      <c r="E992" s="7"/>
      <c r="F992" s="7"/>
      <c r="G992" s="7"/>
    </row>
    <row r="993" ht="15.75" customHeight="1">
      <c r="A993" s="7"/>
      <c r="B993" s="7"/>
      <c r="C993" s="7"/>
      <c r="D993" s="7"/>
      <c r="E993" s="7"/>
      <c r="F993" s="7"/>
      <c r="G993" s="7"/>
    </row>
    <row r="994" ht="15.75" customHeight="1">
      <c r="A994" s="7"/>
      <c r="B994" s="7"/>
      <c r="C994" s="7"/>
      <c r="D994" s="7"/>
      <c r="E994" s="7"/>
      <c r="F994" s="7"/>
      <c r="G994" s="7"/>
    </row>
    <row r="995" ht="15.75" customHeight="1">
      <c r="A995" s="7"/>
      <c r="B995" s="7"/>
      <c r="C995" s="7"/>
      <c r="D995" s="7"/>
      <c r="E995" s="7"/>
      <c r="F995" s="7"/>
      <c r="G995" s="7"/>
    </row>
    <row r="996" ht="15.75" customHeight="1">
      <c r="A996" s="7"/>
      <c r="B996" s="7"/>
      <c r="C996" s="7"/>
      <c r="D996" s="7"/>
      <c r="E996" s="7"/>
      <c r="F996" s="7"/>
      <c r="G996" s="7"/>
    </row>
    <row r="997" ht="15.75" customHeight="1">
      <c r="A997" s="7"/>
      <c r="B997" s="7"/>
      <c r="C997" s="7"/>
      <c r="D997" s="7"/>
      <c r="E997" s="7"/>
      <c r="F997" s="7"/>
      <c r="G997" s="7"/>
    </row>
    <row r="998" ht="15.75" customHeight="1">
      <c r="A998" s="7"/>
      <c r="B998" s="7"/>
      <c r="C998" s="7"/>
      <c r="D998" s="7"/>
      <c r="E998" s="7"/>
      <c r="F998" s="7"/>
      <c r="G998" s="7"/>
    </row>
    <row r="999" ht="15.75" customHeight="1">
      <c r="A999" s="7"/>
      <c r="B999" s="7"/>
      <c r="C999" s="7"/>
      <c r="D999" s="7"/>
      <c r="E999" s="7"/>
      <c r="F999" s="7"/>
      <c r="G999" s="7"/>
    </row>
    <row r="1000" ht="15.75" customHeight="1">
      <c r="A1000" s="7"/>
      <c r="B1000" s="7"/>
      <c r="C1000" s="7"/>
      <c r="D1000" s="7"/>
      <c r="E1000" s="7"/>
      <c r="F1000" s="7"/>
      <c r="G1000" s="7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8" t="s">
        <v>148</v>
      </c>
      <c r="B1" s="11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99" t="s">
        <v>149</v>
      </c>
      <c r="B3" s="1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32" t="s">
        <v>150</v>
      </c>
      <c r="B4" s="100">
        <f>COUNTA(Roster!A5:A204)</f>
        <v>36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1.75" customHeight="1">
      <c r="A5" s="32" t="s">
        <v>151</v>
      </c>
      <c r="B5" s="100">
        <f>COUNTIF(Roster!E5:E204,"Active")</f>
        <v>36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32" t="s">
        <v>152</v>
      </c>
      <c r="B6" s="100">
        <f>COUNTIF(Roster!D5:D204,"Coach")+COUNTIF(Roster!D5:D204,"Treasurer")</f>
        <v>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1.75" customHeight="1">
      <c r="A7" s="32" t="s">
        <v>153</v>
      </c>
      <c r="B7" s="100">
        <f>COUNTIF(Roster!D5:D204,"Captain")</f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1.7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1.75" customHeight="1">
      <c r="A9" s="99" t="s">
        <v>154</v>
      </c>
      <c r="B9" s="11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1.75" customHeight="1">
      <c r="A10" s="32" t="s">
        <v>155</v>
      </c>
      <c r="B10" s="101">
        <f>SUMIF(Roster!E5:E204,"Active",Roster!B5:B204)</f>
        <v>0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1.75" customHeight="1">
      <c r="A11" s="32" t="s">
        <v>156</v>
      </c>
      <c r="B11" s="101">
        <f>SUMIFS(Transactions!F7:F991,Transactions!D7:D991,"Income",Transactions!C7:C991,"Dues")</f>
        <v>3082.33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1.75" customHeight="1">
      <c r="A12" s="32" t="s">
        <v>157</v>
      </c>
      <c r="B12" s="101">
        <f>B10-B11</f>
        <v>-3082.33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1.75" customHeight="1">
      <c r="A13" s="32" t="s">
        <v>158</v>
      </c>
      <c r="B13" s="101">
        <f>Transactions!A4</f>
        <v>5191.33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21.75" customHeight="1">
      <c r="A14" s="32" t="s">
        <v>159</v>
      </c>
      <c r="B14" s="101">
        <f>Transactions!B4</f>
        <v>12167.63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21.75" customHeight="1">
      <c r="A15" s="32" t="s">
        <v>13</v>
      </c>
      <c r="B15" s="101">
        <f>Transactions!C4</f>
        <v>-6976.3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21.75" customHeight="1">
      <c r="A16" s="32" t="s">
        <v>160</v>
      </c>
      <c r="B16" s="101">
        <f>Transactions!E4</f>
        <v>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21.75" customHeight="1">
      <c r="A18" s="99" t="s">
        <v>161</v>
      </c>
      <c r="B18" s="11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21.75" customHeight="1">
      <c r="A19" s="32" t="s">
        <v>162</v>
      </c>
      <c r="B19" s="100">
        <f>COUNTA(Events!A5:A505)</f>
        <v>8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21.75" customHeight="1">
      <c r="A20" s="32" t="s">
        <v>163</v>
      </c>
      <c r="B20" s="100">
        <f>COUNTIF(Events!D5:D505,"Practice")</f>
        <v>1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21.75" customHeight="1">
      <c r="A21" s="32" t="s">
        <v>164</v>
      </c>
      <c r="B21" s="100" t="str">
        <f>Events!D4</f>
        <v>Category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21.75" customHeight="1">
      <c r="A22" s="32" t="s">
        <v>165</v>
      </c>
      <c r="B22" s="100" t="str">
        <f>Events!D4</f>
        <v>Category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21.75" customHeight="1">
      <c r="A23" s="32" t="s">
        <v>166</v>
      </c>
      <c r="B23" s="101" t="str">
        <f>Events!H4</f>
        <v/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32" t="s">
        <v>167</v>
      </c>
      <c r="B24" s="101" t="str">
        <f>Events!I4</f>
        <v>Split Method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21.75" customHeight="1">
      <c r="A25" s="32" t="s">
        <v>168</v>
      </c>
      <c r="B25" s="101" t="str">
        <f>Events!J4</f>
        <v>Season Group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</row>
    <row r="227" ht="15.75" customHeight="1">
      <c r="A227" s="7"/>
      <c r="B227" s="7"/>
      <c r="C227" s="7"/>
      <c r="D227" s="7"/>
      <c r="E227" s="7"/>
      <c r="F227" s="7"/>
    </row>
    <row r="228" ht="15.75" customHeight="1">
      <c r="A228" s="7"/>
      <c r="B228" s="7"/>
      <c r="C228" s="7"/>
      <c r="D228" s="7"/>
      <c r="E228" s="7"/>
      <c r="F228" s="7"/>
    </row>
    <row r="229" ht="15.75" customHeight="1">
      <c r="A229" s="7"/>
      <c r="B229" s="7"/>
      <c r="C229" s="7"/>
      <c r="D229" s="7"/>
      <c r="E229" s="7"/>
      <c r="F229" s="7"/>
    </row>
    <row r="230" ht="15.75" customHeight="1">
      <c r="A230" s="7"/>
      <c r="B230" s="7"/>
      <c r="C230" s="7"/>
      <c r="D230" s="7"/>
      <c r="E230" s="7"/>
      <c r="F230" s="7"/>
    </row>
    <row r="231" ht="15.75" customHeight="1">
      <c r="A231" s="7"/>
      <c r="B231" s="7"/>
      <c r="C231" s="7"/>
      <c r="D231" s="7"/>
      <c r="E231" s="7"/>
      <c r="F231" s="7"/>
    </row>
    <row r="232" ht="15.75" customHeight="1">
      <c r="A232" s="7"/>
      <c r="B232" s="7"/>
      <c r="C232" s="7"/>
      <c r="D232" s="7"/>
      <c r="E232" s="7"/>
      <c r="F232" s="7"/>
    </row>
    <row r="233" ht="15.75" customHeight="1">
      <c r="A233" s="7"/>
      <c r="B233" s="7"/>
      <c r="C233" s="7"/>
      <c r="D233" s="7"/>
      <c r="E233" s="7"/>
      <c r="F233" s="7"/>
    </row>
    <row r="234" ht="15.75" customHeight="1">
      <c r="A234" s="7"/>
      <c r="B234" s="7"/>
      <c r="C234" s="7"/>
      <c r="D234" s="7"/>
      <c r="E234" s="7"/>
      <c r="F234" s="7"/>
    </row>
    <row r="235" ht="15.75" customHeight="1">
      <c r="A235" s="7"/>
      <c r="B235" s="7"/>
      <c r="C235" s="7"/>
      <c r="D235" s="7"/>
      <c r="E235" s="7"/>
      <c r="F235" s="7"/>
    </row>
    <row r="236" ht="15.75" customHeight="1">
      <c r="A236" s="7"/>
      <c r="B236" s="7"/>
      <c r="C236" s="7"/>
      <c r="D236" s="7"/>
      <c r="E236" s="7"/>
      <c r="F236" s="7"/>
    </row>
    <row r="237" ht="15.75" customHeight="1">
      <c r="A237" s="7"/>
      <c r="B237" s="7"/>
      <c r="C237" s="7"/>
      <c r="D237" s="7"/>
      <c r="E237" s="7"/>
      <c r="F237" s="7"/>
    </row>
    <row r="238" ht="15.75" customHeight="1">
      <c r="A238" s="7"/>
      <c r="B238" s="7"/>
      <c r="C238" s="7"/>
      <c r="D238" s="7"/>
      <c r="E238" s="7"/>
      <c r="F238" s="7"/>
    </row>
    <row r="239" ht="15.75" customHeight="1">
      <c r="A239" s="7"/>
      <c r="B239" s="7"/>
      <c r="C239" s="7"/>
      <c r="D239" s="7"/>
      <c r="E239" s="7"/>
      <c r="F239" s="7"/>
    </row>
    <row r="240" ht="15.75" customHeight="1">
      <c r="A240" s="7"/>
      <c r="B240" s="7"/>
      <c r="C240" s="7"/>
      <c r="D240" s="7"/>
      <c r="E240" s="7"/>
      <c r="F240" s="7"/>
    </row>
    <row r="241" ht="15.75" customHeight="1">
      <c r="A241" s="7"/>
      <c r="B241" s="7"/>
      <c r="C241" s="7"/>
      <c r="D241" s="7"/>
      <c r="E241" s="7"/>
      <c r="F241" s="7"/>
    </row>
    <row r="242" ht="15.75" customHeight="1">
      <c r="A242" s="7"/>
      <c r="B242" s="7"/>
      <c r="C242" s="7"/>
      <c r="D242" s="7"/>
      <c r="E242" s="7"/>
      <c r="F242" s="7"/>
    </row>
    <row r="243" ht="15.75" customHeight="1">
      <c r="A243" s="7"/>
      <c r="B243" s="7"/>
      <c r="C243" s="7"/>
      <c r="D243" s="7"/>
      <c r="E243" s="7"/>
      <c r="F243" s="7"/>
    </row>
    <row r="244" ht="15.75" customHeight="1">
      <c r="A244" s="7"/>
      <c r="B244" s="7"/>
      <c r="C244" s="7"/>
      <c r="D244" s="7"/>
      <c r="E244" s="7"/>
      <c r="F244" s="7"/>
    </row>
    <row r="245" ht="15.75" customHeight="1">
      <c r="A245" s="7"/>
      <c r="B245" s="7"/>
      <c r="C245" s="7"/>
      <c r="D245" s="7"/>
      <c r="E245" s="7"/>
      <c r="F245" s="7"/>
    </row>
    <row r="246" ht="15.75" customHeight="1">
      <c r="A246" s="7"/>
      <c r="B246" s="7"/>
      <c r="C246" s="7"/>
      <c r="D246" s="7"/>
      <c r="E246" s="7"/>
      <c r="F246" s="7"/>
    </row>
    <row r="247" ht="15.75" customHeight="1">
      <c r="A247" s="7"/>
      <c r="B247" s="7"/>
      <c r="C247" s="7"/>
      <c r="D247" s="7"/>
      <c r="E247" s="7"/>
      <c r="F247" s="7"/>
    </row>
    <row r="248" ht="15.75" customHeight="1">
      <c r="A248" s="7"/>
      <c r="B248" s="7"/>
      <c r="C248" s="7"/>
      <c r="D248" s="7"/>
      <c r="E248" s="7"/>
      <c r="F248" s="7"/>
    </row>
    <row r="249" ht="15.75" customHeight="1">
      <c r="A249" s="7"/>
      <c r="B249" s="7"/>
      <c r="C249" s="7"/>
      <c r="D249" s="7"/>
      <c r="E249" s="7"/>
      <c r="F249" s="7"/>
    </row>
    <row r="250" ht="15.75" customHeight="1">
      <c r="A250" s="7"/>
      <c r="B250" s="7"/>
      <c r="C250" s="7"/>
      <c r="D250" s="7"/>
      <c r="E250" s="7"/>
      <c r="F250" s="7"/>
    </row>
    <row r="251" ht="15.75" customHeight="1">
      <c r="A251" s="7"/>
      <c r="B251" s="7"/>
      <c r="C251" s="7"/>
      <c r="D251" s="7"/>
      <c r="E251" s="7"/>
      <c r="F251" s="7"/>
    </row>
    <row r="252" ht="15.75" customHeight="1">
      <c r="A252" s="7"/>
      <c r="B252" s="7"/>
      <c r="C252" s="7"/>
      <c r="D252" s="7"/>
      <c r="E252" s="7"/>
      <c r="F252" s="7"/>
    </row>
    <row r="253" ht="15.75" customHeight="1">
      <c r="A253" s="7"/>
      <c r="B253" s="7"/>
      <c r="C253" s="7"/>
      <c r="D253" s="7"/>
      <c r="E253" s="7"/>
      <c r="F253" s="7"/>
    </row>
    <row r="254" ht="15.75" customHeight="1">
      <c r="A254" s="7"/>
      <c r="B254" s="7"/>
      <c r="C254" s="7"/>
      <c r="D254" s="7"/>
      <c r="E254" s="7"/>
      <c r="F254" s="7"/>
    </row>
    <row r="255" ht="15.75" customHeight="1">
      <c r="A255" s="7"/>
      <c r="B255" s="7"/>
      <c r="C255" s="7"/>
      <c r="D255" s="7"/>
      <c r="E255" s="7"/>
      <c r="F255" s="7"/>
    </row>
    <row r="256" ht="15.75" customHeight="1">
      <c r="A256" s="7"/>
      <c r="B256" s="7"/>
      <c r="C256" s="7"/>
      <c r="D256" s="7"/>
      <c r="E256" s="7"/>
      <c r="F256" s="7"/>
    </row>
    <row r="257" ht="15.75" customHeight="1">
      <c r="A257" s="7"/>
      <c r="B257" s="7"/>
      <c r="C257" s="7"/>
      <c r="D257" s="7"/>
      <c r="E257" s="7"/>
      <c r="F257" s="7"/>
    </row>
    <row r="258" ht="15.75" customHeight="1">
      <c r="A258" s="7"/>
      <c r="B258" s="7"/>
      <c r="C258" s="7"/>
      <c r="D258" s="7"/>
      <c r="E258" s="7"/>
      <c r="F258" s="7"/>
    </row>
    <row r="259" ht="15.75" customHeight="1">
      <c r="A259" s="7"/>
      <c r="B259" s="7"/>
      <c r="C259" s="7"/>
      <c r="D259" s="7"/>
      <c r="E259" s="7"/>
      <c r="F259" s="7"/>
    </row>
    <row r="260" ht="15.75" customHeight="1">
      <c r="A260" s="7"/>
      <c r="B260" s="7"/>
      <c r="C260" s="7"/>
      <c r="D260" s="7"/>
      <c r="E260" s="7"/>
      <c r="F260" s="7"/>
    </row>
    <row r="261" ht="15.75" customHeight="1">
      <c r="A261" s="7"/>
      <c r="B261" s="7"/>
      <c r="C261" s="7"/>
      <c r="D261" s="7"/>
      <c r="E261" s="7"/>
      <c r="F261" s="7"/>
    </row>
    <row r="262" ht="15.75" customHeight="1">
      <c r="A262" s="7"/>
      <c r="B262" s="7"/>
      <c r="C262" s="7"/>
      <c r="D262" s="7"/>
      <c r="E262" s="7"/>
      <c r="F262" s="7"/>
    </row>
    <row r="263" ht="15.75" customHeight="1">
      <c r="A263" s="7"/>
      <c r="B263" s="7"/>
      <c r="C263" s="7"/>
      <c r="D263" s="7"/>
      <c r="E263" s="7"/>
      <c r="F263" s="7"/>
    </row>
    <row r="264" ht="15.75" customHeight="1">
      <c r="A264" s="7"/>
      <c r="B264" s="7"/>
      <c r="C264" s="7"/>
      <c r="D264" s="7"/>
      <c r="E264" s="7"/>
      <c r="F264" s="7"/>
    </row>
    <row r="265" ht="15.75" customHeight="1">
      <c r="A265" s="7"/>
      <c r="B265" s="7"/>
      <c r="C265" s="7"/>
      <c r="D265" s="7"/>
      <c r="E265" s="7"/>
      <c r="F265" s="7"/>
    </row>
    <row r="266" ht="15.75" customHeight="1">
      <c r="A266" s="7"/>
      <c r="B266" s="7"/>
      <c r="C266" s="7"/>
      <c r="D266" s="7"/>
      <c r="E266" s="7"/>
      <c r="F266" s="7"/>
    </row>
    <row r="267" ht="15.75" customHeight="1">
      <c r="A267" s="7"/>
      <c r="B267" s="7"/>
      <c r="C267" s="7"/>
      <c r="D267" s="7"/>
      <c r="E267" s="7"/>
      <c r="F267" s="7"/>
    </row>
    <row r="268" ht="15.75" customHeight="1">
      <c r="A268" s="7"/>
      <c r="B268" s="7"/>
      <c r="C268" s="7"/>
      <c r="D268" s="7"/>
      <c r="E268" s="7"/>
      <c r="F268" s="7"/>
    </row>
    <row r="269" ht="15.75" customHeight="1">
      <c r="A269" s="7"/>
      <c r="B269" s="7"/>
      <c r="C269" s="7"/>
      <c r="D269" s="7"/>
      <c r="E269" s="7"/>
      <c r="F269" s="7"/>
    </row>
    <row r="270" ht="15.75" customHeight="1">
      <c r="A270" s="7"/>
      <c r="B270" s="7"/>
      <c r="C270" s="7"/>
      <c r="D270" s="7"/>
      <c r="E270" s="7"/>
      <c r="F270" s="7"/>
    </row>
    <row r="271" ht="15.75" customHeight="1">
      <c r="A271" s="7"/>
      <c r="B271" s="7"/>
      <c r="C271" s="7"/>
      <c r="D271" s="7"/>
      <c r="E271" s="7"/>
      <c r="F271" s="7"/>
    </row>
    <row r="272" ht="15.75" customHeight="1">
      <c r="A272" s="7"/>
      <c r="B272" s="7"/>
      <c r="C272" s="7"/>
      <c r="D272" s="7"/>
      <c r="E272" s="7"/>
      <c r="F272" s="7"/>
    </row>
    <row r="273" ht="15.75" customHeight="1">
      <c r="A273" s="7"/>
      <c r="B273" s="7"/>
      <c r="C273" s="7"/>
      <c r="D273" s="7"/>
      <c r="E273" s="7"/>
      <c r="F273" s="7"/>
    </row>
    <row r="274" ht="15.75" customHeight="1">
      <c r="A274" s="7"/>
      <c r="B274" s="7"/>
      <c r="C274" s="7"/>
      <c r="D274" s="7"/>
      <c r="E274" s="7"/>
      <c r="F274" s="7"/>
    </row>
    <row r="275" ht="15.75" customHeight="1">
      <c r="A275" s="7"/>
      <c r="B275" s="7"/>
      <c r="C275" s="7"/>
      <c r="D275" s="7"/>
      <c r="E275" s="7"/>
      <c r="F275" s="7"/>
    </row>
    <row r="276" ht="15.75" customHeight="1">
      <c r="A276" s="7"/>
      <c r="B276" s="7"/>
      <c r="C276" s="7"/>
      <c r="D276" s="7"/>
      <c r="E276" s="7"/>
      <c r="F276" s="7"/>
    </row>
    <row r="277" ht="15.75" customHeight="1">
      <c r="A277" s="7"/>
      <c r="B277" s="7"/>
      <c r="C277" s="7"/>
      <c r="D277" s="7"/>
      <c r="E277" s="7"/>
      <c r="F277" s="7"/>
    </row>
    <row r="278" ht="15.75" customHeight="1">
      <c r="A278" s="7"/>
      <c r="B278" s="7"/>
      <c r="C278" s="7"/>
      <c r="D278" s="7"/>
      <c r="E278" s="7"/>
      <c r="F278" s="7"/>
    </row>
    <row r="279" ht="15.75" customHeight="1">
      <c r="A279" s="7"/>
      <c r="B279" s="7"/>
      <c r="C279" s="7"/>
      <c r="D279" s="7"/>
      <c r="E279" s="7"/>
      <c r="F279" s="7"/>
    </row>
    <row r="280" ht="15.75" customHeight="1">
      <c r="A280" s="7"/>
      <c r="B280" s="7"/>
      <c r="C280" s="7"/>
      <c r="D280" s="7"/>
      <c r="E280" s="7"/>
      <c r="F280" s="7"/>
    </row>
    <row r="281" ht="15.75" customHeight="1">
      <c r="A281" s="7"/>
      <c r="B281" s="7"/>
      <c r="C281" s="7"/>
      <c r="D281" s="7"/>
      <c r="E281" s="7"/>
      <c r="F281" s="7"/>
    </row>
    <row r="282" ht="15.75" customHeight="1">
      <c r="A282" s="7"/>
      <c r="B282" s="7"/>
      <c r="C282" s="7"/>
      <c r="D282" s="7"/>
      <c r="E282" s="7"/>
      <c r="F282" s="7"/>
    </row>
    <row r="283" ht="15.75" customHeight="1">
      <c r="A283" s="7"/>
      <c r="B283" s="7"/>
      <c r="C283" s="7"/>
      <c r="D283" s="7"/>
      <c r="E283" s="7"/>
      <c r="F283" s="7"/>
    </row>
    <row r="284" ht="15.75" customHeight="1">
      <c r="A284" s="7"/>
      <c r="B284" s="7"/>
      <c r="C284" s="7"/>
      <c r="D284" s="7"/>
      <c r="E284" s="7"/>
      <c r="F284" s="7"/>
    </row>
    <row r="285" ht="15.75" customHeight="1">
      <c r="A285" s="7"/>
      <c r="B285" s="7"/>
      <c r="C285" s="7"/>
      <c r="D285" s="7"/>
      <c r="E285" s="7"/>
      <c r="F285" s="7"/>
    </row>
    <row r="286" ht="15.75" customHeight="1">
      <c r="A286" s="7"/>
      <c r="B286" s="7"/>
      <c r="C286" s="7"/>
      <c r="D286" s="7"/>
      <c r="E286" s="7"/>
      <c r="F286" s="7"/>
    </row>
    <row r="287" ht="15.75" customHeight="1">
      <c r="A287" s="7"/>
      <c r="B287" s="7"/>
      <c r="C287" s="7"/>
      <c r="D287" s="7"/>
      <c r="E287" s="7"/>
      <c r="F287" s="7"/>
    </row>
    <row r="288" ht="15.75" customHeight="1">
      <c r="A288" s="7"/>
      <c r="B288" s="7"/>
      <c r="C288" s="7"/>
      <c r="D288" s="7"/>
      <c r="E288" s="7"/>
      <c r="F288" s="7"/>
    </row>
    <row r="289" ht="15.75" customHeight="1">
      <c r="A289" s="7"/>
      <c r="B289" s="7"/>
      <c r="C289" s="7"/>
      <c r="D289" s="7"/>
      <c r="E289" s="7"/>
      <c r="F289" s="7"/>
    </row>
    <row r="290" ht="15.75" customHeight="1">
      <c r="A290" s="7"/>
      <c r="B290" s="7"/>
      <c r="C290" s="7"/>
      <c r="D290" s="7"/>
      <c r="E290" s="7"/>
      <c r="F290" s="7"/>
    </row>
    <row r="291" ht="15.75" customHeight="1">
      <c r="A291" s="7"/>
      <c r="B291" s="7"/>
      <c r="C291" s="7"/>
      <c r="D291" s="7"/>
      <c r="E291" s="7"/>
      <c r="F291" s="7"/>
    </row>
    <row r="292" ht="15.75" customHeight="1">
      <c r="A292" s="7"/>
      <c r="B292" s="7"/>
      <c r="C292" s="7"/>
      <c r="D292" s="7"/>
      <c r="E292" s="7"/>
      <c r="F292" s="7"/>
    </row>
    <row r="293" ht="15.75" customHeight="1">
      <c r="A293" s="7"/>
      <c r="B293" s="7"/>
      <c r="C293" s="7"/>
      <c r="D293" s="7"/>
      <c r="E293" s="7"/>
      <c r="F293" s="7"/>
    </row>
    <row r="294" ht="15.75" customHeight="1">
      <c r="A294" s="7"/>
      <c r="B294" s="7"/>
      <c r="C294" s="7"/>
      <c r="D294" s="7"/>
      <c r="E294" s="7"/>
      <c r="F294" s="7"/>
    </row>
    <row r="295" ht="15.75" customHeight="1">
      <c r="A295" s="7"/>
      <c r="B295" s="7"/>
      <c r="C295" s="7"/>
      <c r="D295" s="7"/>
      <c r="E295" s="7"/>
      <c r="F295" s="7"/>
    </row>
    <row r="296" ht="15.75" customHeight="1">
      <c r="A296" s="7"/>
      <c r="B296" s="7"/>
      <c r="C296" s="7"/>
      <c r="D296" s="7"/>
      <c r="E296" s="7"/>
      <c r="F296" s="7"/>
    </row>
    <row r="297" ht="15.75" customHeight="1">
      <c r="A297" s="7"/>
      <c r="B297" s="7"/>
      <c r="C297" s="7"/>
      <c r="D297" s="7"/>
      <c r="E297" s="7"/>
      <c r="F297" s="7"/>
    </row>
    <row r="298" ht="15.75" customHeight="1">
      <c r="A298" s="7"/>
      <c r="B298" s="7"/>
      <c r="C298" s="7"/>
      <c r="D298" s="7"/>
      <c r="E298" s="7"/>
      <c r="F298" s="7"/>
    </row>
    <row r="299" ht="15.75" customHeight="1">
      <c r="A299" s="7"/>
      <c r="B299" s="7"/>
      <c r="C299" s="7"/>
      <c r="D299" s="7"/>
      <c r="E299" s="7"/>
      <c r="F299" s="7"/>
    </row>
    <row r="300" ht="15.75" customHeight="1">
      <c r="A300" s="7"/>
      <c r="B300" s="7"/>
      <c r="C300" s="7"/>
      <c r="D300" s="7"/>
      <c r="E300" s="7"/>
      <c r="F300" s="7"/>
    </row>
    <row r="301" ht="15.75" customHeight="1">
      <c r="A301" s="7"/>
      <c r="B301" s="7"/>
      <c r="C301" s="7"/>
      <c r="D301" s="7"/>
      <c r="E301" s="7"/>
      <c r="F301" s="7"/>
    </row>
    <row r="302" ht="15.75" customHeight="1">
      <c r="A302" s="7"/>
      <c r="B302" s="7"/>
      <c r="C302" s="7"/>
      <c r="D302" s="7"/>
      <c r="E302" s="7"/>
      <c r="F302" s="7"/>
    </row>
    <row r="303" ht="15.75" customHeight="1">
      <c r="A303" s="7"/>
      <c r="B303" s="7"/>
      <c r="C303" s="7"/>
      <c r="D303" s="7"/>
      <c r="E303" s="7"/>
      <c r="F303" s="7"/>
    </row>
    <row r="304" ht="15.75" customHeight="1">
      <c r="A304" s="7"/>
      <c r="B304" s="7"/>
      <c r="C304" s="7"/>
      <c r="D304" s="7"/>
      <c r="E304" s="7"/>
      <c r="F304" s="7"/>
    </row>
    <row r="305" ht="15.75" customHeight="1">
      <c r="A305" s="7"/>
      <c r="B305" s="7"/>
      <c r="C305" s="7"/>
      <c r="D305" s="7"/>
      <c r="E305" s="7"/>
      <c r="F305" s="7"/>
    </row>
    <row r="306" ht="15.75" customHeight="1">
      <c r="A306" s="7"/>
      <c r="B306" s="7"/>
      <c r="C306" s="7"/>
      <c r="D306" s="7"/>
      <c r="E306" s="7"/>
      <c r="F306" s="7"/>
    </row>
    <row r="307" ht="15.75" customHeight="1">
      <c r="A307" s="7"/>
      <c r="B307" s="7"/>
      <c r="C307" s="7"/>
      <c r="D307" s="7"/>
      <c r="E307" s="7"/>
      <c r="F307" s="7"/>
    </row>
    <row r="308" ht="15.75" customHeight="1">
      <c r="A308" s="7"/>
      <c r="B308" s="7"/>
      <c r="C308" s="7"/>
      <c r="D308" s="7"/>
      <c r="E308" s="7"/>
      <c r="F308" s="7"/>
    </row>
    <row r="309" ht="15.75" customHeight="1">
      <c r="A309" s="7"/>
      <c r="B309" s="7"/>
      <c r="C309" s="7"/>
      <c r="D309" s="7"/>
      <c r="E309" s="7"/>
      <c r="F309" s="7"/>
    </row>
    <row r="310" ht="15.75" customHeight="1">
      <c r="A310" s="7"/>
      <c r="B310" s="7"/>
      <c r="C310" s="7"/>
      <c r="D310" s="7"/>
      <c r="E310" s="7"/>
      <c r="F310" s="7"/>
    </row>
    <row r="311" ht="15.75" customHeight="1">
      <c r="A311" s="7"/>
      <c r="B311" s="7"/>
      <c r="C311" s="7"/>
      <c r="D311" s="7"/>
      <c r="E311" s="7"/>
      <c r="F311" s="7"/>
    </row>
    <row r="312" ht="15.75" customHeight="1">
      <c r="A312" s="7"/>
      <c r="B312" s="7"/>
      <c r="C312" s="7"/>
      <c r="D312" s="7"/>
      <c r="E312" s="7"/>
      <c r="F312" s="7"/>
    </row>
    <row r="313" ht="15.75" customHeight="1">
      <c r="A313" s="7"/>
      <c r="B313" s="7"/>
      <c r="C313" s="7"/>
      <c r="D313" s="7"/>
      <c r="E313" s="7"/>
      <c r="F313" s="7"/>
    </row>
    <row r="314" ht="15.75" customHeight="1">
      <c r="A314" s="7"/>
      <c r="B314" s="7"/>
      <c r="C314" s="7"/>
      <c r="D314" s="7"/>
      <c r="E314" s="7"/>
      <c r="F314" s="7"/>
    </row>
    <row r="315" ht="15.75" customHeight="1">
      <c r="A315" s="7"/>
      <c r="B315" s="7"/>
      <c r="C315" s="7"/>
      <c r="D315" s="7"/>
      <c r="E315" s="7"/>
      <c r="F315" s="7"/>
    </row>
    <row r="316" ht="15.75" customHeight="1">
      <c r="A316" s="7"/>
      <c r="B316" s="7"/>
      <c r="C316" s="7"/>
      <c r="D316" s="7"/>
      <c r="E316" s="7"/>
      <c r="F316" s="7"/>
    </row>
    <row r="317" ht="15.75" customHeight="1">
      <c r="A317" s="7"/>
      <c r="B317" s="7"/>
      <c r="C317" s="7"/>
      <c r="D317" s="7"/>
      <c r="E317" s="7"/>
      <c r="F317" s="7"/>
    </row>
    <row r="318" ht="15.75" customHeight="1">
      <c r="A318" s="7"/>
      <c r="B318" s="7"/>
      <c r="C318" s="7"/>
      <c r="D318" s="7"/>
      <c r="E318" s="7"/>
      <c r="F318" s="7"/>
    </row>
    <row r="319" ht="15.75" customHeight="1">
      <c r="A319" s="7"/>
      <c r="B319" s="7"/>
      <c r="C319" s="7"/>
      <c r="D319" s="7"/>
      <c r="E319" s="7"/>
      <c r="F319" s="7"/>
    </row>
    <row r="320" ht="15.75" customHeight="1">
      <c r="A320" s="7"/>
      <c r="B320" s="7"/>
      <c r="C320" s="7"/>
      <c r="D320" s="7"/>
      <c r="E320" s="7"/>
      <c r="F320" s="7"/>
    </row>
    <row r="321" ht="15.75" customHeight="1">
      <c r="A321" s="7"/>
      <c r="B321" s="7"/>
      <c r="C321" s="7"/>
      <c r="D321" s="7"/>
      <c r="E321" s="7"/>
      <c r="F321" s="7"/>
    </row>
    <row r="322" ht="15.75" customHeight="1">
      <c r="A322" s="7"/>
      <c r="B322" s="7"/>
      <c r="C322" s="7"/>
      <c r="D322" s="7"/>
      <c r="E322" s="7"/>
      <c r="F322" s="7"/>
    </row>
    <row r="323" ht="15.75" customHeight="1">
      <c r="A323" s="7"/>
      <c r="B323" s="7"/>
      <c r="C323" s="7"/>
      <c r="D323" s="7"/>
      <c r="E323" s="7"/>
      <c r="F323" s="7"/>
    </row>
    <row r="324" ht="15.75" customHeight="1">
      <c r="A324" s="7"/>
      <c r="B324" s="7"/>
      <c r="C324" s="7"/>
      <c r="D324" s="7"/>
      <c r="E324" s="7"/>
      <c r="F324" s="7"/>
    </row>
    <row r="325" ht="15.75" customHeight="1">
      <c r="A325" s="7"/>
      <c r="B325" s="7"/>
      <c r="C325" s="7"/>
      <c r="D325" s="7"/>
      <c r="E325" s="7"/>
      <c r="F325" s="7"/>
    </row>
    <row r="326" ht="15.75" customHeight="1">
      <c r="A326" s="7"/>
      <c r="B326" s="7"/>
      <c r="C326" s="7"/>
      <c r="D326" s="7"/>
      <c r="E326" s="7"/>
      <c r="F326" s="7"/>
    </row>
    <row r="327" ht="15.75" customHeight="1">
      <c r="A327" s="7"/>
      <c r="B327" s="7"/>
      <c r="C327" s="7"/>
      <c r="D327" s="7"/>
      <c r="E327" s="7"/>
      <c r="F327" s="7"/>
    </row>
    <row r="328" ht="15.75" customHeight="1">
      <c r="A328" s="7"/>
      <c r="B328" s="7"/>
      <c r="C328" s="7"/>
      <c r="D328" s="7"/>
      <c r="E328" s="7"/>
      <c r="F328" s="7"/>
    </row>
    <row r="329" ht="15.75" customHeight="1">
      <c r="A329" s="7"/>
      <c r="B329" s="7"/>
      <c r="C329" s="7"/>
      <c r="D329" s="7"/>
      <c r="E329" s="7"/>
      <c r="F329" s="7"/>
    </row>
    <row r="330" ht="15.75" customHeight="1">
      <c r="A330" s="7"/>
      <c r="B330" s="7"/>
      <c r="C330" s="7"/>
      <c r="D330" s="7"/>
      <c r="E330" s="7"/>
      <c r="F330" s="7"/>
    </row>
    <row r="331" ht="15.75" customHeight="1">
      <c r="A331" s="7"/>
      <c r="B331" s="7"/>
      <c r="C331" s="7"/>
      <c r="D331" s="7"/>
      <c r="E331" s="7"/>
      <c r="F331" s="7"/>
    </row>
    <row r="332" ht="15.75" customHeight="1">
      <c r="A332" s="7"/>
      <c r="B332" s="7"/>
      <c r="C332" s="7"/>
      <c r="D332" s="7"/>
      <c r="E332" s="7"/>
      <c r="F332" s="7"/>
    </row>
    <row r="333" ht="15.75" customHeight="1">
      <c r="A333" s="7"/>
      <c r="B333" s="7"/>
      <c r="C333" s="7"/>
      <c r="D333" s="7"/>
      <c r="E333" s="7"/>
      <c r="F333" s="7"/>
    </row>
    <row r="334" ht="15.75" customHeight="1">
      <c r="A334" s="7"/>
      <c r="B334" s="7"/>
      <c r="C334" s="7"/>
      <c r="D334" s="7"/>
      <c r="E334" s="7"/>
      <c r="F334" s="7"/>
    </row>
    <row r="335" ht="15.75" customHeight="1">
      <c r="A335" s="7"/>
      <c r="B335" s="7"/>
      <c r="C335" s="7"/>
      <c r="D335" s="7"/>
      <c r="E335" s="7"/>
      <c r="F335" s="7"/>
    </row>
    <row r="336" ht="15.75" customHeight="1">
      <c r="A336" s="7"/>
      <c r="B336" s="7"/>
      <c r="C336" s="7"/>
      <c r="D336" s="7"/>
      <c r="E336" s="7"/>
      <c r="F336" s="7"/>
    </row>
    <row r="337" ht="15.75" customHeight="1">
      <c r="A337" s="7"/>
      <c r="B337" s="7"/>
      <c r="C337" s="7"/>
      <c r="D337" s="7"/>
      <c r="E337" s="7"/>
      <c r="F337" s="7"/>
    </row>
    <row r="338" ht="15.75" customHeight="1">
      <c r="A338" s="7"/>
      <c r="B338" s="7"/>
      <c r="C338" s="7"/>
      <c r="D338" s="7"/>
      <c r="E338" s="7"/>
      <c r="F338" s="7"/>
    </row>
    <row r="339" ht="15.75" customHeight="1">
      <c r="A339" s="7"/>
      <c r="B339" s="7"/>
      <c r="C339" s="7"/>
      <c r="D339" s="7"/>
      <c r="E339" s="7"/>
      <c r="F339" s="7"/>
    </row>
    <row r="340" ht="15.75" customHeight="1">
      <c r="A340" s="7"/>
      <c r="B340" s="7"/>
      <c r="C340" s="7"/>
      <c r="D340" s="7"/>
      <c r="E340" s="7"/>
      <c r="F340" s="7"/>
    </row>
    <row r="341" ht="15.75" customHeight="1">
      <c r="A341" s="7"/>
      <c r="B341" s="7"/>
      <c r="C341" s="7"/>
      <c r="D341" s="7"/>
      <c r="E341" s="7"/>
      <c r="F341" s="7"/>
    </row>
    <row r="342" ht="15.75" customHeight="1">
      <c r="A342" s="7"/>
      <c r="B342" s="7"/>
      <c r="C342" s="7"/>
      <c r="D342" s="7"/>
      <c r="E342" s="7"/>
      <c r="F342" s="7"/>
    </row>
    <row r="343" ht="15.75" customHeight="1">
      <c r="A343" s="7"/>
      <c r="B343" s="7"/>
      <c r="C343" s="7"/>
      <c r="D343" s="7"/>
      <c r="E343" s="7"/>
      <c r="F343" s="7"/>
    </row>
    <row r="344" ht="15.75" customHeight="1">
      <c r="A344" s="7"/>
      <c r="B344" s="7"/>
      <c r="C344" s="7"/>
      <c r="D344" s="7"/>
      <c r="E344" s="7"/>
      <c r="F344" s="7"/>
    </row>
    <row r="345" ht="15.75" customHeight="1">
      <c r="A345" s="7"/>
      <c r="B345" s="7"/>
      <c r="C345" s="7"/>
      <c r="D345" s="7"/>
      <c r="E345" s="7"/>
      <c r="F345" s="7"/>
    </row>
    <row r="346" ht="15.75" customHeight="1">
      <c r="A346" s="7"/>
      <c r="B346" s="7"/>
      <c r="C346" s="7"/>
      <c r="D346" s="7"/>
      <c r="E346" s="7"/>
      <c r="F346" s="7"/>
    </row>
    <row r="347" ht="15.75" customHeight="1">
      <c r="A347" s="7"/>
      <c r="B347" s="7"/>
      <c r="C347" s="7"/>
      <c r="D347" s="7"/>
      <c r="E347" s="7"/>
      <c r="F347" s="7"/>
    </row>
    <row r="348" ht="15.75" customHeight="1">
      <c r="A348" s="7"/>
      <c r="B348" s="7"/>
      <c r="C348" s="7"/>
      <c r="D348" s="7"/>
      <c r="E348" s="7"/>
      <c r="F348" s="7"/>
    </row>
    <row r="349" ht="15.75" customHeight="1">
      <c r="A349" s="7"/>
      <c r="B349" s="7"/>
      <c r="C349" s="7"/>
      <c r="D349" s="7"/>
      <c r="E349" s="7"/>
      <c r="F349" s="7"/>
    </row>
    <row r="350" ht="15.75" customHeight="1">
      <c r="A350" s="7"/>
      <c r="B350" s="7"/>
      <c r="C350" s="7"/>
      <c r="D350" s="7"/>
      <c r="E350" s="7"/>
      <c r="F350" s="7"/>
    </row>
    <row r="351" ht="15.75" customHeight="1">
      <c r="A351" s="7"/>
      <c r="B351" s="7"/>
      <c r="C351" s="7"/>
      <c r="D351" s="7"/>
      <c r="E351" s="7"/>
      <c r="F351" s="7"/>
    </row>
    <row r="352" ht="15.75" customHeight="1">
      <c r="A352" s="7"/>
      <c r="B352" s="7"/>
      <c r="C352" s="7"/>
      <c r="D352" s="7"/>
      <c r="E352" s="7"/>
      <c r="F352" s="7"/>
    </row>
    <row r="353" ht="15.75" customHeight="1">
      <c r="A353" s="7"/>
      <c r="B353" s="7"/>
      <c r="C353" s="7"/>
      <c r="D353" s="7"/>
      <c r="E353" s="7"/>
      <c r="F353" s="7"/>
    </row>
    <row r="354" ht="15.75" customHeight="1">
      <c r="A354" s="7"/>
      <c r="B354" s="7"/>
      <c r="C354" s="7"/>
      <c r="D354" s="7"/>
      <c r="E354" s="7"/>
      <c r="F354" s="7"/>
    </row>
    <row r="355" ht="15.75" customHeight="1">
      <c r="A355" s="7"/>
      <c r="B355" s="7"/>
      <c r="C355" s="7"/>
      <c r="D355" s="7"/>
      <c r="E355" s="7"/>
      <c r="F355" s="7"/>
    </row>
    <row r="356" ht="15.75" customHeight="1">
      <c r="A356" s="7"/>
      <c r="B356" s="7"/>
      <c r="C356" s="7"/>
      <c r="D356" s="7"/>
      <c r="E356" s="7"/>
      <c r="F356" s="7"/>
    </row>
    <row r="357" ht="15.75" customHeight="1">
      <c r="A357" s="7"/>
      <c r="B357" s="7"/>
      <c r="C357" s="7"/>
      <c r="D357" s="7"/>
      <c r="E357" s="7"/>
      <c r="F357" s="7"/>
    </row>
    <row r="358" ht="15.75" customHeight="1">
      <c r="A358" s="7"/>
      <c r="B358" s="7"/>
      <c r="C358" s="7"/>
      <c r="D358" s="7"/>
      <c r="E358" s="7"/>
      <c r="F358" s="7"/>
    </row>
    <row r="359" ht="15.75" customHeight="1">
      <c r="A359" s="7"/>
      <c r="B359" s="7"/>
      <c r="C359" s="7"/>
      <c r="D359" s="7"/>
      <c r="E359" s="7"/>
      <c r="F359" s="7"/>
    </row>
    <row r="360" ht="15.75" customHeight="1">
      <c r="A360" s="7"/>
      <c r="B360" s="7"/>
      <c r="C360" s="7"/>
      <c r="D360" s="7"/>
      <c r="E360" s="7"/>
      <c r="F360" s="7"/>
    </row>
    <row r="361" ht="15.75" customHeight="1">
      <c r="A361" s="7"/>
      <c r="B361" s="7"/>
      <c r="C361" s="7"/>
      <c r="D361" s="7"/>
      <c r="E361" s="7"/>
      <c r="F361" s="7"/>
    </row>
    <row r="362" ht="15.75" customHeight="1">
      <c r="A362" s="7"/>
      <c r="B362" s="7"/>
      <c r="C362" s="7"/>
      <c r="D362" s="7"/>
      <c r="E362" s="7"/>
      <c r="F362" s="7"/>
    </row>
    <row r="363" ht="15.75" customHeight="1">
      <c r="A363" s="7"/>
      <c r="B363" s="7"/>
      <c r="C363" s="7"/>
      <c r="D363" s="7"/>
      <c r="E363" s="7"/>
      <c r="F363" s="7"/>
    </row>
    <row r="364" ht="15.75" customHeight="1">
      <c r="A364" s="7"/>
      <c r="B364" s="7"/>
      <c r="C364" s="7"/>
      <c r="D364" s="7"/>
      <c r="E364" s="7"/>
      <c r="F364" s="7"/>
    </row>
    <row r="365" ht="15.75" customHeight="1">
      <c r="A365" s="7"/>
      <c r="B365" s="7"/>
      <c r="C365" s="7"/>
      <c r="D365" s="7"/>
      <c r="E365" s="7"/>
      <c r="F365" s="7"/>
    </row>
    <row r="366" ht="15.75" customHeight="1">
      <c r="A366" s="7"/>
      <c r="B366" s="7"/>
      <c r="C366" s="7"/>
      <c r="D366" s="7"/>
      <c r="E366" s="7"/>
      <c r="F366" s="7"/>
    </row>
    <row r="367" ht="15.75" customHeight="1">
      <c r="A367" s="7"/>
      <c r="B367" s="7"/>
      <c r="C367" s="7"/>
      <c r="D367" s="7"/>
      <c r="E367" s="7"/>
      <c r="F367" s="7"/>
    </row>
    <row r="368" ht="15.75" customHeight="1">
      <c r="A368" s="7"/>
      <c r="B368" s="7"/>
      <c r="C368" s="7"/>
      <c r="D368" s="7"/>
      <c r="E368" s="7"/>
      <c r="F368" s="7"/>
    </row>
    <row r="369" ht="15.75" customHeight="1">
      <c r="A369" s="7"/>
      <c r="B369" s="7"/>
      <c r="C369" s="7"/>
      <c r="D369" s="7"/>
      <c r="E369" s="7"/>
      <c r="F369" s="7"/>
    </row>
    <row r="370" ht="15.75" customHeight="1">
      <c r="A370" s="7"/>
      <c r="B370" s="7"/>
      <c r="C370" s="7"/>
      <c r="D370" s="7"/>
      <c r="E370" s="7"/>
      <c r="F370" s="7"/>
    </row>
    <row r="371" ht="15.75" customHeight="1">
      <c r="A371" s="7"/>
      <c r="B371" s="7"/>
      <c r="C371" s="7"/>
      <c r="D371" s="7"/>
      <c r="E371" s="7"/>
      <c r="F371" s="7"/>
    </row>
    <row r="372" ht="15.75" customHeight="1">
      <c r="A372" s="7"/>
      <c r="B372" s="7"/>
      <c r="C372" s="7"/>
      <c r="D372" s="7"/>
      <c r="E372" s="7"/>
      <c r="F372" s="7"/>
    </row>
    <row r="373" ht="15.75" customHeight="1">
      <c r="A373" s="7"/>
      <c r="B373" s="7"/>
      <c r="C373" s="7"/>
      <c r="D373" s="7"/>
      <c r="E373" s="7"/>
      <c r="F373" s="7"/>
    </row>
    <row r="374" ht="15.75" customHeight="1">
      <c r="A374" s="7"/>
      <c r="B374" s="7"/>
      <c r="C374" s="7"/>
      <c r="D374" s="7"/>
      <c r="E374" s="7"/>
      <c r="F374" s="7"/>
    </row>
    <row r="375" ht="15.75" customHeight="1">
      <c r="A375" s="7"/>
      <c r="B375" s="7"/>
      <c r="C375" s="7"/>
      <c r="D375" s="7"/>
      <c r="E375" s="7"/>
      <c r="F375" s="7"/>
    </row>
    <row r="376" ht="15.75" customHeight="1">
      <c r="A376" s="7"/>
      <c r="B376" s="7"/>
      <c r="C376" s="7"/>
      <c r="D376" s="7"/>
      <c r="E376" s="7"/>
      <c r="F376" s="7"/>
    </row>
    <row r="377" ht="15.75" customHeight="1">
      <c r="A377" s="7"/>
      <c r="B377" s="7"/>
      <c r="C377" s="7"/>
      <c r="D377" s="7"/>
      <c r="E377" s="7"/>
      <c r="F377" s="7"/>
    </row>
    <row r="378" ht="15.75" customHeight="1">
      <c r="A378" s="7"/>
      <c r="B378" s="7"/>
      <c r="C378" s="7"/>
      <c r="D378" s="7"/>
      <c r="E378" s="7"/>
      <c r="F378" s="7"/>
    </row>
    <row r="379" ht="15.75" customHeight="1">
      <c r="A379" s="7"/>
      <c r="B379" s="7"/>
      <c r="C379" s="7"/>
      <c r="D379" s="7"/>
      <c r="E379" s="7"/>
      <c r="F379" s="7"/>
    </row>
    <row r="380" ht="15.75" customHeight="1">
      <c r="A380" s="7"/>
      <c r="B380" s="7"/>
      <c r="C380" s="7"/>
      <c r="D380" s="7"/>
      <c r="E380" s="7"/>
      <c r="F380" s="7"/>
    </row>
    <row r="381" ht="15.75" customHeight="1">
      <c r="A381" s="7"/>
      <c r="B381" s="7"/>
      <c r="C381" s="7"/>
      <c r="D381" s="7"/>
      <c r="E381" s="7"/>
      <c r="F381" s="7"/>
    </row>
    <row r="382" ht="15.75" customHeight="1">
      <c r="A382" s="7"/>
      <c r="B382" s="7"/>
      <c r="C382" s="7"/>
      <c r="D382" s="7"/>
      <c r="E382" s="7"/>
      <c r="F382" s="7"/>
    </row>
    <row r="383" ht="15.75" customHeight="1">
      <c r="A383" s="7"/>
      <c r="B383" s="7"/>
      <c r="C383" s="7"/>
      <c r="D383" s="7"/>
      <c r="E383" s="7"/>
      <c r="F383" s="7"/>
    </row>
    <row r="384" ht="15.75" customHeight="1">
      <c r="A384" s="7"/>
      <c r="B384" s="7"/>
      <c r="C384" s="7"/>
      <c r="D384" s="7"/>
      <c r="E384" s="7"/>
      <c r="F384" s="7"/>
    </row>
    <row r="385" ht="15.75" customHeight="1">
      <c r="A385" s="7"/>
      <c r="B385" s="7"/>
      <c r="C385" s="7"/>
      <c r="D385" s="7"/>
      <c r="E385" s="7"/>
      <c r="F385" s="7"/>
    </row>
    <row r="386" ht="15.75" customHeight="1">
      <c r="A386" s="7"/>
      <c r="B386" s="7"/>
      <c r="C386" s="7"/>
      <c r="D386" s="7"/>
      <c r="E386" s="7"/>
      <c r="F386" s="7"/>
    </row>
    <row r="387" ht="15.75" customHeight="1">
      <c r="A387" s="7"/>
      <c r="B387" s="7"/>
      <c r="C387" s="7"/>
      <c r="D387" s="7"/>
      <c r="E387" s="7"/>
      <c r="F387" s="7"/>
    </row>
    <row r="388" ht="15.75" customHeight="1">
      <c r="A388" s="7"/>
      <c r="B388" s="7"/>
      <c r="C388" s="7"/>
      <c r="D388" s="7"/>
      <c r="E388" s="7"/>
      <c r="F388" s="7"/>
    </row>
    <row r="389" ht="15.75" customHeight="1">
      <c r="A389" s="7"/>
      <c r="B389" s="7"/>
      <c r="C389" s="7"/>
      <c r="D389" s="7"/>
      <c r="E389" s="7"/>
      <c r="F389" s="7"/>
    </row>
    <row r="390" ht="15.75" customHeight="1">
      <c r="A390" s="7"/>
      <c r="B390" s="7"/>
      <c r="C390" s="7"/>
      <c r="D390" s="7"/>
      <c r="E390" s="7"/>
      <c r="F390" s="7"/>
    </row>
    <row r="391" ht="15.75" customHeight="1">
      <c r="A391" s="7"/>
      <c r="B391" s="7"/>
      <c r="C391" s="7"/>
      <c r="D391" s="7"/>
      <c r="E391" s="7"/>
      <c r="F391" s="7"/>
    </row>
    <row r="392" ht="15.75" customHeight="1">
      <c r="A392" s="7"/>
      <c r="B392" s="7"/>
      <c r="C392" s="7"/>
      <c r="D392" s="7"/>
      <c r="E392" s="7"/>
      <c r="F392" s="7"/>
    </row>
    <row r="393" ht="15.75" customHeight="1">
      <c r="A393" s="7"/>
      <c r="B393" s="7"/>
      <c r="C393" s="7"/>
      <c r="D393" s="7"/>
      <c r="E393" s="7"/>
      <c r="F393" s="7"/>
    </row>
    <row r="394" ht="15.75" customHeight="1">
      <c r="A394" s="7"/>
      <c r="B394" s="7"/>
      <c r="C394" s="7"/>
      <c r="D394" s="7"/>
      <c r="E394" s="7"/>
      <c r="F394" s="7"/>
    </row>
    <row r="395" ht="15.75" customHeight="1">
      <c r="A395" s="7"/>
      <c r="B395" s="7"/>
      <c r="C395" s="7"/>
      <c r="D395" s="7"/>
      <c r="E395" s="7"/>
      <c r="F395" s="7"/>
    </row>
    <row r="396" ht="15.75" customHeight="1">
      <c r="A396" s="7"/>
      <c r="B396" s="7"/>
      <c r="C396" s="7"/>
      <c r="D396" s="7"/>
      <c r="E396" s="7"/>
      <c r="F396" s="7"/>
    </row>
    <row r="397" ht="15.75" customHeight="1">
      <c r="A397" s="7"/>
      <c r="B397" s="7"/>
      <c r="C397" s="7"/>
      <c r="D397" s="7"/>
      <c r="E397" s="7"/>
      <c r="F397" s="7"/>
    </row>
    <row r="398" ht="15.75" customHeight="1">
      <c r="A398" s="7"/>
      <c r="B398" s="7"/>
      <c r="C398" s="7"/>
      <c r="D398" s="7"/>
      <c r="E398" s="7"/>
      <c r="F398" s="7"/>
    </row>
    <row r="399" ht="15.75" customHeight="1">
      <c r="A399" s="7"/>
      <c r="B399" s="7"/>
      <c r="C399" s="7"/>
      <c r="D399" s="7"/>
      <c r="E399" s="7"/>
      <c r="F399" s="7"/>
    </row>
    <row r="400" ht="15.75" customHeight="1">
      <c r="A400" s="7"/>
      <c r="B400" s="7"/>
      <c r="C400" s="7"/>
      <c r="D400" s="7"/>
      <c r="E400" s="7"/>
      <c r="F400" s="7"/>
    </row>
    <row r="401" ht="15.75" customHeight="1">
      <c r="A401" s="7"/>
      <c r="B401" s="7"/>
      <c r="C401" s="7"/>
      <c r="D401" s="7"/>
      <c r="E401" s="7"/>
      <c r="F401" s="7"/>
    </row>
    <row r="402" ht="15.75" customHeight="1">
      <c r="A402" s="7"/>
      <c r="B402" s="7"/>
      <c r="C402" s="7"/>
      <c r="D402" s="7"/>
      <c r="E402" s="7"/>
      <c r="F402" s="7"/>
    </row>
    <row r="403" ht="15.75" customHeight="1">
      <c r="A403" s="7"/>
      <c r="B403" s="7"/>
      <c r="C403" s="7"/>
      <c r="D403" s="7"/>
      <c r="E403" s="7"/>
      <c r="F403" s="7"/>
    </row>
    <row r="404" ht="15.75" customHeight="1">
      <c r="A404" s="7"/>
      <c r="B404" s="7"/>
      <c r="C404" s="7"/>
      <c r="D404" s="7"/>
      <c r="E404" s="7"/>
      <c r="F404" s="7"/>
    </row>
    <row r="405" ht="15.75" customHeight="1">
      <c r="A405" s="7"/>
      <c r="B405" s="7"/>
      <c r="C405" s="7"/>
      <c r="D405" s="7"/>
      <c r="E405" s="7"/>
      <c r="F405" s="7"/>
    </row>
    <row r="406" ht="15.75" customHeight="1">
      <c r="A406" s="7"/>
      <c r="B406" s="7"/>
      <c r="C406" s="7"/>
      <c r="D406" s="7"/>
      <c r="E406" s="7"/>
      <c r="F406" s="7"/>
    </row>
    <row r="407" ht="15.75" customHeight="1">
      <c r="A407" s="7"/>
      <c r="B407" s="7"/>
      <c r="C407" s="7"/>
      <c r="D407" s="7"/>
      <c r="E407" s="7"/>
      <c r="F407" s="7"/>
    </row>
    <row r="408" ht="15.75" customHeight="1">
      <c r="A408" s="7"/>
      <c r="B408" s="7"/>
      <c r="C408" s="7"/>
      <c r="D408" s="7"/>
      <c r="E408" s="7"/>
      <c r="F408" s="7"/>
    </row>
    <row r="409" ht="15.75" customHeight="1">
      <c r="A409" s="7"/>
      <c r="B409" s="7"/>
      <c r="C409" s="7"/>
      <c r="D409" s="7"/>
      <c r="E409" s="7"/>
      <c r="F409" s="7"/>
    </row>
    <row r="410" ht="15.75" customHeight="1">
      <c r="A410" s="7"/>
      <c r="B410" s="7"/>
      <c r="C410" s="7"/>
      <c r="D410" s="7"/>
      <c r="E410" s="7"/>
      <c r="F410" s="7"/>
    </row>
    <row r="411" ht="15.75" customHeight="1">
      <c r="A411" s="7"/>
      <c r="B411" s="7"/>
      <c r="C411" s="7"/>
      <c r="D411" s="7"/>
      <c r="E411" s="7"/>
      <c r="F411" s="7"/>
    </row>
    <row r="412" ht="15.75" customHeight="1">
      <c r="A412" s="7"/>
      <c r="B412" s="7"/>
      <c r="C412" s="7"/>
      <c r="D412" s="7"/>
      <c r="E412" s="7"/>
      <c r="F412" s="7"/>
    </row>
    <row r="413" ht="15.75" customHeight="1">
      <c r="A413" s="7"/>
      <c r="B413" s="7"/>
      <c r="C413" s="7"/>
      <c r="D413" s="7"/>
      <c r="E413" s="7"/>
      <c r="F413" s="7"/>
    </row>
    <row r="414" ht="15.75" customHeight="1">
      <c r="A414" s="7"/>
      <c r="B414" s="7"/>
      <c r="C414" s="7"/>
      <c r="D414" s="7"/>
      <c r="E414" s="7"/>
      <c r="F414" s="7"/>
    </row>
    <row r="415" ht="15.75" customHeight="1">
      <c r="A415" s="7"/>
      <c r="B415" s="7"/>
      <c r="C415" s="7"/>
      <c r="D415" s="7"/>
      <c r="E415" s="7"/>
      <c r="F415" s="7"/>
    </row>
    <row r="416" ht="15.75" customHeight="1">
      <c r="A416" s="7"/>
      <c r="B416" s="7"/>
      <c r="C416" s="7"/>
      <c r="D416" s="7"/>
      <c r="E416" s="7"/>
      <c r="F416" s="7"/>
    </row>
    <row r="417" ht="15.75" customHeight="1">
      <c r="A417" s="7"/>
      <c r="B417" s="7"/>
      <c r="C417" s="7"/>
      <c r="D417" s="7"/>
      <c r="E417" s="7"/>
      <c r="F417" s="7"/>
    </row>
    <row r="418" ht="15.75" customHeight="1">
      <c r="A418" s="7"/>
      <c r="B418" s="7"/>
      <c r="C418" s="7"/>
      <c r="D418" s="7"/>
      <c r="E418" s="7"/>
      <c r="F418" s="7"/>
    </row>
    <row r="419" ht="15.75" customHeight="1">
      <c r="A419" s="7"/>
      <c r="B419" s="7"/>
      <c r="C419" s="7"/>
      <c r="D419" s="7"/>
      <c r="E419" s="7"/>
      <c r="F419" s="7"/>
    </row>
    <row r="420" ht="15.75" customHeight="1">
      <c r="A420" s="7"/>
      <c r="B420" s="7"/>
      <c r="C420" s="7"/>
      <c r="D420" s="7"/>
      <c r="E420" s="7"/>
      <c r="F420" s="7"/>
    </row>
    <row r="421" ht="15.75" customHeight="1">
      <c r="A421" s="7"/>
      <c r="B421" s="7"/>
      <c r="C421" s="7"/>
      <c r="D421" s="7"/>
      <c r="E421" s="7"/>
      <c r="F421" s="7"/>
    </row>
    <row r="422" ht="15.75" customHeight="1">
      <c r="A422" s="7"/>
      <c r="B422" s="7"/>
      <c r="C422" s="7"/>
      <c r="D422" s="7"/>
      <c r="E422" s="7"/>
      <c r="F422" s="7"/>
    </row>
    <row r="423" ht="15.75" customHeight="1">
      <c r="A423" s="7"/>
      <c r="B423" s="7"/>
      <c r="C423" s="7"/>
      <c r="D423" s="7"/>
      <c r="E423" s="7"/>
      <c r="F423" s="7"/>
    </row>
    <row r="424" ht="15.75" customHeight="1">
      <c r="A424" s="7"/>
      <c r="B424" s="7"/>
      <c r="C424" s="7"/>
      <c r="D424" s="7"/>
      <c r="E424" s="7"/>
      <c r="F424" s="7"/>
    </row>
    <row r="425" ht="15.75" customHeight="1">
      <c r="A425" s="7"/>
      <c r="B425" s="7"/>
      <c r="C425" s="7"/>
      <c r="D425" s="7"/>
      <c r="E425" s="7"/>
      <c r="F425" s="7"/>
    </row>
    <row r="426" ht="15.75" customHeight="1">
      <c r="A426" s="7"/>
      <c r="B426" s="7"/>
      <c r="C426" s="7"/>
      <c r="D426" s="7"/>
      <c r="E426" s="7"/>
      <c r="F426" s="7"/>
    </row>
    <row r="427" ht="15.75" customHeight="1">
      <c r="A427" s="7"/>
      <c r="B427" s="7"/>
      <c r="C427" s="7"/>
      <c r="D427" s="7"/>
      <c r="E427" s="7"/>
      <c r="F427" s="7"/>
    </row>
    <row r="428" ht="15.75" customHeight="1">
      <c r="A428" s="7"/>
      <c r="B428" s="7"/>
      <c r="C428" s="7"/>
      <c r="D428" s="7"/>
      <c r="E428" s="7"/>
      <c r="F428" s="7"/>
    </row>
    <row r="429" ht="15.75" customHeight="1">
      <c r="A429" s="7"/>
      <c r="B429" s="7"/>
      <c r="C429" s="7"/>
      <c r="D429" s="7"/>
      <c r="E429" s="7"/>
      <c r="F429" s="7"/>
    </row>
    <row r="430" ht="15.75" customHeight="1">
      <c r="A430" s="7"/>
      <c r="B430" s="7"/>
      <c r="C430" s="7"/>
      <c r="D430" s="7"/>
      <c r="E430" s="7"/>
      <c r="F430" s="7"/>
    </row>
    <row r="431" ht="15.75" customHeight="1">
      <c r="A431" s="7"/>
      <c r="B431" s="7"/>
      <c r="C431" s="7"/>
      <c r="D431" s="7"/>
      <c r="E431" s="7"/>
      <c r="F431" s="7"/>
    </row>
    <row r="432" ht="15.75" customHeight="1">
      <c r="A432" s="7"/>
      <c r="B432" s="7"/>
      <c r="C432" s="7"/>
      <c r="D432" s="7"/>
      <c r="E432" s="7"/>
      <c r="F432" s="7"/>
    </row>
    <row r="433" ht="15.75" customHeight="1">
      <c r="A433" s="7"/>
      <c r="B433" s="7"/>
      <c r="C433" s="7"/>
      <c r="D433" s="7"/>
      <c r="E433" s="7"/>
      <c r="F433" s="7"/>
    </row>
    <row r="434" ht="15.75" customHeight="1">
      <c r="A434" s="7"/>
      <c r="B434" s="7"/>
      <c r="C434" s="7"/>
      <c r="D434" s="7"/>
      <c r="E434" s="7"/>
      <c r="F434" s="7"/>
    </row>
    <row r="435" ht="15.75" customHeight="1">
      <c r="A435" s="7"/>
      <c r="B435" s="7"/>
      <c r="C435" s="7"/>
      <c r="D435" s="7"/>
      <c r="E435" s="7"/>
      <c r="F435" s="7"/>
    </row>
    <row r="436" ht="15.75" customHeight="1">
      <c r="A436" s="7"/>
      <c r="B436" s="7"/>
      <c r="C436" s="7"/>
      <c r="D436" s="7"/>
      <c r="E436" s="7"/>
      <c r="F436" s="7"/>
    </row>
    <row r="437" ht="15.75" customHeight="1">
      <c r="A437" s="7"/>
      <c r="B437" s="7"/>
      <c r="C437" s="7"/>
      <c r="D437" s="7"/>
      <c r="E437" s="7"/>
      <c r="F437" s="7"/>
    </row>
    <row r="438" ht="15.75" customHeight="1">
      <c r="A438" s="7"/>
      <c r="B438" s="7"/>
      <c r="C438" s="7"/>
      <c r="D438" s="7"/>
      <c r="E438" s="7"/>
      <c r="F438" s="7"/>
    </row>
    <row r="439" ht="15.75" customHeight="1">
      <c r="A439" s="7"/>
      <c r="B439" s="7"/>
      <c r="C439" s="7"/>
      <c r="D439" s="7"/>
      <c r="E439" s="7"/>
      <c r="F439" s="7"/>
    </row>
    <row r="440" ht="15.75" customHeight="1">
      <c r="A440" s="7"/>
      <c r="B440" s="7"/>
      <c r="C440" s="7"/>
      <c r="D440" s="7"/>
      <c r="E440" s="7"/>
      <c r="F440" s="7"/>
    </row>
    <row r="441" ht="15.75" customHeight="1">
      <c r="A441" s="7"/>
      <c r="B441" s="7"/>
      <c r="C441" s="7"/>
      <c r="D441" s="7"/>
      <c r="E441" s="7"/>
      <c r="F441" s="7"/>
    </row>
    <row r="442" ht="15.75" customHeight="1">
      <c r="A442" s="7"/>
      <c r="B442" s="7"/>
      <c r="C442" s="7"/>
      <c r="D442" s="7"/>
      <c r="E442" s="7"/>
      <c r="F442" s="7"/>
    </row>
    <row r="443" ht="15.75" customHeight="1">
      <c r="A443" s="7"/>
      <c r="B443" s="7"/>
      <c r="C443" s="7"/>
      <c r="D443" s="7"/>
      <c r="E443" s="7"/>
      <c r="F443" s="7"/>
    </row>
    <row r="444" ht="15.75" customHeight="1">
      <c r="A444" s="7"/>
      <c r="B444" s="7"/>
      <c r="C444" s="7"/>
      <c r="D444" s="7"/>
      <c r="E444" s="7"/>
      <c r="F444" s="7"/>
    </row>
    <row r="445" ht="15.75" customHeight="1">
      <c r="A445" s="7"/>
      <c r="B445" s="7"/>
      <c r="C445" s="7"/>
      <c r="D445" s="7"/>
      <c r="E445" s="7"/>
      <c r="F445" s="7"/>
    </row>
    <row r="446" ht="15.75" customHeight="1">
      <c r="A446" s="7"/>
      <c r="B446" s="7"/>
      <c r="C446" s="7"/>
      <c r="D446" s="7"/>
      <c r="E446" s="7"/>
      <c r="F446" s="7"/>
    </row>
    <row r="447" ht="15.75" customHeight="1">
      <c r="A447" s="7"/>
      <c r="B447" s="7"/>
      <c r="C447" s="7"/>
      <c r="D447" s="7"/>
      <c r="E447" s="7"/>
      <c r="F447" s="7"/>
    </row>
    <row r="448" ht="15.75" customHeight="1">
      <c r="A448" s="7"/>
      <c r="B448" s="7"/>
      <c r="C448" s="7"/>
      <c r="D448" s="7"/>
      <c r="E448" s="7"/>
      <c r="F448" s="7"/>
    </row>
    <row r="449" ht="15.75" customHeight="1">
      <c r="A449" s="7"/>
      <c r="B449" s="7"/>
      <c r="C449" s="7"/>
      <c r="D449" s="7"/>
      <c r="E449" s="7"/>
      <c r="F449" s="7"/>
    </row>
    <row r="450" ht="15.75" customHeight="1">
      <c r="A450" s="7"/>
      <c r="B450" s="7"/>
      <c r="C450" s="7"/>
      <c r="D450" s="7"/>
      <c r="E450" s="7"/>
      <c r="F450" s="7"/>
    </row>
    <row r="451" ht="15.75" customHeight="1">
      <c r="A451" s="7"/>
      <c r="B451" s="7"/>
      <c r="C451" s="7"/>
      <c r="D451" s="7"/>
      <c r="E451" s="7"/>
      <c r="F451" s="7"/>
    </row>
    <row r="452" ht="15.75" customHeight="1">
      <c r="A452" s="7"/>
      <c r="B452" s="7"/>
      <c r="C452" s="7"/>
      <c r="D452" s="7"/>
      <c r="E452" s="7"/>
      <c r="F452" s="7"/>
    </row>
    <row r="453" ht="15.75" customHeight="1">
      <c r="A453" s="7"/>
      <c r="B453" s="7"/>
      <c r="C453" s="7"/>
      <c r="D453" s="7"/>
      <c r="E453" s="7"/>
      <c r="F453" s="7"/>
    </row>
    <row r="454" ht="15.75" customHeight="1">
      <c r="A454" s="7"/>
      <c r="B454" s="7"/>
      <c r="C454" s="7"/>
      <c r="D454" s="7"/>
      <c r="E454" s="7"/>
      <c r="F454" s="7"/>
    </row>
    <row r="455" ht="15.75" customHeight="1">
      <c r="A455" s="7"/>
      <c r="B455" s="7"/>
      <c r="C455" s="7"/>
      <c r="D455" s="7"/>
      <c r="E455" s="7"/>
      <c r="F455" s="7"/>
    </row>
    <row r="456" ht="15.75" customHeight="1">
      <c r="A456" s="7"/>
      <c r="B456" s="7"/>
      <c r="C456" s="7"/>
      <c r="D456" s="7"/>
      <c r="E456" s="7"/>
      <c r="F456" s="7"/>
    </row>
    <row r="457" ht="15.75" customHeight="1">
      <c r="A457" s="7"/>
      <c r="B457" s="7"/>
      <c r="C457" s="7"/>
      <c r="D457" s="7"/>
      <c r="E457" s="7"/>
      <c r="F457" s="7"/>
    </row>
    <row r="458" ht="15.75" customHeight="1">
      <c r="A458" s="7"/>
      <c r="B458" s="7"/>
      <c r="C458" s="7"/>
      <c r="D458" s="7"/>
      <c r="E458" s="7"/>
      <c r="F458" s="7"/>
    </row>
    <row r="459" ht="15.75" customHeight="1">
      <c r="A459" s="7"/>
      <c r="B459" s="7"/>
      <c r="C459" s="7"/>
      <c r="D459" s="7"/>
      <c r="E459" s="7"/>
      <c r="F459" s="7"/>
    </row>
    <row r="460" ht="15.75" customHeight="1">
      <c r="A460" s="7"/>
      <c r="B460" s="7"/>
      <c r="C460" s="7"/>
      <c r="D460" s="7"/>
      <c r="E460" s="7"/>
      <c r="F460" s="7"/>
    </row>
    <row r="461" ht="15.75" customHeight="1">
      <c r="A461" s="7"/>
      <c r="B461" s="7"/>
      <c r="C461" s="7"/>
      <c r="D461" s="7"/>
      <c r="E461" s="7"/>
      <c r="F461" s="7"/>
    </row>
    <row r="462" ht="15.75" customHeight="1">
      <c r="A462" s="7"/>
      <c r="B462" s="7"/>
      <c r="C462" s="7"/>
      <c r="D462" s="7"/>
      <c r="E462" s="7"/>
      <c r="F462" s="7"/>
    </row>
    <row r="463" ht="15.75" customHeight="1">
      <c r="A463" s="7"/>
      <c r="B463" s="7"/>
      <c r="C463" s="7"/>
      <c r="D463" s="7"/>
      <c r="E463" s="7"/>
      <c r="F463" s="7"/>
    </row>
    <row r="464" ht="15.75" customHeight="1">
      <c r="A464" s="7"/>
      <c r="B464" s="7"/>
      <c r="C464" s="7"/>
      <c r="D464" s="7"/>
      <c r="E464" s="7"/>
      <c r="F464" s="7"/>
    </row>
    <row r="465" ht="15.75" customHeight="1">
      <c r="A465" s="7"/>
      <c r="B465" s="7"/>
      <c r="C465" s="7"/>
      <c r="D465" s="7"/>
      <c r="E465" s="7"/>
      <c r="F465" s="7"/>
    </row>
    <row r="466" ht="15.75" customHeight="1">
      <c r="A466" s="7"/>
      <c r="B466" s="7"/>
      <c r="C466" s="7"/>
      <c r="D466" s="7"/>
      <c r="E466" s="7"/>
      <c r="F466" s="7"/>
    </row>
    <row r="467" ht="15.75" customHeight="1">
      <c r="A467" s="7"/>
      <c r="B467" s="7"/>
      <c r="C467" s="7"/>
      <c r="D467" s="7"/>
      <c r="E467" s="7"/>
      <c r="F467" s="7"/>
    </row>
    <row r="468" ht="15.75" customHeight="1">
      <c r="A468" s="7"/>
      <c r="B468" s="7"/>
      <c r="C468" s="7"/>
      <c r="D468" s="7"/>
      <c r="E468" s="7"/>
      <c r="F468" s="7"/>
    </row>
    <row r="469" ht="15.75" customHeight="1">
      <c r="A469" s="7"/>
      <c r="B469" s="7"/>
      <c r="C469" s="7"/>
      <c r="D469" s="7"/>
      <c r="E469" s="7"/>
      <c r="F469" s="7"/>
    </row>
    <row r="470" ht="15.75" customHeight="1">
      <c r="A470" s="7"/>
      <c r="B470" s="7"/>
      <c r="C470" s="7"/>
      <c r="D470" s="7"/>
      <c r="E470" s="7"/>
      <c r="F470" s="7"/>
    </row>
    <row r="471" ht="15.75" customHeight="1">
      <c r="A471" s="7"/>
      <c r="B471" s="7"/>
      <c r="C471" s="7"/>
      <c r="D471" s="7"/>
      <c r="E471" s="7"/>
      <c r="F471" s="7"/>
    </row>
    <row r="472" ht="15.75" customHeight="1">
      <c r="A472" s="7"/>
      <c r="B472" s="7"/>
      <c r="C472" s="7"/>
      <c r="D472" s="7"/>
      <c r="E472" s="7"/>
      <c r="F472" s="7"/>
    </row>
    <row r="473" ht="15.75" customHeight="1">
      <c r="A473" s="7"/>
      <c r="B473" s="7"/>
      <c r="C473" s="7"/>
      <c r="D473" s="7"/>
      <c r="E473" s="7"/>
      <c r="F473" s="7"/>
    </row>
    <row r="474" ht="15.75" customHeight="1">
      <c r="A474" s="7"/>
      <c r="B474" s="7"/>
      <c r="C474" s="7"/>
      <c r="D474" s="7"/>
      <c r="E474" s="7"/>
      <c r="F474" s="7"/>
    </row>
    <row r="475" ht="15.75" customHeight="1">
      <c r="A475" s="7"/>
      <c r="B475" s="7"/>
      <c r="C475" s="7"/>
      <c r="D475" s="7"/>
      <c r="E475" s="7"/>
      <c r="F475" s="7"/>
    </row>
    <row r="476" ht="15.75" customHeight="1">
      <c r="A476" s="7"/>
      <c r="B476" s="7"/>
      <c r="C476" s="7"/>
      <c r="D476" s="7"/>
      <c r="E476" s="7"/>
      <c r="F476" s="7"/>
    </row>
    <row r="477" ht="15.75" customHeight="1">
      <c r="A477" s="7"/>
      <c r="B477" s="7"/>
      <c r="C477" s="7"/>
      <c r="D477" s="7"/>
      <c r="E477" s="7"/>
      <c r="F477" s="7"/>
    </row>
    <row r="478" ht="15.75" customHeight="1">
      <c r="A478" s="7"/>
      <c r="B478" s="7"/>
      <c r="C478" s="7"/>
      <c r="D478" s="7"/>
      <c r="E478" s="7"/>
      <c r="F478" s="7"/>
    </row>
    <row r="479" ht="15.75" customHeight="1">
      <c r="A479" s="7"/>
      <c r="B479" s="7"/>
      <c r="C479" s="7"/>
      <c r="D479" s="7"/>
      <c r="E479" s="7"/>
      <c r="F479" s="7"/>
    </row>
    <row r="480" ht="15.75" customHeight="1">
      <c r="A480" s="7"/>
      <c r="B480" s="7"/>
      <c r="C480" s="7"/>
      <c r="D480" s="7"/>
      <c r="E480" s="7"/>
      <c r="F480" s="7"/>
    </row>
    <row r="481" ht="15.75" customHeight="1">
      <c r="A481" s="7"/>
      <c r="B481" s="7"/>
      <c r="C481" s="7"/>
      <c r="D481" s="7"/>
      <c r="E481" s="7"/>
      <c r="F481" s="7"/>
    </row>
    <row r="482" ht="15.75" customHeight="1">
      <c r="A482" s="7"/>
      <c r="B482" s="7"/>
      <c r="C482" s="7"/>
      <c r="D482" s="7"/>
      <c r="E482" s="7"/>
      <c r="F482" s="7"/>
    </row>
    <row r="483" ht="15.75" customHeight="1">
      <c r="A483" s="7"/>
      <c r="B483" s="7"/>
      <c r="C483" s="7"/>
      <c r="D483" s="7"/>
      <c r="E483" s="7"/>
      <c r="F483" s="7"/>
    </row>
    <row r="484" ht="15.75" customHeight="1">
      <c r="A484" s="7"/>
      <c r="B484" s="7"/>
      <c r="C484" s="7"/>
      <c r="D484" s="7"/>
      <c r="E484" s="7"/>
      <c r="F484" s="7"/>
    </row>
    <row r="485" ht="15.75" customHeight="1">
      <c r="A485" s="7"/>
      <c r="B485" s="7"/>
      <c r="C485" s="7"/>
      <c r="D485" s="7"/>
      <c r="E485" s="7"/>
      <c r="F485" s="7"/>
    </row>
    <row r="486" ht="15.75" customHeight="1">
      <c r="A486" s="7"/>
      <c r="B486" s="7"/>
      <c r="C486" s="7"/>
      <c r="D486" s="7"/>
      <c r="E486" s="7"/>
      <c r="F486" s="7"/>
    </row>
    <row r="487" ht="15.75" customHeight="1">
      <c r="A487" s="7"/>
      <c r="B487" s="7"/>
      <c r="C487" s="7"/>
      <c r="D487" s="7"/>
      <c r="E487" s="7"/>
      <c r="F487" s="7"/>
    </row>
    <row r="488" ht="15.75" customHeight="1">
      <c r="A488" s="7"/>
      <c r="B488" s="7"/>
      <c r="C488" s="7"/>
      <c r="D488" s="7"/>
      <c r="E488" s="7"/>
      <c r="F488" s="7"/>
    </row>
    <row r="489" ht="15.75" customHeight="1">
      <c r="A489" s="7"/>
      <c r="B489" s="7"/>
      <c r="C489" s="7"/>
      <c r="D489" s="7"/>
      <c r="E489" s="7"/>
      <c r="F489" s="7"/>
    </row>
    <row r="490" ht="15.75" customHeight="1">
      <c r="A490" s="7"/>
      <c r="B490" s="7"/>
      <c r="C490" s="7"/>
      <c r="D490" s="7"/>
      <c r="E490" s="7"/>
      <c r="F490" s="7"/>
    </row>
    <row r="491" ht="15.75" customHeight="1">
      <c r="A491" s="7"/>
      <c r="B491" s="7"/>
      <c r="C491" s="7"/>
      <c r="D491" s="7"/>
      <c r="E491" s="7"/>
      <c r="F491" s="7"/>
    </row>
    <row r="492" ht="15.75" customHeight="1">
      <c r="A492" s="7"/>
      <c r="B492" s="7"/>
      <c r="C492" s="7"/>
      <c r="D492" s="7"/>
      <c r="E492" s="7"/>
      <c r="F492" s="7"/>
    </row>
    <row r="493" ht="15.75" customHeight="1">
      <c r="A493" s="7"/>
      <c r="B493" s="7"/>
      <c r="C493" s="7"/>
      <c r="D493" s="7"/>
      <c r="E493" s="7"/>
      <c r="F493" s="7"/>
    </row>
    <row r="494" ht="15.75" customHeight="1">
      <c r="A494" s="7"/>
      <c r="B494" s="7"/>
      <c r="C494" s="7"/>
      <c r="D494" s="7"/>
      <c r="E494" s="7"/>
      <c r="F494" s="7"/>
    </row>
    <row r="495" ht="15.75" customHeight="1">
      <c r="A495" s="7"/>
      <c r="B495" s="7"/>
      <c r="C495" s="7"/>
      <c r="D495" s="7"/>
      <c r="E495" s="7"/>
      <c r="F495" s="7"/>
    </row>
    <row r="496" ht="15.75" customHeight="1">
      <c r="A496" s="7"/>
      <c r="B496" s="7"/>
      <c r="C496" s="7"/>
      <c r="D496" s="7"/>
      <c r="E496" s="7"/>
      <c r="F496" s="7"/>
    </row>
    <row r="497" ht="15.75" customHeight="1">
      <c r="A497" s="7"/>
      <c r="B497" s="7"/>
      <c r="C497" s="7"/>
      <c r="D497" s="7"/>
      <c r="E497" s="7"/>
      <c r="F497" s="7"/>
    </row>
    <row r="498" ht="15.75" customHeight="1">
      <c r="A498" s="7"/>
      <c r="B498" s="7"/>
      <c r="C498" s="7"/>
      <c r="D498" s="7"/>
      <c r="E498" s="7"/>
      <c r="F498" s="7"/>
    </row>
    <row r="499" ht="15.75" customHeight="1">
      <c r="A499" s="7"/>
      <c r="B499" s="7"/>
      <c r="C499" s="7"/>
      <c r="D499" s="7"/>
      <c r="E499" s="7"/>
      <c r="F499" s="7"/>
    </row>
    <row r="500" ht="15.75" customHeight="1">
      <c r="A500" s="7"/>
      <c r="B500" s="7"/>
      <c r="C500" s="7"/>
      <c r="D500" s="7"/>
      <c r="E500" s="7"/>
      <c r="F500" s="7"/>
    </row>
    <row r="501" ht="15.75" customHeight="1">
      <c r="A501" s="7"/>
      <c r="B501" s="7"/>
      <c r="C501" s="7"/>
      <c r="D501" s="7"/>
      <c r="E501" s="7"/>
      <c r="F501" s="7"/>
    </row>
    <row r="502" ht="15.75" customHeight="1">
      <c r="A502" s="7"/>
      <c r="B502" s="7"/>
      <c r="C502" s="7"/>
      <c r="D502" s="7"/>
      <c r="E502" s="7"/>
      <c r="F502" s="7"/>
    </row>
    <row r="503" ht="15.75" customHeight="1">
      <c r="A503" s="7"/>
      <c r="B503" s="7"/>
      <c r="C503" s="7"/>
      <c r="D503" s="7"/>
      <c r="E503" s="7"/>
      <c r="F503" s="7"/>
    </row>
    <row r="504" ht="15.75" customHeight="1">
      <c r="A504" s="7"/>
      <c r="B504" s="7"/>
      <c r="C504" s="7"/>
      <c r="D504" s="7"/>
      <c r="E504" s="7"/>
      <c r="F504" s="7"/>
    </row>
    <row r="505" ht="15.75" customHeight="1">
      <c r="A505" s="7"/>
      <c r="B505" s="7"/>
      <c r="C505" s="7"/>
      <c r="D505" s="7"/>
      <c r="E505" s="7"/>
      <c r="F505" s="7"/>
    </row>
    <row r="506" ht="15.75" customHeight="1">
      <c r="A506" s="7"/>
      <c r="B506" s="7"/>
      <c r="C506" s="7"/>
      <c r="D506" s="7"/>
      <c r="E506" s="7"/>
      <c r="F506" s="7"/>
    </row>
    <row r="507" ht="15.75" customHeight="1">
      <c r="A507" s="7"/>
      <c r="B507" s="7"/>
      <c r="C507" s="7"/>
      <c r="D507" s="7"/>
      <c r="E507" s="7"/>
      <c r="F507" s="7"/>
    </row>
    <row r="508" ht="15.75" customHeight="1">
      <c r="A508" s="7"/>
      <c r="B508" s="7"/>
      <c r="C508" s="7"/>
      <c r="D508" s="7"/>
      <c r="E508" s="7"/>
      <c r="F508" s="7"/>
    </row>
    <row r="509" ht="15.75" customHeight="1">
      <c r="A509" s="7"/>
      <c r="B509" s="7"/>
      <c r="C509" s="7"/>
      <c r="D509" s="7"/>
      <c r="E509" s="7"/>
      <c r="F509" s="7"/>
    </row>
    <row r="510" ht="15.75" customHeight="1">
      <c r="A510" s="7"/>
      <c r="B510" s="7"/>
      <c r="C510" s="7"/>
      <c r="D510" s="7"/>
      <c r="E510" s="7"/>
      <c r="F510" s="7"/>
    </row>
    <row r="511" ht="15.75" customHeight="1">
      <c r="A511" s="7"/>
      <c r="B511" s="7"/>
      <c r="C511" s="7"/>
      <c r="D511" s="7"/>
      <c r="E511" s="7"/>
      <c r="F511" s="7"/>
    </row>
    <row r="512" ht="15.75" customHeight="1">
      <c r="A512" s="7"/>
      <c r="B512" s="7"/>
      <c r="C512" s="7"/>
      <c r="D512" s="7"/>
      <c r="E512" s="7"/>
      <c r="F512" s="7"/>
    </row>
    <row r="513" ht="15.75" customHeight="1">
      <c r="A513" s="7"/>
      <c r="B513" s="7"/>
      <c r="C513" s="7"/>
      <c r="D513" s="7"/>
      <c r="E513" s="7"/>
      <c r="F513" s="7"/>
    </row>
    <row r="514" ht="15.75" customHeight="1">
      <c r="A514" s="7"/>
      <c r="B514" s="7"/>
      <c r="C514" s="7"/>
      <c r="D514" s="7"/>
      <c r="E514" s="7"/>
      <c r="F514" s="7"/>
    </row>
    <row r="515" ht="15.75" customHeight="1">
      <c r="A515" s="7"/>
      <c r="B515" s="7"/>
      <c r="C515" s="7"/>
      <c r="D515" s="7"/>
      <c r="E515" s="7"/>
      <c r="F515" s="7"/>
    </row>
    <row r="516" ht="15.75" customHeight="1">
      <c r="A516" s="7"/>
      <c r="B516" s="7"/>
      <c r="C516" s="7"/>
      <c r="D516" s="7"/>
      <c r="E516" s="7"/>
      <c r="F516" s="7"/>
    </row>
    <row r="517" ht="15.75" customHeight="1">
      <c r="A517" s="7"/>
      <c r="B517" s="7"/>
      <c r="C517" s="7"/>
      <c r="D517" s="7"/>
      <c r="E517" s="7"/>
      <c r="F517" s="7"/>
    </row>
    <row r="518" ht="15.75" customHeight="1">
      <c r="A518" s="7"/>
      <c r="B518" s="7"/>
      <c r="C518" s="7"/>
      <c r="D518" s="7"/>
      <c r="E518" s="7"/>
      <c r="F518" s="7"/>
    </row>
    <row r="519" ht="15.75" customHeight="1">
      <c r="A519" s="7"/>
      <c r="B519" s="7"/>
      <c r="C519" s="7"/>
      <c r="D519" s="7"/>
      <c r="E519" s="7"/>
      <c r="F519" s="7"/>
    </row>
    <row r="520" ht="15.75" customHeight="1">
      <c r="A520" s="7"/>
      <c r="B520" s="7"/>
      <c r="C520" s="7"/>
      <c r="D520" s="7"/>
      <c r="E520" s="7"/>
      <c r="F520" s="7"/>
    </row>
    <row r="521" ht="15.75" customHeight="1">
      <c r="A521" s="7"/>
      <c r="B521" s="7"/>
      <c r="C521" s="7"/>
      <c r="D521" s="7"/>
      <c r="E521" s="7"/>
      <c r="F521" s="7"/>
    </row>
    <row r="522" ht="15.75" customHeight="1">
      <c r="A522" s="7"/>
      <c r="B522" s="7"/>
      <c r="C522" s="7"/>
      <c r="D522" s="7"/>
      <c r="E522" s="7"/>
      <c r="F522" s="7"/>
    </row>
    <row r="523" ht="15.75" customHeight="1">
      <c r="A523" s="7"/>
      <c r="B523" s="7"/>
      <c r="C523" s="7"/>
      <c r="D523" s="7"/>
      <c r="E523" s="7"/>
      <c r="F523" s="7"/>
    </row>
    <row r="524" ht="15.75" customHeight="1">
      <c r="A524" s="7"/>
      <c r="B524" s="7"/>
      <c r="C524" s="7"/>
      <c r="D524" s="7"/>
      <c r="E524" s="7"/>
      <c r="F524" s="7"/>
    </row>
    <row r="525" ht="15.75" customHeight="1">
      <c r="A525" s="7"/>
      <c r="B525" s="7"/>
      <c r="C525" s="7"/>
      <c r="D525" s="7"/>
      <c r="E525" s="7"/>
      <c r="F525" s="7"/>
    </row>
    <row r="526" ht="15.75" customHeight="1">
      <c r="A526" s="7"/>
      <c r="B526" s="7"/>
      <c r="C526" s="7"/>
      <c r="D526" s="7"/>
      <c r="E526" s="7"/>
      <c r="F526" s="7"/>
    </row>
    <row r="527" ht="15.75" customHeight="1">
      <c r="A527" s="7"/>
      <c r="B527" s="7"/>
      <c r="C527" s="7"/>
      <c r="D527" s="7"/>
      <c r="E527" s="7"/>
      <c r="F527" s="7"/>
    </row>
    <row r="528" ht="15.75" customHeight="1">
      <c r="A528" s="7"/>
      <c r="B528" s="7"/>
      <c r="C528" s="7"/>
      <c r="D528" s="7"/>
      <c r="E528" s="7"/>
      <c r="F528" s="7"/>
    </row>
    <row r="529" ht="15.75" customHeight="1">
      <c r="A529" s="7"/>
      <c r="B529" s="7"/>
      <c r="C529" s="7"/>
      <c r="D529" s="7"/>
      <c r="E529" s="7"/>
      <c r="F529" s="7"/>
    </row>
    <row r="530" ht="15.75" customHeight="1">
      <c r="A530" s="7"/>
      <c r="B530" s="7"/>
      <c r="C530" s="7"/>
      <c r="D530" s="7"/>
      <c r="E530" s="7"/>
      <c r="F530" s="7"/>
    </row>
    <row r="531" ht="15.75" customHeight="1">
      <c r="A531" s="7"/>
      <c r="B531" s="7"/>
      <c r="C531" s="7"/>
      <c r="D531" s="7"/>
      <c r="E531" s="7"/>
      <c r="F531" s="7"/>
    </row>
    <row r="532" ht="15.75" customHeight="1">
      <c r="A532" s="7"/>
      <c r="B532" s="7"/>
      <c r="C532" s="7"/>
      <c r="D532" s="7"/>
      <c r="E532" s="7"/>
      <c r="F532" s="7"/>
    </row>
    <row r="533" ht="15.75" customHeight="1">
      <c r="A533" s="7"/>
      <c r="B533" s="7"/>
      <c r="C533" s="7"/>
      <c r="D533" s="7"/>
      <c r="E533" s="7"/>
      <c r="F533" s="7"/>
    </row>
    <row r="534" ht="15.75" customHeight="1">
      <c r="A534" s="7"/>
      <c r="B534" s="7"/>
      <c r="C534" s="7"/>
      <c r="D534" s="7"/>
      <c r="E534" s="7"/>
      <c r="F534" s="7"/>
    </row>
    <row r="535" ht="15.75" customHeight="1">
      <c r="A535" s="7"/>
      <c r="B535" s="7"/>
      <c r="C535" s="7"/>
      <c r="D535" s="7"/>
      <c r="E535" s="7"/>
      <c r="F535" s="7"/>
    </row>
    <row r="536" ht="15.75" customHeight="1">
      <c r="A536" s="7"/>
      <c r="B536" s="7"/>
      <c r="C536" s="7"/>
      <c r="D536" s="7"/>
      <c r="E536" s="7"/>
      <c r="F536" s="7"/>
    </row>
    <row r="537" ht="15.75" customHeight="1">
      <c r="A537" s="7"/>
      <c r="B537" s="7"/>
      <c r="C537" s="7"/>
      <c r="D537" s="7"/>
      <c r="E537" s="7"/>
      <c r="F537" s="7"/>
    </row>
    <row r="538" ht="15.75" customHeight="1">
      <c r="A538" s="7"/>
      <c r="B538" s="7"/>
      <c r="C538" s="7"/>
      <c r="D538" s="7"/>
      <c r="E538" s="7"/>
      <c r="F538" s="7"/>
    </row>
    <row r="539" ht="15.75" customHeight="1">
      <c r="A539" s="7"/>
      <c r="B539" s="7"/>
      <c r="C539" s="7"/>
      <c r="D539" s="7"/>
      <c r="E539" s="7"/>
      <c r="F539" s="7"/>
    </row>
    <row r="540" ht="15.75" customHeight="1">
      <c r="A540" s="7"/>
      <c r="B540" s="7"/>
      <c r="C540" s="7"/>
      <c r="D540" s="7"/>
      <c r="E540" s="7"/>
      <c r="F540" s="7"/>
    </row>
    <row r="541" ht="15.75" customHeight="1">
      <c r="A541" s="7"/>
      <c r="B541" s="7"/>
      <c r="C541" s="7"/>
      <c r="D541" s="7"/>
      <c r="E541" s="7"/>
      <c r="F541" s="7"/>
    </row>
    <row r="542" ht="15.75" customHeight="1">
      <c r="A542" s="7"/>
      <c r="B542" s="7"/>
      <c r="C542" s="7"/>
      <c r="D542" s="7"/>
      <c r="E542" s="7"/>
      <c r="F542" s="7"/>
    </row>
    <row r="543" ht="15.75" customHeight="1">
      <c r="A543" s="7"/>
      <c r="B543" s="7"/>
      <c r="C543" s="7"/>
      <c r="D543" s="7"/>
      <c r="E543" s="7"/>
      <c r="F543" s="7"/>
    </row>
    <row r="544" ht="15.75" customHeight="1">
      <c r="A544" s="7"/>
      <c r="B544" s="7"/>
      <c r="C544" s="7"/>
      <c r="D544" s="7"/>
      <c r="E544" s="7"/>
      <c r="F544" s="7"/>
    </row>
    <row r="545" ht="15.75" customHeight="1">
      <c r="A545" s="7"/>
      <c r="B545" s="7"/>
      <c r="C545" s="7"/>
      <c r="D545" s="7"/>
      <c r="E545" s="7"/>
      <c r="F545" s="7"/>
    </row>
    <row r="546" ht="15.75" customHeight="1">
      <c r="A546" s="7"/>
      <c r="B546" s="7"/>
      <c r="C546" s="7"/>
      <c r="D546" s="7"/>
      <c r="E546" s="7"/>
      <c r="F546" s="7"/>
    </row>
    <row r="547" ht="15.75" customHeight="1">
      <c r="A547" s="7"/>
      <c r="B547" s="7"/>
      <c r="C547" s="7"/>
      <c r="D547" s="7"/>
      <c r="E547" s="7"/>
      <c r="F547" s="7"/>
    </row>
    <row r="548" ht="15.75" customHeight="1">
      <c r="A548" s="7"/>
      <c r="B548" s="7"/>
      <c r="C548" s="7"/>
      <c r="D548" s="7"/>
      <c r="E548" s="7"/>
      <c r="F548" s="7"/>
    </row>
    <row r="549" ht="15.75" customHeight="1">
      <c r="A549" s="7"/>
      <c r="B549" s="7"/>
      <c r="C549" s="7"/>
      <c r="D549" s="7"/>
      <c r="E549" s="7"/>
      <c r="F549" s="7"/>
    </row>
    <row r="550" ht="15.75" customHeight="1">
      <c r="A550" s="7"/>
      <c r="B550" s="7"/>
      <c r="C550" s="7"/>
      <c r="D550" s="7"/>
      <c r="E550" s="7"/>
      <c r="F550" s="7"/>
    </row>
    <row r="551" ht="15.75" customHeight="1">
      <c r="A551" s="7"/>
      <c r="B551" s="7"/>
      <c r="C551" s="7"/>
      <c r="D551" s="7"/>
      <c r="E551" s="7"/>
      <c r="F551" s="7"/>
    </row>
    <row r="552" ht="15.75" customHeight="1">
      <c r="A552" s="7"/>
      <c r="B552" s="7"/>
      <c r="C552" s="7"/>
      <c r="D552" s="7"/>
      <c r="E552" s="7"/>
      <c r="F552" s="7"/>
    </row>
    <row r="553" ht="15.75" customHeight="1">
      <c r="A553" s="7"/>
      <c r="B553" s="7"/>
      <c r="C553" s="7"/>
      <c r="D553" s="7"/>
      <c r="E553" s="7"/>
      <c r="F553" s="7"/>
    </row>
    <row r="554" ht="15.75" customHeight="1">
      <c r="A554" s="7"/>
      <c r="B554" s="7"/>
      <c r="C554" s="7"/>
      <c r="D554" s="7"/>
      <c r="E554" s="7"/>
      <c r="F554" s="7"/>
    </row>
    <row r="555" ht="15.75" customHeight="1">
      <c r="A555" s="7"/>
      <c r="B555" s="7"/>
      <c r="C555" s="7"/>
      <c r="D555" s="7"/>
      <c r="E555" s="7"/>
      <c r="F555" s="7"/>
    </row>
    <row r="556" ht="15.75" customHeight="1">
      <c r="A556" s="7"/>
      <c r="B556" s="7"/>
      <c r="C556" s="7"/>
      <c r="D556" s="7"/>
      <c r="E556" s="7"/>
      <c r="F556" s="7"/>
    </row>
    <row r="557" ht="15.75" customHeight="1">
      <c r="A557" s="7"/>
      <c r="B557" s="7"/>
      <c r="C557" s="7"/>
      <c r="D557" s="7"/>
      <c r="E557" s="7"/>
      <c r="F557" s="7"/>
    </row>
    <row r="558" ht="15.75" customHeight="1">
      <c r="A558" s="7"/>
      <c r="B558" s="7"/>
      <c r="C558" s="7"/>
      <c r="D558" s="7"/>
      <c r="E558" s="7"/>
      <c r="F558" s="7"/>
    </row>
    <row r="559" ht="15.75" customHeight="1">
      <c r="A559" s="7"/>
      <c r="B559" s="7"/>
      <c r="C559" s="7"/>
      <c r="D559" s="7"/>
      <c r="E559" s="7"/>
      <c r="F559" s="7"/>
    </row>
    <row r="560" ht="15.75" customHeight="1">
      <c r="A560" s="7"/>
      <c r="B560" s="7"/>
      <c r="C560" s="7"/>
      <c r="D560" s="7"/>
      <c r="E560" s="7"/>
      <c r="F560" s="7"/>
    </row>
    <row r="561" ht="15.75" customHeight="1">
      <c r="A561" s="7"/>
      <c r="B561" s="7"/>
      <c r="C561" s="7"/>
      <c r="D561" s="7"/>
      <c r="E561" s="7"/>
      <c r="F561" s="7"/>
    </row>
    <row r="562" ht="15.75" customHeight="1">
      <c r="A562" s="7"/>
      <c r="B562" s="7"/>
      <c r="C562" s="7"/>
      <c r="D562" s="7"/>
      <c r="E562" s="7"/>
      <c r="F562" s="7"/>
    </row>
    <row r="563" ht="15.75" customHeight="1">
      <c r="A563" s="7"/>
      <c r="B563" s="7"/>
      <c r="C563" s="7"/>
      <c r="D563" s="7"/>
      <c r="E563" s="7"/>
      <c r="F563" s="7"/>
    </row>
    <row r="564" ht="15.75" customHeight="1">
      <c r="A564" s="7"/>
      <c r="B564" s="7"/>
      <c r="C564" s="7"/>
      <c r="D564" s="7"/>
      <c r="E564" s="7"/>
      <c r="F564" s="7"/>
    </row>
    <row r="565" ht="15.75" customHeight="1">
      <c r="A565" s="7"/>
      <c r="B565" s="7"/>
      <c r="C565" s="7"/>
      <c r="D565" s="7"/>
      <c r="E565" s="7"/>
      <c r="F565" s="7"/>
    </row>
    <row r="566" ht="15.75" customHeight="1">
      <c r="A566" s="7"/>
      <c r="B566" s="7"/>
      <c r="C566" s="7"/>
      <c r="D566" s="7"/>
      <c r="E566" s="7"/>
      <c r="F566" s="7"/>
    </row>
    <row r="567" ht="15.75" customHeight="1">
      <c r="A567" s="7"/>
      <c r="B567" s="7"/>
      <c r="C567" s="7"/>
      <c r="D567" s="7"/>
      <c r="E567" s="7"/>
      <c r="F567" s="7"/>
    </row>
    <row r="568" ht="15.75" customHeight="1">
      <c r="A568" s="7"/>
      <c r="B568" s="7"/>
      <c r="C568" s="7"/>
      <c r="D568" s="7"/>
      <c r="E568" s="7"/>
      <c r="F568" s="7"/>
    </row>
    <row r="569" ht="15.75" customHeight="1">
      <c r="A569" s="7"/>
      <c r="B569" s="7"/>
      <c r="C569" s="7"/>
      <c r="D569" s="7"/>
      <c r="E569" s="7"/>
      <c r="F569" s="7"/>
    </row>
    <row r="570" ht="15.75" customHeight="1">
      <c r="A570" s="7"/>
      <c r="B570" s="7"/>
      <c r="C570" s="7"/>
      <c r="D570" s="7"/>
      <c r="E570" s="7"/>
      <c r="F570" s="7"/>
    </row>
    <row r="571" ht="15.75" customHeight="1">
      <c r="A571" s="7"/>
      <c r="B571" s="7"/>
      <c r="C571" s="7"/>
      <c r="D571" s="7"/>
      <c r="E571" s="7"/>
      <c r="F571" s="7"/>
    </row>
    <row r="572" ht="15.75" customHeight="1">
      <c r="A572" s="7"/>
      <c r="B572" s="7"/>
      <c r="C572" s="7"/>
      <c r="D572" s="7"/>
      <c r="E572" s="7"/>
      <c r="F572" s="7"/>
    </row>
    <row r="573" ht="15.75" customHeight="1">
      <c r="A573" s="7"/>
      <c r="B573" s="7"/>
      <c r="C573" s="7"/>
      <c r="D573" s="7"/>
      <c r="E573" s="7"/>
      <c r="F573" s="7"/>
    </row>
    <row r="574" ht="15.75" customHeight="1">
      <c r="A574" s="7"/>
      <c r="B574" s="7"/>
      <c r="C574" s="7"/>
      <c r="D574" s="7"/>
      <c r="E574" s="7"/>
      <c r="F574" s="7"/>
    </row>
    <row r="575" ht="15.75" customHeight="1">
      <c r="A575" s="7"/>
      <c r="B575" s="7"/>
      <c r="C575" s="7"/>
      <c r="D575" s="7"/>
      <c r="E575" s="7"/>
      <c r="F575" s="7"/>
    </row>
    <row r="576" ht="15.75" customHeight="1">
      <c r="A576" s="7"/>
      <c r="B576" s="7"/>
      <c r="C576" s="7"/>
      <c r="D576" s="7"/>
      <c r="E576" s="7"/>
      <c r="F576" s="7"/>
    </row>
    <row r="577" ht="15.75" customHeight="1">
      <c r="A577" s="7"/>
      <c r="B577" s="7"/>
      <c r="C577" s="7"/>
      <c r="D577" s="7"/>
      <c r="E577" s="7"/>
      <c r="F577" s="7"/>
    </row>
    <row r="578" ht="15.75" customHeight="1">
      <c r="A578" s="7"/>
      <c r="B578" s="7"/>
      <c r="C578" s="7"/>
      <c r="D578" s="7"/>
      <c r="E578" s="7"/>
      <c r="F578" s="7"/>
    </row>
    <row r="579" ht="15.75" customHeight="1">
      <c r="A579" s="7"/>
      <c r="B579" s="7"/>
      <c r="C579" s="7"/>
      <c r="D579" s="7"/>
      <c r="E579" s="7"/>
      <c r="F579" s="7"/>
    </row>
    <row r="580" ht="15.75" customHeight="1">
      <c r="A580" s="7"/>
      <c r="B580" s="7"/>
      <c r="C580" s="7"/>
      <c r="D580" s="7"/>
      <c r="E580" s="7"/>
      <c r="F580" s="7"/>
    </row>
    <row r="581" ht="15.75" customHeight="1">
      <c r="A581" s="7"/>
      <c r="B581" s="7"/>
      <c r="C581" s="7"/>
      <c r="D581" s="7"/>
      <c r="E581" s="7"/>
      <c r="F581" s="7"/>
    </row>
    <row r="582" ht="15.75" customHeight="1">
      <c r="A582" s="7"/>
      <c r="B582" s="7"/>
      <c r="C582" s="7"/>
      <c r="D582" s="7"/>
      <c r="E582" s="7"/>
      <c r="F582" s="7"/>
    </row>
    <row r="583" ht="15.75" customHeight="1">
      <c r="A583" s="7"/>
      <c r="B583" s="7"/>
      <c r="C583" s="7"/>
      <c r="D583" s="7"/>
      <c r="E583" s="7"/>
      <c r="F583" s="7"/>
    </row>
    <row r="584" ht="15.75" customHeight="1">
      <c r="A584" s="7"/>
      <c r="B584" s="7"/>
      <c r="C584" s="7"/>
      <c r="D584" s="7"/>
      <c r="E584" s="7"/>
      <c r="F584" s="7"/>
    </row>
    <row r="585" ht="15.75" customHeight="1">
      <c r="A585" s="7"/>
      <c r="B585" s="7"/>
      <c r="C585" s="7"/>
      <c r="D585" s="7"/>
      <c r="E585" s="7"/>
      <c r="F585" s="7"/>
    </row>
    <row r="586" ht="15.75" customHeight="1">
      <c r="A586" s="7"/>
      <c r="B586" s="7"/>
      <c r="C586" s="7"/>
      <c r="D586" s="7"/>
      <c r="E586" s="7"/>
      <c r="F586" s="7"/>
    </row>
    <row r="587" ht="15.75" customHeight="1">
      <c r="A587" s="7"/>
      <c r="B587" s="7"/>
      <c r="C587" s="7"/>
      <c r="D587" s="7"/>
      <c r="E587" s="7"/>
      <c r="F587" s="7"/>
    </row>
    <row r="588" ht="15.75" customHeight="1">
      <c r="A588" s="7"/>
      <c r="B588" s="7"/>
      <c r="C588" s="7"/>
      <c r="D588" s="7"/>
      <c r="E588" s="7"/>
      <c r="F588" s="7"/>
    </row>
    <row r="589" ht="15.75" customHeight="1">
      <c r="A589" s="7"/>
      <c r="B589" s="7"/>
      <c r="C589" s="7"/>
      <c r="D589" s="7"/>
      <c r="E589" s="7"/>
      <c r="F589" s="7"/>
    </row>
    <row r="590" ht="15.75" customHeight="1">
      <c r="A590" s="7"/>
      <c r="B590" s="7"/>
      <c r="C590" s="7"/>
      <c r="D590" s="7"/>
      <c r="E590" s="7"/>
      <c r="F590" s="7"/>
    </row>
    <row r="591" ht="15.75" customHeight="1">
      <c r="A591" s="7"/>
      <c r="B591" s="7"/>
      <c r="C591" s="7"/>
      <c r="D591" s="7"/>
      <c r="E591" s="7"/>
      <c r="F591" s="7"/>
    </row>
    <row r="592" ht="15.75" customHeight="1">
      <c r="A592" s="7"/>
      <c r="B592" s="7"/>
      <c r="C592" s="7"/>
      <c r="D592" s="7"/>
      <c r="E592" s="7"/>
      <c r="F592" s="7"/>
    </row>
    <row r="593" ht="15.75" customHeight="1">
      <c r="A593" s="7"/>
      <c r="B593" s="7"/>
      <c r="C593" s="7"/>
      <c r="D593" s="7"/>
      <c r="E593" s="7"/>
      <c r="F593" s="7"/>
    </row>
    <row r="594" ht="15.75" customHeight="1">
      <c r="A594" s="7"/>
      <c r="B594" s="7"/>
      <c r="C594" s="7"/>
      <c r="D594" s="7"/>
      <c r="E594" s="7"/>
      <c r="F594" s="7"/>
    </row>
    <row r="595" ht="15.75" customHeight="1">
      <c r="A595" s="7"/>
      <c r="B595" s="7"/>
      <c r="C595" s="7"/>
      <c r="D595" s="7"/>
      <c r="E595" s="7"/>
      <c r="F595" s="7"/>
    </row>
    <row r="596" ht="15.75" customHeight="1">
      <c r="A596" s="7"/>
      <c r="B596" s="7"/>
      <c r="C596" s="7"/>
      <c r="D596" s="7"/>
      <c r="E596" s="7"/>
      <c r="F596" s="7"/>
    </row>
    <row r="597" ht="15.75" customHeight="1">
      <c r="A597" s="7"/>
      <c r="B597" s="7"/>
      <c r="C597" s="7"/>
      <c r="D597" s="7"/>
      <c r="E597" s="7"/>
      <c r="F597" s="7"/>
    </row>
    <row r="598" ht="15.75" customHeight="1">
      <c r="A598" s="7"/>
      <c r="B598" s="7"/>
      <c r="C598" s="7"/>
      <c r="D598" s="7"/>
      <c r="E598" s="7"/>
      <c r="F598" s="7"/>
    </row>
    <row r="599" ht="15.75" customHeight="1">
      <c r="A599" s="7"/>
      <c r="B599" s="7"/>
      <c r="C599" s="7"/>
      <c r="D599" s="7"/>
      <c r="E599" s="7"/>
      <c r="F599" s="7"/>
    </row>
    <row r="600" ht="15.75" customHeight="1">
      <c r="A600" s="7"/>
      <c r="B600" s="7"/>
      <c r="C600" s="7"/>
      <c r="D600" s="7"/>
      <c r="E600" s="7"/>
      <c r="F600" s="7"/>
    </row>
    <row r="601" ht="15.75" customHeight="1">
      <c r="A601" s="7"/>
      <c r="B601" s="7"/>
      <c r="C601" s="7"/>
      <c r="D601" s="7"/>
      <c r="E601" s="7"/>
      <c r="F601" s="7"/>
    </row>
    <row r="602" ht="15.75" customHeight="1">
      <c r="A602" s="7"/>
      <c r="B602" s="7"/>
      <c r="C602" s="7"/>
      <c r="D602" s="7"/>
      <c r="E602" s="7"/>
      <c r="F602" s="7"/>
    </row>
    <row r="603" ht="15.75" customHeight="1">
      <c r="A603" s="7"/>
      <c r="B603" s="7"/>
      <c r="C603" s="7"/>
      <c r="D603" s="7"/>
      <c r="E603" s="7"/>
      <c r="F603" s="7"/>
    </row>
    <row r="604" ht="15.75" customHeight="1">
      <c r="A604" s="7"/>
      <c r="B604" s="7"/>
      <c r="C604" s="7"/>
      <c r="D604" s="7"/>
      <c r="E604" s="7"/>
      <c r="F604" s="7"/>
    </row>
    <row r="605" ht="15.75" customHeight="1">
      <c r="A605" s="7"/>
      <c r="B605" s="7"/>
      <c r="C605" s="7"/>
      <c r="D605" s="7"/>
      <c r="E605" s="7"/>
      <c r="F605" s="7"/>
    </row>
    <row r="606" ht="15.75" customHeight="1">
      <c r="A606" s="7"/>
      <c r="B606" s="7"/>
      <c r="C606" s="7"/>
      <c r="D606" s="7"/>
      <c r="E606" s="7"/>
      <c r="F606" s="7"/>
    </row>
    <row r="607" ht="15.75" customHeight="1">
      <c r="A607" s="7"/>
      <c r="B607" s="7"/>
      <c r="C607" s="7"/>
      <c r="D607" s="7"/>
      <c r="E607" s="7"/>
      <c r="F607" s="7"/>
    </row>
    <row r="608" ht="15.75" customHeight="1">
      <c r="A608" s="7"/>
      <c r="B608" s="7"/>
      <c r="C608" s="7"/>
      <c r="D608" s="7"/>
      <c r="E608" s="7"/>
      <c r="F608" s="7"/>
    </row>
    <row r="609" ht="15.75" customHeight="1">
      <c r="A609" s="7"/>
      <c r="B609" s="7"/>
      <c r="C609" s="7"/>
      <c r="D609" s="7"/>
      <c r="E609" s="7"/>
      <c r="F609" s="7"/>
    </row>
    <row r="610" ht="15.75" customHeight="1">
      <c r="A610" s="7"/>
      <c r="B610" s="7"/>
      <c r="C610" s="7"/>
      <c r="D610" s="7"/>
      <c r="E610" s="7"/>
      <c r="F610" s="7"/>
    </row>
    <row r="611" ht="15.75" customHeight="1">
      <c r="A611" s="7"/>
      <c r="B611" s="7"/>
      <c r="C611" s="7"/>
      <c r="D611" s="7"/>
      <c r="E611" s="7"/>
      <c r="F611" s="7"/>
    </row>
    <row r="612" ht="15.75" customHeight="1">
      <c r="A612" s="7"/>
      <c r="B612" s="7"/>
      <c r="C612" s="7"/>
      <c r="D612" s="7"/>
      <c r="E612" s="7"/>
      <c r="F612" s="7"/>
    </row>
    <row r="613" ht="15.75" customHeight="1">
      <c r="A613" s="7"/>
      <c r="B613" s="7"/>
      <c r="C613" s="7"/>
      <c r="D613" s="7"/>
      <c r="E613" s="7"/>
      <c r="F613" s="7"/>
    </row>
    <row r="614" ht="15.75" customHeight="1">
      <c r="A614" s="7"/>
      <c r="B614" s="7"/>
      <c r="C614" s="7"/>
      <c r="D614" s="7"/>
      <c r="E614" s="7"/>
      <c r="F614" s="7"/>
    </row>
    <row r="615" ht="15.75" customHeight="1">
      <c r="A615" s="7"/>
      <c r="B615" s="7"/>
      <c r="C615" s="7"/>
      <c r="D615" s="7"/>
      <c r="E615" s="7"/>
      <c r="F615" s="7"/>
    </row>
    <row r="616" ht="15.75" customHeight="1">
      <c r="A616" s="7"/>
      <c r="B616" s="7"/>
      <c r="C616" s="7"/>
      <c r="D616" s="7"/>
      <c r="E616" s="7"/>
      <c r="F616" s="7"/>
    </row>
    <row r="617" ht="15.75" customHeight="1">
      <c r="A617" s="7"/>
      <c r="B617" s="7"/>
      <c r="C617" s="7"/>
      <c r="D617" s="7"/>
      <c r="E617" s="7"/>
      <c r="F617" s="7"/>
    </row>
    <row r="618" ht="15.75" customHeight="1">
      <c r="A618" s="7"/>
      <c r="B618" s="7"/>
      <c r="C618" s="7"/>
      <c r="D618" s="7"/>
      <c r="E618" s="7"/>
      <c r="F618" s="7"/>
    </row>
    <row r="619" ht="15.75" customHeight="1">
      <c r="A619" s="7"/>
      <c r="B619" s="7"/>
      <c r="C619" s="7"/>
      <c r="D619" s="7"/>
      <c r="E619" s="7"/>
      <c r="F619" s="7"/>
    </row>
    <row r="620" ht="15.75" customHeight="1">
      <c r="A620" s="7"/>
      <c r="B620" s="7"/>
      <c r="C620" s="7"/>
      <c r="D620" s="7"/>
      <c r="E620" s="7"/>
      <c r="F620" s="7"/>
    </row>
    <row r="621" ht="15.75" customHeight="1">
      <c r="A621" s="7"/>
      <c r="B621" s="7"/>
      <c r="C621" s="7"/>
      <c r="D621" s="7"/>
      <c r="E621" s="7"/>
      <c r="F621" s="7"/>
    </row>
    <row r="622" ht="15.75" customHeight="1">
      <c r="A622" s="7"/>
      <c r="B622" s="7"/>
      <c r="C622" s="7"/>
      <c r="D622" s="7"/>
      <c r="E622" s="7"/>
      <c r="F622" s="7"/>
    </row>
    <row r="623" ht="15.75" customHeight="1">
      <c r="A623" s="7"/>
      <c r="B623" s="7"/>
      <c r="C623" s="7"/>
      <c r="D623" s="7"/>
      <c r="E623" s="7"/>
      <c r="F623" s="7"/>
    </row>
    <row r="624" ht="15.75" customHeight="1">
      <c r="A624" s="7"/>
      <c r="B624" s="7"/>
      <c r="C624" s="7"/>
      <c r="D624" s="7"/>
      <c r="E624" s="7"/>
      <c r="F624" s="7"/>
    </row>
    <row r="625" ht="15.75" customHeight="1">
      <c r="A625" s="7"/>
      <c r="B625" s="7"/>
      <c r="C625" s="7"/>
      <c r="D625" s="7"/>
      <c r="E625" s="7"/>
      <c r="F625" s="7"/>
    </row>
    <row r="626" ht="15.75" customHeight="1">
      <c r="A626" s="7"/>
      <c r="B626" s="7"/>
      <c r="C626" s="7"/>
      <c r="D626" s="7"/>
      <c r="E626" s="7"/>
      <c r="F626" s="7"/>
    </row>
    <row r="627" ht="15.75" customHeight="1">
      <c r="A627" s="7"/>
      <c r="B627" s="7"/>
      <c r="C627" s="7"/>
      <c r="D627" s="7"/>
      <c r="E627" s="7"/>
      <c r="F627" s="7"/>
    </row>
    <row r="628" ht="15.75" customHeight="1">
      <c r="A628" s="7"/>
      <c r="B628" s="7"/>
      <c r="C628" s="7"/>
      <c r="D628" s="7"/>
      <c r="E628" s="7"/>
      <c r="F628" s="7"/>
    </row>
    <row r="629" ht="15.75" customHeight="1">
      <c r="A629" s="7"/>
      <c r="B629" s="7"/>
      <c r="C629" s="7"/>
      <c r="D629" s="7"/>
      <c r="E629" s="7"/>
      <c r="F629" s="7"/>
    </row>
    <row r="630" ht="15.75" customHeight="1">
      <c r="A630" s="7"/>
      <c r="B630" s="7"/>
      <c r="C630" s="7"/>
      <c r="D630" s="7"/>
      <c r="E630" s="7"/>
      <c r="F630" s="7"/>
    </row>
    <row r="631" ht="15.75" customHeight="1">
      <c r="A631" s="7"/>
      <c r="B631" s="7"/>
      <c r="C631" s="7"/>
      <c r="D631" s="7"/>
      <c r="E631" s="7"/>
      <c r="F631" s="7"/>
    </row>
    <row r="632" ht="15.75" customHeight="1">
      <c r="A632" s="7"/>
      <c r="B632" s="7"/>
      <c r="C632" s="7"/>
      <c r="D632" s="7"/>
      <c r="E632" s="7"/>
      <c r="F632" s="7"/>
    </row>
    <row r="633" ht="15.75" customHeight="1">
      <c r="A633" s="7"/>
      <c r="B633" s="7"/>
      <c r="C633" s="7"/>
      <c r="D633" s="7"/>
      <c r="E633" s="7"/>
      <c r="F633" s="7"/>
    </row>
    <row r="634" ht="15.75" customHeight="1">
      <c r="A634" s="7"/>
      <c r="B634" s="7"/>
      <c r="C634" s="7"/>
      <c r="D634" s="7"/>
      <c r="E634" s="7"/>
      <c r="F634" s="7"/>
    </row>
    <row r="635" ht="15.75" customHeight="1">
      <c r="A635" s="7"/>
      <c r="B635" s="7"/>
      <c r="C635" s="7"/>
      <c r="D635" s="7"/>
      <c r="E635" s="7"/>
      <c r="F635" s="7"/>
    </row>
    <row r="636" ht="15.75" customHeight="1">
      <c r="A636" s="7"/>
      <c r="B636" s="7"/>
      <c r="C636" s="7"/>
      <c r="D636" s="7"/>
      <c r="E636" s="7"/>
      <c r="F636" s="7"/>
    </row>
    <row r="637" ht="15.75" customHeight="1">
      <c r="A637" s="7"/>
      <c r="B637" s="7"/>
      <c r="C637" s="7"/>
      <c r="D637" s="7"/>
      <c r="E637" s="7"/>
      <c r="F637" s="7"/>
    </row>
    <row r="638" ht="15.75" customHeight="1">
      <c r="A638" s="7"/>
      <c r="B638" s="7"/>
      <c r="C638" s="7"/>
      <c r="D638" s="7"/>
      <c r="E638" s="7"/>
      <c r="F638" s="7"/>
    </row>
    <row r="639" ht="15.75" customHeight="1">
      <c r="A639" s="7"/>
      <c r="B639" s="7"/>
      <c r="C639" s="7"/>
      <c r="D639" s="7"/>
      <c r="E639" s="7"/>
      <c r="F639" s="7"/>
    </row>
    <row r="640" ht="15.75" customHeight="1">
      <c r="A640" s="7"/>
      <c r="B640" s="7"/>
      <c r="C640" s="7"/>
      <c r="D640" s="7"/>
      <c r="E640" s="7"/>
      <c r="F640" s="7"/>
    </row>
    <row r="641" ht="15.75" customHeight="1">
      <c r="A641" s="7"/>
      <c r="B641" s="7"/>
      <c r="C641" s="7"/>
      <c r="D641" s="7"/>
      <c r="E641" s="7"/>
      <c r="F641" s="7"/>
    </row>
    <row r="642" ht="15.75" customHeight="1">
      <c r="A642" s="7"/>
      <c r="B642" s="7"/>
      <c r="C642" s="7"/>
      <c r="D642" s="7"/>
      <c r="E642" s="7"/>
      <c r="F642" s="7"/>
    </row>
    <row r="643" ht="15.75" customHeight="1">
      <c r="A643" s="7"/>
      <c r="B643" s="7"/>
      <c r="C643" s="7"/>
      <c r="D643" s="7"/>
      <c r="E643" s="7"/>
      <c r="F643" s="7"/>
    </row>
    <row r="644" ht="15.75" customHeight="1">
      <c r="A644" s="7"/>
      <c r="B644" s="7"/>
      <c r="C644" s="7"/>
      <c r="D644" s="7"/>
      <c r="E644" s="7"/>
      <c r="F644" s="7"/>
    </row>
    <row r="645" ht="15.75" customHeight="1">
      <c r="A645" s="7"/>
      <c r="B645" s="7"/>
      <c r="C645" s="7"/>
      <c r="D645" s="7"/>
      <c r="E645" s="7"/>
      <c r="F645" s="7"/>
    </row>
    <row r="646" ht="15.75" customHeight="1">
      <c r="A646" s="7"/>
      <c r="B646" s="7"/>
      <c r="C646" s="7"/>
      <c r="D646" s="7"/>
      <c r="E646" s="7"/>
      <c r="F646" s="7"/>
    </row>
    <row r="647" ht="15.75" customHeight="1">
      <c r="A647" s="7"/>
      <c r="B647" s="7"/>
      <c r="C647" s="7"/>
      <c r="D647" s="7"/>
      <c r="E647" s="7"/>
      <c r="F647" s="7"/>
    </row>
    <row r="648" ht="15.75" customHeight="1">
      <c r="A648" s="7"/>
      <c r="B648" s="7"/>
      <c r="C648" s="7"/>
      <c r="D648" s="7"/>
      <c r="E648" s="7"/>
      <c r="F648" s="7"/>
    </row>
    <row r="649" ht="15.75" customHeight="1">
      <c r="A649" s="7"/>
      <c r="B649" s="7"/>
      <c r="C649" s="7"/>
      <c r="D649" s="7"/>
      <c r="E649" s="7"/>
      <c r="F649" s="7"/>
    </row>
    <row r="650" ht="15.75" customHeight="1">
      <c r="A650" s="7"/>
      <c r="B650" s="7"/>
      <c r="C650" s="7"/>
      <c r="D650" s="7"/>
      <c r="E650" s="7"/>
      <c r="F650" s="7"/>
    </row>
    <row r="651" ht="15.75" customHeight="1">
      <c r="A651" s="7"/>
      <c r="B651" s="7"/>
      <c r="C651" s="7"/>
      <c r="D651" s="7"/>
      <c r="E651" s="7"/>
      <c r="F651" s="7"/>
    </row>
    <row r="652" ht="15.75" customHeight="1">
      <c r="A652" s="7"/>
      <c r="B652" s="7"/>
      <c r="C652" s="7"/>
      <c r="D652" s="7"/>
      <c r="E652" s="7"/>
      <c r="F652" s="7"/>
    </row>
    <row r="653" ht="15.75" customHeight="1">
      <c r="A653" s="7"/>
      <c r="B653" s="7"/>
      <c r="C653" s="7"/>
      <c r="D653" s="7"/>
      <c r="E653" s="7"/>
      <c r="F653" s="7"/>
    </row>
    <row r="654" ht="15.75" customHeight="1">
      <c r="A654" s="7"/>
      <c r="B654" s="7"/>
      <c r="C654" s="7"/>
      <c r="D654" s="7"/>
      <c r="E654" s="7"/>
      <c r="F654" s="7"/>
    </row>
    <row r="655" ht="15.75" customHeight="1">
      <c r="A655" s="7"/>
      <c r="B655" s="7"/>
      <c r="C655" s="7"/>
      <c r="D655" s="7"/>
      <c r="E655" s="7"/>
      <c r="F655" s="7"/>
    </row>
    <row r="656" ht="15.75" customHeight="1">
      <c r="A656" s="7"/>
      <c r="B656" s="7"/>
      <c r="C656" s="7"/>
      <c r="D656" s="7"/>
      <c r="E656" s="7"/>
      <c r="F656" s="7"/>
    </row>
    <row r="657" ht="15.75" customHeight="1">
      <c r="A657" s="7"/>
      <c r="B657" s="7"/>
      <c r="C657" s="7"/>
      <c r="D657" s="7"/>
      <c r="E657" s="7"/>
      <c r="F657" s="7"/>
    </row>
    <row r="658" ht="15.75" customHeight="1">
      <c r="A658" s="7"/>
      <c r="B658" s="7"/>
      <c r="C658" s="7"/>
      <c r="D658" s="7"/>
      <c r="E658" s="7"/>
      <c r="F658" s="7"/>
    </row>
    <row r="659" ht="15.75" customHeight="1">
      <c r="A659" s="7"/>
      <c r="B659" s="7"/>
      <c r="C659" s="7"/>
      <c r="D659" s="7"/>
      <c r="E659" s="7"/>
      <c r="F659" s="7"/>
    </row>
    <row r="660" ht="15.75" customHeight="1">
      <c r="A660" s="7"/>
      <c r="B660" s="7"/>
      <c r="C660" s="7"/>
      <c r="D660" s="7"/>
      <c r="E660" s="7"/>
      <c r="F660" s="7"/>
    </row>
    <row r="661" ht="15.75" customHeight="1">
      <c r="A661" s="7"/>
      <c r="B661" s="7"/>
      <c r="C661" s="7"/>
      <c r="D661" s="7"/>
      <c r="E661" s="7"/>
      <c r="F661" s="7"/>
    </row>
    <row r="662" ht="15.75" customHeight="1">
      <c r="A662" s="7"/>
      <c r="B662" s="7"/>
      <c r="C662" s="7"/>
      <c r="D662" s="7"/>
      <c r="E662" s="7"/>
      <c r="F662" s="7"/>
    </row>
    <row r="663" ht="15.75" customHeight="1">
      <c r="A663" s="7"/>
      <c r="B663" s="7"/>
      <c r="C663" s="7"/>
      <c r="D663" s="7"/>
      <c r="E663" s="7"/>
      <c r="F663" s="7"/>
    </row>
    <row r="664" ht="15.75" customHeight="1">
      <c r="A664" s="7"/>
      <c r="B664" s="7"/>
      <c r="C664" s="7"/>
      <c r="D664" s="7"/>
      <c r="E664" s="7"/>
      <c r="F664" s="7"/>
    </row>
    <row r="665" ht="15.75" customHeight="1">
      <c r="A665" s="7"/>
      <c r="B665" s="7"/>
      <c r="C665" s="7"/>
      <c r="D665" s="7"/>
      <c r="E665" s="7"/>
      <c r="F665" s="7"/>
    </row>
    <row r="666" ht="15.75" customHeight="1">
      <c r="A666" s="7"/>
      <c r="B666" s="7"/>
      <c r="C666" s="7"/>
      <c r="D666" s="7"/>
      <c r="E666" s="7"/>
      <c r="F666" s="7"/>
    </row>
    <row r="667" ht="15.75" customHeight="1">
      <c r="A667" s="7"/>
      <c r="B667" s="7"/>
      <c r="C667" s="7"/>
      <c r="D667" s="7"/>
      <c r="E667" s="7"/>
      <c r="F667" s="7"/>
    </row>
    <row r="668" ht="15.75" customHeight="1">
      <c r="A668" s="7"/>
      <c r="B668" s="7"/>
      <c r="C668" s="7"/>
      <c r="D668" s="7"/>
      <c r="E668" s="7"/>
      <c r="F668" s="7"/>
    </row>
    <row r="669" ht="15.75" customHeight="1">
      <c r="A669" s="7"/>
      <c r="B669" s="7"/>
      <c r="C669" s="7"/>
      <c r="D669" s="7"/>
      <c r="E669" s="7"/>
      <c r="F669" s="7"/>
    </row>
    <row r="670" ht="15.75" customHeight="1">
      <c r="A670" s="7"/>
      <c r="B670" s="7"/>
      <c r="C670" s="7"/>
      <c r="D670" s="7"/>
      <c r="E670" s="7"/>
      <c r="F670" s="7"/>
    </row>
    <row r="671" ht="15.75" customHeight="1">
      <c r="A671" s="7"/>
      <c r="B671" s="7"/>
      <c r="C671" s="7"/>
      <c r="D671" s="7"/>
      <c r="E671" s="7"/>
      <c r="F671" s="7"/>
    </row>
    <row r="672" ht="15.75" customHeight="1">
      <c r="A672" s="7"/>
      <c r="B672" s="7"/>
      <c r="C672" s="7"/>
      <c r="D672" s="7"/>
      <c r="E672" s="7"/>
      <c r="F672" s="7"/>
    </row>
    <row r="673" ht="15.75" customHeight="1">
      <c r="A673" s="7"/>
      <c r="B673" s="7"/>
      <c r="C673" s="7"/>
      <c r="D673" s="7"/>
      <c r="E673" s="7"/>
      <c r="F673" s="7"/>
    </row>
    <row r="674" ht="15.75" customHeight="1">
      <c r="A674" s="7"/>
      <c r="B674" s="7"/>
      <c r="C674" s="7"/>
      <c r="D674" s="7"/>
      <c r="E674" s="7"/>
      <c r="F674" s="7"/>
    </row>
    <row r="675" ht="15.75" customHeight="1">
      <c r="A675" s="7"/>
      <c r="B675" s="7"/>
      <c r="C675" s="7"/>
      <c r="D675" s="7"/>
      <c r="E675" s="7"/>
      <c r="F675" s="7"/>
    </row>
    <row r="676" ht="15.75" customHeight="1">
      <c r="A676" s="7"/>
      <c r="B676" s="7"/>
      <c r="C676" s="7"/>
      <c r="D676" s="7"/>
      <c r="E676" s="7"/>
      <c r="F676" s="7"/>
    </row>
    <row r="677" ht="15.75" customHeight="1">
      <c r="A677" s="7"/>
      <c r="B677" s="7"/>
      <c r="C677" s="7"/>
      <c r="D677" s="7"/>
      <c r="E677" s="7"/>
      <c r="F677" s="7"/>
    </row>
    <row r="678" ht="15.75" customHeight="1">
      <c r="A678" s="7"/>
      <c r="B678" s="7"/>
      <c r="C678" s="7"/>
      <c r="D678" s="7"/>
      <c r="E678" s="7"/>
      <c r="F678" s="7"/>
    </row>
    <row r="679" ht="15.75" customHeight="1">
      <c r="A679" s="7"/>
      <c r="B679" s="7"/>
      <c r="C679" s="7"/>
      <c r="D679" s="7"/>
      <c r="E679" s="7"/>
      <c r="F679" s="7"/>
    </row>
    <row r="680" ht="15.75" customHeight="1">
      <c r="A680" s="7"/>
      <c r="B680" s="7"/>
      <c r="C680" s="7"/>
      <c r="D680" s="7"/>
      <c r="E680" s="7"/>
      <c r="F680" s="7"/>
    </row>
    <row r="681" ht="15.75" customHeight="1">
      <c r="A681" s="7"/>
      <c r="B681" s="7"/>
      <c r="C681" s="7"/>
      <c r="D681" s="7"/>
      <c r="E681" s="7"/>
      <c r="F681" s="7"/>
    </row>
    <row r="682" ht="15.75" customHeight="1">
      <c r="A682" s="7"/>
      <c r="B682" s="7"/>
      <c r="C682" s="7"/>
      <c r="D682" s="7"/>
      <c r="E682" s="7"/>
      <c r="F682" s="7"/>
    </row>
    <row r="683" ht="15.75" customHeight="1">
      <c r="A683" s="7"/>
      <c r="B683" s="7"/>
      <c r="C683" s="7"/>
      <c r="D683" s="7"/>
      <c r="E683" s="7"/>
      <c r="F683" s="7"/>
    </row>
    <row r="684" ht="15.75" customHeight="1">
      <c r="A684" s="7"/>
      <c r="B684" s="7"/>
      <c r="C684" s="7"/>
      <c r="D684" s="7"/>
      <c r="E684" s="7"/>
      <c r="F684" s="7"/>
    </row>
    <row r="685" ht="15.75" customHeight="1">
      <c r="A685" s="7"/>
      <c r="B685" s="7"/>
      <c r="C685" s="7"/>
      <c r="D685" s="7"/>
      <c r="E685" s="7"/>
      <c r="F685" s="7"/>
    </row>
    <row r="686" ht="15.75" customHeight="1">
      <c r="A686" s="7"/>
      <c r="B686" s="7"/>
      <c r="C686" s="7"/>
      <c r="D686" s="7"/>
      <c r="E686" s="7"/>
      <c r="F686" s="7"/>
    </row>
    <row r="687" ht="15.75" customHeight="1">
      <c r="A687" s="7"/>
      <c r="B687" s="7"/>
      <c r="C687" s="7"/>
      <c r="D687" s="7"/>
      <c r="E687" s="7"/>
      <c r="F687" s="7"/>
    </row>
    <row r="688" ht="15.75" customHeight="1">
      <c r="A688" s="7"/>
      <c r="B688" s="7"/>
      <c r="C688" s="7"/>
      <c r="D688" s="7"/>
      <c r="E688" s="7"/>
      <c r="F688" s="7"/>
    </row>
    <row r="689" ht="15.75" customHeight="1">
      <c r="A689" s="7"/>
      <c r="B689" s="7"/>
      <c r="C689" s="7"/>
      <c r="D689" s="7"/>
      <c r="E689" s="7"/>
      <c r="F689" s="7"/>
    </row>
    <row r="690" ht="15.75" customHeight="1">
      <c r="A690" s="7"/>
      <c r="B690" s="7"/>
      <c r="C690" s="7"/>
      <c r="D690" s="7"/>
      <c r="E690" s="7"/>
      <c r="F690" s="7"/>
    </row>
    <row r="691" ht="15.75" customHeight="1">
      <c r="A691" s="7"/>
      <c r="B691" s="7"/>
      <c r="C691" s="7"/>
      <c r="D691" s="7"/>
      <c r="E691" s="7"/>
      <c r="F691" s="7"/>
    </row>
    <row r="692" ht="15.75" customHeight="1">
      <c r="A692" s="7"/>
      <c r="B692" s="7"/>
      <c r="C692" s="7"/>
      <c r="D692" s="7"/>
      <c r="E692" s="7"/>
      <c r="F692" s="7"/>
    </row>
    <row r="693" ht="15.75" customHeight="1">
      <c r="A693" s="7"/>
      <c r="B693" s="7"/>
      <c r="C693" s="7"/>
      <c r="D693" s="7"/>
      <c r="E693" s="7"/>
      <c r="F693" s="7"/>
    </row>
    <row r="694" ht="15.75" customHeight="1">
      <c r="A694" s="7"/>
      <c r="B694" s="7"/>
      <c r="C694" s="7"/>
      <c r="D694" s="7"/>
      <c r="E694" s="7"/>
      <c r="F694" s="7"/>
    </row>
    <row r="695" ht="15.75" customHeight="1">
      <c r="A695" s="7"/>
      <c r="B695" s="7"/>
      <c r="C695" s="7"/>
      <c r="D695" s="7"/>
      <c r="E695" s="7"/>
      <c r="F695" s="7"/>
    </row>
    <row r="696" ht="15.75" customHeight="1">
      <c r="A696" s="7"/>
      <c r="B696" s="7"/>
      <c r="C696" s="7"/>
      <c r="D696" s="7"/>
      <c r="E696" s="7"/>
      <c r="F696" s="7"/>
    </row>
    <row r="697" ht="15.75" customHeight="1">
      <c r="A697" s="7"/>
      <c r="B697" s="7"/>
      <c r="C697" s="7"/>
      <c r="D697" s="7"/>
      <c r="E697" s="7"/>
      <c r="F697" s="7"/>
    </row>
    <row r="698" ht="15.75" customHeight="1">
      <c r="A698" s="7"/>
      <c r="B698" s="7"/>
      <c r="C698" s="7"/>
      <c r="D698" s="7"/>
      <c r="E698" s="7"/>
      <c r="F698" s="7"/>
    </row>
    <row r="699" ht="15.75" customHeight="1">
      <c r="A699" s="7"/>
      <c r="B699" s="7"/>
      <c r="C699" s="7"/>
      <c r="D699" s="7"/>
      <c r="E699" s="7"/>
      <c r="F699" s="7"/>
    </row>
    <row r="700" ht="15.75" customHeight="1">
      <c r="A700" s="7"/>
      <c r="B700" s="7"/>
      <c r="C700" s="7"/>
      <c r="D700" s="7"/>
      <c r="E700" s="7"/>
      <c r="F700" s="7"/>
    </row>
    <row r="701" ht="15.75" customHeight="1">
      <c r="A701" s="7"/>
      <c r="B701" s="7"/>
      <c r="C701" s="7"/>
      <c r="D701" s="7"/>
      <c r="E701" s="7"/>
      <c r="F701" s="7"/>
    </row>
    <row r="702" ht="15.75" customHeight="1">
      <c r="A702" s="7"/>
      <c r="B702" s="7"/>
      <c r="C702" s="7"/>
      <c r="D702" s="7"/>
      <c r="E702" s="7"/>
      <c r="F702" s="7"/>
    </row>
    <row r="703" ht="15.75" customHeight="1">
      <c r="A703" s="7"/>
      <c r="B703" s="7"/>
      <c r="C703" s="7"/>
      <c r="D703" s="7"/>
      <c r="E703" s="7"/>
      <c r="F703" s="7"/>
    </row>
    <row r="704" ht="15.75" customHeight="1">
      <c r="A704" s="7"/>
      <c r="B704" s="7"/>
      <c r="C704" s="7"/>
      <c r="D704" s="7"/>
      <c r="E704" s="7"/>
      <c r="F704" s="7"/>
    </row>
    <row r="705" ht="15.75" customHeight="1">
      <c r="A705" s="7"/>
      <c r="B705" s="7"/>
      <c r="C705" s="7"/>
      <c r="D705" s="7"/>
      <c r="E705" s="7"/>
      <c r="F705" s="7"/>
    </row>
    <row r="706" ht="15.75" customHeight="1">
      <c r="A706" s="7"/>
      <c r="B706" s="7"/>
      <c r="C706" s="7"/>
      <c r="D706" s="7"/>
      <c r="E706" s="7"/>
      <c r="F706" s="7"/>
    </row>
    <row r="707" ht="15.75" customHeight="1">
      <c r="A707" s="7"/>
      <c r="B707" s="7"/>
      <c r="C707" s="7"/>
      <c r="D707" s="7"/>
      <c r="E707" s="7"/>
      <c r="F707" s="7"/>
    </row>
    <row r="708" ht="15.75" customHeight="1">
      <c r="A708" s="7"/>
      <c r="B708" s="7"/>
      <c r="C708" s="7"/>
      <c r="D708" s="7"/>
      <c r="E708" s="7"/>
      <c r="F708" s="7"/>
    </row>
    <row r="709" ht="15.75" customHeight="1">
      <c r="A709" s="7"/>
      <c r="B709" s="7"/>
      <c r="C709" s="7"/>
      <c r="D709" s="7"/>
      <c r="E709" s="7"/>
      <c r="F709" s="7"/>
    </row>
    <row r="710" ht="15.75" customHeight="1">
      <c r="A710" s="7"/>
      <c r="B710" s="7"/>
      <c r="C710" s="7"/>
      <c r="D710" s="7"/>
      <c r="E710" s="7"/>
      <c r="F710" s="7"/>
    </row>
    <row r="711" ht="15.75" customHeight="1">
      <c r="A711" s="7"/>
      <c r="B711" s="7"/>
      <c r="C711" s="7"/>
      <c r="D711" s="7"/>
      <c r="E711" s="7"/>
      <c r="F711" s="7"/>
    </row>
    <row r="712" ht="15.75" customHeight="1">
      <c r="A712" s="7"/>
      <c r="B712" s="7"/>
      <c r="C712" s="7"/>
      <c r="D712" s="7"/>
      <c r="E712" s="7"/>
      <c r="F712" s="7"/>
    </row>
    <row r="713" ht="15.75" customHeight="1">
      <c r="A713" s="7"/>
      <c r="B713" s="7"/>
      <c r="C713" s="7"/>
      <c r="D713" s="7"/>
      <c r="E713" s="7"/>
      <c r="F713" s="7"/>
    </row>
    <row r="714" ht="15.75" customHeight="1">
      <c r="A714" s="7"/>
      <c r="B714" s="7"/>
      <c r="C714" s="7"/>
      <c r="D714" s="7"/>
      <c r="E714" s="7"/>
      <c r="F714" s="7"/>
    </row>
    <row r="715" ht="15.75" customHeight="1">
      <c r="A715" s="7"/>
      <c r="B715" s="7"/>
      <c r="C715" s="7"/>
      <c r="D715" s="7"/>
      <c r="E715" s="7"/>
      <c r="F715" s="7"/>
    </row>
    <row r="716" ht="15.75" customHeight="1">
      <c r="A716" s="7"/>
      <c r="B716" s="7"/>
      <c r="C716" s="7"/>
      <c r="D716" s="7"/>
      <c r="E716" s="7"/>
      <c r="F716" s="7"/>
    </row>
    <row r="717" ht="15.75" customHeight="1">
      <c r="A717" s="7"/>
      <c r="B717" s="7"/>
      <c r="C717" s="7"/>
      <c r="D717" s="7"/>
      <c r="E717" s="7"/>
      <c r="F717" s="7"/>
    </row>
    <row r="718" ht="15.75" customHeight="1">
      <c r="A718" s="7"/>
      <c r="B718" s="7"/>
      <c r="C718" s="7"/>
      <c r="D718" s="7"/>
      <c r="E718" s="7"/>
      <c r="F718" s="7"/>
    </row>
    <row r="719" ht="15.75" customHeight="1">
      <c r="A719" s="7"/>
      <c r="B719" s="7"/>
      <c r="C719" s="7"/>
      <c r="D719" s="7"/>
      <c r="E719" s="7"/>
      <c r="F719" s="7"/>
    </row>
    <row r="720" ht="15.75" customHeight="1">
      <c r="A720" s="7"/>
      <c r="B720" s="7"/>
      <c r="C720" s="7"/>
      <c r="D720" s="7"/>
      <c r="E720" s="7"/>
      <c r="F720" s="7"/>
    </row>
    <row r="721" ht="15.75" customHeight="1">
      <c r="A721" s="7"/>
      <c r="B721" s="7"/>
      <c r="C721" s="7"/>
      <c r="D721" s="7"/>
      <c r="E721" s="7"/>
      <c r="F721" s="7"/>
    </row>
    <row r="722" ht="15.75" customHeight="1">
      <c r="A722" s="7"/>
      <c r="B722" s="7"/>
      <c r="C722" s="7"/>
      <c r="D722" s="7"/>
      <c r="E722" s="7"/>
      <c r="F722" s="7"/>
    </row>
    <row r="723" ht="15.75" customHeight="1">
      <c r="A723" s="7"/>
      <c r="B723" s="7"/>
      <c r="C723" s="7"/>
      <c r="D723" s="7"/>
      <c r="E723" s="7"/>
      <c r="F723" s="7"/>
    </row>
    <row r="724" ht="15.75" customHeight="1">
      <c r="A724" s="7"/>
      <c r="B724" s="7"/>
      <c r="C724" s="7"/>
      <c r="D724" s="7"/>
      <c r="E724" s="7"/>
      <c r="F724" s="7"/>
    </row>
    <row r="725" ht="15.75" customHeight="1">
      <c r="A725" s="7"/>
      <c r="B725" s="7"/>
      <c r="C725" s="7"/>
      <c r="D725" s="7"/>
      <c r="E725" s="7"/>
      <c r="F725" s="7"/>
    </row>
    <row r="726" ht="15.75" customHeight="1">
      <c r="A726" s="7"/>
      <c r="B726" s="7"/>
      <c r="C726" s="7"/>
      <c r="D726" s="7"/>
      <c r="E726" s="7"/>
      <c r="F726" s="7"/>
    </row>
    <row r="727" ht="15.75" customHeight="1">
      <c r="A727" s="7"/>
      <c r="B727" s="7"/>
      <c r="C727" s="7"/>
      <c r="D727" s="7"/>
      <c r="E727" s="7"/>
      <c r="F727" s="7"/>
    </row>
    <row r="728" ht="15.75" customHeight="1">
      <c r="A728" s="7"/>
      <c r="B728" s="7"/>
      <c r="C728" s="7"/>
      <c r="D728" s="7"/>
      <c r="E728" s="7"/>
      <c r="F728" s="7"/>
    </row>
    <row r="729" ht="15.75" customHeight="1">
      <c r="A729" s="7"/>
      <c r="B729" s="7"/>
      <c r="C729" s="7"/>
      <c r="D729" s="7"/>
      <c r="E729" s="7"/>
      <c r="F729" s="7"/>
    </row>
    <row r="730" ht="15.75" customHeight="1">
      <c r="A730" s="7"/>
      <c r="B730" s="7"/>
      <c r="C730" s="7"/>
      <c r="D730" s="7"/>
      <c r="E730" s="7"/>
      <c r="F730" s="7"/>
    </row>
    <row r="731" ht="15.75" customHeight="1">
      <c r="A731" s="7"/>
      <c r="B731" s="7"/>
      <c r="C731" s="7"/>
      <c r="D731" s="7"/>
      <c r="E731" s="7"/>
      <c r="F731" s="7"/>
    </row>
    <row r="732" ht="15.75" customHeight="1">
      <c r="A732" s="7"/>
      <c r="B732" s="7"/>
      <c r="C732" s="7"/>
      <c r="D732" s="7"/>
      <c r="E732" s="7"/>
      <c r="F732" s="7"/>
    </row>
    <row r="733" ht="15.75" customHeight="1">
      <c r="A733" s="7"/>
      <c r="B733" s="7"/>
      <c r="C733" s="7"/>
      <c r="D733" s="7"/>
      <c r="E733" s="7"/>
      <c r="F733" s="7"/>
    </row>
    <row r="734" ht="15.75" customHeight="1">
      <c r="A734" s="7"/>
      <c r="B734" s="7"/>
      <c r="C734" s="7"/>
      <c r="D734" s="7"/>
      <c r="E734" s="7"/>
      <c r="F734" s="7"/>
    </row>
    <row r="735" ht="15.75" customHeight="1">
      <c r="A735" s="7"/>
      <c r="B735" s="7"/>
      <c r="C735" s="7"/>
      <c r="D735" s="7"/>
      <c r="E735" s="7"/>
      <c r="F735" s="7"/>
    </row>
    <row r="736" ht="15.75" customHeight="1">
      <c r="A736" s="7"/>
      <c r="B736" s="7"/>
      <c r="C736" s="7"/>
      <c r="D736" s="7"/>
      <c r="E736" s="7"/>
      <c r="F736" s="7"/>
    </row>
    <row r="737" ht="15.75" customHeight="1">
      <c r="A737" s="7"/>
      <c r="B737" s="7"/>
      <c r="C737" s="7"/>
      <c r="D737" s="7"/>
      <c r="E737" s="7"/>
      <c r="F737" s="7"/>
    </row>
    <row r="738" ht="15.75" customHeight="1">
      <c r="A738" s="7"/>
      <c r="B738" s="7"/>
      <c r="C738" s="7"/>
      <c r="D738" s="7"/>
      <c r="E738" s="7"/>
      <c r="F738" s="7"/>
    </row>
    <row r="739" ht="15.75" customHeight="1">
      <c r="A739" s="7"/>
      <c r="B739" s="7"/>
      <c r="C739" s="7"/>
      <c r="D739" s="7"/>
      <c r="E739" s="7"/>
      <c r="F739" s="7"/>
    </row>
    <row r="740" ht="15.75" customHeight="1">
      <c r="A740" s="7"/>
      <c r="B740" s="7"/>
      <c r="C740" s="7"/>
      <c r="D740" s="7"/>
      <c r="E740" s="7"/>
      <c r="F740" s="7"/>
    </row>
    <row r="741" ht="15.75" customHeight="1">
      <c r="A741" s="7"/>
      <c r="B741" s="7"/>
      <c r="C741" s="7"/>
      <c r="D741" s="7"/>
      <c r="E741" s="7"/>
      <c r="F741" s="7"/>
    </row>
    <row r="742" ht="15.75" customHeight="1">
      <c r="A742" s="7"/>
      <c r="B742" s="7"/>
      <c r="C742" s="7"/>
      <c r="D742" s="7"/>
      <c r="E742" s="7"/>
      <c r="F742" s="7"/>
    </row>
    <row r="743" ht="15.75" customHeight="1">
      <c r="A743" s="7"/>
      <c r="B743" s="7"/>
      <c r="C743" s="7"/>
      <c r="D743" s="7"/>
      <c r="E743" s="7"/>
      <c r="F743" s="7"/>
    </row>
    <row r="744" ht="15.75" customHeight="1">
      <c r="A744" s="7"/>
      <c r="B744" s="7"/>
      <c r="C744" s="7"/>
      <c r="D744" s="7"/>
      <c r="E744" s="7"/>
      <c r="F744" s="7"/>
    </row>
    <row r="745" ht="15.75" customHeight="1">
      <c r="A745" s="7"/>
      <c r="B745" s="7"/>
      <c r="C745" s="7"/>
      <c r="D745" s="7"/>
      <c r="E745" s="7"/>
      <c r="F745" s="7"/>
    </row>
    <row r="746" ht="15.75" customHeight="1">
      <c r="A746" s="7"/>
      <c r="B746" s="7"/>
      <c r="C746" s="7"/>
      <c r="D746" s="7"/>
      <c r="E746" s="7"/>
      <c r="F746" s="7"/>
    </row>
    <row r="747" ht="15.75" customHeight="1">
      <c r="A747" s="7"/>
      <c r="B747" s="7"/>
      <c r="C747" s="7"/>
      <c r="D747" s="7"/>
      <c r="E747" s="7"/>
      <c r="F747" s="7"/>
    </row>
    <row r="748" ht="15.75" customHeight="1">
      <c r="A748" s="7"/>
      <c r="B748" s="7"/>
      <c r="C748" s="7"/>
      <c r="D748" s="7"/>
      <c r="E748" s="7"/>
      <c r="F748" s="7"/>
    </row>
    <row r="749" ht="15.75" customHeight="1">
      <c r="A749" s="7"/>
      <c r="B749" s="7"/>
      <c r="C749" s="7"/>
      <c r="D749" s="7"/>
      <c r="E749" s="7"/>
      <c r="F749" s="7"/>
    </row>
    <row r="750" ht="15.75" customHeight="1">
      <c r="A750" s="7"/>
      <c r="B750" s="7"/>
      <c r="C750" s="7"/>
      <c r="D750" s="7"/>
      <c r="E750" s="7"/>
      <c r="F750" s="7"/>
    </row>
    <row r="751" ht="15.75" customHeight="1">
      <c r="A751" s="7"/>
      <c r="B751" s="7"/>
      <c r="C751" s="7"/>
      <c r="D751" s="7"/>
      <c r="E751" s="7"/>
      <c r="F751" s="7"/>
    </row>
    <row r="752" ht="15.75" customHeight="1">
      <c r="A752" s="7"/>
      <c r="B752" s="7"/>
      <c r="C752" s="7"/>
      <c r="D752" s="7"/>
      <c r="E752" s="7"/>
      <c r="F752" s="7"/>
    </row>
    <row r="753" ht="15.75" customHeight="1">
      <c r="A753" s="7"/>
      <c r="B753" s="7"/>
      <c r="C753" s="7"/>
      <c r="D753" s="7"/>
      <c r="E753" s="7"/>
      <c r="F753" s="7"/>
    </row>
    <row r="754" ht="15.75" customHeight="1">
      <c r="A754" s="7"/>
      <c r="B754" s="7"/>
      <c r="C754" s="7"/>
      <c r="D754" s="7"/>
      <c r="E754" s="7"/>
      <c r="F754" s="7"/>
    </row>
    <row r="755" ht="15.75" customHeight="1">
      <c r="A755" s="7"/>
      <c r="B755" s="7"/>
      <c r="C755" s="7"/>
      <c r="D755" s="7"/>
      <c r="E755" s="7"/>
      <c r="F755" s="7"/>
    </row>
    <row r="756" ht="15.75" customHeight="1">
      <c r="A756" s="7"/>
      <c r="B756" s="7"/>
      <c r="C756" s="7"/>
      <c r="D756" s="7"/>
      <c r="E756" s="7"/>
      <c r="F756" s="7"/>
    </row>
    <row r="757" ht="15.75" customHeight="1">
      <c r="A757" s="7"/>
      <c r="B757" s="7"/>
      <c r="C757" s="7"/>
      <c r="D757" s="7"/>
      <c r="E757" s="7"/>
      <c r="F757" s="7"/>
    </row>
    <row r="758" ht="15.75" customHeight="1">
      <c r="A758" s="7"/>
      <c r="B758" s="7"/>
      <c r="C758" s="7"/>
      <c r="D758" s="7"/>
      <c r="E758" s="7"/>
      <c r="F758" s="7"/>
    </row>
    <row r="759" ht="15.75" customHeight="1">
      <c r="A759" s="7"/>
      <c r="B759" s="7"/>
      <c r="C759" s="7"/>
      <c r="D759" s="7"/>
      <c r="E759" s="7"/>
      <c r="F759" s="7"/>
    </row>
    <row r="760" ht="15.75" customHeight="1">
      <c r="A760" s="7"/>
      <c r="B760" s="7"/>
      <c r="C760" s="7"/>
      <c r="D760" s="7"/>
      <c r="E760" s="7"/>
      <c r="F760" s="7"/>
    </row>
    <row r="761" ht="15.75" customHeight="1">
      <c r="A761" s="7"/>
      <c r="B761" s="7"/>
      <c r="C761" s="7"/>
      <c r="D761" s="7"/>
      <c r="E761" s="7"/>
      <c r="F761" s="7"/>
    </row>
    <row r="762" ht="15.75" customHeight="1">
      <c r="A762" s="7"/>
      <c r="B762" s="7"/>
      <c r="C762" s="7"/>
      <c r="D762" s="7"/>
      <c r="E762" s="7"/>
      <c r="F762" s="7"/>
    </row>
    <row r="763" ht="15.75" customHeight="1">
      <c r="A763" s="7"/>
      <c r="B763" s="7"/>
      <c r="C763" s="7"/>
      <c r="D763" s="7"/>
      <c r="E763" s="7"/>
      <c r="F763" s="7"/>
    </row>
    <row r="764" ht="15.75" customHeight="1">
      <c r="A764" s="7"/>
      <c r="B764" s="7"/>
      <c r="C764" s="7"/>
      <c r="D764" s="7"/>
      <c r="E764" s="7"/>
      <c r="F764" s="7"/>
    </row>
    <row r="765" ht="15.75" customHeight="1">
      <c r="A765" s="7"/>
      <c r="B765" s="7"/>
      <c r="C765" s="7"/>
      <c r="D765" s="7"/>
      <c r="E765" s="7"/>
      <c r="F765" s="7"/>
    </row>
    <row r="766" ht="15.75" customHeight="1">
      <c r="A766" s="7"/>
      <c r="B766" s="7"/>
      <c r="C766" s="7"/>
      <c r="D766" s="7"/>
      <c r="E766" s="7"/>
      <c r="F766" s="7"/>
    </row>
    <row r="767" ht="15.75" customHeight="1">
      <c r="A767" s="7"/>
      <c r="B767" s="7"/>
      <c r="C767" s="7"/>
      <c r="D767" s="7"/>
      <c r="E767" s="7"/>
      <c r="F767" s="7"/>
    </row>
    <row r="768" ht="15.75" customHeight="1">
      <c r="A768" s="7"/>
      <c r="B768" s="7"/>
      <c r="C768" s="7"/>
      <c r="D768" s="7"/>
      <c r="E768" s="7"/>
      <c r="F768" s="7"/>
    </row>
    <row r="769" ht="15.75" customHeight="1">
      <c r="A769" s="7"/>
      <c r="B769" s="7"/>
      <c r="C769" s="7"/>
      <c r="D769" s="7"/>
      <c r="E769" s="7"/>
      <c r="F769" s="7"/>
    </row>
    <row r="770" ht="15.75" customHeight="1">
      <c r="A770" s="7"/>
      <c r="B770" s="7"/>
      <c r="C770" s="7"/>
      <c r="D770" s="7"/>
      <c r="E770" s="7"/>
      <c r="F770" s="7"/>
    </row>
    <row r="771" ht="15.75" customHeight="1">
      <c r="A771" s="7"/>
      <c r="B771" s="7"/>
      <c r="C771" s="7"/>
      <c r="D771" s="7"/>
      <c r="E771" s="7"/>
      <c r="F771" s="7"/>
    </row>
    <row r="772" ht="15.75" customHeight="1">
      <c r="A772" s="7"/>
      <c r="B772" s="7"/>
      <c r="C772" s="7"/>
      <c r="D772" s="7"/>
      <c r="E772" s="7"/>
      <c r="F772" s="7"/>
    </row>
    <row r="773" ht="15.75" customHeight="1">
      <c r="A773" s="7"/>
      <c r="B773" s="7"/>
      <c r="C773" s="7"/>
      <c r="D773" s="7"/>
      <c r="E773" s="7"/>
      <c r="F773" s="7"/>
    </row>
    <row r="774" ht="15.75" customHeight="1">
      <c r="A774" s="7"/>
      <c r="B774" s="7"/>
      <c r="C774" s="7"/>
      <c r="D774" s="7"/>
      <c r="E774" s="7"/>
      <c r="F774" s="7"/>
    </row>
    <row r="775" ht="15.75" customHeight="1">
      <c r="A775" s="7"/>
      <c r="B775" s="7"/>
      <c r="C775" s="7"/>
      <c r="D775" s="7"/>
      <c r="E775" s="7"/>
      <c r="F775" s="7"/>
    </row>
    <row r="776" ht="15.75" customHeight="1">
      <c r="A776" s="7"/>
      <c r="B776" s="7"/>
      <c r="C776" s="7"/>
      <c r="D776" s="7"/>
      <c r="E776" s="7"/>
      <c r="F776" s="7"/>
    </row>
    <row r="777" ht="15.75" customHeight="1">
      <c r="A777" s="7"/>
      <c r="B777" s="7"/>
      <c r="C777" s="7"/>
      <c r="D777" s="7"/>
      <c r="E777" s="7"/>
      <c r="F777" s="7"/>
    </row>
    <row r="778" ht="15.75" customHeight="1">
      <c r="A778" s="7"/>
      <c r="B778" s="7"/>
      <c r="C778" s="7"/>
      <c r="D778" s="7"/>
      <c r="E778" s="7"/>
      <c r="F778" s="7"/>
    </row>
    <row r="779" ht="15.75" customHeight="1">
      <c r="A779" s="7"/>
      <c r="B779" s="7"/>
      <c r="C779" s="7"/>
      <c r="D779" s="7"/>
      <c r="E779" s="7"/>
      <c r="F779" s="7"/>
    </row>
    <row r="780" ht="15.75" customHeight="1">
      <c r="A780" s="7"/>
      <c r="B780" s="7"/>
      <c r="C780" s="7"/>
      <c r="D780" s="7"/>
      <c r="E780" s="7"/>
      <c r="F780" s="7"/>
    </row>
    <row r="781" ht="15.75" customHeight="1">
      <c r="A781" s="7"/>
      <c r="B781" s="7"/>
      <c r="C781" s="7"/>
      <c r="D781" s="7"/>
      <c r="E781" s="7"/>
      <c r="F781" s="7"/>
    </row>
    <row r="782" ht="15.75" customHeight="1">
      <c r="A782" s="7"/>
      <c r="B782" s="7"/>
      <c r="C782" s="7"/>
      <c r="D782" s="7"/>
      <c r="E782" s="7"/>
      <c r="F782" s="7"/>
    </row>
    <row r="783" ht="15.75" customHeight="1">
      <c r="A783" s="7"/>
      <c r="B783" s="7"/>
      <c r="C783" s="7"/>
      <c r="D783" s="7"/>
      <c r="E783" s="7"/>
      <c r="F783" s="7"/>
    </row>
    <row r="784" ht="15.75" customHeight="1">
      <c r="A784" s="7"/>
      <c r="B784" s="7"/>
      <c r="C784" s="7"/>
      <c r="D784" s="7"/>
      <c r="E784" s="7"/>
      <c r="F784" s="7"/>
    </row>
    <row r="785" ht="15.75" customHeight="1">
      <c r="A785" s="7"/>
      <c r="B785" s="7"/>
      <c r="C785" s="7"/>
      <c r="D785" s="7"/>
      <c r="E785" s="7"/>
      <c r="F785" s="7"/>
    </row>
    <row r="786" ht="15.75" customHeight="1">
      <c r="A786" s="7"/>
      <c r="B786" s="7"/>
      <c r="C786" s="7"/>
      <c r="D786" s="7"/>
      <c r="E786" s="7"/>
      <c r="F786" s="7"/>
    </row>
    <row r="787" ht="15.75" customHeight="1">
      <c r="A787" s="7"/>
      <c r="B787" s="7"/>
      <c r="C787" s="7"/>
      <c r="D787" s="7"/>
      <c r="E787" s="7"/>
      <c r="F787" s="7"/>
    </row>
    <row r="788" ht="15.75" customHeight="1">
      <c r="A788" s="7"/>
      <c r="B788" s="7"/>
      <c r="C788" s="7"/>
      <c r="D788" s="7"/>
      <c r="E788" s="7"/>
      <c r="F788" s="7"/>
    </row>
    <row r="789" ht="15.75" customHeight="1">
      <c r="A789" s="7"/>
      <c r="B789" s="7"/>
      <c r="C789" s="7"/>
      <c r="D789" s="7"/>
      <c r="E789" s="7"/>
      <c r="F789" s="7"/>
    </row>
    <row r="790" ht="15.75" customHeight="1">
      <c r="A790" s="7"/>
      <c r="B790" s="7"/>
      <c r="C790" s="7"/>
      <c r="D790" s="7"/>
      <c r="E790" s="7"/>
      <c r="F790" s="7"/>
    </row>
    <row r="791" ht="15.75" customHeight="1">
      <c r="A791" s="7"/>
      <c r="B791" s="7"/>
      <c r="C791" s="7"/>
      <c r="D791" s="7"/>
      <c r="E791" s="7"/>
      <c r="F791" s="7"/>
    </row>
    <row r="792" ht="15.75" customHeight="1">
      <c r="A792" s="7"/>
      <c r="B792" s="7"/>
      <c r="C792" s="7"/>
      <c r="D792" s="7"/>
      <c r="E792" s="7"/>
      <c r="F792" s="7"/>
    </row>
    <row r="793" ht="15.75" customHeight="1">
      <c r="A793" s="7"/>
      <c r="B793" s="7"/>
      <c r="C793" s="7"/>
      <c r="D793" s="7"/>
      <c r="E793" s="7"/>
      <c r="F793" s="7"/>
    </row>
    <row r="794" ht="15.75" customHeight="1">
      <c r="A794" s="7"/>
      <c r="B794" s="7"/>
      <c r="C794" s="7"/>
      <c r="D794" s="7"/>
      <c r="E794" s="7"/>
      <c r="F794" s="7"/>
    </row>
    <row r="795" ht="15.75" customHeight="1">
      <c r="A795" s="7"/>
      <c r="B795" s="7"/>
      <c r="C795" s="7"/>
      <c r="D795" s="7"/>
      <c r="E795" s="7"/>
      <c r="F795" s="7"/>
    </row>
    <row r="796" ht="15.75" customHeight="1">
      <c r="A796" s="7"/>
      <c r="B796" s="7"/>
      <c r="C796" s="7"/>
      <c r="D796" s="7"/>
      <c r="E796" s="7"/>
      <c r="F796" s="7"/>
    </row>
    <row r="797" ht="15.75" customHeight="1">
      <c r="A797" s="7"/>
      <c r="B797" s="7"/>
      <c r="C797" s="7"/>
      <c r="D797" s="7"/>
      <c r="E797" s="7"/>
      <c r="F797" s="7"/>
    </row>
    <row r="798" ht="15.75" customHeight="1">
      <c r="A798" s="7"/>
      <c r="B798" s="7"/>
      <c r="C798" s="7"/>
      <c r="D798" s="7"/>
      <c r="E798" s="7"/>
      <c r="F798" s="7"/>
    </row>
    <row r="799" ht="15.75" customHeight="1">
      <c r="A799" s="7"/>
      <c r="B799" s="7"/>
      <c r="C799" s="7"/>
      <c r="D799" s="7"/>
      <c r="E799" s="7"/>
      <c r="F799" s="7"/>
    </row>
    <row r="800" ht="15.75" customHeight="1">
      <c r="A800" s="7"/>
      <c r="B800" s="7"/>
      <c r="C800" s="7"/>
      <c r="D800" s="7"/>
      <c r="E800" s="7"/>
      <c r="F800" s="7"/>
    </row>
    <row r="801" ht="15.75" customHeight="1">
      <c r="A801" s="7"/>
      <c r="B801" s="7"/>
      <c r="C801" s="7"/>
      <c r="D801" s="7"/>
      <c r="E801" s="7"/>
      <c r="F801" s="7"/>
    </row>
    <row r="802" ht="15.75" customHeight="1">
      <c r="A802" s="7"/>
      <c r="B802" s="7"/>
      <c r="C802" s="7"/>
      <c r="D802" s="7"/>
      <c r="E802" s="7"/>
      <c r="F802" s="7"/>
    </row>
    <row r="803" ht="15.75" customHeight="1">
      <c r="A803" s="7"/>
      <c r="B803" s="7"/>
      <c r="C803" s="7"/>
      <c r="D803" s="7"/>
      <c r="E803" s="7"/>
      <c r="F803" s="7"/>
    </row>
    <row r="804" ht="15.75" customHeight="1">
      <c r="A804" s="7"/>
      <c r="B804" s="7"/>
      <c r="C804" s="7"/>
      <c r="D804" s="7"/>
      <c r="E804" s="7"/>
      <c r="F804" s="7"/>
    </row>
    <row r="805" ht="15.75" customHeight="1">
      <c r="A805" s="7"/>
      <c r="B805" s="7"/>
      <c r="C805" s="7"/>
      <c r="D805" s="7"/>
      <c r="E805" s="7"/>
      <c r="F805" s="7"/>
    </row>
    <row r="806" ht="15.75" customHeight="1">
      <c r="A806" s="7"/>
      <c r="B806" s="7"/>
      <c r="C806" s="7"/>
      <c r="D806" s="7"/>
      <c r="E806" s="7"/>
      <c r="F806" s="7"/>
    </row>
    <row r="807" ht="15.75" customHeight="1">
      <c r="A807" s="7"/>
      <c r="B807" s="7"/>
      <c r="C807" s="7"/>
      <c r="D807" s="7"/>
      <c r="E807" s="7"/>
      <c r="F807" s="7"/>
    </row>
    <row r="808" ht="15.75" customHeight="1">
      <c r="A808" s="7"/>
      <c r="B808" s="7"/>
      <c r="C808" s="7"/>
      <c r="D808" s="7"/>
      <c r="E808" s="7"/>
      <c r="F808" s="7"/>
    </row>
    <row r="809" ht="15.75" customHeight="1">
      <c r="A809" s="7"/>
      <c r="B809" s="7"/>
      <c r="C809" s="7"/>
      <c r="D809" s="7"/>
      <c r="E809" s="7"/>
      <c r="F809" s="7"/>
    </row>
    <row r="810" ht="15.75" customHeight="1">
      <c r="A810" s="7"/>
      <c r="B810" s="7"/>
      <c r="C810" s="7"/>
      <c r="D810" s="7"/>
      <c r="E810" s="7"/>
      <c r="F810" s="7"/>
    </row>
    <row r="811" ht="15.75" customHeight="1">
      <c r="A811" s="7"/>
      <c r="B811" s="7"/>
      <c r="C811" s="7"/>
      <c r="D811" s="7"/>
      <c r="E811" s="7"/>
      <c r="F811" s="7"/>
    </row>
    <row r="812" ht="15.75" customHeight="1">
      <c r="A812" s="7"/>
      <c r="B812" s="7"/>
      <c r="C812" s="7"/>
      <c r="D812" s="7"/>
      <c r="E812" s="7"/>
      <c r="F812" s="7"/>
    </row>
    <row r="813" ht="15.75" customHeight="1">
      <c r="A813" s="7"/>
      <c r="B813" s="7"/>
      <c r="C813" s="7"/>
      <c r="D813" s="7"/>
      <c r="E813" s="7"/>
      <c r="F813" s="7"/>
    </row>
    <row r="814" ht="15.75" customHeight="1">
      <c r="A814" s="7"/>
      <c r="B814" s="7"/>
      <c r="C814" s="7"/>
      <c r="D814" s="7"/>
      <c r="E814" s="7"/>
      <c r="F814" s="7"/>
    </row>
    <row r="815" ht="15.75" customHeight="1">
      <c r="A815" s="7"/>
      <c r="B815" s="7"/>
      <c r="C815" s="7"/>
      <c r="D815" s="7"/>
      <c r="E815" s="7"/>
      <c r="F815" s="7"/>
    </row>
    <row r="816" ht="15.75" customHeight="1">
      <c r="A816" s="7"/>
      <c r="B816" s="7"/>
      <c r="C816" s="7"/>
      <c r="D816" s="7"/>
      <c r="E816" s="7"/>
      <c r="F816" s="7"/>
    </row>
    <row r="817" ht="15.75" customHeight="1">
      <c r="A817" s="7"/>
      <c r="B817" s="7"/>
      <c r="C817" s="7"/>
      <c r="D817" s="7"/>
      <c r="E817" s="7"/>
      <c r="F817" s="7"/>
    </row>
    <row r="818" ht="15.75" customHeight="1">
      <c r="A818" s="7"/>
      <c r="B818" s="7"/>
      <c r="C818" s="7"/>
      <c r="D818" s="7"/>
      <c r="E818" s="7"/>
      <c r="F818" s="7"/>
    </row>
    <row r="819" ht="15.75" customHeight="1">
      <c r="A819" s="7"/>
      <c r="B819" s="7"/>
      <c r="C819" s="7"/>
      <c r="D819" s="7"/>
      <c r="E819" s="7"/>
      <c r="F819" s="7"/>
    </row>
    <row r="820" ht="15.75" customHeight="1">
      <c r="A820" s="7"/>
      <c r="B820" s="7"/>
      <c r="C820" s="7"/>
      <c r="D820" s="7"/>
      <c r="E820" s="7"/>
      <c r="F820" s="7"/>
    </row>
    <row r="821" ht="15.75" customHeight="1">
      <c r="A821" s="7"/>
      <c r="B821" s="7"/>
      <c r="C821" s="7"/>
      <c r="D821" s="7"/>
      <c r="E821" s="7"/>
      <c r="F821" s="7"/>
    </row>
    <row r="822" ht="15.75" customHeight="1">
      <c r="A822" s="7"/>
      <c r="B822" s="7"/>
      <c r="C822" s="7"/>
      <c r="D822" s="7"/>
      <c r="E822" s="7"/>
      <c r="F822" s="7"/>
    </row>
    <row r="823" ht="15.75" customHeight="1">
      <c r="A823" s="7"/>
      <c r="B823" s="7"/>
      <c r="C823" s="7"/>
      <c r="D823" s="7"/>
      <c r="E823" s="7"/>
      <c r="F823" s="7"/>
    </row>
    <row r="824" ht="15.75" customHeight="1">
      <c r="A824" s="7"/>
      <c r="B824" s="7"/>
      <c r="C824" s="7"/>
      <c r="D824" s="7"/>
      <c r="E824" s="7"/>
      <c r="F824" s="7"/>
    </row>
    <row r="825" ht="15.75" customHeight="1">
      <c r="A825" s="7"/>
      <c r="B825" s="7"/>
      <c r="C825" s="7"/>
      <c r="D825" s="7"/>
      <c r="E825" s="7"/>
      <c r="F825" s="7"/>
    </row>
    <row r="826" ht="15.75" customHeight="1">
      <c r="A826" s="7"/>
      <c r="B826" s="7"/>
      <c r="C826" s="7"/>
      <c r="D826" s="7"/>
      <c r="E826" s="7"/>
      <c r="F826" s="7"/>
    </row>
    <row r="827" ht="15.75" customHeight="1">
      <c r="A827" s="7"/>
      <c r="B827" s="7"/>
      <c r="C827" s="7"/>
      <c r="D827" s="7"/>
      <c r="E827" s="7"/>
      <c r="F827" s="7"/>
    </row>
    <row r="828" ht="15.75" customHeight="1">
      <c r="A828" s="7"/>
      <c r="B828" s="7"/>
      <c r="C828" s="7"/>
      <c r="D828" s="7"/>
      <c r="E828" s="7"/>
      <c r="F828" s="7"/>
    </row>
    <row r="829" ht="15.75" customHeight="1">
      <c r="A829" s="7"/>
      <c r="B829" s="7"/>
      <c r="C829" s="7"/>
      <c r="D829" s="7"/>
      <c r="E829" s="7"/>
      <c r="F829" s="7"/>
    </row>
    <row r="830" ht="15.75" customHeight="1">
      <c r="A830" s="7"/>
      <c r="B830" s="7"/>
      <c r="C830" s="7"/>
      <c r="D830" s="7"/>
      <c r="E830" s="7"/>
      <c r="F830" s="7"/>
    </row>
    <row r="831" ht="15.75" customHeight="1">
      <c r="A831" s="7"/>
      <c r="B831" s="7"/>
      <c r="C831" s="7"/>
      <c r="D831" s="7"/>
      <c r="E831" s="7"/>
      <c r="F831" s="7"/>
    </row>
    <row r="832" ht="15.75" customHeight="1">
      <c r="A832" s="7"/>
      <c r="B832" s="7"/>
      <c r="C832" s="7"/>
      <c r="D832" s="7"/>
      <c r="E832" s="7"/>
      <c r="F832" s="7"/>
    </row>
    <row r="833" ht="15.75" customHeight="1">
      <c r="A833" s="7"/>
      <c r="B833" s="7"/>
      <c r="C833" s="7"/>
      <c r="D833" s="7"/>
      <c r="E833" s="7"/>
      <c r="F833" s="7"/>
    </row>
    <row r="834" ht="15.75" customHeight="1">
      <c r="A834" s="7"/>
      <c r="B834" s="7"/>
      <c r="C834" s="7"/>
      <c r="D834" s="7"/>
      <c r="E834" s="7"/>
      <c r="F834" s="7"/>
    </row>
    <row r="835" ht="15.75" customHeight="1">
      <c r="A835" s="7"/>
      <c r="B835" s="7"/>
      <c r="C835" s="7"/>
      <c r="D835" s="7"/>
      <c r="E835" s="7"/>
      <c r="F835" s="7"/>
    </row>
    <row r="836" ht="15.75" customHeight="1">
      <c r="A836" s="7"/>
      <c r="B836" s="7"/>
      <c r="C836" s="7"/>
      <c r="D836" s="7"/>
      <c r="E836" s="7"/>
      <c r="F836" s="7"/>
    </row>
    <row r="837" ht="15.75" customHeight="1">
      <c r="A837" s="7"/>
      <c r="B837" s="7"/>
      <c r="C837" s="7"/>
      <c r="D837" s="7"/>
      <c r="E837" s="7"/>
      <c r="F837" s="7"/>
    </row>
    <row r="838" ht="15.75" customHeight="1">
      <c r="A838" s="7"/>
      <c r="B838" s="7"/>
      <c r="C838" s="7"/>
      <c r="D838" s="7"/>
      <c r="E838" s="7"/>
      <c r="F838" s="7"/>
    </row>
    <row r="839" ht="15.75" customHeight="1">
      <c r="A839" s="7"/>
      <c r="B839" s="7"/>
      <c r="C839" s="7"/>
      <c r="D839" s="7"/>
      <c r="E839" s="7"/>
      <c r="F839" s="7"/>
    </row>
    <row r="840" ht="15.75" customHeight="1">
      <c r="A840" s="7"/>
      <c r="B840" s="7"/>
      <c r="C840" s="7"/>
      <c r="D840" s="7"/>
      <c r="E840" s="7"/>
      <c r="F840" s="7"/>
    </row>
    <row r="841" ht="15.75" customHeight="1">
      <c r="A841" s="7"/>
      <c r="B841" s="7"/>
      <c r="C841" s="7"/>
      <c r="D841" s="7"/>
      <c r="E841" s="7"/>
      <c r="F841" s="7"/>
    </row>
    <row r="842" ht="15.75" customHeight="1">
      <c r="A842" s="7"/>
      <c r="B842" s="7"/>
      <c r="C842" s="7"/>
      <c r="D842" s="7"/>
      <c r="E842" s="7"/>
      <c r="F842" s="7"/>
    </row>
    <row r="843" ht="15.75" customHeight="1">
      <c r="A843" s="7"/>
      <c r="B843" s="7"/>
      <c r="C843" s="7"/>
      <c r="D843" s="7"/>
      <c r="E843" s="7"/>
      <c r="F843" s="7"/>
    </row>
    <row r="844" ht="15.75" customHeight="1">
      <c r="A844" s="7"/>
      <c r="B844" s="7"/>
      <c r="C844" s="7"/>
      <c r="D844" s="7"/>
      <c r="E844" s="7"/>
      <c r="F844" s="7"/>
    </row>
    <row r="845" ht="15.75" customHeight="1">
      <c r="A845" s="7"/>
      <c r="B845" s="7"/>
      <c r="C845" s="7"/>
      <c r="D845" s="7"/>
      <c r="E845" s="7"/>
      <c r="F845" s="7"/>
    </row>
    <row r="846" ht="15.75" customHeight="1">
      <c r="A846" s="7"/>
      <c r="B846" s="7"/>
      <c r="C846" s="7"/>
      <c r="D846" s="7"/>
      <c r="E846" s="7"/>
      <c r="F846" s="7"/>
    </row>
    <row r="847" ht="15.75" customHeight="1">
      <c r="A847" s="7"/>
      <c r="B847" s="7"/>
      <c r="C847" s="7"/>
      <c r="D847" s="7"/>
      <c r="E847" s="7"/>
      <c r="F847" s="7"/>
    </row>
    <row r="848" ht="15.75" customHeight="1">
      <c r="A848" s="7"/>
      <c r="B848" s="7"/>
      <c r="C848" s="7"/>
      <c r="D848" s="7"/>
      <c r="E848" s="7"/>
      <c r="F848" s="7"/>
    </row>
    <row r="849" ht="15.75" customHeight="1">
      <c r="A849" s="7"/>
      <c r="B849" s="7"/>
      <c r="C849" s="7"/>
      <c r="D849" s="7"/>
      <c r="E849" s="7"/>
      <c r="F849" s="7"/>
    </row>
    <row r="850" ht="15.75" customHeight="1">
      <c r="A850" s="7"/>
      <c r="B850" s="7"/>
      <c r="C850" s="7"/>
      <c r="D850" s="7"/>
      <c r="E850" s="7"/>
      <c r="F850" s="7"/>
    </row>
    <row r="851" ht="15.75" customHeight="1">
      <c r="A851" s="7"/>
      <c r="B851" s="7"/>
      <c r="C851" s="7"/>
      <c r="D851" s="7"/>
      <c r="E851" s="7"/>
      <c r="F851" s="7"/>
    </row>
    <row r="852" ht="15.75" customHeight="1">
      <c r="A852" s="7"/>
      <c r="B852" s="7"/>
      <c r="C852" s="7"/>
      <c r="D852" s="7"/>
      <c r="E852" s="7"/>
      <c r="F852" s="7"/>
    </row>
    <row r="853" ht="15.75" customHeight="1">
      <c r="A853" s="7"/>
      <c r="B853" s="7"/>
      <c r="C853" s="7"/>
      <c r="D853" s="7"/>
      <c r="E853" s="7"/>
      <c r="F853" s="7"/>
    </row>
    <row r="854" ht="15.75" customHeight="1">
      <c r="A854" s="7"/>
      <c r="B854" s="7"/>
      <c r="C854" s="7"/>
      <c r="D854" s="7"/>
      <c r="E854" s="7"/>
      <c r="F854" s="7"/>
    </row>
    <row r="855" ht="15.75" customHeight="1">
      <c r="A855" s="7"/>
      <c r="B855" s="7"/>
      <c r="C855" s="7"/>
      <c r="D855" s="7"/>
      <c r="E855" s="7"/>
      <c r="F855" s="7"/>
    </row>
    <row r="856" ht="15.75" customHeight="1">
      <c r="A856" s="7"/>
      <c r="B856" s="7"/>
      <c r="C856" s="7"/>
      <c r="D856" s="7"/>
      <c r="E856" s="7"/>
      <c r="F856" s="7"/>
    </row>
    <row r="857" ht="15.75" customHeight="1">
      <c r="A857" s="7"/>
      <c r="B857" s="7"/>
      <c r="C857" s="7"/>
      <c r="D857" s="7"/>
      <c r="E857" s="7"/>
      <c r="F857" s="7"/>
    </row>
    <row r="858" ht="15.75" customHeight="1">
      <c r="A858" s="7"/>
      <c r="B858" s="7"/>
      <c r="C858" s="7"/>
      <c r="D858" s="7"/>
      <c r="E858" s="7"/>
      <c r="F858" s="7"/>
    </row>
    <row r="859" ht="15.75" customHeight="1">
      <c r="A859" s="7"/>
      <c r="B859" s="7"/>
      <c r="C859" s="7"/>
      <c r="D859" s="7"/>
      <c r="E859" s="7"/>
      <c r="F859" s="7"/>
    </row>
    <row r="860" ht="15.75" customHeight="1">
      <c r="A860" s="7"/>
      <c r="B860" s="7"/>
      <c r="C860" s="7"/>
      <c r="D860" s="7"/>
      <c r="E860" s="7"/>
      <c r="F860" s="7"/>
    </row>
    <row r="861" ht="15.75" customHeight="1">
      <c r="A861" s="7"/>
      <c r="B861" s="7"/>
      <c r="C861" s="7"/>
      <c r="D861" s="7"/>
      <c r="E861" s="7"/>
      <c r="F861" s="7"/>
    </row>
    <row r="862" ht="15.75" customHeight="1">
      <c r="A862" s="7"/>
      <c r="B862" s="7"/>
      <c r="C862" s="7"/>
      <c r="D862" s="7"/>
      <c r="E862" s="7"/>
      <c r="F862" s="7"/>
    </row>
    <row r="863" ht="15.75" customHeight="1">
      <c r="A863" s="7"/>
      <c r="B863" s="7"/>
      <c r="C863" s="7"/>
      <c r="D863" s="7"/>
      <c r="E863" s="7"/>
      <c r="F863" s="7"/>
    </row>
    <row r="864" ht="15.75" customHeight="1">
      <c r="A864" s="7"/>
      <c r="B864" s="7"/>
      <c r="C864" s="7"/>
      <c r="D864" s="7"/>
      <c r="E864" s="7"/>
      <c r="F864" s="7"/>
    </row>
    <row r="865" ht="15.75" customHeight="1">
      <c r="A865" s="7"/>
      <c r="B865" s="7"/>
      <c r="C865" s="7"/>
      <c r="D865" s="7"/>
      <c r="E865" s="7"/>
      <c r="F865" s="7"/>
    </row>
    <row r="866" ht="15.75" customHeight="1">
      <c r="A866" s="7"/>
      <c r="B866" s="7"/>
      <c r="C866" s="7"/>
      <c r="D866" s="7"/>
      <c r="E866" s="7"/>
      <c r="F866" s="7"/>
    </row>
    <row r="867" ht="15.75" customHeight="1">
      <c r="A867" s="7"/>
      <c r="B867" s="7"/>
      <c r="C867" s="7"/>
      <c r="D867" s="7"/>
      <c r="E867" s="7"/>
      <c r="F867" s="7"/>
    </row>
    <row r="868" ht="15.75" customHeight="1">
      <c r="A868" s="7"/>
      <c r="B868" s="7"/>
      <c r="C868" s="7"/>
      <c r="D868" s="7"/>
      <c r="E868" s="7"/>
      <c r="F868" s="7"/>
    </row>
    <row r="869" ht="15.75" customHeight="1">
      <c r="A869" s="7"/>
      <c r="B869" s="7"/>
      <c r="C869" s="7"/>
      <c r="D869" s="7"/>
      <c r="E869" s="7"/>
      <c r="F869" s="7"/>
    </row>
    <row r="870" ht="15.75" customHeight="1">
      <c r="A870" s="7"/>
      <c r="B870" s="7"/>
      <c r="C870" s="7"/>
      <c r="D870" s="7"/>
      <c r="E870" s="7"/>
      <c r="F870" s="7"/>
    </row>
    <row r="871" ht="15.75" customHeight="1">
      <c r="A871" s="7"/>
      <c r="B871" s="7"/>
      <c r="C871" s="7"/>
      <c r="D871" s="7"/>
      <c r="E871" s="7"/>
      <c r="F871" s="7"/>
    </row>
    <row r="872" ht="15.75" customHeight="1">
      <c r="A872" s="7"/>
      <c r="B872" s="7"/>
      <c r="C872" s="7"/>
      <c r="D872" s="7"/>
      <c r="E872" s="7"/>
      <c r="F872" s="7"/>
    </row>
    <row r="873" ht="15.75" customHeight="1">
      <c r="A873" s="7"/>
      <c r="B873" s="7"/>
      <c r="C873" s="7"/>
      <c r="D873" s="7"/>
      <c r="E873" s="7"/>
      <c r="F873" s="7"/>
    </row>
    <row r="874" ht="15.75" customHeight="1">
      <c r="A874" s="7"/>
      <c r="B874" s="7"/>
      <c r="C874" s="7"/>
      <c r="D874" s="7"/>
      <c r="E874" s="7"/>
      <c r="F874" s="7"/>
    </row>
    <row r="875" ht="15.75" customHeight="1">
      <c r="A875" s="7"/>
      <c r="B875" s="7"/>
      <c r="C875" s="7"/>
      <c r="D875" s="7"/>
      <c r="E875" s="7"/>
      <c r="F875" s="7"/>
    </row>
    <row r="876" ht="15.75" customHeight="1">
      <c r="A876" s="7"/>
      <c r="B876" s="7"/>
      <c r="C876" s="7"/>
      <c r="D876" s="7"/>
      <c r="E876" s="7"/>
      <c r="F876" s="7"/>
    </row>
    <row r="877" ht="15.75" customHeight="1">
      <c r="A877" s="7"/>
      <c r="B877" s="7"/>
      <c r="C877" s="7"/>
      <c r="D877" s="7"/>
      <c r="E877" s="7"/>
      <c r="F877" s="7"/>
    </row>
    <row r="878" ht="15.75" customHeight="1">
      <c r="A878" s="7"/>
      <c r="B878" s="7"/>
      <c r="C878" s="7"/>
      <c r="D878" s="7"/>
      <c r="E878" s="7"/>
      <c r="F878" s="7"/>
    </row>
    <row r="879" ht="15.75" customHeight="1">
      <c r="A879" s="7"/>
      <c r="B879" s="7"/>
      <c r="C879" s="7"/>
      <c r="D879" s="7"/>
      <c r="E879" s="7"/>
      <c r="F879" s="7"/>
    </row>
    <row r="880" ht="15.75" customHeight="1">
      <c r="A880" s="7"/>
      <c r="B880" s="7"/>
      <c r="C880" s="7"/>
      <c r="D880" s="7"/>
      <c r="E880" s="7"/>
      <c r="F880" s="7"/>
    </row>
    <row r="881" ht="15.75" customHeight="1">
      <c r="A881" s="7"/>
      <c r="B881" s="7"/>
      <c r="C881" s="7"/>
      <c r="D881" s="7"/>
      <c r="E881" s="7"/>
      <c r="F881" s="7"/>
    </row>
    <row r="882" ht="15.75" customHeight="1">
      <c r="A882" s="7"/>
      <c r="B882" s="7"/>
      <c r="C882" s="7"/>
      <c r="D882" s="7"/>
      <c r="E882" s="7"/>
      <c r="F882" s="7"/>
    </row>
    <row r="883" ht="15.75" customHeight="1">
      <c r="A883" s="7"/>
      <c r="B883" s="7"/>
      <c r="C883" s="7"/>
      <c r="D883" s="7"/>
      <c r="E883" s="7"/>
      <c r="F883" s="7"/>
    </row>
    <row r="884" ht="15.75" customHeight="1">
      <c r="A884" s="7"/>
      <c r="B884" s="7"/>
      <c r="C884" s="7"/>
      <c r="D884" s="7"/>
      <c r="E884" s="7"/>
      <c r="F884" s="7"/>
    </row>
    <row r="885" ht="15.75" customHeight="1">
      <c r="A885" s="7"/>
      <c r="B885" s="7"/>
      <c r="C885" s="7"/>
      <c r="D885" s="7"/>
      <c r="E885" s="7"/>
      <c r="F885" s="7"/>
    </row>
    <row r="886" ht="15.75" customHeight="1">
      <c r="A886" s="7"/>
      <c r="B886" s="7"/>
      <c r="C886" s="7"/>
      <c r="D886" s="7"/>
      <c r="E886" s="7"/>
      <c r="F886" s="7"/>
    </row>
    <row r="887" ht="15.75" customHeight="1">
      <c r="A887" s="7"/>
      <c r="B887" s="7"/>
      <c r="C887" s="7"/>
      <c r="D887" s="7"/>
      <c r="E887" s="7"/>
      <c r="F887" s="7"/>
    </row>
    <row r="888" ht="15.75" customHeight="1">
      <c r="A888" s="7"/>
      <c r="B888" s="7"/>
      <c r="C888" s="7"/>
      <c r="D888" s="7"/>
      <c r="E888" s="7"/>
      <c r="F888" s="7"/>
    </row>
    <row r="889" ht="15.75" customHeight="1">
      <c r="A889" s="7"/>
      <c r="B889" s="7"/>
      <c r="C889" s="7"/>
      <c r="D889" s="7"/>
      <c r="E889" s="7"/>
      <c r="F889" s="7"/>
    </row>
    <row r="890" ht="15.75" customHeight="1">
      <c r="A890" s="7"/>
      <c r="B890" s="7"/>
      <c r="C890" s="7"/>
      <c r="D890" s="7"/>
      <c r="E890" s="7"/>
      <c r="F890" s="7"/>
    </row>
    <row r="891" ht="15.75" customHeight="1">
      <c r="A891" s="7"/>
      <c r="B891" s="7"/>
      <c r="C891" s="7"/>
      <c r="D891" s="7"/>
      <c r="E891" s="7"/>
      <c r="F891" s="7"/>
    </row>
    <row r="892" ht="15.75" customHeight="1">
      <c r="A892" s="7"/>
      <c r="B892" s="7"/>
      <c r="C892" s="7"/>
      <c r="D892" s="7"/>
      <c r="E892" s="7"/>
      <c r="F892" s="7"/>
    </row>
    <row r="893" ht="15.75" customHeight="1">
      <c r="A893" s="7"/>
      <c r="B893" s="7"/>
      <c r="C893" s="7"/>
      <c r="D893" s="7"/>
      <c r="E893" s="7"/>
      <c r="F893" s="7"/>
    </row>
    <row r="894" ht="15.75" customHeight="1">
      <c r="A894" s="7"/>
      <c r="B894" s="7"/>
      <c r="C894" s="7"/>
      <c r="D894" s="7"/>
      <c r="E894" s="7"/>
      <c r="F894" s="7"/>
    </row>
    <row r="895" ht="15.75" customHeight="1">
      <c r="A895" s="7"/>
      <c r="B895" s="7"/>
      <c r="C895" s="7"/>
      <c r="D895" s="7"/>
      <c r="E895" s="7"/>
      <c r="F895" s="7"/>
    </row>
    <row r="896" ht="15.75" customHeight="1">
      <c r="A896" s="7"/>
      <c r="B896" s="7"/>
      <c r="C896" s="7"/>
      <c r="D896" s="7"/>
      <c r="E896" s="7"/>
      <c r="F896" s="7"/>
    </row>
    <row r="897" ht="15.75" customHeight="1">
      <c r="A897" s="7"/>
      <c r="B897" s="7"/>
      <c r="C897" s="7"/>
      <c r="D897" s="7"/>
      <c r="E897" s="7"/>
      <c r="F897" s="7"/>
    </row>
    <row r="898" ht="15.75" customHeight="1">
      <c r="A898" s="7"/>
      <c r="B898" s="7"/>
      <c r="C898" s="7"/>
      <c r="D898" s="7"/>
      <c r="E898" s="7"/>
      <c r="F898" s="7"/>
    </row>
    <row r="899" ht="15.75" customHeight="1">
      <c r="A899" s="7"/>
      <c r="B899" s="7"/>
      <c r="C899" s="7"/>
      <c r="D899" s="7"/>
      <c r="E899" s="7"/>
      <c r="F899" s="7"/>
    </row>
    <row r="900" ht="15.75" customHeight="1">
      <c r="A900" s="7"/>
      <c r="B900" s="7"/>
      <c r="C900" s="7"/>
      <c r="D900" s="7"/>
      <c r="E900" s="7"/>
      <c r="F900" s="7"/>
    </row>
    <row r="901" ht="15.75" customHeight="1">
      <c r="A901" s="7"/>
      <c r="B901" s="7"/>
      <c r="C901" s="7"/>
      <c r="D901" s="7"/>
      <c r="E901" s="7"/>
      <c r="F901" s="7"/>
    </row>
    <row r="902" ht="15.75" customHeight="1">
      <c r="A902" s="7"/>
      <c r="B902" s="7"/>
      <c r="C902" s="7"/>
      <c r="D902" s="7"/>
      <c r="E902" s="7"/>
      <c r="F902" s="7"/>
    </row>
    <row r="903" ht="15.75" customHeight="1">
      <c r="A903" s="7"/>
      <c r="B903" s="7"/>
      <c r="C903" s="7"/>
      <c r="D903" s="7"/>
      <c r="E903" s="7"/>
      <c r="F903" s="7"/>
    </row>
    <row r="904" ht="15.75" customHeight="1">
      <c r="A904" s="7"/>
      <c r="B904" s="7"/>
      <c r="C904" s="7"/>
      <c r="D904" s="7"/>
      <c r="E904" s="7"/>
      <c r="F904" s="7"/>
    </row>
    <row r="905" ht="15.75" customHeight="1">
      <c r="A905" s="7"/>
      <c r="B905" s="7"/>
      <c r="C905" s="7"/>
      <c r="D905" s="7"/>
      <c r="E905" s="7"/>
      <c r="F905" s="7"/>
    </row>
    <row r="906" ht="15.75" customHeight="1">
      <c r="A906" s="7"/>
      <c r="B906" s="7"/>
      <c r="C906" s="7"/>
      <c r="D906" s="7"/>
      <c r="E906" s="7"/>
      <c r="F906" s="7"/>
    </row>
    <row r="907" ht="15.75" customHeight="1">
      <c r="A907" s="7"/>
      <c r="B907" s="7"/>
      <c r="C907" s="7"/>
      <c r="D907" s="7"/>
      <c r="E907" s="7"/>
      <c r="F907" s="7"/>
    </row>
    <row r="908" ht="15.75" customHeight="1">
      <c r="A908" s="7"/>
      <c r="B908" s="7"/>
      <c r="C908" s="7"/>
      <c r="D908" s="7"/>
      <c r="E908" s="7"/>
      <c r="F908" s="7"/>
    </row>
    <row r="909" ht="15.75" customHeight="1">
      <c r="A909" s="7"/>
      <c r="B909" s="7"/>
      <c r="C909" s="7"/>
      <c r="D909" s="7"/>
      <c r="E909" s="7"/>
      <c r="F909" s="7"/>
    </row>
    <row r="910" ht="15.75" customHeight="1">
      <c r="A910" s="7"/>
      <c r="B910" s="7"/>
      <c r="C910" s="7"/>
      <c r="D910" s="7"/>
      <c r="E910" s="7"/>
      <c r="F910" s="7"/>
    </row>
    <row r="911" ht="15.75" customHeight="1">
      <c r="A911" s="7"/>
      <c r="B911" s="7"/>
      <c r="C911" s="7"/>
      <c r="D911" s="7"/>
      <c r="E911" s="7"/>
      <c r="F911" s="7"/>
    </row>
    <row r="912" ht="15.75" customHeight="1">
      <c r="A912" s="7"/>
      <c r="B912" s="7"/>
      <c r="C912" s="7"/>
      <c r="D912" s="7"/>
      <c r="E912" s="7"/>
      <c r="F912" s="7"/>
    </row>
    <row r="913" ht="15.75" customHeight="1">
      <c r="A913" s="7"/>
      <c r="B913" s="7"/>
      <c r="C913" s="7"/>
      <c r="D913" s="7"/>
      <c r="E913" s="7"/>
      <c r="F913" s="7"/>
    </row>
    <row r="914" ht="15.75" customHeight="1">
      <c r="A914" s="7"/>
      <c r="B914" s="7"/>
      <c r="C914" s="7"/>
      <c r="D914" s="7"/>
      <c r="E914" s="7"/>
      <c r="F914" s="7"/>
    </row>
    <row r="915" ht="15.75" customHeight="1">
      <c r="A915" s="7"/>
      <c r="B915" s="7"/>
      <c r="C915" s="7"/>
      <c r="D915" s="7"/>
      <c r="E915" s="7"/>
      <c r="F915" s="7"/>
    </row>
    <row r="916" ht="15.75" customHeight="1">
      <c r="A916" s="7"/>
      <c r="B916" s="7"/>
      <c r="C916" s="7"/>
      <c r="D916" s="7"/>
      <c r="E916" s="7"/>
      <c r="F916" s="7"/>
    </row>
    <row r="917" ht="15.75" customHeight="1">
      <c r="A917" s="7"/>
      <c r="B917" s="7"/>
      <c r="C917" s="7"/>
      <c r="D917" s="7"/>
      <c r="E917" s="7"/>
      <c r="F917" s="7"/>
    </row>
    <row r="918" ht="15.75" customHeight="1">
      <c r="A918" s="7"/>
      <c r="B918" s="7"/>
      <c r="C918" s="7"/>
      <c r="D918" s="7"/>
      <c r="E918" s="7"/>
      <c r="F918" s="7"/>
    </row>
    <row r="919" ht="15.75" customHeight="1">
      <c r="A919" s="7"/>
      <c r="B919" s="7"/>
      <c r="C919" s="7"/>
      <c r="D919" s="7"/>
      <c r="E919" s="7"/>
      <c r="F919" s="7"/>
    </row>
    <row r="920" ht="15.75" customHeight="1">
      <c r="A920" s="7"/>
      <c r="B920" s="7"/>
      <c r="C920" s="7"/>
      <c r="D920" s="7"/>
      <c r="E920" s="7"/>
      <c r="F920" s="7"/>
    </row>
    <row r="921" ht="15.75" customHeight="1">
      <c r="A921" s="7"/>
      <c r="B921" s="7"/>
      <c r="C921" s="7"/>
      <c r="D921" s="7"/>
      <c r="E921" s="7"/>
      <c r="F921" s="7"/>
    </row>
    <row r="922" ht="15.75" customHeight="1">
      <c r="A922" s="7"/>
      <c r="B922" s="7"/>
      <c r="C922" s="7"/>
      <c r="D922" s="7"/>
      <c r="E922" s="7"/>
      <c r="F922" s="7"/>
    </row>
    <row r="923" ht="15.75" customHeight="1">
      <c r="A923" s="7"/>
      <c r="B923" s="7"/>
      <c r="C923" s="7"/>
      <c r="D923" s="7"/>
      <c r="E923" s="7"/>
      <c r="F923" s="7"/>
    </row>
    <row r="924" ht="15.75" customHeight="1">
      <c r="A924" s="7"/>
      <c r="B924" s="7"/>
      <c r="C924" s="7"/>
      <c r="D924" s="7"/>
      <c r="E924" s="7"/>
      <c r="F924" s="7"/>
    </row>
    <row r="925" ht="15.75" customHeight="1">
      <c r="A925" s="7"/>
      <c r="B925" s="7"/>
      <c r="C925" s="7"/>
      <c r="D925" s="7"/>
      <c r="E925" s="7"/>
      <c r="F925" s="7"/>
    </row>
    <row r="926" ht="15.75" customHeight="1">
      <c r="A926" s="7"/>
      <c r="B926" s="7"/>
      <c r="C926" s="7"/>
      <c r="D926" s="7"/>
      <c r="E926" s="7"/>
      <c r="F926" s="7"/>
    </row>
    <row r="927" ht="15.75" customHeight="1">
      <c r="A927" s="7"/>
      <c r="B927" s="7"/>
      <c r="C927" s="7"/>
      <c r="D927" s="7"/>
      <c r="E927" s="7"/>
      <c r="F927" s="7"/>
    </row>
    <row r="928" ht="15.75" customHeight="1">
      <c r="A928" s="7"/>
      <c r="B928" s="7"/>
      <c r="C928" s="7"/>
      <c r="D928" s="7"/>
      <c r="E928" s="7"/>
      <c r="F928" s="7"/>
    </row>
    <row r="929" ht="15.75" customHeight="1">
      <c r="A929" s="7"/>
      <c r="B929" s="7"/>
      <c r="C929" s="7"/>
      <c r="D929" s="7"/>
      <c r="E929" s="7"/>
      <c r="F929" s="7"/>
    </row>
    <row r="930" ht="15.75" customHeight="1">
      <c r="A930" s="7"/>
      <c r="B930" s="7"/>
      <c r="C930" s="7"/>
      <c r="D930" s="7"/>
      <c r="E930" s="7"/>
      <c r="F930" s="7"/>
    </row>
    <row r="931" ht="15.75" customHeight="1">
      <c r="A931" s="7"/>
      <c r="B931" s="7"/>
      <c r="C931" s="7"/>
      <c r="D931" s="7"/>
      <c r="E931" s="7"/>
      <c r="F931" s="7"/>
    </row>
    <row r="932" ht="15.75" customHeight="1">
      <c r="A932" s="7"/>
      <c r="B932" s="7"/>
      <c r="C932" s="7"/>
      <c r="D932" s="7"/>
      <c r="E932" s="7"/>
      <c r="F932" s="7"/>
    </row>
    <row r="933" ht="15.75" customHeight="1">
      <c r="A933" s="7"/>
      <c r="B933" s="7"/>
      <c r="C933" s="7"/>
      <c r="D933" s="7"/>
      <c r="E933" s="7"/>
      <c r="F933" s="7"/>
    </row>
    <row r="934" ht="15.75" customHeight="1">
      <c r="A934" s="7"/>
      <c r="B934" s="7"/>
      <c r="C934" s="7"/>
      <c r="D934" s="7"/>
      <c r="E934" s="7"/>
      <c r="F934" s="7"/>
    </row>
    <row r="935" ht="15.75" customHeight="1">
      <c r="A935" s="7"/>
      <c r="B935" s="7"/>
      <c r="C935" s="7"/>
      <c r="D935" s="7"/>
      <c r="E935" s="7"/>
      <c r="F935" s="7"/>
    </row>
    <row r="936" ht="15.75" customHeight="1">
      <c r="A936" s="7"/>
      <c r="B936" s="7"/>
      <c r="C936" s="7"/>
      <c r="D936" s="7"/>
      <c r="E936" s="7"/>
      <c r="F936" s="7"/>
    </row>
    <row r="937" ht="15.75" customHeight="1">
      <c r="A937" s="7"/>
      <c r="B937" s="7"/>
      <c r="C937" s="7"/>
      <c r="D937" s="7"/>
      <c r="E937" s="7"/>
      <c r="F937" s="7"/>
    </row>
    <row r="938" ht="15.75" customHeight="1">
      <c r="A938" s="7"/>
      <c r="B938" s="7"/>
      <c r="C938" s="7"/>
      <c r="D938" s="7"/>
      <c r="E938" s="7"/>
      <c r="F938" s="7"/>
    </row>
    <row r="939" ht="15.75" customHeight="1">
      <c r="A939" s="7"/>
      <c r="B939" s="7"/>
      <c r="C939" s="7"/>
      <c r="D939" s="7"/>
      <c r="E939" s="7"/>
      <c r="F939" s="7"/>
    </row>
    <row r="940" ht="15.75" customHeight="1">
      <c r="A940" s="7"/>
      <c r="B940" s="7"/>
      <c r="C940" s="7"/>
      <c r="D940" s="7"/>
      <c r="E940" s="7"/>
      <c r="F940" s="7"/>
    </row>
    <row r="941" ht="15.75" customHeight="1">
      <c r="A941" s="7"/>
      <c r="B941" s="7"/>
      <c r="C941" s="7"/>
      <c r="D941" s="7"/>
      <c r="E941" s="7"/>
      <c r="F941" s="7"/>
    </row>
    <row r="942" ht="15.75" customHeight="1">
      <c r="A942" s="7"/>
      <c r="B942" s="7"/>
      <c r="C942" s="7"/>
      <c r="D942" s="7"/>
      <c r="E942" s="7"/>
      <c r="F942" s="7"/>
    </row>
    <row r="943" ht="15.75" customHeight="1">
      <c r="A943" s="7"/>
      <c r="B943" s="7"/>
      <c r="C943" s="7"/>
      <c r="D943" s="7"/>
      <c r="E943" s="7"/>
      <c r="F943" s="7"/>
    </row>
    <row r="944" ht="15.75" customHeight="1">
      <c r="A944" s="7"/>
      <c r="B944" s="7"/>
      <c r="C944" s="7"/>
      <c r="D944" s="7"/>
      <c r="E944" s="7"/>
      <c r="F944" s="7"/>
    </row>
    <row r="945" ht="15.75" customHeight="1">
      <c r="A945" s="7"/>
      <c r="B945" s="7"/>
      <c r="C945" s="7"/>
      <c r="D945" s="7"/>
      <c r="E945" s="7"/>
      <c r="F945" s="7"/>
    </row>
    <row r="946" ht="15.75" customHeight="1">
      <c r="A946" s="7"/>
      <c r="B946" s="7"/>
      <c r="C946" s="7"/>
      <c r="D946" s="7"/>
      <c r="E946" s="7"/>
      <c r="F946" s="7"/>
    </row>
    <row r="947" ht="15.75" customHeight="1">
      <c r="A947" s="7"/>
      <c r="B947" s="7"/>
      <c r="C947" s="7"/>
      <c r="D947" s="7"/>
      <c r="E947" s="7"/>
      <c r="F947" s="7"/>
    </row>
    <row r="948" ht="15.75" customHeight="1">
      <c r="A948" s="7"/>
      <c r="B948" s="7"/>
      <c r="C948" s="7"/>
      <c r="D948" s="7"/>
      <c r="E948" s="7"/>
      <c r="F948" s="7"/>
    </row>
    <row r="949" ht="15.75" customHeight="1">
      <c r="A949" s="7"/>
      <c r="B949" s="7"/>
      <c r="C949" s="7"/>
      <c r="D949" s="7"/>
      <c r="E949" s="7"/>
      <c r="F949" s="7"/>
    </row>
    <row r="950" ht="15.75" customHeight="1">
      <c r="A950" s="7"/>
      <c r="B950" s="7"/>
      <c r="C950" s="7"/>
      <c r="D950" s="7"/>
      <c r="E950" s="7"/>
      <c r="F950" s="7"/>
    </row>
    <row r="951" ht="15.75" customHeight="1">
      <c r="A951" s="7"/>
      <c r="B951" s="7"/>
      <c r="C951" s="7"/>
      <c r="D951" s="7"/>
      <c r="E951" s="7"/>
      <c r="F951" s="7"/>
    </row>
    <row r="952" ht="15.75" customHeight="1">
      <c r="A952" s="7"/>
      <c r="B952" s="7"/>
      <c r="C952" s="7"/>
      <c r="D952" s="7"/>
      <c r="E952" s="7"/>
      <c r="F952" s="7"/>
    </row>
    <row r="953" ht="15.75" customHeight="1">
      <c r="A953" s="7"/>
      <c r="B953" s="7"/>
      <c r="C953" s="7"/>
      <c r="D953" s="7"/>
      <c r="E953" s="7"/>
      <c r="F953" s="7"/>
    </row>
    <row r="954" ht="15.75" customHeight="1">
      <c r="A954" s="7"/>
      <c r="B954" s="7"/>
      <c r="C954" s="7"/>
      <c r="D954" s="7"/>
      <c r="E954" s="7"/>
      <c r="F954" s="7"/>
    </row>
    <row r="955" ht="15.75" customHeight="1">
      <c r="A955" s="7"/>
      <c r="B955" s="7"/>
      <c r="C955" s="7"/>
      <c r="D955" s="7"/>
      <c r="E955" s="7"/>
      <c r="F955" s="7"/>
    </row>
    <row r="956" ht="15.75" customHeight="1">
      <c r="A956" s="7"/>
      <c r="B956" s="7"/>
      <c r="C956" s="7"/>
      <c r="D956" s="7"/>
      <c r="E956" s="7"/>
      <c r="F956" s="7"/>
    </row>
    <row r="957" ht="15.75" customHeight="1">
      <c r="A957" s="7"/>
      <c r="B957" s="7"/>
      <c r="C957" s="7"/>
      <c r="D957" s="7"/>
      <c r="E957" s="7"/>
      <c r="F957" s="7"/>
    </row>
    <row r="958" ht="15.75" customHeight="1">
      <c r="A958" s="7"/>
      <c r="B958" s="7"/>
      <c r="C958" s="7"/>
      <c r="D958" s="7"/>
      <c r="E958" s="7"/>
      <c r="F958" s="7"/>
    </row>
    <row r="959" ht="15.75" customHeight="1">
      <c r="A959" s="7"/>
      <c r="B959" s="7"/>
      <c r="C959" s="7"/>
      <c r="D959" s="7"/>
      <c r="E959" s="7"/>
      <c r="F959" s="7"/>
    </row>
    <row r="960" ht="15.75" customHeight="1">
      <c r="A960" s="7"/>
      <c r="B960" s="7"/>
      <c r="C960" s="7"/>
      <c r="D960" s="7"/>
      <c r="E960" s="7"/>
      <c r="F960" s="7"/>
    </row>
    <row r="961" ht="15.75" customHeight="1">
      <c r="A961" s="7"/>
      <c r="B961" s="7"/>
      <c r="C961" s="7"/>
      <c r="D961" s="7"/>
      <c r="E961" s="7"/>
      <c r="F961" s="7"/>
    </row>
    <row r="962" ht="15.75" customHeight="1">
      <c r="A962" s="7"/>
      <c r="B962" s="7"/>
      <c r="C962" s="7"/>
      <c r="D962" s="7"/>
      <c r="E962" s="7"/>
      <c r="F962" s="7"/>
    </row>
    <row r="963" ht="15.75" customHeight="1">
      <c r="A963" s="7"/>
      <c r="B963" s="7"/>
      <c r="C963" s="7"/>
      <c r="D963" s="7"/>
      <c r="E963" s="7"/>
      <c r="F963" s="7"/>
    </row>
    <row r="964" ht="15.75" customHeight="1">
      <c r="A964" s="7"/>
      <c r="B964" s="7"/>
      <c r="C964" s="7"/>
      <c r="D964" s="7"/>
      <c r="E964" s="7"/>
      <c r="F964" s="7"/>
    </row>
    <row r="965" ht="15.75" customHeight="1">
      <c r="A965" s="7"/>
      <c r="B965" s="7"/>
      <c r="C965" s="7"/>
      <c r="D965" s="7"/>
      <c r="E965" s="7"/>
      <c r="F965" s="7"/>
    </row>
    <row r="966" ht="15.75" customHeight="1">
      <c r="A966" s="7"/>
      <c r="B966" s="7"/>
      <c r="C966" s="7"/>
      <c r="D966" s="7"/>
      <c r="E966" s="7"/>
      <c r="F966" s="7"/>
    </row>
    <row r="967" ht="15.75" customHeight="1">
      <c r="A967" s="7"/>
      <c r="B967" s="7"/>
      <c r="C967" s="7"/>
      <c r="D967" s="7"/>
      <c r="E967" s="7"/>
      <c r="F967" s="7"/>
    </row>
    <row r="968" ht="15.75" customHeight="1">
      <c r="A968" s="7"/>
      <c r="B968" s="7"/>
      <c r="C968" s="7"/>
      <c r="D968" s="7"/>
      <c r="E968" s="7"/>
      <c r="F968" s="7"/>
    </row>
    <row r="969" ht="15.75" customHeight="1">
      <c r="A969" s="7"/>
      <c r="B969" s="7"/>
      <c r="C969" s="7"/>
      <c r="D969" s="7"/>
      <c r="E969" s="7"/>
      <c r="F969" s="7"/>
    </row>
    <row r="970" ht="15.75" customHeight="1">
      <c r="A970" s="7"/>
      <c r="B970" s="7"/>
      <c r="C970" s="7"/>
      <c r="D970" s="7"/>
      <c r="E970" s="7"/>
      <c r="F970" s="7"/>
    </row>
    <row r="971" ht="15.75" customHeight="1">
      <c r="A971" s="7"/>
      <c r="B971" s="7"/>
      <c r="C971" s="7"/>
      <c r="D971" s="7"/>
      <c r="E971" s="7"/>
      <c r="F971" s="7"/>
    </row>
    <row r="972" ht="15.75" customHeight="1">
      <c r="A972" s="7"/>
      <c r="B972" s="7"/>
      <c r="C972" s="7"/>
      <c r="D972" s="7"/>
      <c r="E972" s="7"/>
      <c r="F972" s="7"/>
    </row>
    <row r="973" ht="15.75" customHeight="1">
      <c r="A973" s="7"/>
      <c r="B973" s="7"/>
      <c r="C973" s="7"/>
      <c r="D973" s="7"/>
      <c r="E973" s="7"/>
      <c r="F973" s="7"/>
    </row>
    <row r="974" ht="15.75" customHeight="1">
      <c r="A974" s="7"/>
      <c r="B974" s="7"/>
      <c r="C974" s="7"/>
      <c r="D974" s="7"/>
      <c r="E974" s="7"/>
      <c r="F974" s="7"/>
    </row>
    <row r="975" ht="15.75" customHeight="1">
      <c r="A975" s="7"/>
      <c r="B975" s="7"/>
      <c r="C975" s="7"/>
      <c r="D975" s="7"/>
      <c r="E975" s="7"/>
      <c r="F975" s="7"/>
    </row>
    <row r="976" ht="15.75" customHeight="1">
      <c r="A976" s="7"/>
      <c r="B976" s="7"/>
      <c r="C976" s="7"/>
      <c r="D976" s="7"/>
      <c r="E976" s="7"/>
      <c r="F976" s="7"/>
    </row>
    <row r="977" ht="15.75" customHeight="1">
      <c r="A977" s="7"/>
      <c r="B977" s="7"/>
      <c r="C977" s="7"/>
      <c r="D977" s="7"/>
      <c r="E977" s="7"/>
      <c r="F977" s="7"/>
    </row>
    <row r="978" ht="15.75" customHeight="1">
      <c r="A978" s="7"/>
      <c r="B978" s="7"/>
      <c r="C978" s="7"/>
      <c r="D978" s="7"/>
      <c r="E978" s="7"/>
      <c r="F978" s="7"/>
    </row>
    <row r="979" ht="15.75" customHeight="1">
      <c r="A979" s="7"/>
      <c r="B979" s="7"/>
      <c r="C979" s="7"/>
      <c r="D979" s="7"/>
      <c r="E979" s="7"/>
      <c r="F979" s="7"/>
    </row>
    <row r="980" ht="15.75" customHeight="1">
      <c r="A980" s="7"/>
      <c r="B980" s="7"/>
      <c r="C980" s="7"/>
      <c r="D980" s="7"/>
      <c r="E980" s="7"/>
      <c r="F980" s="7"/>
    </row>
    <row r="981" ht="15.75" customHeight="1">
      <c r="A981" s="7"/>
      <c r="B981" s="7"/>
      <c r="C981" s="7"/>
      <c r="D981" s="7"/>
      <c r="E981" s="7"/>
      <c r="F981" s="7"/>
    </row>
    <row r="982" ht="15.75" customHeight="1">
      <c r="A982" s="7"/>
      <c r="B982" s="7"/>
      <c r="C982" s="7"/>
      <c r="D982" s="7"/>
      <c r="E982" s="7"/>
      <c r="F982" s="7"/>
    </row>
    <row r="983" ht="15.75" customHeight="1">
      <c r="A983" s="7"/>
      <c r="B983" s="7"/>
      <c r="C983" s="7"/>
      <c r="D983" s="7"/>
      <c r="E983" s="7"/>
      <c r="F983" s="7"/>
    </row>
    <row r="984" ht="15.75" customHeight="1">
      <c r="A984" s="7"/>
      <c r="B984" s="7"/>
      <c r="C984" s="7"/>
      <c r="D984" s="7"/>
      <c r="E984" s="7"/>
      <c r="F984" s="7"/>
    </row>
    <row r="985" ht="15.75" customHeight="1">
      <c r="A985" s="7"/>
      <c r="B985" s="7"/>
      <c r="C985" s="7"/>
      <c r="D985" s="7"/>
      <c r="E985" s="7"/>
      <c r="F985" s="7"/>
    </row>
    <row r="986" ht="15.75" customHeight="1">
      <c r="A986" s="7"/>
      <c r="B986" s="7"/>
      <c r="C986" s="7"/>
      <c r="D986" s="7"/>
      <c r="E986" s="7"/>
      <c r="F986" s="7"/>
    </row>
    <row r="987" ht="15.75" customHeight="1">
      <c r="A987" s="7"/>
      <c r="B987" s="7"/>
      <c r="C987" s="7"/>
      <c r="D987" s="7"/>
      <c r="E987" s="7"/>
      <c r="F987" s="7"/>
    </row>
    <row r="988" ht="15.75" customHeight="1">
      <c r="A988" s="7"/>
      <c r="B988" s="7"/>
      <c r="C988" s="7"/>
      <c r="D988" s="7"/>
      <c r="E988" s="7"/>
      <c r="F988" s="7"/>
    </row>
    <row r="989" ht="15.75" customHeight="1">
      <c r="A989" s="7"/>
      <c r="B989" s="7"/>
      <c r="C989" s="7"/>
      <c r="D989" s="7"/>
      <c r="E989" s="7"/>
      <c r="F989" s="7"/>
    </row>
    <row r="990" ht="15.75" customHeight="1">
      <c r="A990" s="7"/>
      <c r="B990" s="7"/>
      <c r="C990" s="7"/>
      <c r="D990" s="7"/>
      <c r="E990" s="7"/>
      <c r="F990" s="7"/>
    </row>
    <row r="991" ht="15.75" customHeight="1">
      <c r="A991" s="7"/>
      <c r="B991" s="7"/>
      <c r="C991" s="7"/>
      <c r="D991" s="7"/>
      <c r="E991" s="7"/>
      <c r="F991" s="7"/>
    </row>
    <row r="992" ht="15.75" customHeight="1">
      <c r="A992" s="7"/>
      <c r="B992" s="7"/>
      <c r="C992" s="7"/>
      <c r="D992" s="7"/>
      <c r="E992" s="7"/>
      <c r="F992" s="7"/>
    </row>
    <row r="993" ht="15.75" customHeight="1">
      <c r="A993" s="7"/>
      <c r="B993" s="7"/>
      <c r="C993" s="7"/>
      <c r="D993" s="7"/>
      <c r="E993" s="7"/>
      <c r="F993" s="7"/>
    </row>
    <row r="994" ht="15.75" customHeight="1">
      <c r="A994" s="7"/>
      <c r="B994" s="7"/>
      <c r="C994" s="7"/>
      <c r="D994" s="7"/>
      <c r="E994" s="7"/>
      <c r="F994" s="7"/>
    </row>
    <row r="995" ht="15.75" customHeight="1">
      <c r="A995" s="7"/>
      <c r="B995" s="7"/>
      <c r="C995" s="7"/>
      <c r="D995" s="7"/>
      <c r="E995" s="7"/>
      <c r="F995" s="7"/>
    </row>
    <row r="996" ht="15.75" customHeight="1">
      <c r="A996" s="7"/>
      <c r="B996" s="7"/>
      <c r="C996" s="7"/>
      <c r="D996" s="7"/>
      <c r="E996" s="7"/>
      <c r="F996" s="7"/>
    </row>
    <row r="997" ht="15.75" customHeight="1">
      <c r="A997" s="7"/>
      <c r="B997" s="7"/>
      <c r="C997" s="7"/>
      <c r="D997" s="7"/>
      <c r="E997" s="7"/>
      <c r="F997" s="7"/>
    </row>
    <row r="998" ht="15.75" customHeight="1">
      <c r="A998" s="7"/>
      <c r="B998" s="7"/>
      <c r="C998" s="7"/>
      <c r="D998" s="7"/>
      <c r="E998" s="7"/>
      <c r="F998" s="7"/>
    </row>
    <row r="999" ht="15.75" customHeight="1">
      <c r="A999" s="7"/>
      <c r="B999" s="7"/>
      <c r="C999" s="7"/>
      <c r="D999" s="7"/>
      <c r="E999" s="7"/>
      <c r="F999" s="7"/>
    </row>
    <row r="1000" ht="15.75" customHeight="1">
      <c r="A1000" s="7"/>
      <c r="B1000" s="7"/>
      <c r="C1000" s="7"/>
      <c r="D1000" s="7"/>
      <c r="E1000" s="7"/>
      <c r="F1000" s="7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9" t="s">
        <v>169</v>
      </c>
      <c r="B1" s="11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102" t="s">
        <v>170</v>
      </c>
      <c r="B3" s="103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104" t="s">
        <v>171</v>
      </c>
      <c r="B4" s="105" t="s">
        <v>172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1.75" customHeight="1">
      <c r="A5" s="106" t="s">
        <v>173</v>
      </c>
      <c r="B5" s="105" t="s">
        <v>174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107" t="s">
        <v>175</v>
      </c>
      <c r="B6" s="105" t="s">
        <v>176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1.75" customHeight="1">
      <c r="A7" s="108"/>
      <c r="B7" s="105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1.75" customHeight="1">
      <c r="A8" s="102" t="s">
        <v>177</v>
      </c>
      <c r="B8" s="103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1.75" customHeight="1">
      <c r="A9" s="109" t="s">
        <v>178</v>
      </c>
      <c r="B9" s="105" t="s">
        <v>179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1.75" customHeight="1">
      <c r="A10" s="109" t="s">
        <v>180</v>
      </c>
      <c r="B10" s="105" t="s">
        <v>181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1.75" customHeight="1">
      <c r="A11" s="109" t="s">
        <v>182</v>
      </c>
      <c r="B11" s="105" t="s">
        <v>183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1.75" customHeight="1">
      <c r="A12" s="109" t="s">
        <v>184</v>
      </c>
      <c r="B12" s="105" t="s">
        <v>185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1.75" customHeight="1">
      <c r="A13" s="108"/>
      <c r="B13" s="105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21.75" customHeight="1">
      <c r="A14" s="102" t="s">
        <v>186</v>
      </c>
      <c r="B14" s="103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21.75" customHeight="1">
      <c r="A15" s="109" t="s">
        <v>187</v>
      </c>
      <c r="B15" s="105" t="s">
        <v>188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21.75" customHeight="1">
      <c r="A16" s="109" t="s">
        <v>189</v>
      </c>
      <c r="B16" s="105" t="s">
        <v>190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109" t="s">
        <v>191</v>
      </c>
      <c r="B17" s="105" t="s">
        <v>192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21.75" customHeight="1">
      <c r="A18" s="109" t="s">
        <v>193</v>
      </c>
      <c r="B18" s="105" t="s">
        <v>194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21.75" customHeight="1">
      <c r="A19" s="108"/>
      <c r="B19" s="105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21.75" customHeight="1">
      <c r="A20" s="102" t="s">
        <v>195</v>
      </c>
      <c r="B20" s="10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21.75" customHeight="1">
      <c r="A21" s="109" t="s">
        <v>196</v>
      </c>
      <c r="B21" s="105" t="s">
        <v>197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21.75" customHeight="1">
      <c r="A22" s="109" t="s">
        <v>198</v>
      </c>
      <c r="B22" s="105" t="s">
        <v>199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21.75" customHeight="1">
      <c r="A23" s="109" t="s">
        <v>200</v>
      </c>
      <c r="B23" s="105" t="s">
        <v>201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109" t="s">
        <v>202</v>
      </c>
      <c r="B24" s="105" t="s">
        <v>203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21.75" customHeight="1">
      <c r="A25" s="109" t="s">
        <v>204</v>
      </c>
      <c r="B25" s="105" t="s">
        <v>205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21.75" customHeight="1">
      <c r="A26" s="109" t="s">
        <v>206</v>
      </c>
      <c r="B26" s="105" t="s">
        <v>207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109" t="s">
        <v>208</v>
      </c>
      <c r="B27" s="105" t="s">
        <v>209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21.75" customHeight="1">
      <c r="A28" s="108"/>
      <c r="B28" s="105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21.75" customHeight="1">
      <c r="A29" s="102" t="s">
        <v>210</v>
      </c>
      <c r="B29" s="103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21.75" customHeight="1">
      <c r="A30" s="109" t="s">
        <v>211</v>
      </c>
      <c r="B30" s="105" t="s">
        <v>212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21.75" customHeight="1">
      <c r="A31" s="109" t="s">
        <v>31</v>
      </c>
      <c r="B31" s="105" t="s">
        <v>213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21.75" customHeight="1">
      <c r="A32" s="109" t="s">
        <v>214</v>
      </c>
      <c r="B32" s="105" t="s">
        <v>215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21.75" customHeight="1">
      <c r="A33" s="109" t="s">
        <v>216</v>
      </c>
      <c r="B33" s="105" t="s">
        <v>217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21.75" customHeight="1">
      <c r="A34" s="109" t="s">
        <v>218</v>
      </c>
      <c r="B34" s="105" t="s">
        <v>219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</row>
    <row r="236" ht="15.75" customHeight="1">
      <c r="A236" s="7"/>
      <c r="B236" s="7"/>
      <c r="C236" s="7"/>
      <c r="D236" s="7"/>
      <c r="E236" s="7"/>
      <c r="F236" s="7"/>
    </row>
    <row r="237" ht="15.75" customHeight="1">
      <c r="A237" s="7"/>
      <c r="B237" s="7"/>
      <c r="C237" s="7"/>
      <c r="D237" s="7"/>
      <c r="E237" s="7"/>
      <c r="F237" s="7"/>
    </row>
    <row r="238" ht="15.75" customHeight="1">
      <c r="A238" s="7"/>
      <c r="B238" s="7"/>
      <c r="C238" s="7"/>
      <c r="D238" s="7"/>
      <c r="E238" s="7"/>
      <c r="F238" s="7"/>
    </row>
    <row r="239" ht="15.75" customHeight="1">
      <c r="A239" s="7"/>
      <c r="B239" s="7"/>
      <c r="C239" s="7"/>
      <c r="D239" s="7"/>
      <c r="E239" s="7"/>
      <c r="F239" s="7"/>
    </row>
    <row r="240" ht="15.75" customHeight="1">
      <c r="A240" s="7"/>
      <c r="B240" s="7"/>
      <c r="C240" s="7"/>
      <c r="D240" s="7"/>
      <c r="E240" s="7"/>
      <c r="F240" s="7"/>
    </row>
    <row r="241" ht="15.75" customHeight="1">
      <c r="A241" s="7"/>
      <c r="B241" s="7"/>
      <c r="C241" s="7"/>
      <c r="D241" s="7"/>
      <c r="E241" s="7"/>
      <c r="F241" s="7"/>
    </row>
    <row r="242" ht="15.75" customHeight="1">
      <c r="A242" s="7"/>
      <c r="B242" s="7"/>
      <c r="C242" s="7"/>
      <c r="D242" s="7"/>
      <c r="E242" s="7"/>
      <c r="F242" s="7"/>
    </row>
    <row r="243" ht="15.75" customHeight="1">
      <c r="A243" s="7"/>
      <c r="B243" s="7"/>
      <c r="C243" s="7"/>
      <c r="D243" s="7"/>
      <c r="E243" s="7"/>
      <c r="F243" s="7"/>
    </row>
    <row r="244" ht="15.75" customHeight="1">
      <c r="A244" s="7"/>
      <c r="B244" s="7"/>
      <c r="C244" s="7"/>
      <c r="D244" s="7"/>
      <c r="E244" s="7"/>
      <c r="F244" s="7"/>
    </row>
    <row r="245" ht="15.75" customHeight="1">
      <c r="A245" s="7"/>
      <c r="B245" s="7"/>
      <c r="C245" s="7"/>
      <c r="D245" s="7"/>
      <c r="E245" s="7"/>
      <c r="F245" s="7"/>
    </row>
    <row r="246" ht="15.75" customHeight="1">
      <c r="A246" s="7"/>
      <c r="B246" s="7"/>
      <c r="C246" s="7"/>
      <c r="D246" s="7"/>
      <c r="E246" s="7"/>
      <c r="F246" s="7"/>
    </row>
    <row r="247" ht="15.75" customHeight="1">
      <c r="A247" s="7"/>
      <c r="B247" s="7"/>
      <c r="C247" s="7"/>
      <c r="D247" s="7"/>
      <c r="E247" s="7"/>
      <c r="F247" s="7"/>
    </row>
    <row r="248" ht="15.75" customHeight="1">
      <c r="A248" s="7"/>
      <c r="B248" s="7"/>
      <c r="C248" s="7"/>
      <c r="D248" s="7"/>
      <c r="E248" s="7"/>
      <c r="F248" s="7"/>
    </row>
    <row r="249" ht="15.75" customHeight="1">
      <c r="A249" s="7"/>
      <c r="B249" s="7"/>
      <c r="C249" s="7"/>
      <c r="D249" s="7"/>
      <c r="E249" s="7"/>
      <c r="F249" s="7"/>
    </row>
    <row r="250" ht="15.75" customHeight="1">
      <c r="A250" s="7"/>
      <c r="B250" s="7"/>
      <c r="C250" s="7"/>
      <c r="D250" s="7"/>
      <c r="E250" s="7"/>
      <c r="F250" s="7"/>
    </row>
    <row r="251" ht="15.75" customHeight="1">
      <c r="A251" s="7"/>
      <c r="B251" s="7"/>
      <c r="C251" s="7"/>
      <c r="D251" s="7"/>
      <c r="E251" s="7"/>
      <c r="F251" s="7"/>
    </row>
    <row r="252" ht="15.75" customHeight="1">
      <c r="A252" s="7"/>
      <c r="B252" s="7"/>
      <c r="C252" s="7"/>
      <c r="D252" s="7"/>
      <c r="E252" s="7"/>
      <c r="F252" s="7"/>
    </row>
    <row r="253" ht="15.75" customHeight="1">
      <c r="A253" s="7"/>
      <c r="B253" s="7"/>
      <c r="C253" s="7"/>
      <c r="D253" s="7"/>
      <c r="E253" s="7"/>
      <c r="F253" s="7"/>
    </row>
    <row r="254" ht="15.75" customHeight="1">
      <c r="A254" s="7"/>
      <c r="B254" s="7"/>
      <c r="C254" s="7"/>
      <c r="D254" s="7"/>
      <c r="E254" s="7"/>
      <c r="F254" s="7"/>
    </row>
    <row r="255" ht="15.75" customHeight="1">
      <c r="A255" s="7"/>
      <c r="B255" s="7"/>
      <c r="C255" s="7"/>
      <c r="D255" s="7"/>
      <c r="E255" s="7"/>
      <c r="F255" s="7"/>
    </row>
    <row r="256" ht="15.75" customHeight="1">
      <c r="A256" s="7"/>
      <c r="B256" s="7"/>
      <c r="C256" s="7"/>
      <c r="D256" s="7"/>
      <c r="E256" s="7"/>
      <c r="F256" s="7"/>
    </row>
    <row r="257" ht="15.75" customHeight="1">
      <c r="A257" s="7"/>
      <c r="B257" s="7"/>
      <c r="C257" s="7"/>
      <c r="D257" s="7"/>
      <c r="E257" s="7"/>
      <c r="F257" s="7"/>
    </row>
    <row r="258" ht="15.75" customHeight="1">
      <c r="A258" s="7"/>
      <c r="B258" s="7"/>
      <c r="C258" s="7"/>
      <c r="D258" s="7"/>
      <c r="E258" s="7"/>
      <c r="F258" s="7"/>
    </row>
    <row r="259" ht="15.75" customHeight="1">
      <c r="A259" s="7"/>
      <c r="B259" s="7"/>
      <c r="C259" s="7"/>
      <c r="D259" s="7"/>
      <c r="E259" s="7"/>
      <c r="F259" s="7"/>
    </row>
    <row r="260" ht="15.75" customHeight="1">
      <c r="A260" s="7"/>
      <c r="B260" s="7"/>
      <c r="C260" s="7"/>
      <c r="D260" s="7"/>
      <c r="E260" s="7"/>
      <c r="F260" s="7"/>
    </row>
    <row r="261" ht="15.75" customHeight="1">
      <c r="A261" s="7"/>
      <c r="B261" s="7"/>
      <c r="C261" s="7"/>
      <c r="D261" s="7"/>
      <c r="E261" s="7"/>
      <c r="F261" s="7"/>
    </row>
    <row r="262" ht="15.75" customHeight="1">
      <c r="A262" s="7"/>
      <c r="B262" s="7"/>
      <c r="C262" s="7"/>
      <c r="D262" s="7"/>
      <c r="E262" s="7"/>
      <c r="F262" s="7"/>
    </row>
    <row r="263" ht="15.75" customHeight="1">
      <c r="A263" s="7"/>
      <c r="B263" s="7"/>
      <c r="C263" s="7"/>
      <c r="D263" s="7"/>
      <c r="E263" s="7"/>
      <c r="F263" s="7"/>
    </row>
    <row r="264" ht="15.75" customHeight="1">
      <c r="A264" s="7"/>
      <c r="B264" s="7"/>
      <c r="C264" s="7"/>
      <c r="D264" s="7"/>
      <c r="E264" s="7"/>
      <c r="F264" s="7"/>
    </row>
    <row r="265" ht="15.75" customHeight="1">
      <c r="A265" s="7"/>
      <c r="B265" s="7"/>
      <c r="C265" s="7"/>
      <c r="D265" s="7"/>
      <c r="E265" s="7"/>
      <c r="F265" s="7"/>
    </row>
    <row r="266" ht="15.75" customHeight="1">
      <c r="A266" s="7"/>
      <c r="B266" s="7"/>
      <c r="C266" s="7"/>
      <c r="D266" s="7"/>
      <c r="E266" s="7"/>
      <c r="F266" s="7"/>
    </row>
    <row r="267" ht="15.75" customHeight="1">
      <c r="A267" s="7"/>
      <c r="B267" s="7"/>
      <c r="C267" s="7"/>
      <c r="D267" s="7"/>
      <c r="E267" s="7"/>
      <c r="F267" s="7"/>
    </row>
    <row r="268" ht="15.75" customHeight="1">
      <c r="A268" s="7"/>
      <c r="B268" s="7"/>
      <c r="C268" s="7"/>
      <c r="D268" s="7"/>
      <c r="E268" s="7"/>
      <c r="F268" s="7"/>
    </row>
    <row r="269" ht="15.75" customHeight="1">
      <c r="A269" s="7"/>
      <c r="B269" s="7"/>
      <c r="C269" s="7"/>
      <c r="D269" s="7"/>
      <c r="E269" s="7"/>
      <c r="F269" s="7"/>
    </row>
    <row r="270" ht="15.75" customHeight="1">
      <c r="A270" s="7"/>
      <c r="B270" s="7"/>
      <c r="C270" s="7"/>
      <c r="D270" s="7"/>
      <c r="E270" s="7"/>
      <c r="F270" s="7"/>
    </row>
    <row r="271" ht="15.75" customHeight="1">
      <c r="A271" s="7"/>
      <c r="B271" s="7"/>
      <c r="C271" s="7"/>
      <c r="D271" s="7"/>
      <c r="E271" s="7"/>
      <c r="F271" s="7"/>
    </row>
    <row r="272" ht="15.75" customHeight="1">
      <c r="A272" s="7"/>
      <c r="B272" s="7"/>
      <c r="C272" s="7"/>
      <c r="D272" s="7"/>
      <c r="E272" s="7"/>
      <c r="F272" s="7"/>
    </row>
    <row r="273" ht="15.75" customHeight="1">
      <c r="A273" s="7"/>
      <c r="B273" s="7"/>
      <c r="C273" s="7"/>
      <c r="D273" s="7"/>
      <c r="E273" s="7"/>
      <c r="F273" s="7"/>
    </row>
    <row r="274" ht="15.75" customHeight="1">
      <c r="A274" s="7"/>
      <c r="B274" s="7"/>
      <c r="C274" s="7"/>
      <c r="D274" s="7"/>
      <c r="E274" s="7"/>
      <c r="F274" s="7"/>
    </row>
    <row r="275" ht="15.75" customHeight="1">
      <c r="A275" s="7"/>
      <c r="B275" s="7"/>
      <c r="C275" s="7"/>
      <c r="D275" s="7"/>
      <c r="E275" s="7"/>
      <c r="F275" s="7"/>
    </row>
    <row r="276" ht="15.75" customHeight="1">
      <c r="A276" s="7"/>
      <c r="B276" s="7"/>
      <c r="C276" s="7"/>
      <c r="D276" s="7"/>
      <c r="E276" s="7"/>
      <c r="F276" s="7"/>
    </row>
    <row r="277" ht="15.75" customHeight="1">
      <c r="A277" s="7"/>
      <c r="B277" s="7"/>
      <c r="C277" s="7"/>
      <c r="D277" s="7"/>
      <c r="E277" s="7"/>
      <c r="F277" s="7"/>
    </row>
    <row r="278" ht="15.75" customHeight="1">
      <c r="A278" s="7"/>
      <c r="B278" s="7"/>
      <c r="C278" s="7"/>
      <c r="D278" s="7"/>
      <c r="E278" s="7"/>
      <c r="F278" s="7"/>
    </row>
    <row r="279" ht="15.75" customHeight="1">
      <c r="A279" s="7"/>
      <c r="B279" s="7"/>
      <c r="C279" s="7"/>
      <c r="D279" s="7"/>
      <c r="E279" s="7"/>
      <c r="F279" s="7"/>
    </row>
    <row r="280" ht="15.75" customHeight="1">
      <c r="A280" s="7"/>
      <c r="B280" s="7"/>
      <c r="C280" s="7"/>
      <c r="D280" s="7"/>
      <c r="E280" s="7"/>
      <c r="F280" s="7"/>
    </row>
    <row r="281" ht="15.75" customHeight="1">
      <c r="A281" s="7"/>
      <c r="B281" s="7"/>
      <c r="C281" s="7"/>
      <c r="D281" s="7"/>
      <c r="E281" s="7"/>
      <c r="F281" s="7"/>
    </row>
    <row r="282" ht="15.75" customHeight="1">
      <c r="A282" s="7"/>
      <c r="B282" s="7"/>
      <c r="C282" s="7"/>
      <c r="D282" s="7"/>
      <c r="E282" s="7"/>
      <c r="F282" s="7"/>
    </row>
    <row r="283" ht="15.75" customHeight="1">
      <c r="A283" s="7"/>
      <c r="B283" s="7"/>
      <c r="C283" s="7"/>
      <c r="D283" s="7"/>
      <c r="E283" s="7"/>
      <c r="F283" s="7"/>
    </row>
    <row r="284" ht="15.75" customHeight="1">
      <c r="A284" s="7"/>
      <c r="B284" s="7"/>
      <c r="C284" s="7"/>
      <c r="D284" s="7"/>
      <c r="E284" s="7"/>
      <c r="F284" s="7"/>
    </row>
    <row r="285" ht="15.75" customHeight="1">
      <c r="A285" s="7"/>
      <c r="B285" s="7"/>
      <c r="C285" s="7"/>
      <c r="D285" s="7"/>
      <c r="E285" s="7"/>
      <c r="F285" s="7"/>
    </row>
    <row r="286" ht="15.75" customHeight="1">
      <c r="A286" s="7"/>
      <c r="B286" s="7"/>
      <c r="C286" s="7"/>
      <c r="D286" s="7"/>
      <c r="E286" s="7"/>
      <c r="F286" s="7"/>
    </row>
    <row r="287" ht="15.75" customHeight="1">
      <c r="A287" s="7"/>
      <c r="B287" s="7"/>
      <c r="C287" s="7"/>
      <c r="D287" s="7"/>
      <c r="E287" s="7"/>
      <c r="F287" s="7"/>
    </row>
    <row r="288" ht="15.75" customHeight="1">
      <c r="A288" s="7"/>
      <c r="B288" s="7"/>
      <c r="C288" s="7"/>
      <c r="D288" s="7"/>
      <c r="E288" s="7"/>
      <c r="F288" s="7"/>
    </row>
    <row r="289" ht="15.75" customHeight="1">
      <c r="A289" s="7"/>
      <c r="B289" s="7"/>
      <c r="C289" s="7"/>
      <c r="D289" s="7"/>
      <c r="E289" s="7"/>
      <c r="F289" s="7"/>
    </row>
    <row r="290" ht="15.75" customHeight="1">
      <c r="A290" s="7"/>
      <c r="B290" s="7"/>
      <c r="C290" s="7"/>
      <c r="D290" s="7"/>
      <c r="E290" s="7"/>
      <c r="F290" s="7"/>
    </row>
    <row r="291" ht="15.75" customHeight="1">
      <c r="A291" s="7"/>
      <c r="B291" s="7"/>
      <c r="C291" s="7"/>
      <c r="D291" s="7"/>
      <c r="E291" s="7"/>
      <c r="F291" s="7"/>
    </row>
    <row r="292" ht="15.75" customHeight="1">
      <c r="A292" s="7"/>
      <c r="B292" s="7"/>
      <c r="C292" s="7"/>
      <c r="D292" s="7"/>
      <c r="E292" s="7"/>
      <c r="F292" s="7"/>
    </row>
    <row r="293" ht="15.75" customHeight="1">
      <c r="A293" s="7"/>
      <c r="B293" s="7"/>
      <c r="C293" s="7"/>
      <c r="D293" s="7"/>
      <c r="E293" s="7"/>
      <c r="F293" s="7"/>
    </row>
    <row r="294" ht="15.75" customHeight="1">
      <c r="A294" s="7"/>
      <c r="B294" s="7"/>
      <c r="C294" s="7"/>
      <c r="D294" s="7"/>
      <c r="E294" s="7"/>
      <c r="F294" s="7"/>
    </row>
    <row r="295" ht="15.75" customHeight="1">
      <c r="A295" s="7"/>
      <c r="B295" s="7"/>
      <c r="C295" s="7"/>
      <c r="D295" s="7"/>
      <c r="E295" s="7"/>
      <c r="F295" s="7"/>
    </row>
    <row r="296" ht="15.75" customHeight="1">
      <c r="A296" s="7"/>
      <c r="B296" s="7"/>
      <c r="C296" s="7"/>
      <c r="D296" s="7"/>
      <c r="E296" s="7"/>
      <c r="F296" s="7"/>
    </row>
    <row r="297" ht="15.75" customHeight="1">
      <c r="A297" s="7"/>
      <c r="B297" s="7"/>
      <c r="C297" s="7"/>
      <c r="D297" s="7"/>
      <c r="E297" s="7"/>
      <c r="F297" s="7"/>
    </row>
    <row r="298" ht="15.75" customHeight="1">
      <c r="A298" s="7"/>
      <c r="B298" s="7"/>
      <c r="C298" s="7"/>
      <c r="D298" s="7"/>
      <c r="E298" s="7"/>
      <c r="F298" s="7"/>
    </row>
    <row r="299" ht="15.75" customHeight="1">
      <c r="A299" s="7"/>
      <c r="B299" s="7"/>
      <c r="C299" s="7"/>
      <c r="D299" s="7"/>
      <c r="E299" s="7"/>
      <c r="F299" s="7"/>
    </row>
    <row r="300" ht="15.75" customHeight="1">
      <c r="A300" s="7"/>
      <c r="B300" s="7"/>
      <c r="C300" s="7"/>
      <c r="D300" s="7"/>
      <c r="E300" s="7"/>
      <c r="F300" s="7"/>
    </row>
    <row r="301" ht="15.75" customHeight="1">
      <c r="A301" s="7"/>
      <c r="B301" s="7"/>
      <c r="C301" s="7"/>
      <c r="D301" s="7"/>
      <c r="E301" s="7"/>
      <c r="F301" s="7"/>
    </row>
    <row r="302" ht="15.75" customHeight="1">
      <c r="A302" s="7"/>
      <c r="B302" s="7"/>
      <c r="C302" s="7"/>
      <c r="D302" s="7"/>
      <c r="E302" s="7"/>
      <c r="F302" s="7"/>
    </row>
    <row r="303" ht="15.75" customHeight="1">
      <c r="A303" s="7"/>
      <c r="B303" s="7"/>
      <c r="C303" s="7"/>
      <c r="D303" s="7"/>
      <c r="E303" s="7"/>
      <c r="F303" s="7"/>
    </row>
    <row r="304" ht="15.75" customHeight="1">
      <c r="A304" s="7"/>
      <c r="B304" s="7"/>
      <c r="C304" s="7"/>
      <c r="D304" s="7"/>
      <c r="E304" s="7"/>
      <c r="F304" s="7"/>
    </row>
    <row r="305" ht="15.75" customHeight="1">
      <c r="A305" s="7"/>
      <c r="B305" s="7"/>
      <c r="C305" s="7"/>
      <c r="D305" s="7"/>
      <c r="E305" s="7"/>
      <c r="F305" s="7"/>
    </row>
    <row r="306" ht="15.75" customHeight="1">
      <c r="A306" s="7"/>
      <c r="B306" s="7"/>
      <c r="C306" s="7"/>
      <c r="D306" s="7"/>
      <c r="E306" s="7"/>
      <c r="F306" s="7"/>
    </row>
    <row r="307" ht="15.75" customHeight="1">
      <c r="A307" s="7"/>
      <c r="B307" s="7"/>
      <c r="C307" s="7"/>
      <c r="D307" s="7"/>
      <c r="E307" s="7"/>
      <c r="F307" s="7"/>
    </row>
    <row r="308" ht="15.75" customHeight="1">
      <c r="A308" s="7"/>
      <c r="B308" s="7"/>
      <c r="C308" s="7"/>
      <c r="D308" s="7"/>
      <c r="E308" s="7"/>
      <c r="F308" s="7"/>
    </row>
    <row r="309" ht="15.75" customHeight="1">
      <c r="A309" s="7"/>
      <c r="B309" s="7"/>
      <c r="C309" s="7"/>
      <c r="D309" s="7"/>
      <c r="E309" s="7"/>
      <c r="F309" s="7"/>
    </row>
    <row r="310" ht="15.75" customHeight="1">
      <c r="A310" s="7"/>
      <c r="B310" s="7"/>
      <c r="C310" s="7"/>
      <c r="D310" s="7"/>
      <c r="E310" s="7"/>
      <c r="F310" s="7"/>
    </row>
    <row r="311" ht="15.75" customHeight="1">
      <c r="A311" s="7"/>
      <c r="B311" s="7"/>
      <c r="C311" s="7"/>
      <c r="D311" s="7"/>
      <c r="E311" s="7"/>
      <c r="F311" s="7"/>
    </row>
    <row r="312" ht="15.75" customHeight="1">
      <c r="A312" s="7"/>
      <c r="B312" s="7"/>
      <c r="C312" s="7"/>
      <c r="D312" s="7"/>
      <c r="E312" s="7"/>
      <c r="F312" s="7"/>
    </row>
    <row r="313" ht="15.75" customHeight="1">
      <c r="A313" s="7"/>
      <c r="B313" s="7"/>
      <c r="C313" s="7"/>
      <c r="D313" s="7"/>
      <c r="E313" s="7"/>
      <c r="F313" s="7"/>
    </row>
    <row r="314" ht="15.75" customHeight="1">
      <c r="A314" s="7"/>
      <c r="B314" s="7"/>
      <c r="C314" s="7"/>
      <c r="D314" s="7"/>
      <c r="E314" s="7"/>
      <c r="F314" s="7"/>
    </row>
    <row r="315" ht="15.75" customHeight="1">
      <c r="A315" s="7"/>
      <c r="B315" s="7"/>
      <c r="C315" s="7"/>
      <c r="D315" s="7"/>
      <c r="E315" s="7"/>
      <c r="F315" s="7"/>
    </row>
    <row r="316" ht="15.75" customHeight="1">
      <c r="A316" s="7"/>
      <c r="B316" s="7"/>
      <c r="C316" s="7"/>
      <c r="D316" s="7"/>
      <c r="E316" s="7"/>
      <c r="F316" s="7"/>
    </row>
    <row r="317" ht="15.75" customHeight="1">
      <c r="A317" s="7"/>
      <c r="B317" s="7"/>
      <c r="C317" s="7"/>
      <c r="D317" s="7"/>
      <c r="E317" s="7"/>
      <c r="F317" s="7"/>
    </row>
    <row r="318" ht="15.75" customHeight="1">
      <c r="A318" s="7"/>
      <c r="B318" s="7"/>
      <c r="C318" s="7"/>
      <c r="D318" s="7"/>
      <c r="E318" s="7"/>
      <c r="F318" s="7"/>
    </row>
    <row r="319" ht="15.75" customHeight="1">
      <c r="A319" s="7"/>
      <c r="B319" s="7"/>
      <c r="C319" s="7"/>
      <c r="D319" s="7"/>
      <c r="E319" s="7"/>
      <c r="F319" s="7"/>
    </row>
    <row r="320" ht="15.75" customHeight="1">
      <c r="A320" s="7"/>
      <c r="B320" s="7"/>
      <c r="C320" s="7"/>
      <c r="D320" s="7"/>
      <c r="E320" s="7"/>
      <c r="F320" s="7"/>
    </row>
    <row r="321" ht="15.75" customHeight="1">
      <c r="A321" s="7"/>
      <c r="B321" s="7"/>
      <c r="C321" s="7"/>
      <c r="D321" s="7"/>
      <c r="E321" s="7"/>
      <c r="F321" s="7"/>
    </row>
    <row r="322" ht="15.75" customHeight="1">
      <c r="A322" s="7"/>
      <c r="B322" s="7"/>
      <c r="C322" s="7"/>
      <c r="D322" s="7"/>
      <c r="E322" s="7"/>
      <c r="F322" s="7"/>
    </row>
    <row r="323" ht="15.75" customHeight="1">
      <c r="A323" s="7"/>
      <c r="B323" s="7"/>
      <c r="C323" s="7"/>
      <c r="D323" s="7"/>
      <c r="E323" s="7"/>
      <c r="F323" s="7"/>
    </row>
    <row r="324" ht="15.75" customHeight="1">
      <c r="A324" s="7"/>
      <c r="B324" s="7"/>
      <c r="C324" s="7"/>
      <c r="D324" s="7"/>
      <c r="E324" s="7"/>
      <c r="F324" s="7"/>
    </row>
    <row r="325" ht="15.75" customHeight="1">
      <c r="A325" s="7"/>
      <c r="B325" s="7"/>
      <c r="C325" s="7"/>
      <c r="D325" s="7"/>
      <c r="E325" s="7"/>
      <c r="F325" s="7"/>
    </row>
    <row r="326" ht="15.75" customHeight="1">
      <c r="A326" s="7"/>
      <c r="B326" s="7"/>
      <c r="C326" s="7"/>
      <c r="D326" s="7"/>
      <c r="E326" s="7"/>
      <c r="F326" s="7"/>
    </row>
    <row r="327" ht="15.75" customHeight="1">
      <c r="A327" s="7"/>
      <c r="B327" s="7"/>
      <c r="C327" s="7"/>
      <c r="D327" s="7"/>
      <c r="E327" s="7"/>
      <c r="F327" s="7"/>
    </row>
    <row r="328" ht="15.75" customHeight="1">
      <c r="A328" s="7"/>
      <c r="B328" s="7"/>
      <c r="C328" s="7"/>
      <c r="D328" s="7"/>
      <c r="E328" s="7"/>
      <c r="F328" s="7"/>
    </row>
    <row r="329" ht="15.75" customHeight="1">
      <c r="A329" s="7"/>
      <c r="B329" s="7"/>
      <c r="C329" s="7"/>
      <c r="D329" s="7"/>
      <c r="E329" s="7"/>
      <c r="F329" s="7"/>
    </row>
    <row r="330" ht="15.75" customHeight="1">
      <c r="A330" s="7"/>
      <c r="B330" s="7"/>
      <c r="C330" s="7"/>
      <c r="D330" s="7"/>
      <c r="E330" s="7"/>
      <c r="F330" s="7"/>
    </row>
    <row r="331" ht="15.75" customHeight="1">
      <c r="A331" s="7"/>
      <c r="B331" s="7"/>
      <c r="C331" s="7"/>
      <c r="D331" s="7"/>
      <c r="E331" s="7"/>
      <c r="F331" s="7"/>
    </row>
    <row r="332" ht="15.75" customHeight="1">
      <c r="A332" s="7"/>
      <c r="B332" s="7"/>
      <c r="C332" s="7"/>
      <c r="D332" s="7"/>
      <c r="E332" s="7"/>
      <c r="F332" s="7"/>
    </row>
    <row r="333" ht="15.75" customHeight="1">
      <c r="A333" s="7"/>
      <c r="B333" s="7"/>
      <c r="C333" s="7"/>
      <c r="D333" s="7"/>
      <c r="E333" s="7"/>
      <c r="F333" s="7"/>
    </row>
    <row r="334" ht="15.75" customHeight="1">
      <c r="A334" s="7"/>
      <c r="B334" s="7"/>
      <c r="C334" s="7"/>
      <c r="D334" s="7"/>
      <c r="E334" s="7"/>
      <c r="F334" s="7"/>
    </row>
    <row r="335" ht="15.75" customHeight="1">
      <c r="A335" s="7"/>
      <c r="B335" s="7"/>
      <c r="C335" s="7"/>
      <c r="D335" s="7"/>
      <c r="E335" s="7"/>
      <c r="F335" s="7"/>
    </row>
    <row r="336" ht="15.75" customHeight="1">
      <c r="A336" s="7"/>
      <c r="B336" s="7"/>
      <c r="C336" s="7"/>
      <c r="D336" s="7"/>
      <c r="E336" s="7"/>
      <c r="F336" s="7"/>
    </row>
    <row r="337" ht="15.75" customHeight="1">
      <c r="A337" s="7"/>
      <c r="B337" s="7"/>
      <c r="C337" s="7"/>
      <c r="D337" s="7"/>
      <c r="E337" s="7"/>
      <c r="F337" s="7"/>
    </row>
    <row r="338" ht="15.75" customHeight="1">
      <c r="A338" s="7"/>
      <c r="B338" s="7"/>
      <c r="C338" s="7"/>
      <c r="D338" s="7"/>
      <c r="E338" s="7"/>
      <c r="F338" s="7"/>
    </row>
    <row r="339" ht="15.75" customHeight="1">
      <c r="A339" s="7"/>
      <c r="B339" s="7"/>
      <c r="C339" s="7"/>
      <c r="D339" s="7"/>
      <c r="E339" s="7"/>
      <c r="F339" s="7"/>
    </row>
    <row r="340" ht="15.75" customHeight="1">
      <c r="A340" s="7"/>
      <c r="B340" s="7"/>
      <c r="C340" s="7"/>
      <c r="D340" s="7"/>
      <c r="E340" s="7"/>
      <c r="F340" s="7"/>
    </row>
    <row r="341" ht="15.75" customHeight="1">
      <c r="A341" s="7"/>
      <c r="B341" s="7"/>
      <c r="C341" s="7"/>
      <c r="D341" s="7"/>
      <c r="E341" s="7"/>
      <c r="F341" s="7"/>
    </row>
    <row r="342" ht="15.75" customHeight="1">
      <c r="A342" s="7"/>
      <c r="B342" s="7"/>
      <c r="C342" s="7"/>
      <c r="D342" s="7"/>
      <c r="E342" s="7"/>
      <c r="F342" s="7"/>
    </row>
    <row r="343" ht="15.75" customHeight="1">
      <c r="A343" s="7"/>
      <c r="B343" s="7"/>
      <c r="C343" s="7"/>
      <c r="D343" s="7"/>
      <c r="E343" s="7"/>
      <c r="F343" s="7"/>
    </row>
    <row r="344" ht="15.75" customHeight="1">
      <c r="A344" s="7"/>
      <c r="B344" s="7"/>
      <c r="C344" s="7"/>
      <c r="D344" s="7"/>
      <c r="E344" s="7"/>
      <c r="F344" s="7"/>
    </row>
    <row r="345" ht="15.75" customHeight="1">
      <c r="A345" s="7"/>
      <c r="B345" s="7"/>
      <c r="C345" s="7"/>
      <c r="D345" s="7"/>
      <c r="E345" s="7"/>
      <c r="F345" s="7"/>
    </row>
    <row r="346" ht="15.75" customHeight="1">
      <c r="A346" s="7"/>
      <c r="B346" s="7"/>
      <c r="C346" s="7"/>
      <c r="D346" s="7"/>
      <c r="E346" s="7"/>
      <c r="F346" s="7"/>
    </row>
    <row r="347" ht="15.75" customHeight="1">
      <c r="A347" s="7"/>
      <c r="B347" s="7"/>
      <c r="C347" s="7"/>
      <c r="D347" s="7"/>
      <c r="E347" s="7"/>
      <c r="F347" s="7"/>
    </row>
    <row r="348" ht="15.75" customHeight="1">
      <c r="A348" s="7"/>
      <c r="B348" s="7"/>
      <c r="C348" s="7"/>
      <c r="D348" s="7"/>
      <c r="E348" s="7"/>
      <c r="F348" s="7"/>
    </row>
    <row r="349" ht="15.75" customHeight="1">
      <c r="A349" s="7"/>
      <c r="B349" s="7"/>
      <c r="C349" s="7"/>
      <c r="D349" s="7"/>
      <c r="E349" s="7"/>
      <c r="F349" s="7"/>
    </row>
    <row r="350" ht="15.75" customHeight="1">
      <c r="A350" s="7"/>
      <c r="B350" s="7"/>
      <c r="C350" s="7"/>
      <c r="D350" s="7"/>
      <c r="E350" s="7"/>
      <c r="F350" s="7"/>
    </row>
    <row r="351" ht="15.75" customHeight="1">
      <c r="A351" s="7"/>
      <c r="B351" s="7"/>
      <c r="C351" s="7"/>
      <c r="D351" s="7"/>
      <c r="E351" s="7"/>
      <c r="F351" s="7"/>
    </row>
    <row r="352" ht="15.75" customHeight="1">
      <c r="A352" s="7"/>
      <c r="B352" s="7"/>
      <c r="C352" s="7"/>
      <c r="D352" s="7"/>
      <c r="E352" s="7"/>
      <c r="F352" s="7"/>
    </row>
    <row r="353" ht="15.75" customHeight="1">
      <c r="A353" s="7"/>
      <c r="B353" s="7"/>
      <c r="C353" s="7"/>
      <c r="D353" s="7"/>
      <c r="E353" s="7"/>
      <c r="F353" s="7"/>
    </row>
    <row r="354" ht="15.75" customHeight="1">
      <c r="A354" s="7"/>
      <c r="B354" s="7"/>
      <c r="C354" s="7"/>
      <c r="D354" s="7"/>
      <c r="E354" s="7"/>
      <c r="F354" s="7"/>
    </row>
    <row r="355" ht="15.75" customHeight="1">
      <c r="A355" s="7"/>
      <c r="B355" s="7"/>
      <c r="C355" s="7"/>
      <c r="D355" s="7"/>
      <c r="E355" s="7"/>
      <c r="F355" s="7"/>
    </row>
    <row r="356" ht="15.75" customHeight="1">
      <c r="A356" s="7"/>
      <c r="B356" s="7"/>
      <c r="C356" s="7"/>
      <c r="D356" s="7"/>
      <c r="E356" s="7"/>
      <c r="F356" s="7"/>
    </row>
    <row r="357" ht="15.75" customHeight="1">
      <c r="A357" s="7"/>
      <c r="B357" s="7"/>
      <c r="C357" s="7"/>
      <c r="D357" s="7"/>
      <c r="E357" s="7"/>
      <c r="F357" s="7"/>
    </row>
    <row r="358" ht="15.75" customHeight="1">
      <c r="A358" s="7"/>
      <c r="B358" s="7"/>
      <c r="C358" s="7"/>
      <c r="D358" s="7"/>
      <c r="E358" s="7"/>
      <c r="F358" s="7"/>
    </row>
    <row r="359" ht="15.75" customHeight="1">
      <c r="A359" s="7"/>
      <c r="B359" s="7"/>
      <c r="C359" s="7"/>
      <c r="D359" s="7"/>
      <c r="E359" s="7"/>
      <c r="F359" s="7"/>
    </row>
    <row r="360" ht="15.75" customHeight="1">
      <c r="A360" s="7"/>
      <c r="B360" s="7"/>
      <c r="C360" s="7"/>
      <c r="D360" s="7"/>
      <c r="E360" s="7"/>
      <c r="F360" s="7"/>
    </row>
    <row r="361" ht="15.75" customHeight="1">
      <c r="A361" s="7"/>
      <c r="B361" s="7"/>
      <c r="C361" s="7"/>
      <c r="D361" s="7"/>
      <c r="E361" s="7"/>
      <c r="F361" s="7"/>
    </row>
    <row r="362" ht="15.75" customHeight="1">
      <c r="A362" s="7"/>
      <c r="B362" s="7"/>
      <c r="C362" s="7"/>
      <c r="D362" s="7"/>
      <c r="E362" s="7"/>
      <c r="F362" s="7"/>
    </row>
    <row r="363" ht="15.75" customHeight="1">
      <c r="A363" s="7"/>
      <c r="B363" s="7"/>
      <c r="C363" s="7"/>
      <c r="D363" s="7"/>
      <c r="E363" s="7"/>
      <c r="F363" s="7"/>
    </row>
    <row r="364" ht="15.75" customHeight="1">
      <c r="A364" s="7"/>
      <c r="B364" s="7"/>
      <c r="C364" s="7"/>
      <c r="D364" s="7"/>
      <c r="E364" s="7"/>
      <c r="F364" s="7"/>
    </row>
    <row r="365" ht="15.75" customHeight="1">
      <c r="A365" s="7"/>
      <c r="B365" s="7"/>
      <c r="C365" s="7"/>
      <c r="D365" s="7"/>
      <c r="E365" s="7"/>
      <c r="F365" s="7"/>
    </row>
    <row r="366" ht="15.75" customHeight="1">
      <c r="A366" s="7"/>
      <c r="B366" s="7"/>
      <c r="C366" s="7"/>
      <c r="D366" s="7"/>
      <c r="E366" s="7"/>
      <c r="F366" s="7"/>
    </row>
    <row r="367" ht="15.75" customHeight="1">
      <c r="A367" s="7"/>
      <c r="B367" s="7"/>
      <c r="C367" s="7"/>
      <c r="D367" s="7"/>
      <c r="E367" s="7"/>
      <c r="F367" s="7"/>
    </row>
    <row r="368" ht="15.75" customHeight="1">
      <c r="A368" s="7"/>
      <c r="B368" s="7"/>
      <c r="C368" s="7"/>
      <c r="D368" s="7"/>
      <c r="E368" s="7"/>
      <c r="F368" s="7"/>
    </row>
    <row r="369" ht="15.75" customHeight="1">
      <c r="A369" s="7"/>
      <c r="B369" s="7"/>
      <c r="C369" s="7"/>
      <c r="D369" s="7"/>
      <c r="E369" s="7"/>
      <c r="F369" s="7"/>
    </row>
    <row r="370" ht="15.75" customHeight="1">
      <c r="A370" s="7"/>
      <c r="B370" s="7"/>
      <c r="C370" s="7"/>
      <c r="D370" s="7"/>
      <c r="E370" s="7"/>
      <c r="F370" s="7"/>
    </row>
    <row r="371" ht="15.75" customHeight="1">
      <c r="A371" s="7"/>
      <c r="B371" s="7"/>
      <c r="C371" s="7"/>
      <c r="D371" s="7"/>
      <c r="E371" s="7"/>
      <c r="F371" s="7"/>
    </row>
    <row r="372" ht="15.75" customHeight="1">
      <c r="A372" s="7"/>
      <c r="B372" s="7"/>
      <c r="C372" s="7"/>
      <c r="D372" s="7"/>
      <c r="E372" s="7"/>
      <c r="F372" s="7"/>
    </row>
    <row r="373" ht="15.75" customHeight="1">
      <c r="A373" s="7"/>
      <c r="B373" s="7"/>
      <c r="C373" s="7"/>
      <c r="D373" s="7"/>
      <c r="E373" s="7"/>
      <c r="F373" s="7"/>
    </row>
    <row r="374" ht="15.75" customHeight="1">
      <c r="A374" s="7"/>
      <c r="B374" s="7"/>
      <c r="C374" s="7"/>
      <c r="D374" s="7"/>
      <c r="E374" s="7"/>
      <c r="F374" s="7"/>
    </row>
    <row r="375" ht="15.75" customHeight="1">
      <c r="A375" s="7"/>
      <c r="B375" s="7"/>
      <c r="C375" s="7"/>
      <c r="D375" s="7"/>
      <c r="E375" s="7"/>
      <c r="F375" s="7"/>
    </row>
    <row r="376" ht="15.75" customHeight="1">
      <c r="A376" s="7"/>
      <c r="B376" s="7"/>
      <c r="C376" s="7"/>
      <c r="D376" s="7"/>
      <c r="E376" s="7"/>
      <c r="F376" s="7"/>
    </row>
    <row r="377" ht="15.75" customHeight="1">
      <c r="A377" s="7"/>
      <c r="B377" s="7"/>
      <c r="C377" s="7"/>
      <c r="D377" s="7"/>
      <c r="E377" s="7"/>
      <c r="F377" s="7"/>
    </row>
    <row r="378" ht="15.75" customHeight="1">
      <c r="A378" s="7"/>
      <c r="B378" s="7"/>
      <c r="C378" s="7"/>
      <c r="D378" s="7"/>
      <c r="E378" s="7"/>
      <c r="F378" s="7"/>
    </row>
    <row r="379" ht="15.75" customHeight="1">
      <c r="A379" s="7"/>
      <c r="B379" s="7"/>
      <c r="C379" s="7"/>
      <c r="D379" s="7"/>
      <c r="E379" s="7"/>
      <c r="F379" s="7"/>
    </row>
    <row r="380" ht="15.75" customHeight="1">
      <c r="A380" s="7"/>
      <c r="B380" s="7"/>
      <c r="C380" s="7"/>
      <c r="D380" s="7"/>
      <c r="E380" s="7"/>
      <c r="F380" s="7"/>
    </row>
    <row r="381" ht="15.75" customHeight="1">
      <c r="A381" s="7"/>
      <c r="B381" s="7"/>
      <c r="C381" s="7"/>
      <c r="D381" s="7"/>
      <c r="E381" s="7"/>
      <c r="F381" s="7"/>
    </row>
    <row r="382" ht="15.75" customHeight="1">
      <c r="A382" s="7"/>
      <c r="B382" s="7"/>
      <c r="C382" s="7"/>
      <c r="D382" s="7"/>
      <c r="E382" s="7"/>
      <c r="F382" s="7"/>
    </row>
    <row r="383" ht="15.75" customHeight="1">
      <c r="A383" s="7"/>
      <c r="B383" s="7"/>
      <c r="C383" s="7"/>
      <c r="D383" s="7"/>
      <c r="E383" s="7"/>
      <c r="F383" s="7"/>
    </row>
    <row r="384" ht="15.75" customHeight="1">
      <c r="A384" s="7"/>
      <c r="B384" s="7"/>
      <c r="C384" s="7"/>
      <c r="D384" s="7"/>
      <c r="E384" s="7"/>
      <c r="F384" s="7"/>
    </row>
    <row r="385" ht="15.75" customHeight="1">
      <c r="A385" s="7"/>
      <c r="B385" s="7"/>
      <c r="C385" s="7"/>
      <c r="D385" s="7"/>
      <c r="E385" s="7"/>
      <c r="F385" s="7"/>
    </row>
    <row r="386" ht="15.75" customHeight="1">
      <c r="A386" s="7"/>
      <c r="B386" s="7"/>
      <c r="C386" s="7"/>
      <c r="D386" s="7"/>
      <c r="E386" s="7"/>
      <c r="F386" s="7"/>
    </row>
    <row r="387" ht="15.75" customHeight="1">
      <c r="A387" s="7"/>
      <c r="B387" s="7"/>
      <c r="C387" s="7"/>
      <c r="D387" s="7"/>
      <c r="E387" s="7"/>
      <c r="F387" s="7"/>
    </row>
    <row r="388" ht="15.75" customHeight="1">
      <c r="A388" s="7"/>
      <c r="B388" s="7"/>
      <c r="C388" s="7"/>
      <c r="D388" s="7"/>
      <c r="E388" s="7"/>
      <c r="F388" s="7"/>
    </row>
    <row r="389" ht="15.75" customHeight="1">
      <c r="A389" s="7"/>
      <c r="B389" s="7"/>
      <c r="C389" s="7"/>
      <c r="D389" s="7"/>
      <c r="E389" s="7"/>
      <c r="F389" s="7"/>
    </row>
    <row r="390" ht="15.75" customHeight="1">
      <c r="A390" s="7"/>
      <c r="B390" s="7"/>
      <c r="C390" s="7"/>
      <c r="D390" s="7"/>
      <c r="E390" s="7"/>
      <c r="F390" s="7"/>
    </row>
    <row r="391" ht="15.75" customHeight="1">
      <c r="A391" s="7"/>
      <c r="B391" s="7"/>
      <c r="C391" s="7"/>
      <c r="D391" s="7"/>
      <c r="E391" s="7"/>
      <c r="F391" s="7"/>
    </row>
    <row r="392" ht="15.75" customHeight="1">
      <c r="A392" s="7"/>
      <c r="B392" s="7"/>
      <c r="C392" s="7"/>
      <c r="D392" s="7"/>
      <c r="E392" s="7"/>
      <c r="F392" s="7"/>
    </row>
    <row r="393" ht="15.75" customHeight="1">
      <c r="A393" s="7"/>
      <c r="B393" s="7"/>
      <c r="C393" s="7"/>
      <c r="D393" s="7"/>
      <c r="E393" s="7"/>
      <c r="F393" s="7"/>
    </row>
    <row r="394" ht="15.75" customHeight="1">
      <c r="A394" s="7"/>
      <c r="B394" s="7"/>
      <c r="C394" s="7"/>
      <c r="D394" s="7"/>
      <c r="E394" s="7"/>
      <c r="F394" s="7"/>
    </row>
    <row r="395" ht="15.75" customHeight="1">
      <c r="A395" s="7"/>
      <c r="B395" s="7"/>
      <c r="C395" s="7"/>
      <c r="D395" s="7"/>
      <c r="E395" s="7"/>
      <c r="F395" s="7"/>
    </row>
    <row r="396" ht="15.75" customHeight="1">
      <c r="A396" s="7"/>
      <c r="B396" s="7"/>
      <c r="C396" s="7"/>
      <c r="D396" s="7"/>
      <c r="E396" s="7"/>
      <c r="F396" s="7"/>
    </row>
    <row r="397" ht="15.75" customHeight="1">
      <c r="A397" s="7"/>
      <c r="B397" s="7"/>
      <c r="C397" s="7"/>
      <c r="D397" s="7"/>
      <c r="E397" s="7"/>
      <c r="F397" s="7"/>
    </row>
    <row r="398" ht="15.75" customHeight="1">
      <c r="A398" s="7"/>
      <c r="B398" s="7"/>
      <c r="C398" s="7"/>
      <c r="D398" s="7"/>
      <c r="E398" s="7"/>
      <c r="F398" s="7"/>
    </row>
    <row r="399" ht="15.75" customHeight="1">
      <c r="A399" s="7"/>
      <c r="B399" s="7"/>
      <c r="C399" s="7"/>
      <c r="D399" s="7"/>
      <c r="E399" s="7"/>
      <c r="F399" s="7"/>
    </row>
    <row r="400" ht="15.75" customHeight="1">
      <c r="A400" s="7"/>
      <c r="B400" s="7"/>
      <c r="C400" s="7"/>
      <c r="D400" s="7"/>
      <c r="E400" s="7"/>
      <c r="F400" s="7"/>
    </row>
    <row r="401" ht="15.75" customHeight="1">
      <c r="A401" s="7"/>
      <c r="B401" s="7"/>
      <c r="C401" s="7"/>
      <c r="D401" s="7"/>
      <c r="E401" s="7"/>
      <c r="F401" s="7"/>
    </row>
    <row r="402" ht="15.75" customHeight="1">
      <c r="A402" s="7"/>
      <c r="B402" s="7"/>
      <c r="C402" s="7"/>
      <c r="D402" s="7"/>
      <c r="E402" s="7"/>
      <c r="F402" s="7"/>
    </row>
    <row r="403" ht="15.75" customHeight="1">
      <c r="A403" s="7"/>
      <c r="B403" s="7"/>
      <c r="C403" s="7"/>
      <c r="D403" s="7"/>
      <c r="E403" s="7"/>
      <c r="F403" s="7"/>
    </row>
    <row r="404" ht="15.75" customHeight="1">
      <c r="A404" s="7"/>
      <c r="B404" s="7"/>
      <c r="C404" s="7"/>
      <c r="D404" s="7"/>
      <c r="E404" s="7"/>
      <c r="F404" s="7"/>
    </row>
    <row r="405" ht="15.75" customHeight="1">
      <c r="A405" s="7"/>
      <c r="B405" s="7"/>
      <c r="C405" s="7"/>
      <c r="D405" s="7"/>
      <c r="E405" s="7"/>
      <c r="F405" s="7"/>
    </row>
    <row r="406" ht="15.75" customHeight="1">
      <c r="A406" s="7"/>
      <c r="B406" s="7"/>
      <c r="C406" s="7"/>
      <c r="D406" s="7"/>
      <c r="E406" s="7"/>
      <c r="F406" s="7"/>
    </row>
    <row r="407" ht="15.75" customHeight="1">
      <c r="A407" s="7"/>
      <c r="B407" s="7"/>
      <c r="C407" s="7"/>
      <c r="D407" s="7"/>
      <c r="E407" s="7"/>
      <c r="F407" s="7"/>
    </row>
    <row r="408" ht="15.75" customHeight="1">
      <c r="A408" s="7"/>
      <c r="B408" s="7"/>
      <c r="C408" s="7"/>
      <c r="D408" s="7"/>
      <c r="E408" s="7"/>
      <c r="F408" s="7"/>
    </row>
    <row r="409" ht="15.75" customHeight="1">
      <c r="A409" s="7"/>
      <c r="B409" s="7"/>
      <c r="C409" s="7"/>
      <c r="D409" s="7"/>
      <c r="E409" s="7"/>
      <c r="F409" s="7"/>
    </row>
    <row r="410" ht="15.75" customHeight="1">
      <c r="A410" s="7"/>
      <c r="B410" s="7"/>
      <c r="C410" s="7"/>
      <c r="D410" s="7"/>
      <c r="E410" s="7"/>
      <c r="F410" s="7"/>
    </row>
    <row r="411" ht="15.75" customHeight="1">
      <c r="A411" s="7"/>
      <c r="B411" s="7"/>
      <c r="C411" s="7"/>
      <c r="D411" s="7"/>
      <c r="E411" s="7"/>
      <c r="F411" s="7"/>
    </row>
    <row r="412" ht="15.75" customHeight="1">
      <c r="A412" s="7"/>
      <c r="B412" s="7"/>
      <c r="C412" s="7"/>
      <c r="D412" s="7"/>
      <c r="E412" s="7"/>
      <c r="F412" s="7"/>
    </row>
    <row r="413" ht="15.75" customHeight="1">
      <c r="A413" s="7"/>
      <c r="B413" s="7"/>
      <c r="C413" s="7"/>
      <c r="D413" s="7"/>
      <c r="E413" s="7"/>
      <c r="F413" s="7"/>
    </row>
    <row r="414" ht="15.75" customHeight="1">
      <c r="A414" s="7"/>
      <c r="B414" s="7"/>
      <c r="C414" s="7"/>
      <c r="D414" s="7"/>
      <c r="E414" s="7"/>
      <c r="F414" s="7"/>
    </row>
    <row r="415" ht="15.75" customHeight="1">
      <c r="A415" s="7"/>
      <c r="B415" s="7"/>
      <c r="C415" s="7"/>
      <c r="D415" s="7"/>
      <c r="E415" s="7"/>
      <c r="F415" s="7"/>
    </row>
    <row r="416" ht="15.75" customHeight="1">
      <c r="A416" s="7"/>
      <c r="B416" s="7"/>
      <c r="C416" s="7"/>
      <c r="D416" s="7"/>
      <c r="E416" s="7"/>
      <c r="F416" s="7"/>
    </row>
    <row r="417" ht="15.75" customHeight="1">
      <c r="A417" s="7"/>
      <c r="B417" s="7"/>
      <c r="C417" s="7"/>
      <c r="D417" s="7"/>
      <c r="E417" s="7"/>
      <c r="F417" s="7"/>
    </row>
    <row r="418" ht="15.75" customHeight="1">
      <c r="A418" s="7"/>
      <c r="B418" s="7"/>
      <c r="C418" s="7"/>
      <c r="D418" s="7"/>
      <c r="E418" s="7"/>
      <c r="F418" s="7"/>
    </row>
    <row r="419" ht="15.75" customHeight="1">
      <c r="A419" s="7"/>
      <c r="B419" s="7"/>
      <c r="C419" s="7"/>
      <c r="D419" s="7"/>
      <c r="E419" s="7"/>
      <c r="F419" s="7"/>
    </row>
    <row r="420" ht="15.75" customHeight="1">
      <c r="A420" s="7"/>
      <c r="B420" s="7"/>
      <c r="C420" s="7"/>
      <c r="D420" s="7"/>
      <c r="E420" s="7"/>
      <c r="F420" s="7"/>
    </row>
    <row r="421" ht="15.75" customHeight="1">
      <c r="A421" s="7"/>
      <c r="B421" s="7"/>
      <c r="C421" s="7"/>
      <c r="D421" s="7"/>
      <c r="E421" s="7"/>
      <c r="F421" s="7"/>
    </row>
    <row r="422" ht="15.75" customHeight="1">
      <c r="A422" s="7"/>
      <c r="B422" s="7"/>
      <c r="C422" s="7"/>
      <c r="D422" s="7"/>
      <c r="E422" s="7"/>
      <c r="F422" s="7"/>
    </row>
    <row r="423" ht="15.75" customHeight="1">
      <c r="A423" s="7"/>
      <c r="B423" s="7"/>
      <c r="C423" s="7"/>
      <c r="D423" s="7"/>
      <c r="E423" s="7"/>
      <c r="F423" s="7"/>
    </row>
    <row r="424" ht="15.75" customHeight="1">
      <c r="A424" s="7"/>
      <c r="B424" s="7"/>
      <c r="C424" s="7"/>
      <c r="D424" s="7"/>
      <c r="E424" s="7"/>
      <c r="F424" s="7"/>
    </row>
    <row r="425" ht="15.75" customHeight="1">
      <c r="A425" s="7"/>
      <c r="B425" s="7"/>
      <c r="C425" s="7"/>
      <c r="D425" s="7"/>
      <c r="E425" s="7"/>
      <c r="F425" s="7"/>
    </row>
    <row r="426" ht="15.75" customHeight="1">
      <c r="A426" s="7"/>
      <c r="B426" s="7"/>
      <c r="C426" s="7"/>
      <c r="D426" s="7"/>
      <c r="E426" s="7"/>
      <c r="F426" s="7"/>
    </row>
    <row r="427" ht="15.75" customHeight="1">
      <c r="A427" s="7"/>
      <c r="B427" s="7"/>
      <c r="C427" s="7"/>
      <c r="D427" s="7"/>
      <c r="E427" s="7"/>
      <c r="F427" s="7"/>
    </row>
    <row r="428" ht="15.75" customHeight="1">
      <c r="A428" s="7"/>
      <c r="B428" s="7"/>
      <c r="C428" s="7"/>
      <c r="D428" s="7"/>
      <c r="E428" s="7"/>
      <c r="F428" s="7"/>
    </row>
    <row r="429" ht="15.75" customHeight="1">
      <c r="A429" s="7"/>
      <c r="B429" s="7"/>
      <c r="C429" s="7"/>
      <c r="D429" s="7"/>
      <c r="E429" s="7"/>
      <c r="F429" s="7"/>
    </row>
    <row r="430" ht="15.75" customHeight="1">
      <c r="A430" s="7"/>
      <c r="B430" s="7"/>
      <c r="C430" s="7"/>
      <c r="D430" s="7"/>
      <c r="E430" s="7"/>
      <c r="F430" s="7"/>
    </row>
    <row r="431" ht="15.75" customHeight="1">
      <c r="A431" s="7"/>
      <c r="B431" s="7"/>
      <c r="C431" s="7"/>
      <c r="D431" s="7"/>
      <c r="E431" s="7"/>
      <c r="F431" s="7"/>
    </row>
    <row r="432" ht="15.75" customHeight="1">
      <c r="A432" s="7"/>
      <c r="B432" s="7"/>
      <c r="C432" s="7"/>
      <c r="D432" s="7"/>
      <c r="E432" s="7"/>
      <c r="F432" s="7"/>
    </row>
    <row r="433" ht="15.75" customHeight="1">
      <c r="A433" s="7"/>
      <c r="B433" s="7"/>
      <c r="C433" s="7"/>
      <c r="D433" s="7"/>
      <c r="E433" s="7"/>
      <c r="F433" s="7"/>
    </row>
    <row r="434" ht="15.75" customHeight="1">
      <c r="A434" s="7"/>
      <c r="B434" s="7"/>
      <c r="C434" s="7"/>
      <c r="D434" s="7"/>
      <c r="E434" s="7"/>
      <c r="F434" s="7"/>
    </row>
    <row r="435" ht="15.75" customHeight="1">
      <c r="A435" s="7"/>
      <c r="B435" s="7"/>
      <c r="C435" s="7"/>
      <c r="D435" s="7"/>
      <c r="E435" s="7"/>
      <c r="F435" s="7"/>
    </row>
    <row r="436" ht="15.75" customHeight="1">
      <c r="A436" s="7"/>
      <c r="B436" s="7"/>
      <c r="C436" s="7"/>
      <c r="D436" s="7"/>
      <c r="E436" s="7"/>
      <c r="F436" s="7"/>
    </row>
    <row r="437" ht="15.75" customHeight="1">
      <c r="A437" s="7"/>
      <c r="B437" s="7"/>
      <c r="C437" s="7"/>
      <c r="D437" s="7"/>
      <c r="E437" s="7"/>
      <c r="F437" s="7"/>
    </row>
    <row r="438" ht="15.75" customHeight="1">
      <c r="A438" s="7"/>
      <c r="B438" s="7"/>
      <c r="C438" s="7"/>
      <c r="D438" s="7"/>
      <c r="E438" s="7"/>
      <c r="F438" s="7"/>
    </row>
    <row r="439" ht="15.75" customHeight="1">
      <c r="A439" s="7"/>
      <c r="B439" s="7"/>
      <c r="C439" s="7"/>
      <c r="D439" s="7"/>
      <c r="E439" s="7"/>
      <c r="F439" s="7"/>
    </row>
    <row r="440" ht="15.75" customHeight="1">
      <c r="A440" s="7"/>
      <c r="B440" s="7"/>
      <c r="C440" s="7"/>
      <c r="D440" s="7"/>
      <c r="E440" s="7"/>
      <c r="F440" s="7"/>
    </row>
    <row r="441" ht="15.75" customHeight="1">
      <c r="A441" s="7"/>
      <c r="B441" s="7"/>
      <c r="C441" s="7"/>
      <c r="D441" s="7"/>
      <c r="E441" s="7"/>
      <c r="F441" s="7"/>
    </row>
    <row r="442" ht="15.75" customHeight="1">
      <c r="A442" s="7"/>
      <c r="B442" s="7"/>
      <c r="C442" s="7"/>
      <c r="D442" s="7"/>
      <c r="E442" s="7"/>
      <c r="F442" s="7"/>
    </row>
    <row r="443" ht="15.75" customHeight="1">
      <c r="A443" s="7"/>
      <c r="B443" s="7"/>
      <c r="C443" s="7"/>
      <c r="D443" s="7"/>
      <c r="E443" s="7"/>
      <c r="F443" s="7"/>
    </row>
    <row r="444" ht="15.75" customHeight="1">
      <c r="A444" s="7"/>
      <c r="B444" s="7"/>
      <c r="C444" s="7"/>
      <c r="D444" s="7"/>
      <c r="E444" s="7"/>
      <c r="F444" s="7"/>
    </row>
    <row r="445" ht="15.75" customHeight="1">
      <c r="A445" s="7"/>
      <c r="B445" s="7"/>
      <c r="C445" s="7"/>
      <c r="D445" s="7"/>
      <c r="E445" s="7"/>
      <c r="F445" s="7"/>
    </row>
    <row r="446" ht="15.75" customHeight="1">
      <c r="A446" s="7"/>
      <c r="B446" s="7"/>
      <c r="C446" s="7"/>
      <c r="D446" s="7"/>
      <c r="E446" s="7"/>
      <c r="F446" s="7"/>
    </row>
    <row r="447" ht="15.75" customHeight="1">
      <c r="A447" s="7"/>
      <c r="B447" s="7"/>
      <c r="C447" s="7"/>
      <c r="D447" s="7"/>
      <c r="E447" s="7"/>
      <c r="F447" s="7"/>
    </row>
    <row r="448" ht="15.75" customHeight="1">
      <c r="A448" s="7"/>
      <c r="B448" s="7"/>
      <c r="C448" s="7"/>
      <c r="D448" s="7"/>
      <c r="E448" s="7"/>
      <c r="F448" s="7"/>
    </row>
    <row r="449" ht="15.75" customHeight="1">
      <c r="A449" s="7"/>
      <c r="B449" s="7"/>
      <c r="C449" s="7"/>
      <c r="D449" s="7"/>
      <c r="E449" s="7"/>
      <c r="F449" s="7"/>
    </row>
    <row r="450" ht="15.75" customHeight="1">
      <c r="A450" s="7"/>
      <c r="B450" s="7"/>
      <c r="C450" s="7"/>
      <c r="D450" s="7"/>
      <c r="E450" s="7"/>
      <c r="F450" s="7"/>
    </row>
    <row r="451" ht="15.75" customHeight="1">
      <c r="A451" s="7"/>
      <c r="B451" s="7"/>
      <c r="C451" s="7"/>
      <c r="D451" s="7"/>
      <c r="E451" s="7"/>
      <c r="F451" s="7"/>
    </row>
    <row r="452" ht="15.75" customHeight="1">
      <c r="A452" s="7"/>
      <c r="B452" s="7"/>
      <c r="C452" s="7"/>
      <c r="D452" s="7"/>
      <c r="E452" s="7"/>
      <c r="F452" s="7"/>
    </row>
    <row r="453" ht="15.75" customHeight="1">
      <c r="A453" s="7"/>
      <c r="B453" s="7"/>
      <c r="C453" s="7"/>
      <c r="D453" s="7"/>
      <c r="E453" s="7"/>
      <c r="F453" s="7"/>
    </row>
    <row r="454" ht="15.75" customHeight="1">
      <c r="A454" s="7"/>
      <c r="B454" s="7"/>
      <c r="C454" s="7"/>
      <c r="D454" s="7"/>
      <c r="E454" s="7"/>
      <c r="F454" s="7"/>
    </row>
    <row r="455" ht="15.75" customHeight="1">
      <c r="A455" s="7"/>
      <c r="B455" s="7"/>
      <c r="C455" s="7"/>
      <c r="D455" s="7"/>
      <c r="E455" s="7"/>
      <c r="F455" s="7"/>
    </row>
    <row r="456" ht="15.75" customHeight="1">
      <c r="A456" s="7"/>
      <c r="B456" s="7"/>
      <c r="C456" s="7"/>
      <c r="D456" s="7"/>
      <c r="E456" s="7"/>
      <c r="F456" s="7"/>
    </row>
    <row r="457" ht="15.75" customHeight="1">
      <c r="A457" s="7"/>
      <c r="B457" s="7"/>
      <c r="C457" s="7"/>
      <c r="D457" s="7"/>
      <c r="E457" s="7"/>
      <c r="F457" s="7"/>
    </row>
    <row r="458" ht="15.75" customHeight="1">
      <c r="A458" s="7"/>
      <c r="B458" s="7"/>
      <c r="C458" s="7"/>
      <c r="D458" s="7"/>
      <c r="E458" s="7"/>
      <c r="F458" s="7"/>
    </row>
    <row r="459" ht="15.75" customHeight="1">
      <c r="A459" s="7"/>
      <c r="B459" s="7"/>
      <c r="C459" s="7"/>
      <c r="D459" s="7"/>
      <c r="E459" s="7"/>
      <c r="F459" s="7"/>
    </row>
    <row r="460" ht="15.75" customHeight="1">
      <c r="A460" s="7"/>
      <c r="B460" s="7"/>
      <c r="C460" s="7"/>
      <c r="D460" s="7"/>
      <c r="E460" s="7"/>
      <c r="F460" s="7"/>
    </row>
    <row r="461" ht="15.75" customHeight="1">
      <c r="A461" s="7"/>
      <c r="B461" s="7"/>
      <c r="C461" s="7"/>
      <c r="D461" s="7"/>
      <c r="E461" s="7"/>
      <c r="F461" s="7"/>
    </row>
    <row r="462" ht="15.75" customHeight="1">
      <c r="A462" s="7"/>
      <c r="B462" s="7"/>
      <c r="C462" s="7"/>
      <c r="D462" s="7"/>
      <c r="E462" s="7"/>
      <c r="F462" s="7"/>
    </row>
    <row r="463" ht="15.75" customHeight="1">
      <c r="A463" s="7"/>
      <c r="B463" s="7"/>
      <c r="C463" s="7"/>
      <c r="D463" s="7"/>
      <c r="E463" s="7"/>
      <c r="F463" s="7"/>
    </row>
    <row r="464" ht="15.75" customHeight="1">
      <c r="A464" s="7"/>
      <c r="B464" s="7"/>
      <c r="C464" s="7"/>
      <c r="D464" s="7"/>
      <c r="E464" s="7"/>
      <c r="F464" s="7"/>
    </row>
    <row r="465" ht="15.75" customHeight="1">
      <c r="A465" s="7"/>
      <c r="B465" s="7"/>
      <c r="C465" s="7"/>
      <c r="D465" s="7"/>
      <c r="E465" s="7"/>
      <c r="F465" s="7"/>
    </row>
    <row r="466" ht="15.75" customHeight="1">
      <c r="A466" s="7"/>
      <c r="B466" s="7"/>
      <c r="C466" s="7"/>
      <c r="D466" s="7"/>
      <c r="E466" s="7"/>
      <c r="F466" s="7"/>
    </row>
    <row r="467" ht="15.75" customHeight="1">
      <c r="A467" s="7"/>
      <c r="B467" s="7"/>
      <c r="C467" s="7"/>
      <c r="D467" s="7"/>
      <c r="E467" s="7"/>
      <c r="F467" s="7"/>
    </row>
    <row r="468" ht="15.75" customHeight="1">
      <c r="A468" s="7"/>
      <c r="B468" s="7"/>
      <c r="C468" s="7"/>
      <c r="D468" s="7"/>
      <c r="E468" s="7"/>
      <c r="F468" s="7"/>
    </row>
    <row r="469" ht="15.75" customHeight="1">
      <c r="A469" s="7"/>
      <c r="B469" s="7"/>
      <c r="C469" s="7"/>
      <c r="D469" s="7"/>
      <c r="E469" s="7"/>
      <c r="F469" s="7"/>
    </row>
    <row r="470" ht="15.75" customHeight="1">
      <c r="A470" s="7"/>
      <c r="B470" s="7"/>
      <c r="C470" s="7"/>
      <c r="D470" s="7"/>
      <c r="E470" s="7"/>
      <c r="F470" s="7"/>
    </row>
    <row r="471" ht="15.75" customHeight="1">
      <c r="A471" s="7"/>
      <c r="B471" s="7"/>
      <c r="C471" s="7"/>
      <c r="D471" s="7"/>
      <c r="E471" s="7"/>
      <c r="F471" s="7"/>
    </row>
    <row r="472" ht="15.75" customHeight="1">
      <c r="A472" s="7"/>
      <c r="B472" s="7"/>
      <c r="C472" s="7"/>
      <c r="D472" s="7"/>
      <c r="E472" s="7"/>
      <c r="F472" s="7"/>
    </row>
    <row r="473" ht="15.75" customHeight="1">
      <c r="A473" s="7"/>
      <c r="B473" s="7"/>
      <c r="C473" s="7"/>
      <c r="D473" s="7"/>
      <c r="E473" s="7"/>
      <c r="F473" s="7"/>
    </row>
    <row r="474" ht="15.75" customHeight="1">
      <c r="A474" s="7"/>
      <c r="B474" s="7"/>
      <c r="C474" s="7"/>
      <c r="D474" s="7"/>
      <c r="E474" s="7"/>
      <c r="F474" s="7"/>
    </row>
    <row r="475" ht="15.75" customHeight="1">
      <c r="A475" s="7"/>
      <c r="B475" s="7"/>
      <c r="C475" s="7"/>
      <c r="D475" s="7"/>
      <c r="E475" s="7"/>
      <c r="F475" s="7"/>
    </row>
    <row r="476" ht="15.75" customHeight="1">
      <c r="A476" s="7"/>
      <c r="B476" s="7"/>
      <c r="C476" s="7"/>
      <c r="D476" s="7"/>
      <c r="E476" s="7"/>
      <c r="F476" s="7"/>
    </row>
    <row r="477" ht="15.75" customHeight="1">
      <c r="A477" s="7"/>
      <c r="B477" s="7"/>
      <c r="C477" s="7"/>
      <c r="D477" s="7"/>
      <c r="E477" s="7"/>
      <c r="F477" s="7"/>
    </row>
    <row r="478" ht="15.75" customHeight="1">
      <c r="A478" s="7"/>
      <c r="B478" s="7"/>
      <c r="C478" s="7"/>
      <c r="D478" s="7"/>
      <c r="E478" s="7"/>
      <c r="F478" s="7"/>
    </row>
    <row r="479" ht="15.75" customHeight="1">
      <c r="A479" s="7"/>
      <c r="B479" s="7"/>
      <c r="C479" s="7"/>
      <c r="D479" s="7"/>
      <c r="E479" s="7"/>
      <c r="F479" s="7"/>
    </row>
    <row r="480" ht="15.75" customHeight="1">
      <c r="A480" s="7"/>
      <c r="B480" s="7"/>
      <c r="C480" s="7"/>
      <c r="D480" s="7"/>
      <c r="E480" s="7"/>
      <c r="F480" s="7"/>
    </row>
    <row r="481" ht="15.75" customHeight="1">
      <c r="A481" s="7"/>
      <c r="B481" s="7"/>
      <c r="C481" s="7"/>
      <c r="D481" s="7"/>
      <c r="E481" s="7"/>
      <c r="F481" s="7"/>
    </row>
    <row r="482" ht="15.75" customHeight="1">
      <c r="A482" s="7"/>
      <c r="B482" s="7"/>
      <c r="C482" s="7"/>
      <c r="D482" s="7"/>
      <c r="E482" s="7"/>
      <c r="F482" s="7"/>
    </row>
    <row r="483" ht="15.75" customHeight="1">
      <c r="A483" s="7"/>
      <c r="B483" s="7"/>
      <c r="C483" s="7"/>
      <c r="D483" s="7"/>
      <c r="E483" s="7"/>
      <c r="F483" s="7"/>
    </row>
    <row r="484" ht="15.75" customHeight="1">
      <c r="A484" s="7"/>
      <c r="B484" s="7"/>
      <c r="C484" s="7"/>
      <c r="D484" s="7"/>
      <c r="E484" s="7"/>
      <c r="F484" s="7"/>
    </row>
    <row r="485" ht="15.75" customHeight="1">
      <c r="A485" s="7"/>
      <c r="B485" s="7"/>
      <c r="C485" s="7"/>
      <c r="D485" s="7"/>
      <c r="E485" s="7"/>
      <c r="F485" s="7"/>
    </row>
    <row r="486" ht="15.75" customHeight="1">
      <c r="A486" s="7"/>
      <c r="B486" s="7"/>
      <c r="C486" s="7"/>
      <c r="D486" s="7"/>
      <c r="E486" s="7"/>
      <c r="F486" s="7"/>
    </row>
    <row r="487" ht="15.75" customHeight="1">
      <c r="A487" s="7"/>
      <c r="B487" s="7"/>
      <c r="C487" s="7"/>
      <c r="D487" s="7"/>
      <c r="E487" s="7"/>
      <c r="F487" s="7"/>
    </row>
    <row r="488" ht="15.75" customHeight="1">
      <c r="A488" s="7"/>
      <c r="B488" s="7"/>
      <c r="C488" s="7"/>
      <c r="D488" s="7"/>
      <c r="E488" s="7"/>
      <c r="F488" s="7"/>
    </row>
    <row r="489" ht="15.75" customHeight="1">
      <c r="A489" s="7"/>
      <c r="B489" s="7"/>
      <c r="C489" s="7"/>
      <c r="D489" s="7"/>
      <c r="E489" s="7"/>
      <c r="F489" s="7"/>
    </row>
    <row r="490" ht="15.75" customHeight="1">
      <c r="A490" s="7"/>
      <c r="B490" s="7"/>
      <c r="C490" s="7"/>
      <c r="D490" s="7"/>
      <c r="E490" s="7"/>
      <c r="F490" s="7"/>
    </row>
    <row r="491" ht="15.75" customHeight="1">
      <c r="A491" s="7"/>
      <c r="B491" s="7"/>
      <c r="C491" s="7"/>
      <c r="D491" s="7"/>
      <c r="E491" s="7"/>
      <c r="F491" s="7"/>
    </row>
    <row r="492" ht="15.75" customHeight="1">
      <c r="A492" s="7"/>
      <c r="B492" s="7"/>
      <c r="C492" s="7"/>
      <c r="D492" s="7"/>
      <c r="E492" s="7"/>
      <c r="F492" s="7"/>
    </row>
    <row r="493" ht="15.75" customHeight="1">
      <c r="A493" s="7"/>
      <c r="B493" s="7"/>
      <c r="C493" s="7"/>
      <c r="D493" s="7"/>
      <c r="E493" s="7"/>
      <c r="F493" s="7"/>
    </row>
    <row r="494" ht="15.75" customHeight="1">
      <c r="A494" s="7"/>
      <c r="B494" s="7"/>
      <c r="C494" s="7"/>
      <c r="D494" s="7"/>
      <c r="E494" s="7"/>
      <c r="F494" s="7"/>
    </row>
    <row r="495" ht="15.75" customHeight="1">
      <c r="A495" s="7"/>
      <c r="B495" s="7"/>
      <c r="C495" s="7"/>
      <c r="D495" s="7"/>
      <c r="E495" s="7"/>
      <c r="F495" s="7"/>
    </row>
    <row r="496" ht="15.75" customHeight="1">
      <c r="A496" s="7"/>
      <c r="B496" s="7"/>
      <c r="C496" s="7"/>
      <c r="D496" s="7"/>
      <c r="E496" s="7"/>
      <c r="F496" s="7"/>
    </row>
    <row r="497" ht="15.75" customHeight="1">
      <c r="A497" s="7"/>
      <c r="B497" s="7"/>
      <c r="C497" s="7"/>
      <c r="D497" s="7"/>
      <c r="E497" s="7"/>
      <c r="F497" s="7"/>
    </row>
    <row r="498" ht="15.75" customHeight="1">
      <c r="A498" s="7"/>
      <c r="B498" s="7"/>
      <c r="C498" s="7"/>
      <c r="D498" s="7"/>
      <c r="E498" s="7"/>
      <c r="F498" s="7"/>
    </row>
    <row r="499" ht="15.75" customHeight="1">
      <c r="A499" s="7"/>
      <c r="B499" s="7"/>
      <c r="C499" s="7"/>
      <c r="D499" s="7"/>
      <c r="E499" s="7"/>
      <c r="F499" s="7"/>
    </row>
    <row r="500" ht="15.75" customHeight="1">
      <c r="A500" s="7"/>
      <c r="B500" s="7"/>
      <c r="C500" s="7"/>
      <c r="D500" s="7"/>
      <c r="E500" s="7"/>
      <c r="F500" s="7"/>
    </row>
    <row r="501" ht="15.75" customHeight="1">
      <c r="A501" s="7"/>
      <c r="B501" s="7"/>
      <c r="C501" s="7"/>
      <c r="D501" s="7"/>
      <c r="E501" s="7"/>
      <c r="F501" s="7"/>
    </row>
    <row r="502" ht="15.75" customHeight="1">
      <c r="A502" s="7"/>
      <c r="B502" s="7"/>
      <c r="C502" s="7"/>
      <c r="D502" s="7"/>
      <c r="E502" s="7"/>
      <c r="F502" s="7"/>
    </row>
    <row r="503" ht="15.75" customHeight="1">
      <c r="A503" s="7"/>
      <c r="B503" s="7"/>
      <c r="C503" s="7"/>
      <c r="D503" s="7"/>
      <c r="E503" s="7"/>
      <c r="F503" s="7"/>
    </row>
    <row r="504" ht="15.75" customHeight="1">
      <c r="A504" s="7"/>
      <c r="B504" s="7"/>
      <c r="C504" s="7"/>
      <c r="D504" s="7"/>
      <c r="E504" s="7"/>
      <c r="F504" s="7"/>
    </row>
    <row r="505" ht="15.75" customHeight="1">
      <c r="A505" s="7"/>
      <c r="B505" s="7"/>
      <c r="C505" s="7"/>
      <c r="D505" s="7"/>
      <c r="E505" s="7"/>
      <c r="F505" s="7"/>
    </row>
    <row r="506" ht="15.75" customHeight="1">
      <c r="A506" s="7"/>
      <c r="B506" s="7"/>
      <c r="C506" s="7"/>
      <c r="D506" s="7"/>
      <c r="E506" s="7"/>
      <c r="F506" s="7"/>
    </row>
    <row r="507" ht="15.75" customHeight="1">
      <c r="A507" s="7"/>
      <c r="B507" s="7"/>
      <c r="C507" s="7"/>
      <c r="D507" s="7"/>
      <c r="E507" s="7"/>
      <c r="F507" s="7"/>
    </row>
    <row r="508" ht="15.75" customHeight="1">
      <c r="A508" s="7"/>
      <c r="B508" s="7"/>
      <c r="C508" s="7"/>
      <c r="D508" s="7"/>
      <c r="E508" s="7"/>
      <c r="F508" s="7"/>
    </row>
    <row r="509" ht="15.75" customHeight="1">
      <c r="A509" s="7"/>
      <c r="B509" s="7"/>
      <c r="C509" s="7"/>
      <c r="D509" s="7"/>
      <c r="E509" s="7"/>
      <c r="F509" s="7"/>
    </row>
    <row r="510" ht="15.75" customHeight="1">
      <c r="A510" s="7"/>
      <c r="B510" s="7"/>
      <c r="C510" s="7"/>
      <c r="D510" s="7"/>
      <c r="E510" s="7"/>
      <c r="F510" s="7"/>
    </row>
    <row r="511" ht="15.75" customHeight="1">
      <c r="A511" s="7"/>
      <c r="B511" s="7"/>
      <c r="C511" s="7"/>
      <c r="D511" s="7"/>
      <c r="E511" s="7"/>
      <c r="F511" s="7"/>
    </row>
    <row r="512" ht="15.75" customHeight="1">
      <c r="A512" s="7"/>
      <c r="B512" s="7"/>
      <c r="C512" s="7"/>
      <c r="D512" s="7"/>
      <c r="E512" s="7"/>
      <c r="F512" s="7"/>
    </row>
    <row r="513" ht="15.75" customHeight="1">
      <c r="A513" s="7"/>
      <c r="B513" s="7"/>
      <c r="C513" s="7"/>
      <c r="D513" s="7"/>
      <c r="E513" s="7"/>
      <c r="F513" s="7"/>
    </row>
    <row r="514" ht="15.75" customHeight="1">
      <c r="A514" s="7"/>
      <c r="B514" s="7"/>
      <c r="C514" s="7"/>
      <c r="D514" s="7"/>
      <c r="E514" s="7"/>
      <c r="F514" s="7"/>
    </row>
    <row r="515" ht="15.75" customHeight="1">
      <c r="A515" s="7"/>
      <c r="B515" s="7"/>
      <c r="C515" s="7"/>
      <c r="D515" s="7"/>
      <c r="E515" s="7"/>
      <c r="F515" s="7"/>
    </row>
    <row r="516" ht="15.75" customHeight="1">
      <c r="A516" s="7"/>
      <c r="B516" s="7"/>
      <c r="C516" s="7"/>
      <c r="D516" s="7"/>
      <c r="E516" s="7"/>
      <c r="F516" s="7"/>
    </row>
    <row r="517" ht="15.75" customHeight="1">
      <c r="A517" s="7"/>
      <c r="B517" s="7"/>
      <c r="C517" s="7"/>
      <c r="D517" s="7"/>
      <c r="E517" s="7"/>
      <c r="F517" s="7"/>
    </row>
    <row r="518" ht="15.75" customHeight="1">
      <c r="A518" s="7"/>
      <c r="B518" s="7"/>
      <c r="C518" s="7"/>
      <c r="D518" s="7"/>
      <c r="E518" s="7"/>
      <c r="F518" s="7"/>
    </row>
    <row r="519" ht="15.75" customHeight="1">
      <c r="A519" s="7"/>
      <c r="B519" s="7"/>
      <c r="C519" s="7"/>
      <c r="D519" s="7"/>
      <c r="E519" s="7"/>
      <c r="F519" s="7"/>
    </row>
    <row r="520" ht="15.75" customHeight="1">
      <c r="A520" s="7"/>
      <c r="B520" s="7"/>
      <c r="C520" s="7"/>
      <c r="D520" s="7"/>
      <c r="E520" s="7"/>
      <c r="F520" s="7"/>
    </row>
    <row r="521" ht="15.75" customHeight="1">
      <c r="A521" s="7"/>
      <c r="B521" s="7"/>
      <c r="C521" s="7"/>
      <c r="D521" s="7"/>
      <c r="E521" s="7"/>
      <c r="F521" s="7"/>
    </row>
    <row r="522" ht="15.75" customHeight="1">
      <c r="A522" s="7"/>
      <c r="B522" s="7"/>
      <c r="C522" s="7"/>
      <c r="D522" s="7"/>
      <c r="E522" s="7"/>
      <c r="F522" s="7"/>
    </row>
    <row r="523" ht="15.75" customHeight="1">
      <c r="A523" s="7"/>
      <c r="B523" s="7"/>
      <c r="C523" s="7"/>
      <c r="D523" s="7"/>
      <c r="E523" s="7"/>
      <c r="F523" s="7"/>
    </row>
    <row r="524" ht="15.75" customHeight="1">
      <c r="A524" s="7"/>
      <c r="B524" s="7"/>
      <c r="C524" s="7"/>
      <c r="D524" s="7"/>
      <c r="E524" s="7"/>
      <c r="F524" s="7"/>
    </row>
    <row r="525" ht="15.75" customHeight="1">
      <c r="A525" s="7"/>
      <c r="B525" s="7"/>
      <c r="C525" s="7"/>
      <c r="D525" s="7"/>
      <c r="E525" s="7"/>
      <c r="F525" s="7"/>
    </row>
    <row r="526" ht="15.75" customHeight="1">
      <c r="A526" s="7"/>
      <c r="B526" s="7"/>
      <c r="C526" s="7"/>
      <c r="D526" s="7"/>
      <c r="E526" s="7"/>
      <c r="F526" s="7"/>
    </row>
    <row r="527" ht="15.75" customHeight="1">
      <c r="A527" s="7"/>
      <c r="B527" s="7"/>
      <c r="C527" s="7"/>
      <c r="D527" s="7"/>
      <c r="E527" s="7"/>
      <c r="F527" s="7"/>
    </row>
    <row r="528" ht="15.75" customHeight="1">
      <c r="A528" s="7"/>
      <c r="B528" s="7"/>
      <c r="C528" s="7"/>
      <c r="D528" s="7"/>
      <c r="E528" s="7"/>
      <c r="F528" s="7"/>
    </row>
    <row r="529" ht="15.75" customHeight="1">
      <c r="A529" s="7"/>
      <c r="B529" s="7"/>
      <c r="C529" s="7"/>
      <c r="D529" s="7"/>
      <c r="E529" s="7"/>
      <c r="F529" s="7"/>
    </row>
    <row r="530" ht="15.75" customHeight="1">
      <c r="A530" s="7"/>
      <c r="B530" s="7"/>
      <c r="C530" s="7"/>
      <c r="D530" s="7"/>
      <c r="E530" s="7"/>
      <c r="F530" s="7"/>
    </row>
    <row r="531" ht="15.75" customHeight="1">
      <c r="A531" s="7"/>
      <c r="B531" s="7"/>
      <c r="C531" s="7"/>
      <c r="D531" s="7"/>
      <c r="E531" s="7"/>
      <c r="F531" s="7"/>
    </row>
    <row r="532" ht="15.75" customHeight="1">
      <c r="A532" s="7"/>
      <c r="B532" s="7"/>
      <c r="C532" s="7"/>
      <c r="D532" s="7"/>
      <c r="E532" s="7"/>
      <c r="F532" s="7"/>
    </row>
    <row r="533" ht="15.75" customHeight="1">
      <c r="A533" s="7"/>
      <c r="B533" s="7"/>
      <c r="C533" s="7"/>
      <c r="D533" s="7"/>
      <c r="E533" s="7"/>
      <c r="F533" s="7"/>
    </row>
    <row r="534" ht="15.75" customHeight="1">
      <c r="A534" s="7"/>
      <c r="B534" s="7"/>
      <c r="C534" s="7"/>
      <c r="D534" s="7"/>
      <c r="E534" s="7"/>
      <c r="F534" s="7"/>
    </row>
    <row r="535" ht="15.75" customHeight="1">
      <c r="A535" s="7"/>
      <c r="B535" s="7"/>
      <c r="C535" s="7"/>
      <c r="D535" s="7"/>
      <c r="E535" s="7"/>
      <c r="F535" s="7"/>
    </row>
    <row r="536" ht="15.75" customHeight="1">
      <c r="A536" s="7"/>
      <c r="B536" s="7"/>
      <c r="C536" s="7"/>
      <c r="D536" s="7"/>
      <c r="E536" s="7"/>
      <c r="F536" s="7"/>
    </row>
    <row r="537" ht="15.75" customHeight="1">
      <c r="A537" s="7"/>
      <c r="B537" s="7"/>
      <c r="C537" s="7"/>
      <c r="D537" s="7"/>
      <c r="E537" s="7"/>
      <c r="F537" s="7"/>
    </row>
    <row r="538" ht="15.75" customHeight="1">
      <c r="A538" s="7"/>
      <c r="B538" s="7"/>
      <c r="C538" s="7"/>
      <c r="D538" s="7"/>
      <c r="E538" s="7"/>
      <c r="F538" s="7"/>
    </row>
    <row r="539" ht="15.75" customHeight="1">
      <c r="A539" s="7"/>
      <c r="B539" s="7"/>
      <c r="C539" s="7"/>
      <c r="D539" s="7"/>
      <c r="E539" s="7"/>
      <c r="F539" s="7"/>
    </row>
    <row r="540" ht="15.75" customHeight="1">
      <c r="A540" s="7"/>
      <c r="B540" s="7"/>
      <c r="C540" s="7"/>
      <c r="D540" s="7"/>
      <c r="E540" s="7"/>
      <c r="F540" s="7"/>
    </row>
    <row r="541" ht="15.75" customHeight="1">
      <c r="A541" s="7"/>
      <c r="B541" s="7"/>
      <c r="C541" s="7"/>
      <c r="D541" s="7"/>
      <c r="E541" s="7"/>
      <c r="F541" s="7"/>
    </row>
    <row r="542" ht="15.75" customHeight="1">
      <c r="A542" s="7"/>
      <c r="B542" s="7"/>
      <c r="C542" s="7"/>
      <c r="D542" s="7"/>
      <c r="E542" s="7"/>
      <c r="F542" s="7"/>
    </row>
    <row r="543" ht="15.75" customHeight="1">
      <c r="A543" s="7"/>
      <c r="B543" s="7"/>
      <c r="C543" s="7"/>
      <c r="D543" s="7"/>
      <c r="E543" s="7"/>
      <c r="F543" s="7"/>
    </row>
    <row r="544" ht="15.75" customHeight="1">
      <c r="A544" s="7"/>
      <c r="B544" s="7"/>
      <c r="C544" s="7"/>
      <c r="D544" s="7"/>
      <c r="E544" s="7"/>
      <c r="F544" s="7"/>
    </row>
    <row r="545" ht="15.75" customHeight="1">
      <c r="A545" s="7"/>
      <c r="B545" s="7"/>
      <c r="C545" s="7"/>
      <c r="D545" s="7"/>
      <c r="E545" s="7"/>
      <c r="F545" s="7"/>
    </row>
    <row r="546" ht="15.75" customHeight="1">
      <c r="A546" s="7"/>
      <c r="B546" s="7"/>
      <c r="C546" s="7"/>
      <c r="D546" s="7"/>
      <c r="E546" s="7"/>
      <c r="F546" s="7"/>
    </row>
    <row r="547" ht="15.75" customHeight="1">
      <c r="A547" s="7"/>
      <c r="B547" s="7"/>
      <c r="C547" s="7"/>
      <c r="D547" s="7"/>
      <c r="E547" s="7"/>
      <c r="F547" s="7"/>
    </row>
    <row r="548" ht="15.75" customHeight="1">
      <c r="A548" s="7"/>
      <c r="B548" s="7"/>
      <c r="C548" s="7"/>
      <c r="D548" s="7"/>
      <c r="E548" s="7"/>
      <c r="F548" s="7"/>
    </row>
    <row r="549" ht="15.75" customHeight="1">
      <c r="A549" s="7"/>
      <c r="B549" s="7"/>
      <c r="C549" s="7"/>
      <c r="D549" s="7"/>
      <c r="E549" s="7"/>
      <c r="F549" s="7"/>
    </row>
    <row r="550" ht="15.75" customHeight="1">
      <c r="A550" s="7"/>
      <c r="B550" s="7"/>
      <c r="C550" s="7"/>
      <c r="D550" s="7"/>
      <c r="E550" s="7"/>
      <c r="F550" s="7"/>
    </row>
    <row r="551" ht="15.75" customHeight="1">
      <c r="A551" s="7"/>
      <c r="B551" s="7"/>
      <c r="C551" s="7"/>
      <c r="D551" s="7"/>
      <c r="E551" s="7"/>
      <c r="F551" s="7"/>
    </row>
    <row r="552" ht="15.75" customHeight="1">
      <c r="A552" s="7"/>
      <c r="B552" s="7"/>
      <c r="C552" s="7"/>
      <c r="D552" s="7"/>
      <c r="E552" s="7"/>
      <c r="F552" s="7"/>
    </row>
    <row r="553" ht="15.75" customHeight="1">
      <c r="A553" s="7"/>
      <c r="B553" s="7"/>
      <c r="C553" s="7"/>
      <c r="D553" s="7"/>
      <c r="E553" s="7"/>
      <c r="F553" s="7"/>
    </row>
    <row r="554" ht="15.75" customHeight="1">
      <c r="A554" s="7"/>
      <c r="B554" s="7"/>
      <c r="C554" s="7"/>
      <c r="D554" s="7"/>
      <c r="E554" s="7"/>
      <c r="F554" s="7"/>
    </row>
    <row r="555" ht="15.75" customHeight="1">
      <c r="A555" s="7"/>
      <c r="B555" s="7"/>
      <c r="C555" s="7"/>
      <c r="D555" s="7"/>
      <c r="E555" s="7"/>
      <c r="F555" s="7"/>
    </row>
    <row r="556" ht="15.75" customHeight="1">
      <c r="A556" s="7"/>
      <c r="B556" s="7"/>
      <c r="C556" s="7"/>
      <c r="D556" s="7"/>
      <c r="E556" s="7"/>
      <c r="F556" s="7"/>
    </row>
    <row r="557" ht="15.75" customHeight="1">
      <c r="A557" s="7"/>
      <c r="B557" s="7"/>
      <c r="C557" s="7"/>
      <c r="D557" s="7"/>
      <c r="E557" s="7"/>
      <c r="F557" s="7"/>
    </row>
    <row r="558" ht="15.75" customHeight="1">
      <c r="A558" s="7"/>
      <c r="B558" s="7"/>
      <c r="C558" s="7"/>
      <c r="D558" s="7"/>
      <c r="E558" s="7"/>
      <c r="F558" s="7"/>
    </row>
    <row r="559" ht="15.75" customHeight="1">
      <c r="A559" s="7"/>
      <c r="B559" s="7"/>
      <c r="C559" s="7"/>
      <c r="D559" s="7"/>
      <c r="E559" s="7"/>
      <c r="F559" s="7"/>
    </row>
    <row r="560" ht="15.75" customHeight="1">
      <c r="A560" s="7"/>
      <c r="B560" s="7"/>
      <c r="C560" s="7"/>
      <c r="D560" s="7"/>
      <c r="E560" s="7"/>
      <c r="F560" s="7"/>
    </row>
    <row r="561" ht="15.75" customHeight="1">
      <c r="A561" s="7"/>
      <c r="B561" s="7"/>
      <c r="C561" s="7"/>
      <c r="D561" s="7"/>
      <c r="E561" s="7"/>
      <c r="F561" s="7"/>
    </row>
    <row r="562" ht="15.75" customHeight="1">
      <c r="A562" s="7"/>
      <c r="B562" s="7"/>
      <c r="C562" s="7"/>
      <c r="D562" s="7"/>
      <c r="E562" s="7"/>
      <c r="F562" s="7"/>
    </row>
    <row r="563" ht="15.75" customHeight="1">
      <c r="A563" s="7"/>
      <c r="B563" s="7"/>
      <c r="C563" s="7"/>
      <c r="D563" s="7"/>
      <c r="E563" s="7"/>
      <c r="F563" s="7"/>
    </row>
    <row r="564" ht="15.75" customHeight="1">
      <c r="A564" s="7"/>
      <c r="B564" s="7"/>
      <c r="C564" s="7"/>
      <c r="D564" s="7"/>
      <c r="E564" s="7"/>
      <c r="F564" s="7"/>
    </row>
    <row r="565" ht="15.75" customHeight="1">
      <c r="A565" s="7"/>
      <c r="B565" s="7"/>
      <c r="C565" s="7"/>
      <c r="D565" s="7"/>
      <c r="E565" s="7"/>
      <c r="F565" s="7"/>
    </row>
    <row r="566" ht="15.75" customHeight="1">
      <c r="A566" s="7"/>
      <c r="B566" s="7"/>
      <c r="C566" s="7"/>
      <c r="D566" s="7"/>
      <c r="E566" s="7"/>
      <c r="F566" s="7"/>
    </row>
    <row r="567" ht="15.75" customHeight="1">
      <c r="A567" s="7"/>
      <c r="B567" s="7"/>
      <c r="C567" s="7"/>
      <c r="D567" s="7"/>
      <c r="E567" s="7"/>
      <c r="F567" s="7"/>
    </row>
    <row r="568" ht="15.75" customHeight="1">
      <c r="A568" s="7"/>
      <c r="B568" s="7"/>
      <c r="C568" s="7"/>
      <c r="D568" s="7"/>
      <c r="E568" s="7"/>
      <c r="F568" s="7"/>
    </row>
    <row r="569" ht="15.75" customHeight="1">
      <c r="A569" s="7"/>
      <c r="B569" s="7"/>
      <c r="C569" s="7"/>
      <c r="D569" s="7"/>
      <c r="E569" s="7"/>
      <c r="F569" s="7"/>
    </row>
    <row r="570" ht="15.75" customHeight="1">
      <c r="A570" s="7"/>
      <c r="B570" s="7"/>
      <c r="C570" s="7"/>
      <c r="D570" s="7"/>
      <c r="E570" s="7"/>
      <c r="F570" s="7"/>
    </row>
    <row r="571" ht="15.75" customHeight="1">
      <c r="A571" s="7"/>
      <c r="B571" s="7"/>
      <c r="C571" s="7"/>
      <c r="D571" s="7"/>
      <c r="E571" s="7"/>
      <c r="F571" s="7"/>
    </row>
    <row r="572" ht="15.75" customHeight="1">
      <c r="A572" s="7"/>
      <c r="B572" s="7"/>
      <c r="C572" s="7"/>
      <c r="D572" s="7"/>
      <c r="E572" s="7"/>
      <c r="F572" s="7"/>
    </row>
    <row r="573" ht="15.75" customHeight="1">
      <c r="A573" s="7"/>
      <c r="B573" s="7"/>
      <c r="C573" s="7"/>
      <c r="D573" s="7"/>
      <c r="E573" s="7"/>
      <c r="F573" s="7"/>
    </row>
    <row r="574" ht="15.75" customHeight="1">
      <c r="A574" s="7"/>
      <c r="B574" s="7"/>
      <c r="C574" s="7"/>
      <c r="D574" s="7"/>
      <c r="E574" s="7"/>
      <c r="F574" s="7"/>
    </row>
    <row r="575" ht="15.75" customHeight="1">
      <c r="A575" s="7"/>
      <c r="B575" s="7"/>
      <c r="C575" s="7"/>
      <c r="D575" s="7"/>
      <c r="E575" s="7"/>
      <c r="F575" s="7"/>
    </row>
    <row r="576" ht="15.75" customHeight="1">
      <c r="A576" s="7"/>
      <c r="B576" s="7"/>
      <c r="C576" s="7"/>
      <c r="D576" s="7"/>
      <c r="E576" s="7"/>
      <c r="F576" s="7"/>
    </row>
    <row r="577" ht="15.75" customHeight="1">
      <c r="A577" s="7"/>
      <c r="B577" s="7"/>
      <c r="C577" s="7"/>
      <c r="D577" s="7"/>
      <c r="E577" s="7"/>
      <c r="F577" s="7"/>
    </row>
    <row r="578" ht="15.75" customHeight="1">
      <c r="A578" s="7"/>
      <c r="B578" s="7"/>
      <c r="C578" s="7"/>
      <c r="D578" s="7"/>
      <c r="E578" s="7"/>
      <c r="F578" s="7"/>
    </row>
    <row r="579" ht="15.75" customHeight="1">
      <c r="A579" s="7"/>
      <c r="B579" s="7"/>
      <c r="C579" s="7"/>
      <c r="D579" s="7"/>
      <c r="E579" s="7"/>
      <c r="F579" s="7"/>
    </row>
    <row r="580" ht="15.75" customHeight="1">
      <c r="A580" s="7"/>
      <c r="B580" s="7"/>
      <c r="C580" s="7"/>
      <c r="D580" s="7"/>
      <c r="E580" s="7"/>
      <c r="F580" s="7"/>
    </row>
    <row r="581" ht="15.75" customHeight="1">
      <c r="A581" s="7"/>
      <c r="B581" s="7"/>
      <c r="C581" s="7"/>
      <c r="D581" s="7"/>
      <c r="E581" s="7"/>
      <c r="F581" s="7"/>
    </row>
    <row r="582" ht="15.75" customHeight="1">
      <c r="A582" s="7"/>
      <c r="B582" s="7"/>
      <c r="C582" s="7"/>
      <c r="D582" s="7"/>
      <c r="E582" s="7"/>
      <c r="F582" s="7"/>
    </row>
    <row r="583" ht="15.75" customHeight="1">
      <c r="A583" s="7"/>
      <c r="B583" s="7"/>
      <c r="C583" s="7"/>
      <c r="D583" s="7"/>
      <c r="E583" s="7"/>
      <c r="F583" s="7"/>
    </row>
    <row r="584" ht="15.75" customHeight="1">
      <c r="A584" s="7"/>
      <c r="B584" s="7"/>
      <c r="C584" s="7"/>
      <c r="D584" s="7"/>
      <c r="E584" s="7"/>
      <c r="F584" s="7"/>
    </row>
    <row r="585" ht="15.75" customHeight="1">
      <c r="A585" s="7"/>
      <c r="B585" s="7"/>
      <c r="C585" s="7"/>
      <c r="D585" s="7"/>
      <c r="E585" s="7"/>
      <c r="F585" s="7"/>
    </row>
    <row r="586" ht="15.75" customHeight="1">
      <c r="A586" s="7"/>
      <c r="B586" s="7"/>
      <c r="C586" s="7"/>
      <c r="D586" s="7"/>
      <c r="E586" s="7"/>
      <c r="F586" s="7"/>
    </row>
    <row r="587" ht="15.75" customHeight="1">
      <c r="A587" s="7"/>
      <c r="B587" s="7"/>
      <c r="C587" s="7"/>
      <c r="D587" s="7"/>
      <c r="E587" s="7"/>
      <c r="F587" s="7"/>
    </row>
    <row r="588" ht="15.75" customHeight="1">
      <c r="A588" s="7"/>
      <c r="B588" s="7"/>
      <c r="C588" s="7"/>
      <c r="D588" s="7"/>
      <c r="E588" s="7"/>
      <c r="F588" s="7"/>
    </row>
    <row r="589" ht="15.75" customHeight="1">
      <c r="A589" s="7"/>
      <c r="B589" s="7"/>
      <c r="C589" s="7"/>
      <c r="D589" s="7"/>
      <c r="E589" s="7"/>
      <c r="F589" s="7"/>
    </row>
    <row r="590" ht="15.75" customHeight="1">
      <c r="A590" s="7"/>
      <c r="B590" s="7"/>
      <c r="C590" s="7"/>
      <c r="D590" s="7"/>
      <c r="E590" s="7"/>
      <c r="F590" s="7"/>
    </row>
    <row r="591" ht="15.75" customHeight="1">
      <c r="A591" s="7"/>
      <c r="B591" s="7"/>
      <c r="C591" s="7"/>
      <c r="D591" s="7"/>
      <c r="E591" s="7"/>
      <c r="F591" s="7"/>
    </row>
    <row r="592" ht="15.75" customHeight="1">
      <c r="A592" s="7"/>
      <c r="B592" s="7"/>
      <c r="C592" s="7"/>
      <c r="D592" s="7"/>
      <c r="E592" s="7"/>
      <c r="F592" s="7"/>
    </row>
    <row r="593" ht="15.75" customHeight="1">
      <c r="A593" s="7"/>
      <c r="B593" s="7"/>
      <c r="C593" s="7"/>
      <c r="D593" s="7"/>
      <c r="E593" s="7"/>
      <c r="F593" s="7"/>
    </row>
    <row r="594" ht="15.75" customHeight="1">
      <c r="A594" s="7"/>
      <c r="B594" s="7"/>
      <c r="C594" s="7"/>
      <c r="D594" s="7"/>
      <c r="E594" s="7"/>
      <c r="F594" s="7"/>
    </row>
    <row r="595" ht="15.75" customHeight="1">
      <c r="A595" s="7"/>
      <c r="B595" s="7"/>
      <c r="C595" s="7"/>
      <c r="D595" s="7"/>
      <c r="E595" s="7"/>
      <c r="F595" s="7"/>
    </row>
    <row r="596" ht="15.75" customHeight="1">
      <c r="A596" s="7"/>
      <c r="B596" s="7"/>
      <c r="C596" s="7"/>
      <c r="D596" s="7"/>
      <c r="E596" s="7"/>
      <c r="F596" s="7"/>
    </row>
    <row r="597" ht="15.75" customHeight="1">
      <c r="A597" s="7"/>
      <c r="B597" s="7"/>
      <c r="C597" s="7"/>
      <c r="D597" s="7"/>
      <c r="E597" s="7"/>
      <c r="F597" s="7"/>
    </row>
    <row r="598" ht="15.75" customHeight="1">
      <c r="A598" s="7"/>
      <c r="B598" s="7"/>
      <c r="C598" s="7"/>
      <c r="D598" s="7"/>
      <c r="E598" s="7"/>
      <c r="F598" s="7"/>
    </row>
    <row r="599" ht="15.75" customHeight="1">
      <c r="A599" s="7"/>
      <c r="B599" s="7"/>
      <c r="C599" s="7"/>
      <c r="D599" s="7"/>
      <c r="E599" s="7"/>
      <c r="F599" s="7"/>
    </row>
    <row r="600" ht="15.75" customHeight="1">
      <c r="A600" s="7"/>
      <c r="B600" s="7"/>
      <c r="C600" s="7"/>
      <c r="D600" s="7"/>
      <c r="E600" s="7"/>
      <c r="F600" s="7"/>
    </row>
    <row r="601" ht="15.75" customHeight="1">
      <c r="A601" s="7"/>
      <c r="B601" s="7"/>
      <c r="C601" s="7"/>
      <c r="D601" s="7"/>
      <c r="E601" s="7"/>
      <c r="F601" s="7"/>
    </row>
    <row r="602" ht="15.75" customHeight="1">
      <c r="A602" s="7"/>
      <c r="B602" s="7"/>
      <c r="C602" s="7"/>
      <c r="D602" s="7"/>
      <c r="E602" s="7"/>
      <c r="F602" s="7"/>
    </row>
    <row r="603" ht="15.75" customHeight="1">
      <c r="A603" s="7"/>
      <c r="B603" s="7"/>
      <c r="C603" s="7"/>
      <c r="D603" s="7"/>
      <c r="E603" s="7"/>
      <c r="F603" s="7"/>
    </row>
    <row r="604" ht="15.75" customHeight="1">
      <c r="A604" s="7"/>
      <c r="B604" s="7"/>
      <c r="C604" s="7"/>
      <c r="D604" s="7"/>
      <c r="E604" s="7"/>
      <c r="F604" s="7"/>
    </row>
    <row r="605" ht="15.75" customHeight="1">
      <c r="A605" s="7"/>
      <c r="B605" s="7"/>
      <c r="C605" s="7"/>
      <c r="D605" s="7"/>
      <c r="E605" s="7"/>
      <c r="F605" s="7"/>
    </row>
    <row r="606" ht="15.75" customHeight="1">
      <c r="A606" s="7"/>
      <c r="B606" s="7"/>
      <c r="C606" s="7"/>
      <c r="D606" s="7"/>
      <c r="E606" s="7"/>
      <c r="F606" s="7"/>
    </row>
    <row r="607" ht="15.75" customHeight="1">
      <c r="A607" s="7"/>
      <c r="B607" s="7"/>
      <c r="C607" s="7"/>
      <c r="D607" s="7"/>
      <c r="E607" s="7"/>
      <c r="F607" s="7"/>
    </row>
    <row r="608" ht="15.75" customHeight="1">
      <c r="A608" s="7"/>
      <c r="B608" s="7"/>
      <c r="C608" s="7"/>
      <c r="D608" s="7"/>
      <c r="E608" s="7"/>
      <c r="F608" s="7"/>
    </row>
    <row r="609" ht="15.75" customHeight="1">
      <c r="A609" s="7"/>
      <c r="B609" s="7"/>
      <c r="C609" s="7"/>
      <c r="D609" s="7"/>
      <c r="E609" s="7"/>
      <c r="F609" s="7"/>
    </row>
    <row r="610" ht="15.75" customHeight="1">
      <c r="A610" s="7"/>
      <c r="B610" s="7"/>
      <c r="C610" s="7"/>
      <c r="D610" s="7"/>
      <c r="E610" s="7"/>
      <c r="F610" s="7"/>
    </row>
    <row r="611" ht="15.75" customHeight="1">
      <c r="A611" s="7"/>
      <c r="B611" s="7"/>
      <c r="C611" s="7"/>
      <c r="D611" s="7"/>
      <c r="E611" s="7"/>
      <c r="F611" s="7"/>
    </row>
    <row r="612" ht="15.75" customHeight="1">
      <c r="A612" s="7"/>
      <c r="B612" s="7"/>
      <c r="C612" s="7"/>
      <c r="D612" s="7"/>
      <c r="E612" s="7"/>
      <c r="F612" s="7"/>
    </row>
    <row r="613" ht="15.75" customHeight="1">
      <c r="A613" s="7"/>
      <c r="B613" s="7"/>
      <c r="C613" s="7"/>
      <c r="D613" s="7"/>
      <c r="E613" s="7"/>
      <c r="F613" s="7"/>
    </row>
    <row r="614" ht="15.75" customHeight="1">
      <c r="A614" s="7"/>
      <c r="B614" s="7"/>
      <c r="C614" s="7"/>
      <c r="D614" s="7"/>
      <c r="E614" s="7"/>
      <c r="F614" s="7"/>
    </row>
    <row r="615" ht="15.75" customHeight="1">
      <c r="A615" s="7"/>
      <c r="B615" s="7"/>
      <c r="C615" s="7"/>
      <c r="D615" s="7"/>
      <c r="E615" s="7"/>
      <c r="F615" s="7"/>
    </row>
    <row r="616" ht="15.75" customHeight="1">
      <c r="A616" s="7"/>
      <c r="B616" s="7"/>
      <c r="C616" s="7"/>
      <c r="D616" s="7"/>
      <c r="E616" s="7"/>
      <c r="F616" s="7"/>
    </row>
    <row r="617" ht="15.75" customHeight="1">
      <c r="A617" s="7"/>
      <c r="B617" s="7"/>
      <c r="C617" s="7"/>
      <c r="D617" s="7"/>
      <c r="E617" s="7"/>
      <c r="F617" s="7"/>
    </row>
    <row r="618" ht="15.75" customHeight="1">
      <c r="A618" s="7"/>
      <c r="B618" s="7"/>
      <c r="C618" s="7"/>
      <c r="D618" s="7"/>
      <c r="E618" s="7"/>
      <c r="F618" s="7"/>
    </row>
    <row r="619" ht="15.75" customHeight="1">
      <c r="A619" s="7"/>
      <c r="B619" s="7"/>
      <c r="C619" s="7"/>
      <c r="D619" s="7"/>
      <c r="E619" s="7"/>
      <c r="F619" s="7"/>
    </row>
    <row r="620" ht="15.75" customHeight="1">
      <c r="A620" s="7"/>
      <c r="B620" s="7"/>
      <c r="C620" s="7"/>
      <c r="D620" s="7"/>
      <c r="E620" s="7"/>
      <c r="F620" s="7"/>
    </row>
    <row r="621" ht="15.75" customHeight="1">
      <c r="A621" s="7"/>
      <c r="B621" s="7"/>
      <c r="C621" s="7"/>
      <c r="D621" s="7"/>
      <c r="E621" s="7"/>
      <c r="F621" s="7"/>
    </row>
    <row r="622" ht="15.75" customHeight="1">
      <c r="A622" s="7"/>
      <c r="B622" s="7"/>
      <c r="C622" s="7"/>
      <c r="D622" s="7"/>
      <c r="E622" s="7"/>
      <c r="F622" s="7"/>
    </row>
    <row r="623" ht="15.75" customHeight="1">
      <c r="A623" s="7"/>
      <c r="B623" s="7"/>
      <c r="C623" s="7"/>
      <c r="D623" s="7"/>
      <c r="E623" s="7"/>
      <c r="F623" s="7"/>
    </row>
    <row r="624" ht="15.75" customHeight="1">
      <c r="A624" s="7"/>
      <c r="B624" s="7"/>
      <c r="C624" s="7"/>
      <c r="D624" s="7"/>
      <c r="E624" s="7"/>
      <c r="F624" s="7"/>
    </row>
    <row r="625" ht="15.75" customHeight="1">
      <c r="A625" s="7"/>
      <c r="B625" s="7"/>
      <c r="C625" s="7"/>
      <c r="D625" s="7"/>
      <c r="E625" s="7"/>
      <c r="F625" s="7"/>
    </row>
    <row r="626" ht="15.75" customHeight="1">
      <c r="A626" s="7"/>
      <c r="B626" s="7"/>
      <c r="C626" s="7"/>
      <c r="D626" s="7"/>
      <c r="E626" s="7"/>
      <c r="F626" s="7"/>
    </row>
    <row r="627" ht="15.75" customHeight="1">
      <c r="A627" s="7"/>
      <c r="B627" s="7"/>
      <c r="C627" s="7"/>
      <c r="D627" s="7"/>
      <c r="E627" s="7"/>
      <c r="F627" s="7"/>
    </row>
    <row r="628" ht="15.75" customHeight="1">
      <c r="A628" s="7"/>
      <c r="B628" s="7"/>
      <c r="C628" s="7"/>
      <c r="D628" s="7"/>
      <c r="E628" s="7"/>
      <c r="F628" s="7"/>
    </row>
    <row r="629" ht="15.75" customHeight="1">
      <c r="A629" s="7"/>
      <c r="B629" s="7"/>
      <c r="C629" s="7"/>
      <c r="D629" s="7"/>
      <c r="E629" s="7"/>
      <c r="F629" s="7"/>
    </row>
    <row r="630" ht="15.75" customHeight="1">
      <c r="A630" s="7"/>
      <c r="B630" s="7"/>
      <c r="C630" s="7"/>
      <c r="D630" s="7"/>
      <c r="E630" s="7"/>
      <c r="F630" s="7"/>
    </row>
    <row r="631" ht="15.75" customHeight="1">
      <c r="A631" s="7"/>
      <c r="B631" s="7"/>
      <c r="C631" s="7"/>
      <c r="D631" s="7"/>
      <c r="E631" s="7"/>
      <c r="F631" s="7"/>
    </row>
    <row r="632" ht="15.75" customHeight="1">
      <c r="A632" s="7"/>
      <c r="B632" s="7"/>
      <c r="C632" s="7"/>
      <c r="D632" s="7"/>
      <c r="E632" s="7"/>
      <c r="F632" s="7"/>
    </row>
    <row r="633" ht="15.75" customHeight="1">
      <c r="A633" s="7"/>
      <c r="B633" s="7"/>
      <c r="C633" s="7"/>
      <c r="D633" s="7"/>
      <c r="E633" s="7"/>
      <c r="F633" s="7"/>
    </row>
    <row r="634" ht="15.75" customHeight="1">
      <c r="A634" s="7"/>
      <c r="B634" s="7"/>
      <c r="C634" s="7"/>
      <c r="D634" s="7"/>
      <c r="E634" s="7"/>
      <c r="F634" s="7"/>
    </row>
    <row r="635" ht="15.75" customHeight="1">
      <c r="A635" s="7"/>
      <c r="B635" s="7"/>
      <c r="C635" s="7"/>
      <c r="D635" s="7"/>
      <c r="E635" s="7"/>
      <c r="F635" s="7"/>
    </row>
    <row r="636" ht="15.75" customHeight="1">
      <c r="A636" s="7"/>
      <c r="B636" s="7"/>
      <c r="C636" s="7"/>
      <c r="D636" s="7"/>
      <c r="E636" s="7"/>
      <c r="F636" s="7"/>
    </row>
    <row r="637" ht="15.75" customHeight="1">
      <c r="A637" s="7"/>
      <c r="B637" s="7"/>
      <c r="C637" s="7"/>
      <c r="D637" s="7"/>
      <c r="E637" s="7"/>
      <c r="F637" s="7"/>
    </row>
    <row r="638" ht="15.75" customHeight="1">
      <c r="A638" s="7"/>
      <c r="B638" s="7"/>
      <c r="C638" s="7"/>
      <c r="D638" s="7"/>
      <c r="E638" s="7"/>
      <c r="F638" s="7"/>
    </row>
    <row r="639" ht="15.75" customHeight="1">
      <c r="A639" s="7"/>
      <c r="B639" s="7"/>
      <c r="C639" s="7"/>
      <c r="D639" s="7"/>
      <c r="E639" s="7"/>
      <c r="F639" s="7"/>
    </row>
    <row r="640" ht="15.75" customHeight="1">
      <c r="A640" s="7"/>
      <c r="B640" s="7"/>
      <c r="C640" s="7"/>
      <c r="D640" s="7"/>
      <c r="E640" s="7"/>
      <c r="F640" s="7"/>
    </row>
    <row r="641" ht="15.75" customHeight="1">
      <c r="A641" s="7"/>
      <c r="B641" s="7"/>
      <c r="C641" s="7"/>
      <c r="D641" s="7"/>
      <c r="E641" s="7"/>
      <c r="F641" s="7"/>
    </row>
    <row r="642" ht="15.75" customHeight="1">
      <c r="A642" s="7"/>
      <c r="B642" s="7"/>
      <c r="C642" s="7"/>
      <c r="D642" s="7"/>
      <c r="E642" s="7"/>
      <c r="F642" s="7"/>
    </row>
    <row r="643" ht="15.75" customHeight="1">
      <c r="A643" s="7"/>
      <c r="B643" s="7"/>
      <c r="C643" s="7"/>
      <c r="D643" s="7"/>
      <c r="E643" s="7"/>
      <c r="F643" s="7"/>
    </row>
    <row r="644" ht="15.75" customHeight="1">
      <c r="A644" s="7"/>
      <c r="B644" s="7"/>
      <c r="C644" s="7"/>
      <c r="D644" s="7"/>
      <c r="E644" s="7"/>
      <c r="F644" s="7"/>
    </row>
    <row r="645" ht="15.75" customHeight="1">
      <c r="A645" s="7"/>
      <c r="B645" s="7"/>
      <c r="C645" s="7"/>
      <c r="D645" s="7"/>
      <c r="E645" s="7"/>
      <c r="F645" s="7"/>
    </row>
    <row r="646" ht="15.75" customHeight="1">
      <c r="A646" s="7"/>
      <c r="B646" s="7"/>
      <c r="C646" s="7"/>
      <c r="D646" s="7"/>
      <c r="E646" s="7"/>
      <c r="F646" s="7"/>
    </row>
    <row r="647" ht="15.75" customHeight="1">
      <c r="A647" s="7"/>
      <c r="B647" s="7"/>
      <c r="C647" s="7"/>
      <c r="D647" s="7"/>
      <c r="E647" s="7"/>
      <c r="F647" s="7"/>
    </row>
    <row r="648" ht="15.75" customHeight="1">
      <c r="A648" s="7"/>
      <c r="B648" s="7"/>
      <c r="C648" s="7"/>
      <c r="D648" s="7"/>
      <c r="E648" s="7"/>
      <c r="F648" s="7"/>
    </row>
    <row r="649" ht="15.75" customHeight="1">
      <c r="A649" s="7"/>
      <c r="B649" s="7"/>
      <c r="C649" s="7"/>
      <c r="D649" s="7"/>
      <c r="E649" s="7"/>
      <c r="F649" s="7"/>
    </row>
    <row r="650" ht="15.75" customHeight="1">
      <c r="A650" s="7"/>
      <c r="B650" s="7"/>
      <c r="C650" s="7"/>
      <c r="D650" s="7"/>
      <c r="E650" s="7"/>
      <c r="F650" s="7"/>
    </row>
    <row r="651" ht="15.75" customHeight="1">
      <c r="A651" s="7"/>
      <c r="B651" s="7"/>
      <c r="C651" s="7"/>
      <c r="D651" s="7"/>
      <c r="E651" s="7"/>
      <c r="F651" s="7"/>
    </row>
    <row r="652" ht="15.75" customHeight="1">
      <c r="A652" s="7"/>
      <c r="B652" s="7"/>
      <c r="C652" s="7"/>
      <c r="D652" s="7"/>
      <c r="E652" s="7"/>
      <c r="F652" s="7"/>
    </row>
    <row r="653" ht="15.75" customHeight="1">
      <c r="A653" s="7"/>
      <c r="B653" s="7"/>
      <c r="C653" s="7"/>
      <c r="D653" s="7"/>
      <c r="E653" s="7"/>
      <c r="F653" s="7"/>
    </row>
    <row r="654" ht="15.75" customHeight="1">
      <c r="A654" s="7"/>
      <c r="B654" s="7"/>
      <c r="C654" s="7"/>
      <c r="D654" s="7"/>
      <c r="E654" s="7"/>
      <c r="F654" s="7"/>
    </row>
    <row r="655" ht="15.75" customHeight="1">
      <c r="A655" s="7"/>
      <c r="B655" s="7"/>
      <c r="C655" s="7"/>
      <c r="D655" s="7"/>
      <c r="E655" s="7"/>
      <c r="F655" s="7"/>
    </row>
    <row r="656" ht="15.75" customHeight="1">
      <c r="A656" s="7"/>
      <c r="B656" s="7"/>
      <c r="C656" s="7"/>
      <c r="D656" s="7"/>
      <c r="E656" s="7"/>
      <c r="F656" s="7"/>
    </row>
    <row r="657" ht="15.75" customHeight="1">
      <c r="A657" s="7"/>
      <c r="B657" s="7"/>
      <c r="C657" s="7"/>
      <c r="D657" s="7"/>
      <c r="E657" s="7"/>
      <c r="F657" s="7"/>
    </row>
    <row r="658" ht="15.75" customHeight="1">
      <c r="A658" s="7"/>
      <c r="B658" s="7"/>
      <c r="C658" s="7"/>
      <c r="D658" s="7"/>
      <c r="E658" s="7"/>
      <c r="F658" s="7"/>
    </row>
    <row r="659" ht="15.75" customHeight="1">
      <c r="A659" s="7"/>
      <c r="B659" s="7"/>
      <c r="C659" s="7"/>
      <c r="D659" s="7"/>
      <c r="E659" s="7"/>
      <c r="F659" s="7"/>
    </row>
    <row r="660" ht="15.75" customHeight="1">
      <c r="A660" s="7"/>
      <c r="B660" s="7"/>
      <c r="C660" s="7"/>
      <c r="D660" s="7"/>
      <c r="E660" s="7"/>
      <c r="F660" s="7"/>
    </row>
    <row r="661" ht="15.75" customHeight="1">
      <c r="A661" s="7"/>
      <c r="B661" s="7"/>
      <c r="C661" s="7"/>
      <c r="D661" s="7"/>
      <c r="E661" s="7"/>
      <c r="F661" s="7"/>
    </row>
    <row r="662" ht="15.75" customHeight="1">
      <c r="A662" s="7"/>
      <c r="B662" s="7"/>
      <c r="C662" s="7"/>
      <c r="D662" s="7"/>
      <c r="E662" s="7"/>
      <c r="F662" s="7"/>
    </row>
    <row r="663" ht="15.75" customHeight="1">
      <c r="A663" s="7"/>
      <c r="B663" s="7"/>
      <c r="C663" s="7"/>
      <c r="D663" s="7"/>
      <c r="E663" s="7"/>
      <c r="F663" s="7"/>
    </row>
    <row r="664" ht="15.75" customHeight="1">
      <c r="A664" s="7"/>
      <c r="B664" s="7"/>
      <c r="C664" s="7"/>
      <c r="D664" s="7"/>
      <c r="E664" s="7"/>
      <c r="F664" s="7"/>
    </row>
    <row r="665" ht="15.75" customHeight="1">
      <c r="A665" s="7"/>
      <c r="B665" s="7"/>
      <c r="C665" s="7"/>
      <c r="D665" s="7"/>
      <c r="E665" s="7"/>
      <c r="F665" s="7"/>
    </row>
    <row r="666" ht="15.75" customHeight="1">
      <c r="A666" s="7"/>
      <c r="B666" s="7"/>
      <c r="C666" s="7"/>
      <c r="D666" s="7"/>
      <c r="E666" s="7"/>
      <c r="F666" s="7"/>
    </row>
    <row r="667" ht="15.75" customHeight="1">
      <c r="A667" s="7"/>
      <c r="B667" s="7"/>
      <c r="C667" s="7"/>
      <c r="D667" s="7"/>
      <c r="E667" s="7"/>
      <c r="F667" s="7"/>
    </row>
    <row r="668" ht="15.75" customHeight="1">
      <c r="A668" s="7"/>
      <c r="B668" s="7"/>
      <c r="C668" s="7"/>
      <c r="D668" s="7"/>
      <c r="E668" s="7"/>
      <c r="F668" s="7"/>
    </row>
    <row r="669" ht="15.75" customHeight="1">
      <c r="A669" s="7"/>
      <c r="B669" s="7"/>
      <c r="C669" s="7"/>
      <c r="D669" s="7"/>
      <c r="E669" s="7"/>
      <c r="F669" s="7"/>
    </row>
    <row r="670" ht="15.75" customHeight="1">
      <c r="A670" s="7"/>
      <c r="B670" s="7"/>
      <c r="C670" s="7"/>
      <c r="D670" s="7"/>
      <c r="E670" s="7"/>
      <c r="F670" s="7"/>
    </row>
    <row r="671" ht="15.75" customHeight="1">
      <c r="A671" s="7"/>
      <c r="B671" s="7"/>
      <c r="C671" s="7"/>
      <c r="D671" s="7"/>
      <c r="E671" s="7"/>
      <c r="F671" s="7"/>
    </row>
    <row r="672" ht="15.75" customHeight="1">
      <c r="A672" s="7"/>
      <c r="B672" s="7"/>
      <c r="C672" s="7"/>
      <c r="D672" s="7"/>
      <c r="E672" s="7"/>
      <c r="F672" s="7"/>
    </row>
    <row r="673" ht="15.75" customHeight="1">
      <c r="A673" s="7"/>
      <c r="B673" s="7"/>
      <c r="C673" s="7"/>
      <c r="D673" s="7"/>
      <c r="E673" s="7"/>
      <c r="F673" s="7"/>
    </row>
    <row r="674" ht="15.75" customHeight="1">
      <c r="A674" s="7"/>
      <c r="B674" s="7"/>
      <c r="C674" s="7"/>
      <c r="D674" s="7"/>
      <c r="E674" s="7"/>
      <c r="F674" s="7"/>
    </row>
    <row r="675" ht="15.75" customHeight="1">
      <c r="A675" s="7"/>
      <c r="B675" s="7"/>
      <c r="C675" s="7"/>
      <c r="D675" s="7"/>
      <c r="E675" s="7"/>
      <c r="F675" s="7"/>
    </row>
    <row r="676" ht="15.75" customHeight="1">
      <c r="A676" s="7"/>
      <c r="B676" s="7"/>
      <c r="C676" s="7"/>
      <c r="D676" s="7"/>
      <c r="E676" s="7"/>
      <c r="F676" s="7"/>
    </row>
    <row r="677" ht="15.75" customHeight="1">
      <c r="A677" s="7"/>
      <c r="B677" s="7"/>
      <c r="C677" s="7"/>
      <c r="D677" s="7"/>
      <c r="E677" s="7"/>
      <c r="F677" s="7"/>
    </row>
    <row r="678" ht="15.75" customHeight="1">
      <c r="A678" s="7"/>
      <c r="B678" s="7"/>
      <c r="C678" s="7"/>
      <c r="D678" s="7"/>
      <c r="E678" s="7"/>
      <c r="F678" s="7"/>
    </row>
    <row r="679" ht="15.75" customHeight="1">
      <c r="A679" s="7"/>
      <c r="B679" s="7"/>
      <c r="C679" s="7"/>
      <c r="D679" s="7"/>
      <c r="E679" s="7"/>
      <c r="F679" s="7"/>
    </row>
    <row r="680" ht="15.75" customHeight="1">
      <c r="A680" s="7"/>
      <c r="B680" s="7"/>
      <c r="C680" s="7"/>
      <c r="D680" s="7"/>
      <c r="E680" s="7"/>
      <c r="F680" s="7"/>
    </row>
    <row r="681" ht="15.75" customHeight="1">
      <c r="A681" s="7"/>
      <c r="B681" s="7"/>
      <c r="C681" s="7"/>
      <c r="D681" s="7"/>
      <c r="E681" s="7"/>
      <c r="F681" s="7"/>
    </row>
    <row r="682" ht="15.75" customHeight="1">
      <c r="A682" s="7"/>
      <c r="B682" s="7"/>
      <c r="C682" s="7"/>
      <c r="D682" s="7"/>
      <c r="E682" s="7"/>
      <c r="F682" s="7"/>
    </row>
    <row r="683" ht="15.75" customHeight="1">
      <c r="A683" s="7"/>
      <c r="B683" s="7"/>
      <c r="C683" s="7"/>
      <c r="D683" s="7"/>
      <c r="E683" s="7"/>
      <c r="F683" s="7"/>
    </row>
    <row r="684" ht="15.75" customHeight="1">
      <c r="A684" s="7"/>
      <c r="B684" s="7"/>
      <c r="C684" s="7"/>
      <c r="D684" s="7"/>
      <c r="E684" s="7"/>
      <c r="F684" s="7"/>
    </row>
    <row r="685" ht="15.75" customHeight="1">
      <c r="A685" s="7"/>
      <c r="B685" s="7"/>
      <c r="C685" s="7"/>
      <c r="D685" s="7"/>
      <c r="E685" s="7"/>
      <c r="F685" s="7"/>
    </row>
    <row r="686" ht="15.75" customHeight="1">
      <c r="A686" s="7"/>
      <c r="B686" s="7"/>
      <c r="C686" s="7"/>
      <c r="D686" s="7"/>
      <c r="E686" s="7"/>
      <c r="F686" s="7"/>
    </row>
    <row r="687" ht="15.75" customHeight="1">
      <c r="A687" s="7"/>
      <c r="B687" s="7"/>
      <c r="C687" s="7"/>
      <c r="D687" s="7"/>
      <c r="E687" s="7"/>
      <c r="F687" s="7"/>
    </row>
    <row r="688" ht="15.75" customHeight="1">
      <c r="A688" s="7"/>
      <c r="B688" s="7"/>
      <c r="C688" s="7"/>
      <c r="D688" s="7"/>
      <c r="E688" s="7"/>
      <c r="F688" s="7"/>
    </row>
    <row r="689" ht="15.75" customHeight="1">
      <c r="A689" s="7"/>
      <c r="B689" s="7"/>
      <c r="C689" s="7"/>
      <c r="D689" s="7"/>
      <c r="E689" s="7"/>
      <c r="F689" s="7"/>
    </row>
    <row r="690" ht="15.75" customHeight="1">
      <c r="A690" s="7"/>
      <c r="B690" s="7"/>
      <c r="C690" s="7"/>
      <c r="D690" s="7"/>
      <c r="E690" s="7"/>
      <c r="F690" s="7"/>
    </row>
    <row r="691" ht="15.75" customHeight="1">
      <c r="A691" s="7"/>
      <c r="B691" s="7"/>
      <c r="C691" s="7"/>
      <c r="D691" s="7"/>
      <c r="E691" s="7"/>
      <c r="F691" s="7"/>
    </row>
    <row r="692" ht="15.75" customHeight="1">
      <c r="A692" s="7"/>
      <c r="B692" s="7"/>
      <c r="C692" s="7"/>
      <c r="D692" s="7"/>
      <c r="E692" s="7"/>
      <c r="F692" s="7"/>
    </row>
    <row r="693" ht="15.75" customHeight="1">
      <c r="A693" s="7"/>
      <c r="B693" s="7"/>
      <c r="C693" s="7"/>
      <c r="D693" s="7"/>
      <c r="E693" s="7"/>
      <c r="F693" s="7"/>
    </row>
    <row r="694" ht="15.75" customHeight="1">
      <c r="A694" s="7"/>
      <c r="B694" s="7"/>
      <c r="C694" s="7"/>
      <c r="D694" s="7"/>
      <c r="E694" s="7"/>
      <c r="F694" s="7"/>
    </row>
    <row r="695" ht="15.75" customHeight="1">
      <c r="A695" s="7"/>
      <c r="B695" s="7"/>
      <c r="C695" s="7"/>
      <c r="D695" s="7"/>
      <c r="E695" s="7"/>
      <c r="F695" s="7"/>
    </row>
    <row r="696" ht="15.75" customHeight="1">
      <c r="A696" s="7"/>
      <c r="B696" s="7"/>
      <c r="C696" s="7"/>
      <c r="D696" s="7"/>
      <c r="E696" s="7"/>
      <c r="F696" s="7"/>
    </row>
    <row r="697" ht="15.75" customHeight="1">
      <c r="A697" s="7"/>
      <c r="B697" s="7"/>
      <c r="C697" s="7"/>
      <c r="D697" s="7"/>
      <c r="E697" s="7"/>
      <c r="F697" s="7"/>
    </row>
    <row r="698" ht="15.75" customHeight="1">
      <c r="A698" s="7"/>
      <c r="B698" s="7"/>
      <c r="C698" s="7"/>
      <c r="D698" s="7"/>
      <c r="E698" s="7"/>
      <c r="F698" s="7"/>
    </row>
    <row r="699" ht="15.75" customHeight="1">
      <c r="A699" s="7"/>
      <c r="B699" s="7"/>
      <c r="C699" s="7"/>
      <c r="D699" s="7"/>
      <c r="E699" s="7"/>
      <c r="F699" s="7"/>
    </row>
    <row r="700" ht="15.75" customHeight="1">
      <c r="A700" s="7"/>
      <c r="B700" s="7"/>
      <c r="C700" s="7"/>
      <c r="D700" s="7"/>
      <c r="E700" s="7"/>
      <c r="F700" s="7"/>
    </row>
    <row r="701" ht="15.75" customHeight="1">
      <c r="A701" s="7"/>
      <c r="B701" s="7"/>
      <c r="C701" s="7"/>
      <c r="D701" s="7"/>
      <c r="E701" s="7"/>
      <c r="F701" s="7"/>
    </row>
    <row r="702" ht="15.75" customHeight="1">
      <c r="A702" s="7"/>
      <c r="B702" s="7"/>
      <c r="C702" s="7"/>
      <c r="D702" s="7"/>
      <c r="E702" s="7"/>
      <c r="F702" s="7"/>
    </row>
    <row r="703" ht="15.75" customHeight="1">
      <c r="A703" s="7"/>
      <c r="B703" s="7"/>
      <c r="C703" s="7"/>
      <c r="D703" s="7"/>
      <c r="E703" s="7"/>
      <c r="F703" s="7"/>
    </row>
    <row r="704" ht="15.75" customHeight="1">
      <c r="A704" s="7"/>
      <c r="B704" s="7"/>
      <c r="C704" s="7"/>
      <c r="D704" s="7"/>
      <c r="E704" s="7"/>
      <c r="F704" s="7"/>
    </row>
    <row r="705" ht="15.75" customHeight="1">
      <c r="A705" s="7"/>
      <c r="B705" s="7"/>
      <c r="C705" s="7"/>
      <c r="D705" s="7"/>
      <c r="E705" s="7"/>
      <c r="F705" s="7"/>
    </row>
    <row r="706" ht="15.75" customHeight="1">
      <c r="A706" s="7"/>
      <c r="B706" s="7"/>
      <c r="C706" s="7"/>
      <c r="D706" s="7"/>
      <c r="E706" s="7"/>
      <c r="F706" s="7"/>
    </row>
    <row r="707" ht="15.75" customHeight="1">
      <c r="A707" s="7"/>
      <c r="B707" s="7"/>
      <c r="C707" s="7"/>
      <c r="D707" s="7"/>
      <c r="E707" s="7"/>
      <c r="F707" s="7"/>
    </row>
    <row r="708" ht="15.75" customHeight="1">
      <c r="A708" s="7"/>
      <c r="B708" s="7"/>
      <c r="C708" s="7"/>
      <c r="D708" s="7"/>
      <c r="E708" s="7"/>
      <c r="F708" s="7"/>
    </row>
    <row r="709" ht="15.75" customHeight="1">
      <c r="A709" s="7"/>
      <c r="B709" s="7"/>
      <c r="C709" s="7"/>
      <c r="D709" s="7"/>
      <c r="E709" s="7"/>
      <c r="F709" s="7"/>
    </row>
    <row r="710" ht="15.75" customHeight="1">
      <c r="A710" s="7"/>
      <c r="B710" s="7"/>
      <c r="C710" s="7"/>
      <c r="D710" s="7"/>
      <c r="E710" s="7"/>
      <c r="F710" s="7"/>
    </row>
    <row r="711" ht="15.75" customHeight="1">
      <c r="A711" s="7"/>
      <c r="B711" s="7"/>
      <c r="C711" s="7"/>
      <c r="D711" s="7"/>
      <c r="E711" s="7"/>
      <c r="F711" s="7"/>
    </row>
    <row r="712" ht="15.75" customHeight="1">
      <c r="A712" s="7"/>
      <c r="B712" s="7"/>
      <c r="C712" s="7"/>
      <c r="D712" s="7"/>
      <c r="E712" s="7"/>
      <c r="F712" s="7"/>
    </row>
    <row r="713" ht="15.75" customHeight="1">
      <c r="A713" s="7"/>
      <c r="B713" s="7"/>
      <c r="C713" s="7"/>
      <c r="D713" s="7"/>
      <c r="E713" s="7"/>
      <c r="F713" s="7"/>
    </row>
    <row r="714" ht="15.75" customHeight="1">
      <c r="A714" s="7"/>
      <c r="B714" s="7"/>
      <c r="C714" s="7"/>
      <c r="D714" s="7"/>
      <c r="E714" s="7"/>
      <c r="F714" s="7"/>
    </row>
    <row r="715" ht="15.75" customHeight="1">
      <c r="A715" s="7"/>
      <c r="B715" s="7"/>
      <c r="C715" s="7"/>
      <c r="D715" s="7"/>
      <c r="E715" s="7"/>
      <c r="F715" s="7"/>
    </row>
    <row r="716" ht="15.75" customHeight="1">
      <c r="A716" s="7"/>
      <c r="B716" s="7"/>
      <c r="C716" s="7"/>
      <c r="D716" s="7"/>
      <c r="E716" s="7"/>
      <c r="F716" s="7"/>
    </row>
    <row r="717" ht="15.75" customHeight="1">
      <c r="A717" s="7"/>
      <c r="B717" s="7"/>
      <c r="C717" s="7"/>
      <c r="D717" s="7"/>
      <c r="E717" s="7"/>
      <c r="F717" s="7"/>
    </row>
    <row r="718" ht="15.75" customHeight="1">
      <c r="A718" s="7"/>
      <c r="B718" s="7"/>
      <c r="C718" s="7"/>
      <c r="D718" s="7"/>
      <c r="E718" s="7"/>
      <c r="F718" s="7"/>
    </row>
    <row r="719" ht="15.75" customHeight="1">
      <c r="A719" s="7"/>
      <c r="B719" s="7"/>
      <c r="C719" s="7"/>
      <c r="D719" s="7"/>
      <c r="E719" s="7"/>
      <c r="F719" s="7"/>
    </row>
    <row r="720" ht="15.75" customHeight="1">
      <c r="A720" s="7"/>
      <c r="B720" s="7"/>
      <c r="C720" s="7"/>
      <c r="D720" s="7"/>
      <c r="E720" s="7"/>
      <c r="F720" s="7"/>
    </row>
    <row r="721" ht="15.75" customHeight="1">
      <c r="A721" s="7"/>
      <c r="B721" s="7"/>
      <c r="C721" s="7"/>
      <c r="D721" s="7"/>
      <c r="E721" s="7"/>
      <c r="F721" s="7"/>
    </row>
    <row r="722" ht="15.75" customHeight="1">
      <c r="A722" s="7"/>
      <c r="B722" s="7"/>
      <c r="C722" s="7"/>
      <c r="D722" s="7"/>
      <c r="E722" s="7"/>
      <c r="F722" s="7"/>
    </row>
    <row r="723" ht="15.75" customHeight="1">
      <c r="A723" s="7"/>
      <c r="B723" s="7"/>
      <c r="C723" s="7"/>
      <c r="D723" s="7"/>
      <c r="E723" s="7"/>
      <c r="F723" s="7"/>
    </row>
    <row r="724" ht="15.75" customHeight="1">
      <c r="A724" s="7"/>
      <c r="B724" s="7"/>
      <c r="C724" s="7"/>
      <c r="D724" s="7"/>
      <c r="E724" s="7"/>
      <c r="F724" s="7"/>
    </row>
    <row r="725" ht="15.75" customHeight="1">
      <c r="A725" s="7"/>
      <c r="B725" s="7"/>
      <c r="C725" s="7"/>
      <c r="D725" s="7"/>
      <c r="E725" s="7"/>
      <c r="F725" s="7"/>
    </row>
    <row r="726" ht="15.75" customHeight="1">
      <c r="A726" s="7"/>
      <c r="B726" s="7"/>
      <c r="C726" s="7"/>
      <c r="D726" s="7"/>
      <c r="E726" s="7"/>
      <c r="F726" s="7"/>
    </row>
    <row r="727" ht="15.75" customHeight="1">
      <c r="A727" s="7"/>
      <c r="B727" s="7"/>
      <c r="C727" s="7"/>
      <c r="D727" s="7"/>
      <c r="E727" s="7"/>
      <c r="F727" s="7"/>
    </row>
    <row r="728" ht="15.75" customHeight="1">
      <c r="A728" s="7"/>
      <c r="B728" s="7"/>
      <c r="C728" s="7"/>
      <c r="D728" s="7"/>
      <c r="E728" s="7"/>
      <c r="F728" s="7"/>
    </row>
    <row r="729" ht="15.75" customHeight="1">
      <c r="A729" s="7"/>
      <c r="B729" s="7"/>
      <c r="C729" s="7"/>
      <c r="D729" s="7"/>
      <c r="E729" s="7"/>
      <c r="F729" s="7"/>
    </row>
    <row r="730" ht="15.75" customHeight="1">
      <c r="A730" s="7"/>
      <c r="B730" s="7"/>
      <c r="C730" s="7"/>
      <c r="D730" s="7"/>
      <c r="E730" s="7"/>
      <c r="F730" s="7"/>
    </row>
    <row r="731" ht="15.75" customHeight="1">
      <c r="A731" s="7"/>
      <c r="B731" s="7"/>
      <c r="C731" s="7"/>
      <c r="D731" s="7"/>
      <c r="E731" s="7"/>
      <c r="F731" s="7"/>
    </row>
    <row r="732" ht="15.75" customHeight="1">
      <c r="A732" s="7"/>
      <c r="B732" s="7"/>
      <c r="C732" s="7"/>
      <c r="D732" s="7"/>
      <c r="E732" s="7"/>
      <c r="F732" s="7"/>
    </row>
    <row r="733" ht="15.75" customHeight="1">
      <c r="A733" s="7"/>
      <c r="B733" s="7"/>
      <c r="C733" s="7"/>
      <c r="D733" s="7"/>
      <c r="E733" s="7"/>
      <c r="F733" s="7"/>
    </row>
    <row r="734" ht="15.75" customHeight="1">
      <c r="A734" s="7"/>
      <c r="B734" s="7"/>
      <c r="C734" s="7"/>
      <c r="D734" s="7"/>
      <c r="E734" s="7"/>
      <c r="F734" s="7"/>
    </row>
    <row r="735" ht="15.75" customHeight="1">
      <c r="A735" s="7"/>
      <c r="B735" s="7"/>
      <c r="C735" s="7"/>
      <c r="D735" s="7"/>
      <c r="E735" s="7"/>
      <c r="F735" s="7"/>
    </row>
    <row r="736" ht="15.75" customHeight="1">
      <c r="A736" s="7"/>
      <c r="B736" s="7"/>
      <c r="C736" s="7"/>
      <c r="D736" s="7"/>
      <c r="E736" s="7"/>
      <c r="F736" s="7"/>
    </row>
    <row r="737" ht="15.75" customHeight="1">
      <c r="A737" s="7"/>
      <c r="B737" s="7"/>
      <c r="C737" s="7"/>
      <c r="D737" s="7"/>
      <c r="E737" s="7"/>
      <c r="F737" s="7"/>
    </row>
    <row r="738" ht="15.75" customHeight="1">
      <c r="A738" s="7"/>
      <c r="B738" s="7"/>
      <c r="C738" s="7"/>
      <c r="D738" s="7"/>
      <c r="E738" s="7"/>
      <c r="F738" s="7"/>
    </row>
    <row r="739" ht="15.75" customHeight="1">
      <c r="A739" s="7"/>
      <c r="B739" s="7"/>
      <c r="C739" s="7"/>
      <c r="D739" s="7"/>
      <c r="E739" s="7"/>
      <c r="F739" s="7"/>
    </row>
    <row r="740" ht="15.75" customHeight="1">
      <c r="A740" s="7"/>
      <c r="B740" s="7"/>
      <c r="C740" s="7"/>
      <c r="D740" s="7"/>
      <c r="E740" s="7"/>
      <c r="F740" s="7"/>
    </row>
    <row r="741" ht="15.75" customHeight="1">
      <c r="A741" s="7"/>
      <c r="B741" s="7"/>
      <c r="C741" s="7"/>
      <c r="D741" s="7"/>
      <c r="E741" s="7"/>
      <c r="F741" s="7"/>
    </row>
    <row r="742" ht="15.75" customHeight="1">
      <c r="A742" s="7"/>
      <c r="B742" s="7"/>
      <c r="C742" s="7"/>
      <c r="D742" s="7"/>
      <c r="E742" s="7"/>
      <c r="F742" s="7"/>
    </row>
    <row r="743" ht="15.75" customHeight="1">
      <c r="A743" s="7"/>
      <c r="B743" s="7"/>
      <c r="C743" s="7"/>
      <c r="D743" s="7"/>
      <c r="E743" s="7"/>
      <c r="F743" s="7"/>
    </row>
    <row r="744" ht="15.75" customHeight="1">
      <c r="A744" s="7"/>
      <c r="B744" s="7"/>
      <c r="C744" s="7"/>
      <c r="D744" s="7"/>
      <c r="E744" s="7"/>
      <c r="F744" s="7"/>
    </row>
    <row r="745" ht="15.75" customHeight="1">
      <c r="A745" s="7"/>
      <c r="B745" s="7"/>
      <c r="C745" s="7"/>
      <c r="D745" s="7"/>
      <c r="E745" s="7"/>
      <c r="F745" s="7"/>
    </row>
    <row r="746" ht="15.75" customHeight="1">
      <c r="A746" s="7"/>
      <c r="B746" s="7"/>
      <c r="C746" s="7"/>
      <c r="D746" s="7"/>
      <c r="E746" s="7"/>
      <c r="F746" s="7"/>
    </row>
    <row r="747" ht="15.75" customHeight="1">
      <c r="A747" s="7"/>
      <c r="B747" s="7"/>
      <c r="C747" s="7"/>
      <c r="D747" s="7"/>
      <c r="E747" s="7"/>
      <c r="F747" s="7"/>
    </row>
    <row r="748" ht="15.75" customHeight="1">
      <c r="A748" s="7"/>
      <c r="B748" s="7"/>
      <c r="C748" s="7"/>
      <c r="D748" s="7"/>
      <c r="E748" s="7"/>
      <c r="F748" s="7"/>
    </row>
    <row r="749" ht="15.75" customHeight="1">
      <c r="A749" s="7"/>
      <c r="B749" s="7"/>
      <c r="C749" s="7"/>
      <c r="D749" s="7"/>
      <c r="E749" s="7"/>
      <c r="F749" s="7"/>
    </row>
    <row r="750" ht="15.75" customHeight="1">
      <c r="A750" s="7"/>
      <c r="B750" s="7"/>
      <c r="C750" s="7"/>
      <c r="D750" s="7"/>
      <c r="E750" s="7"/>
      <c r="F750" s="7"/>
    </row>
    <row r="751" ht="15.75" customHeight="1">
      <c r="A751" s="7"/>
      <c r="B751" s="7"/>
      <c r="C751" s="7"/>
      <c r="D751" s="7"/>
      <c r="E751" s="7"/>
      <c r="F751" s="7"/>
    </row>
    <row r="752" ht="15.75" customHeight="1">
      <c r="A752" s="7"/>
      <c r="B752" s="7"/>
      <c r="C752" s="7"/>
      <c r="D752" s="7"/>
      <c r="E752" s="7"/>
      <c r="F752" s="7"/>
    </row>
    <row r="753" ht="15.75" customHeight="1">
      <c r="A753" s="7"/>
      <c r="B753" s="7"/>
      <c r="C753" s="7"/>
      <c r="D753" s="7"/>
      <c r="E753" s="7"/>
      <c r="F753" s="7"/>
    </row>
    <row r="754" ht="15.75" customHeight="1">
      <c r="A754" s="7"/>
      <c r="B754" s="7"/>
      <c r="C754" s="7"/>
      <c r="D754" s="7"/>
      <c r="E754" s="7"/>
      <c r="F754" s="7"/>
    </row>
    <row r="755" ht="15.75" customHeight="1">
      <c r="A755" s="7"/>
      <c r="B755" s="7"/>
      <c r="C755" s="7"/>
      <c r="D755" s="7"/>
      <c r="E755" s="7"/>
      <c r="F755" s="7"/>
    </row>
    <row r="756" ht="15.75" customHeight="1">
      <c r="A756" s="7"/>
      <c r="B756" s="7"/>
      <c r="C756" s="7"/>
      <c r="D756" s="7"/>
      <c r="E756" s="7"/>
      <c r="F756" s="7"/>
    </row>
    <row r="757" ht="15.75" customHeight="1">
      <c r="A757" s="7"/>
      <c r="B757" s="7"/>
      <c r="C757" s="7"/>
      <c r="D757" s="7"/>
      <c r="E757" s="7"/>
      <c r="F757" s="7"/>
    </row>
    <row r="758" ht="15.75" customHeight="1">
      <c r="A758" s="7"/>
      <c r="B758" s="7"/>
      <c r="C758" s="7"/>
      <c r="D758" s="7"/>
      <c r="E758" s="7"/>
      <c r="F758" s="7"/>
    </row>
    <row r="759" ht="15.75" customHeight="1">
      <c r="A759" s="7"/>
      <c r="B759" s="7"/>
      <c r="C759" s="7"/>
      <c r="D759" s="7"/>
      <c r="E759" s="7"/>
      <c r="F759" s="7"/>
    </row>
    <row r="760" ht="15.75" customHeight="1">
      <c r="A760" s="7"/>
      <c r="B760" s="7"/>
      <c r="C760" s="7"/>
      <c r="D760" s="7"/>
      <c r="E760" s="7"/>
      <c r="F760" s="7"/>
    </row>
    <row r="761" ht="15.75" customHeight="1">
      <c r="A761" s="7"/>
      <c r="B761" s="7"/>
      <c r="C761" s="7"/>
      <c r="D761" s="7"/>
      <c r="E761" s="7"/>
      <c r="F761" s="7"/>
    </row>
    <row r="762" ht="15.75" customHeight="1">
      <c r="A762" s="7"/>
      <c r="B762" s="7"/>
      <c r="C762" s="7"/>
      <c r="D762" s="7"/>
      <c r="E762" s="7"/>
      <c r="F762" s="7"/>
    </row>
    <row r="763" ht="15.75" customHeight="1">
      <c r="A763" s="7"/>
      <c r="B763" s="7"/>
      <c r="C763" s="7"/>
      <c r="D763" s="7"/>
      <c r="E763" s="7"/>
      <c r="F763" s="7"/>
    </row>
    <row r="764" ht="15.75" customHeight="1">
      <c r="A764" s="7"/>
      <c r="B764" s="7"/>
      <c r="C764" s="7"/>
      <c r="D764" s="7"/>
      <c r="E764" s="7"/>
      <c r="F764" s="7"/>
    </row>
    <row r="765" ht="15.75" customHeight="1">
      <c r="A765" s="7"/>
      <c r="B765" s="7"/>
      <c r="C765" s="7"/>
      <c r="D765" s="7"/>
      <c r="E765" s="7"/>
      <c r="F765" s="7"/>
    </row>
    <row r="766" ht="15.75" customHeight="1">
      <c r="A766" s="7"/>
      <c r="B766" s="7"/>
      <c r="C766" s="7"/>
      <c r="D766" s="7"/>
      <c r="E766" s="7"/>
      <c r="F766" s="7"/>
    </row>
    <row r="767" ht="15.75" customHeight="1">
      <c r="A767" s="7"/>
      <c r="B767" s="7"/>
      <c r="C767" s="7"/>
      <c r="D767" s="7"/>
      <c r="E767" s="7"/>
      <c r="F767" s="7"/>
    </row>
    <row r="768" ht="15.75" customHeight="1">
      <c r="A768" s="7"/>
      <c r="B768" s="7"/>
      <c r="C768" s="7"/>
      <c r="D768" s="7"/>
      <c r="E768" s="7"/>
      <c r="F768" s="7"/>
    </row>
    <row r="769" ht="15.75" customHeight="1">
      <c r="A769" s="7"/>
      <c r="B769" s="7"/>
      <c r="C769" s="7"/>
      <c r="D769" s="7"/>
      <c r="E769" s="7"/>
      <c r="F769" s="7"/>
    </row>
    <row r="770" ht="15.75" customHeight="1">
      <c r="A770" s="7"/>
      <c r="B770" s="7"/>
      <c r="C770" s="7"/>
      <c r="D770" s="7"/>
      <c r="E770" s="7"/>
      <c r="F770" s="7"/>
    </row>
    <row r="771" ht="15.75" customHeight="1">
      <c r="A771" s="7"/>
      <c r="B771" s="7"/>
      <c r="C771" s="7"/>
      <c r="D771" s="7"/>
      <c r="E771" s="7"/>
      <c r="F771" s="7"/>
    </row>
    <row r="772" ht="15.75" customHeight="1">
      <c r="A772" s="7"/>
      <c r="B772" s="7"/>
      <c r="C772" s="7"/>
      <c r="D772" s="7"/>
      <c r="E772" s="7"/>
      <c r="F772" s="7"/>
    </row>
    <row r="773" ht="15.75" customHeight="1">
      <c r="A773" s="7"/>
      <c r="B773" s="7"/>
      <c r="C773" s="7"/>
      <c r="D773" s="7"/>
      <c r="E773" s="7"/>
      <c r="F773" s="7"/>
    </row>
    <row r="774" ht="15.75" customHeight="1">
      <c r="A774" s="7"/>
      <c r="B774" s="7"/>
      <c r="C774" s="7"/>
      <c r="D774" s="7"/>
      <c r="E774" s="7"/>
      <c r="F774" s="7"/>
    </row>
    <row r="775" ht="15.75" customHeight="1">
      <c r="A775" s="7"/>
      <c r="B775" s="7"/>
      <c r="C775" s="7"/>
      <c r="D775" s="7"/>
      <c r="E775" s="7"/>
      <c r="F775" s="7"/>
    </row>
    <row r="776" ht="15.75" customHeight="1">
      <c r="A776" s="7"/>
      <c r="B776" s="7"/>
      <c r="C776" s="7"/>
      <c r="D776" s="7"/>
      <c r="E776" s="7"/>
      <c r="F776" s="7"/>
    </row>
    <row r="777" ht="15.75" customHeight="1">
      <c r="A777" s="7"/>
      <c r="B777" s="7"/>
      <c r="C777" s="7"/>
      <c r="D777" s="7"/>
      <c r="E777" s="7"/>
      <c r="F777" s="7"/>
    </row>
    <row r="778" ht="15.75" customHeight="1">
      <c r="A778" s="7"/>
      <c r="B778" s="7"/>
      <c r="C778" s="7"/>
      <c r="D778" s="7"/>
      <c r="E778" s="7"/>
      <c r="F778" s="7"/>
    </row>
    <row r="779" ht="15.75" customHeight="1">
      <c r="A779" s="7"/>
      <c r="B779" s="7"/>
      <c r="C779" s="7"/>
      <c r="D779" s="7"/>
      <c r="E779" s="7"/>
      <c r="F779" s="7"/>
    </row>
    <row r="780" ht="15.75" customHeight="1">
      <c r="A780" s="7"/>
      <c r="B780" s="7"/>
      <c r="C780" s="7"/>
      <c r="D780" s="7"/>
      <c r="E780" s="7"/>
      <c r="F780" s="7"/>
    </row>
    <row r="781" ht="15.75" customHeight="1">
      <c r="A781" s="7"/>
      <c r="B781" s="7"/>
      <c r="C781" s="7"/>
      <c r="D781" s="7"/>
      <c r="E781" s="7"/>
      <c r="F781" s="7"/>
    </row>
    <row r="782" ht="15.75" customHeight="1">
      <c r="A782" s="7"/>
      <c r="B782" s="7"/>
      <c r="C782" s="7"/>
      <c r="D782" s="7"/>
      <c r="E782" s="7"/>
      <c r="F782" s="7"/>
    </row>
    <row r="783" ht="15.75" customHeight="1">
      <c r="A783" s="7"/>
      <c r="B783" s="7"/>
      <c r="C783" s="7"/>
      <c r="D783" s="7"/>
      <c r="E783" s="7"/>
      <c r="F783" s="7"/>
    </row>
    <row r="784" ht="15.75" customHeight="1">
      <c r="A784" s="7"/>
      <c r="B784" s="7"/>
      <c r="C784" s="7"/>
      <c r="D784" s="7"/>
      <c r="E784" s="7"/>
      <c r="F784" s="7"/>
    </row>
    <row r="785" ht="15.75" customHeight="1">
      <c r="A785" s="7"/>
      <c r="B785" s="7"/>
      <c r="C785" s="7"/>
      <c r="D785" s="7"/>
      <c r="E785" s="7"/>
      <c r="F785" s="7"/>
    </row>
    <row r="786" ht="15.75" customHeight="1">
      <c r="A786" s="7"/>
      <c r="B786" s="7"/>
      <c r="C786" s="7"/>
      <c r="D786" s="7"/>
      <c r="E786" s="7"/>
      <c r="F786" s="7"/>
    </row>
    <row r="787" ht="15.75" customHeight="1">
      <c r="A787" s="7"/>
      <c r="B787" s="7"/>
      <c r="C787" s="7"/>
      <c r="D787" s="7"/>
      <c r="E787" s="7"/>
      <c r="F787" s="7"/>
    </row>
    <row r="788" ht="15.75" customHeight="1">
      <c r="A788" s="7"/>
      <c r="B788" s="7"/>
      <c r="C788" s="7"/>
      <c r="D788" s="7"/>
      <c r="E788" s="7"/>
      <c r="F788" s="7"/>
    </row>
    <row r="789" ht="15.75" customHeight="1">
      <c r="A789" s="7"/>
      <c r="B789" s="7"/>
      <c r="C789" s="7"/>
      <c r="D789" s="7"/>
      <c r="E789" s="7"/>
      <c r="F789" s="7"/>
    </row>
    <row r="790" ht="15.75" customHeight="1">
      <c r="A790" s="7"/>
      <c r="B790" s="7"/>
      <c r="C790" s="7"/>
      <c r="D790" s="7"/>
      <c r="E790" s="7"/>
      <c r="F790" s="7"/>
    </row>
    <row r="791" ht="15.75" customHeight="1">
      <c r="A791" s="7"/>
      <c r="B791" s="7"/>
      <c r="C791" s="7"/>
      <c r="D791" s="7"/>
      <c r="E791" s="7"/>
      <c r="F791" s="7"/>
    </row>
    <row r="792" ht="15.75" customHeight="1">
      <c r="A792" s="7"/>
      <c r="B792" s="7"/>
      <c r="C792" s="7"/>
      <c r="D792" s="7"/>
      <c r="E792" s="7"/>
      <c r="F792" s="7"/>
    </row>
    <row r="793" ht="15.75" customHeight="1">
      <c r="A793" s="7"/>
      <c r="B793" s="7"/>
      <c r="C793" s="7"/>
      <c r="D793" s="7"/>
      <c r="E793" s="7"/>
      <c r="F793" s="7"/>
    </row>
    <row r="794" ht="15.75" customHeight="1">
      <c r="A794" s="7"/>
      <c r="B794" s="7"/>
      <c r="C794" s="7"/>
      <c r="D794" s="7"/>
      <c r="E794" s="7"/>
      <c r="F794" s="7"/>
    </row>
    <row r="795" ht="15.75" customHeight="1">
      <c r="A795" s="7"/>
      <c r="B795" s="7"/>
      <c r="C795" s="7"/>
      <c r="D795" s="7"/>
      <c r="E795" s="7"/>
      <c r="F795" s="7"/>
    </row>
    <row r="796" ht="15.75" customHeight="1">
      <c r="A796" s="7"/>
      <c r="B796" s="7"/>
      <c r="C796" s="7"/>
      <c r="D796" s="7"/>
      <c r="E796" s="7"/>
      <c r="F796" s="7"/>
    </row>
    <row r="797" ht="15.75" customHeight="1">
      <c r="A797" s="7"/>
      <c r="B797" s="7"/>
      <c r="C797" s="7"/>
      <c r="D797" s="7"/>
      <c r="E797" s="7"/>
      <c r="F797" s="7"/>
    </row>
    <row r="798" ht="15.75" customHeight="1">
      <c r="A798" s="7"/>
      <c r="B798" s="7"/>
      <c r="C798" s="7"/>
      <c r="D798" s="7"/>
      <c r="E798" s="7"/>
      <c r="F798" s="7"/>
    </row>
    <row r="799" ht="15.75" customHeight="1">
      <c r="A799" s="7"/>
      <c r="B799" s="7"/>
      <c r="C799" s="7"/>
      <c r="D799" s="7"/>
      <c r="E799" s="7"/>
      <c r="F799" s="7"/>
    </row>
    <row r="800" ht="15.75" customHeight="1">
      <c r="A800" s="7"/>
      <c r="B800" s="7"/>
      <c r="C800" s="7"/>
      <c r="D800" s="7"/>
      <c r="E800" s="7"/>
      <c r="F800" s="7"/>
    </row>
    <row r="801" ht="15.75" customHeight="1">
      <c r="A801" s="7"/>
      <c r="B801" s="7"/>
      <c r="C801" s="7"/>
      <c r="D801" s="7"/>
      <c r="E801" s="7"/>
      <c r="F801" s="7"/>
    </row>
    <row r="802" ht="15.75" customHeight="1">
      <c r="A802" s="7"/>
      <c r="B802" s="7"/>
      <c r="C802" s="7"/>
      <c r="D802" s="7"/>
      <c r="E802" s="7"/>
      <c r="F802" s="7"/>
    </row>
    <row r="803" ht="15.75" customHeight="1">
      <c r="A803" s="7"/>
      <c r="B803" s="7"/>
      <c r="C803" s="7"/>
      <c r="D803" s="7"/>
      <c r="E803" s="7"/>
      <c r="F803" s="7"/>
    </row>
    <row r="804" ht="15.75" customHeight="1">
      <c r="A804" s="7"/>
      <c r="B804" s="7"/>
      <c r="C804" s="7"/>
      <c r="D804" s="7"/>
      <c r="E804" s="7"/>
      <c r="F804" s="7"/>
    </row>
    <row r="805" ht="15.75" customHeight="1">
      <c r="A805" s="7"/>
      <c r="B805" s="7"/>
      <c r="C805" s="7"/>
      <c r="D805" s="7"/>
      <c r="E805" s="7"/>
      <c r="F805" s="7"/>
    </row>
    <row r="806" ht="15.75" customHeight="1">
      <c r="A806" s="7"/>
      <c r="B806" s="7"/>
      <c r="C806" s="7"/>
      <c r="D806" s="7"/>
      <c r="E806" s="7"/>
      <c r="F806" s="7"/>
    </row>
    <row r="807" ht="15.75" customHeight="1">
      <c r="A807" s="7"/>
      <c r="B807" s="7"/>
      <c r="C807" s="7"/>
      <c r="D807" s="7"/>
      <c r="E807" s="7"/>
      <c r="F807" s="7"/>
    </row>
    <row r="808" ht="15.75" customHeight="1">
      <c r="A808" s="7"/>
      <c r="B808" s="7"/>
      <c r="C808" s="7"/>
      <c r="D808" s="7"/>
      <c r="E808" s="7"/>
      <c r="F808" s="7"/>
    </row>
    <row r="809" ht="15.75" customHeight="1">
      <c r="A809" s="7"/>
      <c r="B809" s="7"/>
      <c r="C809" s="7"/>
      <c r="D809" s="7"/>
      <c r="E809" s="7"/>
      <c r="F809" s="7"/>
    </row>
    <row r="810" ht="15.75" customHeight="1">
      <c r="A810" s="7"/>
      <c r="B810" s="7"/>
      <c r="C810" s="7"/>
      <c r="D810" s="7"/>
      <c r="E810" s="7"/>
      <c r="F810" s="7"/>
    </row>
    <row r="811" ht="15.75" customHeight="1">
      <c r="A811" s="7"/>
      <c r="B811" s="7"/>
      <c r="C811" s="7"/>
      <c r="D811" s="7"/>
      <c r="E811" s="7"/>
      <c r="F811" s="7"/>
    </row>
    <row r="812" ht="15.75" customHeight="1">
      <c r="A812" s="7"/>
      <c r="B812" s="7"/>
      <c r="C812" s="7"/>
      <c r="D812" s="7"/>
      <c r="E812" s="7"/>
      <c r="F812" s="7"/>
    </row>
    <row r="813" ht="15.75" customHeight="1">
      <c r="A813" s="7"/>
      <c r="B813" s="7"/>
      <c r="C813" s="7"/>
      <c r="D813" s="7"/>
      <c r="E813" s="7"/>
      <c r="F813" s="7"/>
    </row>
    <row r="814" ht="15.75" customHeight="1">
      <c r="A814" s="7"/>
      <c r="B814" s="7"/>
      <c r="C814" s="7"/>
      <c r="D814" s="7"/>
      <c r="E814" s="7"/>
      <c r="F814" s="7"/>
    </row>
    <row r="815" ht="15.75" customHeight="1">
      <c r="A815" s="7"/>
      <c r="B815" s="7"/>
      <c r="C815" s="7"/>
      <c r="D815" s="7"/>
      <c r="E815" s="7"/>
      <c r="F815" s="7"/>
    </row>
    <row r="816" ht="15.75" customHeight="1">
      <c r="A816" s="7"/>
      <c r="B816" s="7"/>
      <c r="C816" s="7"/>
      <c r="D816" s="7"/>
      <c r="E816" s="7"/>
      <c r="F816" s="7"/>
    </row>
    <row r="817" ht="15.75" customHeight="1">
      <c r="A817" s="7"/>
      <c r="B817" s="7"/>
      <c r="C817" s="7"/>
      <c r="D817" s="7"/>
      <c r="E817" s="7"/>
      <c r="F817" s="7"/>
    </row>
    <row r="818" ht="15.75" customHeight="1">
      <c r="A818" s="7"/>
      <c r="B818" s="7"/>
      <c r="C818" s="7"/>
      <c r="D818" s="7"/>
      <c r="E818" s="7"/>
      <c r="F818" s="7"/>
    </row>
    <row r="819" ht="15.75" customHeight="1">
      <c r="A819" s="7"/>
      <c r="B819" s="7"/>
      <c r="C819" s="7"/>
      <c r="D819" s="7"/>
      <c r="E819" s="7"/>
      <c r="F819" s="7"/>
    </row>
    <row r="820" ht="15.75" customHeight="1">
      <c r="A820" s="7"/>
      <c r="B820" s="7"/>
      <c r="C820" s="7"/>
      <c r="D820" s="7"/>
      <c r="E820" s="7"/>
      <c r="F820" s="7"/>
    </row>
    <row r="821" ht="15.75" customHeight="1">
      <c r="A821" s="7"/>
      <c r="B821" s="7"/>
      <c r="C821" s="7"/>
      <c r="D821" s="7"/>
      <c r="E821" s="7"/>
      <c r="F821" s="7"/>
    </row>
    <row r="822" ht="15.75" customHeight="1">
      <c r="A822" s="7"/>
      <c r="B822" s="7"/>
      <c r="C822" s="7"/>
      <c r="D822" s="7"/>
      <c r="E822" s="7"/>
      <c r="F822" s="7"/>
    </row>
    <row r="823" ht="15.75" customHeight="1">
      <c r="A823" s="7"/>
      <c r="B823" s="7"/>
      <c r="C823" s="7"/>
      <c r="D823" s="7"/>
      <c r="E823" s="7"/>
      <c r="F823" s="7"/>
    </row>
    <row r="824" ht="15.75" customHeight="1">
      <c r="A824" s="7"/>
      <c r="B824" s="7"/>
      <c r="C824" s="7"/>
      <c r="D824" s="7"/>
      <c r="E824" s="7"/>
      <c r="F824" s="7"/>
    </row>
    <row r="825" ht="15.75" customHeight="1">
      <c r="A825" s="7"/>
      <c r="B825" s="7"/>
      <c r="C825" s="7"/>
      <c r="D825" s="7"/>
      <c r="E825" s="7"/>
      <c r="F825" s="7"/>
    </row>
    <row r="826" ht="15.75" customHeight="1">
      <c r="A826" s="7"/>
      <c r="B826" s="7"/>
      <c r="C826" s="7"/>
      <c r="D826" s="7"/>
      <c r="E826" s="7"/>
      <c r="F826" s="7"/>
    </row>
    <row r="827" ht="15.75" customHeight="1">
      <c r="A827" s="7"/>
      <c r="B827" s="7"/>
      <c r="C827" s="7"/>
      <c r="D827" s="7"/>
      <c r="E827" s="7"/>
      <c r="F827" s="7"/>
    </row>
    <row r="828" ht="15.75" customHeight="1">
      <c r="A828" s="7"/>
      <c r="B828" s="7"/>
      <c r="C828" s="7"/>
      <c r="D828" s="7"/>
      <c r="E828" s="7"/>
      <c r="F828" s="7"/>
    </row>
    <row r="829" ht="15.75" customHeight="1">
      <c r="A829" s="7"/>
      <c r="B829" s="7"/>
      <c r="C829" s="7"/>
      <c r="D829" s="7"/>
      <c r="E829" s="7"/>
      <c r="F829" s="7"/>
    </row>
    <row r="830" ht="15.75" customHeight="1">
      <c r="A830" s="7"/>
      <c r="B830" s="7"/>
      <c r="C830" s="7"/>
      <c r="D830" s="7"/>
      <c r="E830" s="7"/>
      <c r="F830" s="7"/>
    </row>
    <row r="831" ht="15.75" customHeight="1">
      <c r="A831" s="7"/>
      <c r="B831" s="7"/>
      <c r="C831" s="7"/>
      <c r="D831" s="7"/>
      <c r="E831" s="7"/>
      <c r="F831" s="7"/>
    </row>
    <row r="832" ht="15.75" customHeight="1">
      <c r="A832" s="7"/>
      <c r="B832" s="7"/>
      <c r="C832" s="7"/>
      <c r="D832" s="7"/>
      <c r="E832" s="7"/>
      <c r="F832" s="7"/>
    </row>
    <row r="833" ht="15.75" customHeight="1">
      <c r="A833" s="7"/>
      <c r="B833" s="7"/>
      <c r="C833" s="7"/>
      <c r="D833" s="7"/>
      <c r="E833" s="7"/>
      <c r="F833" s="7"/>
    </row>
    <row r="834" ht="15.75" customHeight="1">
      <c r="A834" s="7"/>
      <c r="B834" s="7"/>
      <c r="C834" s="7"/>
      <c r="D834" s="7"/>
      <c r="E834" s="7"/>
      <c r="F834" s="7"/>
    </row>
    <row r="835" ht="15.75" customHeight="1">
      <c r="A835" s="7"/>
      <c r="B835" s="7"/>
      <c r="C835" s="7"/>
      <c r="D835" s="7"/>
      <c r="E835" s="7"/>
      <c r="F835" s="7"/>
    </row>
    <row r="836" ht="15.75" customHeight="1">
      <c r="A836" s="7"/>
      <c r="B836" s="7"/>
      <c r="C836" s="7"/>
      <c r="D836" s="7"/>
      <c r="E836" s="7"/>
      <c r="F836" s="7"/>
    </row>
    <row r="837" ht="15.75" customHeight="1">
      <c r="A837" s="7"/>
      <c r="B837" s="7"/>
      <c r="C837" s="7"/>
      <c r="D837" s="7"/>
      <c r="E837" s="7"/>
      <c r="F837" s="7"/>
    </row>
    <row r="838" ht="15.75" customHeight="1">
      <c r="A838" s="7"/>
      <c r="B838" s="7"/>
      <c r="C838" s="7"/>
      <c r="D838" s="7"/>
      <c r="E838" s="7"/>
      <c r="F838" s="7"/>
    </row>
    <row r="839" ht="15.75" customHeight="1">
      <c r="A839" s="7"/>
      <c r="B839" s="7"/>
      <c r="C839" s="7"/>
      <c r="D839" s="7"/>
      <c r="E839" s="7"/>
      <c r="F839" s="7"/>
    </row>
    <row r="840" ht="15.75" customHeight="1">
      <c r="A840" s="7"/>
      <c r="B840" s="7"/>
      <c r="C840" s="7"/>
      <c r="D840" s="7"/>
      <c r="E840" s="7"/>
      <c r="F840" s="7"/>
    </row>
    <row r="841" ht="15.75" customHeight="1">
      <c r="A841" s="7"/>
      <c r="B841" s="7"/>
      <c r="C841" s="7"/>
      <c r="D841" s="7"/>
      <c r="E841" s="7"/>
      <c r="F841" s="7"/>
    </row>
    <row r="842" ht="15.75" customHeight="1">
      <c r="A842" s="7"/>
      <c r="B842" s="7"/>
      <c r="C842" s="7"/>
      <c r="D842" s="7"/>
      <c r="E842" s="7"/>
      <c r="F842" s="7"/>
    </row>
    <row r="843" ht="15.75" customHeight="1">
      <c r="A843" s="7"/>
      <c r="B843" s="7"/>
      <c r="C843" s="7"/>
      <c r="D843" s="7"/>
      <c r="E843" s="7"/>
      <c r="F843" s="7"/>
    </row>
    <row r="844" ht="15.75" customHeight="1">
      <c r="A844" s="7"/>
      <c r="B844" s="7"/>
      <c r="C844" s="7"/>
      <c r="D844" s="7"/>
      <c r="E844" s="7"/>
      <c r="F844" s="7"/>
    </row>
    <row r="845" ht="15.75" customHeight="1">
      <c r="A845" s="7"/>
      <c r="B845" s="7"/>
      <c r="C845" s="7"/>
      <c r="D845" s="7"/>
      <c r="E845" s="7"/>
      <c r="F845" s="7"/>
    </row>
    <row r="846" ht="15.75" customHeight="1">
      <c r="A846" s="7"/>
      <c r="B846" s="7"/>
      <c r="C846" s="7"/>
      <c r="D846" s="7"/>
      <c r="E846" s="7"/>
      <c r="F846" s="7"/>
    </row>
    <row r="847" ht="15.75" customHeight="1">
      <c r="A847" s="7"/>
      <c r="B847" s="7"/>
      <c r="C847" s="7"/>
      <c r="D847" s="7"/>
      <c r="E847" s="7"/>
      <c r="F847" s="7"/>
    </row>
    <row r="848" ht="15.75" customHeight="1">
      <c r="A848" s="7"/>
      <c r="B848" s="7"/>
      <c r="C848" s="7"/>
      <c r="D848" s="7"/>
      <c r="E848" s="7"/>
      <c r="F848" s="7"/>
    </row>
    <row r="849" ht="15.75" customHeight="1">
      <c r="A849" s="7"/>
      <c r="B849" s="7"/>
      <c r="C849" s="7"/>
      <c r="D849" s="7"/>
      <c r="E849" s="7"/>
      <c r="F849" s="7"/>
    </row>
    <row r="850" ht="15.75" customHeight="1">
      <c r="A850" s="7"/>
      <c r="B850" s="7"/>
      <c r="C850" s="7"/>
      <c r="D850" s="7"/>
      <c r="E850" s="7"/>
      <c r="F850" s="7"/>
    </row>
    <row r="851" ht="15.75" customHeight="1">
      <c r="A851" s="7"/>
      <c r="B851" s="7"/>
      <c r="C851" s="7"/>
      <c r="D851" s="7"/>
      <c r="E851" s="7"/>
      <c r="F851" s="7"/>
    </row>
    <row r="852" ht="15.75" customHeight="1">
      <c r="A852" s="7"/>
      <c r="B852" s="7"/>
      <c r="C852" s="7"/>
      <c r="D852" s="7"/>
      <c r="E852" s="7"/>
      <c r="F852" s="7"/>
    </row>
    <row r="853" ht="15.75" customHeight="1">
      <c r="A853" s="7"/>
      <c r="B853" s="7"/>
      <c r="C853" s="7"/>
      <c r="D853" s="7"/>
      <c r="E853" s="7"/>
      <c r="F853" s="7"/>
    </row>
    <row r="854" ht="15.75" customHeight="1">
      <c r="A854" s="7"/>
      <c r="B854" s="7"/>
      <c r="C854" s="7"/>
      <c r="D854" s="7"/>
      <c r="E854" s="7"/>
      <c r="F854" s="7"/>
    </row>
    <row r="855" ht="15.75" customHeight="1">
      <c r="A855" s="7"/>
      <c r="B855" s="7"/>
      <c r="C855" s="7"/>
      <c r="D855" s="7"/>
      <c r="E855" s="7"/>
      <c r="F855" s="7"/>
    </row>
    <row r="856" ht="15.75" customHeight="1">
      <c r="A856" s="7"/>
      <c r="B856" s="7"/>
      <c r="C856" s="7"/>
      <c r="D856" s="7"/>
      <c r="E856" s="7"/>
      <c r="F856" s="7"/>
    </row>
    <row r="857" ht="15.75" customHeight="1">
      <c r="A857" s="7"/>
      <c r="B857" s="7"/>
      <c r="C857" s="7"/>
      <c r="D857" s="7"/>
      <c r="E857" s="7"/>
      <c r="F857" s="7"/>
    </row>
    <row r="858" ht="15.75" customHeight="1">
      <c r="A858" s="7"/>
      <c r="B858" s="7"/>
      <c r="C858" s="7"/>
      <c r="D858" s="7"/>
      <c r="E858" s="7"/>
      <c r="F858" s="7"/>
    </row>
    <row r="859" ht="15.75" customHeight="1">
      <c r="A859" s="7"/>
      <c r="B859" s="7"/>
      <c r="C859" s="7"/>
      <c r="D859" s="7"/>
      <c r="E859" s="7"/>
      <c r="F859" s="7"/>
    </row>
    <row r="860" ht="15.75" customHeight="1">
      <c r="A860" s="7"/>
      <c r="B860" s="7"/>
      <c r="C860" s="7"/>
      <c r="D860" s="7"/>
      <c r="E860" s="7"/>
      <c r="F860" s="7"/>
    </row>
    <row r="861" ht="15.75" customHeight="1">
      <c r="A861" s="7"/>
      <c r="B861" s="7"/>
      <c r="C861" s="7"/>
      <c r="D861" s="7"/>
      <c r="E861" s="7"/>
      <c r="F861" s="7"/>
    </row>
    <row r="862" ht="15.75" customHeight="1">
      <c r="A862" s="7"/>
      <c r="B862" s="7"/>
      <c r="C862" s="7"/>
      <c r="D862" s="7"/>
      <c r="E862" s="7"/>
      <c r="F862" s="7"/>
    </row>
    <row r="863" ht="15.75" customHeight="1">
      <c r="A863" s="7"/>
      <c r="B863" s="7"/>
      <c r="C863" s="7"/>
      <c r="D863" s="7"/>
      <c r="E863" s="7"/>
      <c r="F863" s="7"/>
    </row>
    <row r="864" ht="15.75" customHeight="1">
      <c r="A864" s="7"/>
      <c r="B864" s="7"/>
      <c r="C864" s="7"/>
      <c r="D864" s="7"/>
      <c r="E864" s="7"/>
      <c r="F864" s="7"/>
    </row>
    <row r="865" ht="15.75" customHeight="1">
      <c r="A865" s="7"/>
      <c r="B865" s="7"/>
      <c r="C865" s="7"/>
      <c r="D865" s="7"/>
      <c r="E865" s="7"/>
      <c r="F865" s="7"/>
    </row>
    <row r="866" ht="15.75" customHeight="1">
      <c r="A866" s="7"/>
      <c r="B866" s="7"/>
      <c r="C866" s="7"/>
      <c r="D866" s="7"/>
      <c r="E866" s="7"/>
      <c r="F866" s="7"/>
    </row>
    <row r="867" ht="15.75" customHeight="1">
      <c r="A867" s="7"/>
      <c r="B867" s="7"/>
      <c r="C867" s="7"/>
      <c r="D867" s="7"/>
      <c r="E867" s="7"/>
      <c r="F867" s="7"/>
    </row>
    <row r="868" ht="15.75" customHeight="1">
      <c r="A868" s="7"/>
      <c r="B868" s="7"/>
      <c r="C868" s="7"/>
      <c r="D868" s="7"/>
      <c r="E868" s="7"/>
      <c r="F868" s="7"/>
    </row>
    <row r="869" ht="15.75" customHeight="1">
      <c r="A869" s="7"/>
      <c r="B869" s="7"/>
      <c r="C869" s="7"/>
      <c r="D869" s="7"/>
      <c r="E869" s="7"/>
      <c r="F869" s="7"/>
    </row>
    <row r="870" ht="15.75" customHeight="1">
      <c r="A870" s="7"/>
      <c r="B870" s="7"/>
      <c r="C870" s="7"/>
      <c r="D870" s="7"/>
      <c r="E870" s="7"/>
      <c r="F870" s="7"/>
    </row>
    <row r="871" ht="15.75" customHeight="1">
      <c r="A871" s="7"/>
      <c r="B871" s="7"/>
      <c r="C871" s="7"/>
      <c r="D871" s="7"/>
      <c r="E871" s="7"/>
      <c r="F871" s="7"/>
    </row>
    <row r="872" ht="15.75" customHeight="1">
      <c r="A872" s="7"/>
      <c r="B872" s="7"/>
      <c r="C872" s="7"/>
      <c r="D872" s="7"/>
      <c r="E872" s="7"/>
      <c r="F872" s="7"/>
    </row>
    <row r="873" ht="15.75" customHeight="1">
      <c r="A873" s="7"/>
      <c r="B873" s="7"/>
      <c r="C873" s="7"/>
      <c r="D873" s="7"/>
      <c r="E873" s="7"/>
      <c r="F873" s="7"/>
    </row>
    <row r="874" ht="15.75" customHeight="1">
      <c r="A874" s="7"/>
      <c r="B874" s="7"/>
      <c r="C874" s="7"/>
      <c r="D874" s="7"/>
      <c r="E874" s="7"/>
      <c r="F874" s="7"/>
    </row>
    <row r="875" ht="15.75" customHeight="1">
      <c r="A875" s="7"/>
      <c r="B875" s="7"/>
      <c r="C875" s="7"/>
      <c r="D875" s="7"/>
      <c r="E875" s="7"/>
      <c r="F875" s="7"/>
    </row>
    <row r="876" ht="15.75" customHeight="1">
      <c r="A876" s="7"/>
      <c r="B876" s="7"/>
      <c r="C876" s="7"/>
      <c r="D876" s="7"/>
      <c r="E876" s="7"/>
      <c r="F876" s="7"/>
    </row>
    <row r="877" ht="15.75" customHeight="1">
      <c r="A877" s="7"/>
      <c r="B877" s="7"/>
      <c r="C877" s="7"/>
      <c r="D877" s="7"/>
      <c r="E877" s="7"/>
      <c r="F877" s="7"/>
    </row>
    <row r="878" ht="15.75" customHeight="1">
      <c r="A878" s="7"/>
      <c r="B878" s="7"/>
      <c r="C878" s="7"/>
      <c r="D878" s="7"/>
      <c r="E878" s="7"/>
      <c r="F878" s="7"/>
    </row>
    <row r="879" ht="15.75" customHeight="1">
      <c r="A879" s="7"/>
      <c r="B879" s="7"/>
      <c r="C879" s="7"/>
      <c r="D879" s="7"/>
      <c r="E879" s="7"/>
      <c r="F879" s="7"/>
    </row>
    <row r="880" ht="15.75" customHeight="1">
      <c r="A880" s="7"/>
      <c r="B880" s="7"/>
      <c r="C880" s="7"/>
      <c r="D880" s="7"/>
      <c r="E880" s="7"/>
      <c r="F880" s="7"/>
    </row>
    <row r="881" ht="15.75" customHeight="1">
      <c r="A881" s="7"/>
      <c r="B881" s="7"/>
      <c r="C881" s="7"/>
      <c r="D881" s="7"/>
      <c r="E881" s="7"/>
      <c r="F881" s="7"/>
    </row>
    <row r="882" ht="15.75" customHeight="1">
      <c r="A882" s="7"/>
      <c r="B882" s="7"/>
      <c r="C882" s="7"/>
      <c r="D882" s="7"/>
      <c r="E882" s="7"/>
      <c r="F882" s="7"/>
    </row>
    <row r="883" ht="15.75" customHeight="1">
      <c r="A883" s="7"/>
      <c r="B883" s="7"/>
      <c r="C883" s="7"/>
      <c r="D883" s="7"/>
      <c r="E883" s="7"/>
      <c r="F883" s="7"/>
    </row>
    <row r="884" ht="15.75" customHeight="1">
      <c r="A884" s="7"/>
      <c r="B884" s="7"/>
      <c r="C884" s="7"/>
      <c r="D884" s="7"/>
      <c r="E884" s="7"/>
      <c r="F884" s="7"/>
    </row>
    <row r="885" ht="15.75" customHeight="1">
      <c r="A885" s="7"/>
      <c r="B885" s="7"/>
      <c r="C885" s="7"/>
      <c r="D885" s="7"/>
      <c r="E885" s="7"/>
      <c r="F885" s="7"/>
    </row>
    <row r="886" ht="15.75" customHeight="1">
      <c r="A886" s="7"/>
      <c r="B886" s="7"/>
      <c r="C886" s="7"/>
      <c r="D886" s="7"/>
      <c r="E886" s="7"/>
      <c r="F886" s="7"/>
    </row>
    <row r="887" ht="15.75" customHeight="1">
      <c r="A887" s="7"/>
      <c r="B887" s="7"/>
      <c r="C887" s="7"/>
      <c r="D887" s="7"/>
      <c r="E887" s="7"/>
      <c r="F887" s="7"/>
    </row>
    <row r="888" ht="15.75" customHeight="1">
      <c r="A888" s="7"/>
      <c r="B888" s="7"/>
      <c r="C888" s="7"/>
      <c r="D888" s="7"/>
      <c r="E888" s="7"/>
      <c r="F888" s="7"/>
    </row>
    <row r="889" ht="15.75" customHeight="1">
      <c r="A889" s="7"/>
      <c r="B889" s="7"/>
      <c r="C889" s="7"/>
      <c r="D889" s="7"/>
      <c r="E889" s="7"/>
      <c r="F889" s="7"/>
    </row>
    <row r="890" ht="15.75" customHeight="1">
      <c r="A890" s="7"/>
      <c r="B890" s="7"/>
      <c r="C890" s="7"/>
      <c r="D890" s="7"/>
      <c r="E890" s="7"/>
      <c r="F890" s="7"/>
    </row>
    <row r="891" ht="15.75" customHeight="1">
      <c r="A891" s="7"/>
      <c r="B891" s="7"/>
      <c r="C891" s="7"/>
      <c r="D891" s="7"/>
      <c r="E891" s="7"/>
      <c r="F891" s="7"/>
    </row>
    <row r="892" ht="15.75" customHeight="1">
      <c r="A892" s="7"/>
      <c r="B892" s="7"/>
      <c r="C892" s="7"/>
      <c r="D892" s="7"/>
      <c r="E892" s="7"/>
      <c r="F892" s="7"/>
    </row>
    <row r="893" ht="15.75" customHeight="1">
      <c r="A893" s="7"/>
      <c r="B893" s="7"/>
      <c r="C893" s="7"/>
      <c r="D893" s="7"/>
      <c r="E893" s="7"/>
      <c r="F893" s="7"/>
    </row>
    <row r="894" ht="15.75" customHeight="1">
      <c r="A894" s="7"/>
      <c r="B894" s="7"/>
      <c r="C894" s="7"/>
      <c r="D894" s="7"/>
      <c r="E894" s="7"/>
      <c r="F894" s="7"/>
    </row>
    <row r="895" ht="15.75" customHeight="1">
      <c r="A895" s="7"/>
      <c r="B895" s="7"/>
      <c r="C895" s="7"/>
      <c r="D895" s="7"/>
      <c r="E895" s="7"/>
      <c r="F895" s="7"/>
    </row>
    <row r="896" ht="15.75" customHeight="1">
      <c r="A896" s="7"/>
      <c r="B896" s="7"/>
      <c r="C896" s="7"/>
      <c r="D896" s="7"/>
      <c r="E896" s="7"/>
      <c r="F896" s="7"/>
    </row>
    <row r="897" ht="15.75" customHeight="1">
      <c r="A897" s="7"/>
      <c r="B897" s="7"/>
      <c r="C897" s="7"/>
      <c r="D897" s="7"/>
      <c r="E897" s="7"/>
      <c r="F897" s="7"/>
    </row>
    <row r="898" ht="15.75" customHeight="1">
      <c r="A898" s="7"/>
      <c r="B898" s="7"/>
      <c r="C898" s="7"/>
      <c r="D898" s="7"/>
      <c r="E898" s="7"/>
      <c r="F898" s="7"/>
    </row>
    <row r="899" ht="15.75" customHeight="1">
      <c r="A899" s="7"/>
      <c r="B899" s="7"/>
      <c r="C899" s="7"/>
      <c r="D899" s="7"/>
      <c r="E899" s="7"/>
      <c r="F899" s="7"/>
    </row>
    <row r="900" ht="15.75" customHeight="1">
      <c r="A900" s="7"/>
      <c r="B900" s="7"/>
      <c r="C900" s="7"/>
      <c r="D900" s="7"/>
      <c r="E900" s="7"/>
      <c r="F900" s="7"/>
    </row>
    <row r="901" ht="15.75" customHeight="1">
      <c r="A901" s="7"/>
      <c r="B901" s="7"/>
      <c r="C901" s="7"/>
      <c r="D901" s="7"/>
      <c r="E901" s="7"/>
      <c r="F901" s="7"/>
    </row>
    <row r="902" ht="15.75" customHeight="1">
      <c r="A902" s="7"/>
      <c r="B902" s="7"/>
      <c r="C902" s="7"/>
      <c r="D902" s="7"/>
      <c r="E902" s="7"/>
      <c r="F902" s="7"/>
    </row>
    <row r="903" ht="15.75" customHeight="1">
      <c r="A903" s="7"/>
      <c r="B903" s="7"/>
      <c r="C903" s="7"/>
      <c r="D903" s="7"/>
      <c r="E903" s="7"/>
      <c r="F903" s="7"/>
    </row>
    <row r="904" ht="15.75" customHeight="1">
      <c r="A904" s="7"/>
      <c r="B904" s="7"/>
      <c r="C904" s="7"/>
      <c r="D904" s="7"/>
      <c r="E904" s="7"/>
      <c r="F904" s="7"/>
    </row>
    <row r="905" ht="15.75" customHeight="1">
      <c r="A905" s="7"/>
      <c r="B905" s="7"/>
      <c r="C905" s="7"/>
      <c r="D905" s="7"/>
      <c r="E905" s="7"/>
      <c r="F905" s="7"/>
    </row>
    <row r="906" ht="15.75" customHeight="1">
      <c r="A906" s="7"/>
      <c r="B906" s="7"/>
      <c r="C906" s="7"/>
      <c r="D906" s="7"/>
      <c r="E906" s="7"/>
      <c r="F906" s="7"/>
    </row>
    <row r="907" ht="15.75" customHeight="1">
      <c r="A907" s="7"/>
      <c r="B907" s="7"/>
      <c r="C907" s="7"/>
      <c r="D907" s="7"/>
      <c r="E907" s="7"/>
      <c r="F907" s="7"/>
    </row>
    <row r="908" ht="15.75" customHeight="1">
      <c r="A908" s="7"/>
      <c r="B908" s="7"/>
      <c r="C908" s="7"/>
      <c r="D908" s="7"/>
      <c r="E908" s="7"/>
      <c r="F908" s="7"/>
    </row>
    <row r="909" ht="15.75" customHeight="1">
      <c r="A909" s="7"/>
      <c r="B909" s="7"/>
      <c r="C909" s="7"/>
      <c r="D909" s="7"/>
      <c r="E909" s="7"/>
      <c r="F909" s="7"/>
    </row>
    <row r="910" ht="15.75" customHeight="1">
      <c r="A910" s="7"/>
      <c r="B910" s="7"/>
      <c r="C910" s="7"/>
      <c r="D910" s="7"/>
      <c r="E910" s="7"/>
      <c r="F910" s="7"/>
    </row>
    <row r="911" ht="15.75" customHeight="1">
      <c r="A911" s="7"/>
      <c r="B911" s="7"/>
      <c r="C911" s="7"/>
      <c r="D911" s="7"/>
      <c r="E911" s="7"/>
      <c r="F911" s="7"/>
    </row>
    <row r="912" ht="15.75" customHeight="1">
      <c r="A912" s="7"/>
      <c r="B912" s="7"/>
      <c r="C912" s="7"/>
      <c r="D912" s="7"/>
      <c r="E912" s="7"/>
      <c r="F912" s="7"/>
    </row>
    <row r="913" ht="15.75" customHeight="1">
      <c r="A913" s="7"/>
      <c r="B913" s="7"/>
      <c r="C913" s="7"/>
      <c r="D913" s="7"/>
      <c r="E913" s="7"/>
      <c r="F913" s="7"/>
    </row>
    <row r="914" ht="15.75" customHeight="1">
      <c r="A914" s="7"/>
      <c r="B914" s="7"/>
      <c r="C914" s="7"/>
      <c r="D914" s="7"/>
      <c r="E914" s="7"/>
      <c r="F914" s="7"/>
    </row>
    <row r="915" ht="15.75" customHeight="1">
      <c r="A915" s="7"/>
      <c r="B915" s="7"/>
      <c r="C915" s="7"/>
      <c r="D915" s="7"/>
      <c r="E915" s="7"/>
      <c r="F915" s="7"/>
    </row>
    <row r="916" ht="15.75" customHeight="1">
      <c r="A916" s="7"/>
      <c r="B916" s="7"/>
      <c r="C916" s="7"/>
      <c r="D916" s="7"/>
      <c r="E916" s="7"/>
      <c r="F916" s="7"/>
    </row>
    <row r="917" ht="15.75" customHeight="1">
      <c r="A917" s="7"/>
      <c r="B917" s="7"/>
      <c r="C917" s="7"/>
      <c r="D917" s="7"/>
      <c r="E917" s="7"/>
      <c r="F917" s="7"/>
    </row>
    <row r="918" ht="15.75" customHeight="1">
      <c r="A918" s="7"/>
      <c r="B918" s="7"/>
      <c r="C918" s="7"/>
      <c r="D918" s="7"/>
      <c r="E918" s="7"/>
      <c r="F918" s="7"/>
    </row>
    <row r="919" ht="15.75" customHeight="1">
      <c r="A919" s="7"/>
      <c r="B919" s="7"/>
      <c r="C919" s="7"/>
      <c r="D919" s="7"/>
      <c r="E919" s="7"/>
      <c r="F919" s="7"/>
    </row>
    <row r="920" ht="15.75" customHeight="1">
      <c r="A920" s="7"/>
      <c r="B920" s="7"/>
      <c r="C920" s="7"/>
      <c r="D920" s="7"/>
      <c r="E920" s="7"/>
      <c r="F920" s="7"/>
    </row>
    <row r="921" ht="15.75" customHeight="1">
      <c r="A921" s="7"/>
      <c r="B921" s="7"/>
      <c r="C921" s="7"/>
      <c r="D921" s="7"/>
      <c r="E921" s="7"/>
      <c r="F921" s="7"/>
    </row>
    <row r="922" ht="15.75" customHeight="1">
      <c r="A922" s="7"/>
      <c r="B922" s="7"/>
      <c r="C922" s="7"/>
      <c r="D922" s="7"/>
      <c r="E922" s="7"/>
      <c r="F922" s="7"/>
    </row>
    <row r="923" ht="15.75" customHeight="1">
      <c r="A923" s="7"/>
      <c r="B923" s="7"/>
      <c r="C923" s="7"/>
      <c r="D923" s="7"/>
      <c r="E923" s="7"/>
      <c r="F923" s="7"/>
    </row>
    <row r="924" ht="15.75" customHeight="1">
      <c r="A924" s="7"/>
      <c r="B924" s="7"/>
      <c r="C924" s="7"/>
      <c r="D924" s="7"/>
      <c r="E924" s="7"/>
      <c r="F924" s="7"/>
    </row>
    <row r="925" ht="15.75" customHeight="1">
      <c r="A925" s="7"/>
      <c r="B925" s="7"/>
      <c r="C925" s="7"/>
      <c r="D925" s="7"/>
      <c r="E925" s="7"/>
      <c r="F925" s="7"/>
    </row>
    <row r="926" ht="15.75" customHeight="1">
      <c r="A926" s="7"/>
      <c r="B926" s="7"/>
      <c r="C926" s="7"/>
      <c r="D926" s="7"/>
      <c r="E926" s="7"/>
      <c r="F926" s="7"/>
    </row>
    <row r="927" ht="15.75" customHeight="1">
      <c r="A927" s="7"/>
      <c r="B927" s="7"/>
      <c r="C927" s="7"/>
      <c r="D927" s="7"/>
      <c r="E927" s="7"/>
      <c r="F927" s="7"/>
    </row>
    <row r="928" ht="15.75" customHeight="1">
      <c r="A928" s="7"/>
      <c r="B928" s="7"/>
      <c r="C928" s="7"/>
      <c r="D928" s="7"/>
      <c r="E928" s="7"/>
      <c r="F928" s="7"/>
    </row>
    <row r="929" ht="15.75" customHeight="1">
      <c r="A929" s="7"/>
      <c r="B929" s="7"/>
      <c r="C929" s="7"/>
      <c r="D929" s="7"/>
      <c r="E929" s="7"/>
      <c r="F929" s="7"/>
    </row>
    <row r="930" ht="15.75" customHeight="1">
      <c r="A930" s="7"/>
      <c r="B930" s="7"/>
      <c r="C930" s="7"/>
      <c r="D930" s="7"/>
      <c r="E930" s="7"/>
      <c r="F930" s="7"/>
    </row>
    <row r="931" ht="15.75" customHeight="1">
      <c r="A931" s="7"/>
      <c r="B931" s="7"/>
      <c r="C931" s="7"/>
      <c r="D931" s="7"/>
      <c r="E931" s="7"/>
      <c r="F931" s="7"/>
    </row>
    <row r="932" ht="15.75" customHeight="1">
      <c r="A932" s="7"/>
      <c r="B932" s="7"/>
      <c r="C932" s="7"/>
      <c r="D932" s="7"/>
      <c r="E932" s="7"/>
      <c r="F932" s="7"/>
    </row>
    <row r="933" ht="15.75" customHeight="1">
      <c r="A933" s="7"/>
      <c r="B933" s="7"/>
      <c r="C933" s="7"/>
      <c r="D933" s="7"/>
      <c r="E933" s="7"/>
      <c r="F933" s="7"/>
    </row>
    <row r="934" ht="15.75" customHeight="1">
      <c r="A934" s="7"/>
      <c r="B934" s="7"/>
      <c r="C934" s="7"/>
      <c r="D934" s="7"/>
      <c r="E934" s="7"/>
      <c r="F934" s="7"/>
    </row>
    <row r="935" ht="15.75" customHeight="1">
      <c r="A935" s="7"/>
      <c r="B935" s="7"/>
      <c r="C935" s="7"/>
      <c r="D935" s="7"/>
      <c r="E935" s="7"/>
      <c r="F935" s="7"/>
    </row>
    <row r="936" ht="15.75" customHeight="1">
      <c r="A936" s="7"/>
      <c r="B936" s="7"/>
      <c r="C936" s="7"/>
      <c r="D936" s="7"/>
      <c r="E936" s="7"/>
      <c r="F936" s="7"/>
    </row>
    <row r="937" ht="15.75" customHeight="1">
      <c r="A937" s="7"/>
      <c r="B937" s="7"/>
      <c r="C937" s="7"/>
      <c r="D937" s="7"/>
      <c r="E937" s="7"/>
      <c r="F937" s="7"/>
    </row>
    <row r="938" ht="15.75" customHeight="1">
      <c r="A938" s="7"/>
      <c r="B938" s="7"/>
      <c r="C938" s="7"/>
      <c r="D938" s="7"/>
      <c r="E938" s="7"/>
      <c r="F938" s="7"/>
    </row>
    <row r="939" ht="15.75" customHeight="1">
      <c r="A939" s="7"/>
      <c r="B939" s="7"/>
      <c r="C939" s="7"/>
      <c r="D939" s="7"/>
      <c r="E939" s="7"/>
      <c r="F939" s="7"/>
    </row>
    <row r="940" ht="15.75" customHeight="1">
      <c r="A940" s="7"/>
      <c r="B940" s="7"/>
      <c r="C940" s="7"/>
      <c r="D940" s="7"/>
      <c r="E940" s="7"/>
      <c r="F940" s="7"/>
    </row>
    <row r="941" ht="15.75" customHeight="1">
      <c r="A941" s="7"/>
      <c r="B941" s="7"/>
      <c r="C941" s="7"/>
      <c r="D941" s="7"/>
      <c r="E941" s="7"/>
      <c r="F941" s="7"/>
    </row>
    <row r="942" ht="15.75" customHeight="1">
      <c r="A942" s="7"/>
      <c r="B942" s="7"/>
      <c r="C942" s="7"/>
      <c r="D942" s="7"/>
      <c r="E942" s="7"/>
      <c r="F942" s="7"/>
    </row>
    <row r="943" ht="15.75" customHeight="1">
      <c r="A943" s="7"/>
      <c r="B943" s="7"/>
      <c r="C943" s="7"/>
      <c r="D943" s="7"/>
      <c r="E943" s="7"/>
      <c r="F943" s="7"/>
    </row>
    <row r="944" ht="15.75" customHeight="1">
      <c r="A944" s="7"/>
      <c r="B944" s="7"/>
      <c r="C944" s="7"/>
      <c r="D944" s="7"/>
      <c r="E944" s="7"/>
      <c r="F944" s="7"/>
    </row>
    <row r="945" ht="15.75" customHeight="1">
      <c r="A945" s="7"/>
      <c r="B945" s="7"/>
      <c r="C945" s="7"/>
      <c r="D945" s="7"/>
      <c r="E945" s="7"/>
      <c r="F945" s="7"/>
    </row>
    <row r="946" ht="15.75" customHeight="1">
      <c r="A946" s="7"/>
      <c r="B946" s="7"/>
      <c r="C946" s="7"/>
      <c r="D946" s="7"/>
      <c r="E946" s="7"/>
      <c r="F946" s="7"/>
    </row>
    <row r="947" ht="15.75" customHeight="1">
      <c r="A947" s="7"/>
      <c r="B947" s="7"/>
      <c r="C947" s="7"/>
      <c r="D947" s="7"/>
      <c r="E947" s="7"/>
      <c r="F947" s="7"/>
    </row>
    <row r="948" ht="15.75" customHeight="1">
      <c r="A948" s="7"/>
      <c r="B948" s="7"/>
      <c r="C948" s="7"/>
      <c r="D948" s="7"/>
      <c r="E948" s="7"/>
      <c r="F948" s="7"/>
    </row>
    <row r="949" ht="15.75" customHeight="1">
      <c r="A949" s="7"/>
      <c r="B949" s="7"/>
      <c r="C949" s="7"/>
      <c r="D949" s="7"/>
      <c r="E949" s="7"/>
      <c r="F949" s="7"/>
    </row>
    <row r="950" ht="15.75" customHeight="1">
      <c r="A950" s="7"/>
      <c r="B950" s="7"/>
      <c r="C950" s="7"/>
      <c r="D950" s="7"/>
      <c r="E950" s="7"/>
      <c r="F950" s="7"/>
    </row>
    <row r="951" ht="15.75" customHeight="1">
      <c r="A951" s="7"/>
      <c r="B951" s="7"/>
      <c r="C951" s="7"/>
      <c r="D951" s="7"/>
      <c r="E951" s="7"/>
      <c r="F951" s="7"/>
    </row>
    <row r="952" ht="15.75" customHeight="1">
      <c r="A952" s="7"/>
      <c r="B952" s="7"/>
      <c r="C952" s="7"/>
      <c r="D952" s="7"/>
      <c r="E952" s="7"/>
      <c r="F952" s="7"/>
    </row>
    <row r="953" ht="15.75" customHeight="1">
      <c r="A953" s="7"/>
      <c r="B953" s="7"/>
      <c r="C953" s="7"/>
      <c r="D953" s="7"/>
      <c r="E953" s="7"/>
      <c r="F953" s="7"/>
    </row>
    <row r="954" ht="15.75" customHeight="1">
      <c r="A954" s="7"/>
      <c r="B954" s="7"/>
      <c r="C954" s="7"/>
      <c r="D954" s="7"/>
      <c r="E954" s="7"/>
      <c r="F954" s="7"/>
    </row>
    <row r="955" ht="15.75" customHeight="1">
      <c r="A955" s="7"/>
      <c r="B955" s="7"/>
      <c r="C955" s="7"/>
      <c r="D955" s="7"/>
      <c r="E955" s="7"/>
      <c r="F955" s="7"/>
    </row>
    <row r="956" ht="15.75" customHeight="1">
      <c r="A956" s="7"/>
      <c r="B956" s="7"/>
      <c r="C956" s="7"/>
      <c r="D956" s="7"/>
      <c r="E956" s="7"/>
      <c r="F956" s="7"/>
    </row>
    <row r="957" ht="15.75" customHeight="1">
      <c r="A957" s="7"/>
      <c r="B957" s="7"/>
      <c r="C957" s="7"/>
      <c r="D957" s="7"/>
      <c r="E957" s="7"/>
      <c r="F957" s="7"/>
    </row>
    <row r="958" ht="15.75" customHeight="1">
      <c r="A958" s="7"/>
      <c r="B958" s="7"/>
      <c r="C958" s="7"/>
      <c r="D958" s="7"/>
      <c r="E958" s="7"/>
      <c r="F958" s="7"/>
    </row>
    <row r="959" ht="15.75" customHeight="1">
      <c r="A959" s="7"/>
      <c r="B959" s="7"/>
      <c r="C959" s="7"/>
      <c r="D959" s="7"/>
      <c r="E959" s="7"/>
      <c r="F959" s="7"/>
    </row>
    <row r="960" ht="15.75" customHeight="1">
      <c r="A960" s="7"/>
      <c r="B960" s="7"/>
      <c r="C960" s="7"/>
      <c r="D960" s="7"/>
      <c r="E960" s="7"/>
      <c r="F960" s="7"/>
    </row>
    <row r="961" ht="15.75" customHeight="1">
      <c r="A961" s="7"/>
      <c r="B961" s="7"/>
      <c r="C961" s="7"/>
      <c r="D961" s="7"/>
      <c r="E961" s="7"/>
      <c r="F961" s="7"/>
    </row>
    <row r="962" ht="15.75" customHeight="1">
      <c r="A962" s="7"/>
      <c r="B962" s="7"/>
      <c r="C962" s="7"/>
      <c r="D962" s="7"/>
      <c r="E962" s="7"/>
      <c r="F962" s="7"/>
    </row>
    <row r="963" ht="15.75" customHeight="1">
      <c r="A963" s="7"/>
      <c r="B963" s="7"/>
      <c r="C963" s="7"/>
      <c r="D963" s="7"/>
      <c r="E963" s="7"/>
      <c r="F963" s="7"/>
    </row>
    <row r="964" ht="15.75" customHeight="1">
      <c r="A964" s="7"/>
      <c r="B964" s="7"/>
      <c r="C964" s="7"/>
      <c r="D964" s="7"/>
      <c r="E964" s="7"/>
      <c r="F964" s="7"/>
    </row>
    <row r="965" ht="15.75" customHeight="1">
      <c r="A965" s="7"/>
      <c r="B965" s="7"/>
      <c r="C965" s="7"/>
      <c r="D965" s="7"/>
      <c r="E965" s="7"/>
      <c r="F965" s="7"/>
    </row>
    <row r="966" ht="15.75" customHeight="1">
      <c r="A966" s="7"/>
      <c r="B966" s="7"/>
      <c r="C966" s="7"/>
      <c r="D966" s="7"/>
      <c r="E966" s="7"/>
      <c r="F966" s="7"/>
    </row>
    <row r="967" ht="15.75" customHeight="1">
      <c r="A967" s="7"/>
      <c r="B967" s="7"/>
      <c r="C967" s="7"/>
      <c r="D967" s="7"/>
      <c r="E967" s="7"/>
      <c r="F967" s="7"/>
    </row>
    <row r="968" ht="15.75" customHeight="1">
      <c r="A968" s="7"/>
      <c r="B968" s="7"/>
      <c r="C968" s="7"/>
      <c r="D968" s="7"/>
      <c r="E968" s="7"/>
      <c r="F968" s="7"/>
    </row>
    <row r="969" ht="15.75" customHeight="1">
      <c r="A969" s="7"/>
      <c r="B969" s="7"/>
      <c r="C969" s="7"/>
      <c r="D969" s="7"/>
      <c r="E969" s="7"/>
      <c r="F969" s="7"/>
    </row>
    <row r="970" ht="15.75" customHeight="1">
      <c r="A970" s="7"/>
      <c r="B970" s="7"/>
      <c r="C970" s="7"/>
      <c r="D970" s="7"/>
      <c r="E970" s="7"/>
      <c r="F970" s="7"/>
    </row>
    <row r="971" ht="15.75" customHeight="1">
      <c r="A971" s="7"/>
      <c r="B971" s="7"/>
      <c r="C971" s="7"/>
      <c r="D971" s="7"/>
      <c r="E971" s="7"/>
      <c r="F971" s="7"/>
    </row>
    <row r="972" ht="15.75" customHeight="1">
      <c r="A972" s="7"/>
      <c r="B972" s="7"/>
      <c r="C972" s="7"/>
      <c r="D972" s="7"/>
      <c r="E972" s="7"/>
      <c r="F972" s="7"/>
    </row>
    <row r="973" ht="15.75" customHeight="1">
      <c r="A973" s="7"/>
      <c r="B973" s="7"/>
      <c r="C973" s="7"/>
      <c r="D973" s="7"/>
      <c r="E973" s="7"/>
      <c r="F973" s="7"/>
    </row>
    <row r="974" ht="15.75" customHeight="1">
      <c r="A974" s="7"/>
      <c r="B974" s="7"/>
      <c r="C974" s="7"/>
      <c r="D974" s="7"/>
      <c r="E974" s="7"/>
      <c r="F974" s="7"/>
    </row>
    <row r="975" ht="15.75" customHeight="1">
      <c r="A975" s="7"/>
      <c r="B975" s="7"/>
      <c r="C975" s="7"/>
      <c r="D975" s="7"/>
      <c r="E975" s="7"/>
      <c r="F975" s="7"/>
    </row>
    <row r="976" ht="15.75" customHeight="1">
      <c r="A976" s="7"/>
      <c r="B976" s="7"/>
      <c r="C976" s="7"/>
      <c r="D976" s="7"/>
      <c r="E976" s="7"/>
      <c r="F976" s="7"/>
    </row>
    <row r="977" ht="15.75" customHeight="1">
      <c r="A977" s="7"/>
      <c r="B977" s="7"/>
      <c r="C977" s="7"/>
      <c r="D977" s="7"/>
      <c r="E977" s="7"/>
      <c r="F977" s="7"/>
    </row>
    <row r="978" ht="15.75" customHeight="1">
      <c r="A978" s="7"/>
      <c r="B978" s="7"/>
      <c r="C978" s="7"/>
      <c r="D978" s="7"/>
      <c r="E978" s="7"/>
      <c r="F978" s="7"/>
    </row>
    <row r="979" ht="15.75" customHeight="1">
      <c r="A979" s="7"/>
      <c r="B979" s="7"/>
      <c r="C979" s="7"/>
      <c r="D979" s="7"/>
      <c r="E979" s="7"/>
      <c r="F979" s="7"/>
    </row>
    <row r="980" ht="15.75" customHeight="1">
      <c r="A980" s="7"/>
      <c r="B980" s="7"/>
      <c r="C980" s="7"/>
      <c r="D980" s="7"/>
      <c r="E980" s="7"/>
      <c r="F980" s="7"/>
    </row>
    <row r="981" ht="15.75" customHeight="1">
      <c r="A981" s="7"/>
      <c r="B981" s="7"/>
      <c r="C981" s="7"/>
      <c r="D981" s="7"/>
      <c r="E981" s="7"/>
      <c r="F981" s="7"/>
    </row>
    <row r="982" ht="15.75" customHeight="1">
      <c r="A982" s="7"/>
      <c r="B982" s="7"/>
      <c r="C982" s="7"/>
      <c r="D982" s="7"/>
      <c r="E982" s="7"/>
      <c r="F982" s="7"/>
    </row>
    <row r="983" ht="15.75" customHeight="1">
      <c r="A983" s="7"/>
      <c r="B983" s="7"/>
      <c r="C983" s="7"/>
      <c r="D983" s="7"/>
      <c r="E983" s="7"/>
      <c r="F983" s="7"/>
    </row>
    <row r="984" ht="15.75" customHeight="1">
      <c r="A984" s="7"/>
      <c r="B984" s="7"/>
      <c r="C984" s="7"/>
      <c r="D984" s="7"/>
      <c r="E984" s="7"/>
      <c r="F984" s="7"/>
    </row>
    <row r="985" ht="15.75" customHeight="1">
      <c r="A985" s="7"/>
      <c r="B985" s="7"/>
      <c r="C985" s="7"/>
      <c r="D985" s="7"/>
      <c r="E985" s="7"/>
      <c r="F985" s="7"/>
    </row>
    <row r="986" ht="15.75" customHeight="1">
      <c r="A986" s="7"/>
      <c r="B986" s="7"/>
      <c r="C986" s="7"/>
      <c r="D986" s="7"/>
      <c r="E986" s="7"/>
      <c r="F986" s="7"/>
    </row>
    <row r="987" ht="15.75" customHeight="1">
      <c r="A987" s="7"/>
      <c r="B987" s="7"/>
      <c r="C987" s="7"/>
      <c r="D987" s="7"/>
      <c r="E987" s="7"/>
      <c r="F987" s="7"/>
    </row>
    <row r="988" ht="15.75" customHeight="1">
      <c r="A988" s="7"/>
      <c r="B988" s="7"/>
      <c r="C988" s="7"/>
      <c r="D988" s="7"/>
      <c r="E988" s="7"/>
      <c r="F988" s="7"/>
    </row>
    <row r="989" ht="15.75" customHeight="1">
      <c r="A989" s="7"/>
      <c r="B989" s="7"/>
      <c r="C989" s="7"/>
      <c r="D989" s="7"/>
      <c r="E989" s="7"/>
      <c r="F989" s="7"/>
    </row>
    <row r="990" ht="15.75" customHeight="1">
      <c r="A990" s="7"/>
      <c r="B990" s="7"/>
      <c r="C990" s="7"/>
      <c r="D990" s="7"/>
      <c r="E990" s="7"/>
      <c r="F990" s="7"/>
    </row>
    <row r="991" ht="15.75" customHeight="1">
      <c r="A991" s="7"/>
      <c r="B991" s="7"/>
      <c r="C991" s="7"/>
      <c r="D991" s="7"/>
      <c r="E991" s="7"/>
      <c r="F991" s="7"/>
    </row>
    <row r="992" ht="15.75" customHeight="1">
      <c r="A992" s="7"/>
      <c r="B992" s="7"/>
      <c r="C992" s="7"/>
      <c r="D992" s="7"/>
      <c r="E992" s="7"/>
      <c r="F992" s="7"/>
    </row>
    <row r="993" ht="15.75" customHeight="1">
      <c r="A993" s="7"/>
      <c r="B993" s="7"/>
      <c r="C993" s="7"/>
      <c r="D993" s="7"/>
      <c r="E993" s="7"/>
      <c r="F993" s="7"/>
    </row>
    <row r="994" ht="15.75" customHeight="1">
      <c r="A994" s="7"/>
      <c r="B994" s="7"/>
      <c r="C994" s="7"/>
      <c r="D994" s="7"/>
      <c r="E994" s="7"/>
      <c r="F994" s="7"/>
    </row>
    <row r="995" ht="15.75" customHeight="1">
      <c r="A995" s="7"/>
      <c r="B995" s="7"/>
      <c r="C995" s="7"/>
      <c r="D995" s="7"/>
      <c r="E995" s="7"/>
      <c r="F995" s="7"/>
    </row>
    <row r="996" ht="15.75" customHeight="1">
      <c r="A996" s="7"/>
      <c r="B996" s="7"/>
      <c r="C996" s="7"/>
      <c r="D996" s="7"/>
      <c r="E996" s="7"/>
      <c r="F996" s="7"/>
    </row>
    <row r="997" ht="15.75" customHeight="1">
      <c r="A997" s="7"/>
      <c r="B997" s="7"/>
      <c r="C997" s="7"/>
      <c r="D997" s="7"/>
      <c r="E997" s="7"/>
      <c r="F997" s="7"/>
    </row>
    <row r="998" ht="15.75" customHeight="1">
      <c r="A998" s="7"/>
      <c r="B998" s="7"/>
      <c r="C998" s="7"/>
      <c r="D998" s="7"/>
      <c r="E998" s="7"/>
      <c r="F998" s="7"/>
    </row>
    <row r="999" ht="15.75" customHeight="1">
      <c r="A999" s="7"/>
      <c r="B999" s="7"/>
      <c r="C999" s="7"/>
      <c r="D999" s="7"/>
      <c r="E999" s="7"/>
      <c r="F999" s="7"/>
    </row>
    <row r="1000" ht="15.75" customHeight="1">
      <c r="A1000" s="7"/>
      <c r="B1000" s="7"/>
      <c r="C1000" s="7"/>
      <c r="D1000" s="7"/>
      <c r="E1000" s="7"/>
      <c r="F1000" s="7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0" t="s">
        <v>220</v>
      </c>
      <c r="B1" s="10"/>
      <c r="C1" s="10"/>
      <c r="D1" s="10"/>
      <c r="E1" s="11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30.0" customHeight="1">
      <c r="A2" s="111" t="s">
        <v>221</v>
      </c>
      <c r="B2" s="10"/>
      <c r="C2" s="10"/>
      <c r="D2" s="10"/>
      <c r="E2" s="11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9.5" customHeight="1">
      <c r="A3" s="112" t="s">
        <v>222</v>
      </c>
      <c r="B3" s="10"/>
      <c r="C3" s="10"/>
      <c r="D3" s="10"/>
      <c r="E3" s="11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7.5" customHeight="1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1.75" customHeight="1">
      <c r="A5" s="113" t="s">
        <v>66</v>
      </c>
      <c r="B5" s="113" t="s">
        <v>223</v>
      </c>
      <c r="C5" s="113" t="s">
        <v>7</v>
      </c>
      <c r="D5" s="113" t="s">
        <v>8</v>
      </c>
      <c r="E5" s="113" t="s">
        <v>224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1.75" customHeight="1">
      <c r="A6" s="114" t="s">
        <v>225</v>
      </c>
      <c r="B6" s="115" t="s">
        <v>226</v>
      </c>
      <c r="C6" s="116" t="s">
        <v>227</v>
      </c>
      <c r="D6" s="116" t="s">
        <v>228</v>
      </c>
      <c r="E6" s="114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1.75" customHeight="1">
      <c r="A7" s="114" t="s">
        <v>229</v>
      </c>
      <c r="B7" s="115" t="s">
        <v>230</v>
      </c>
      <c r="C7" s="116" t="s">
        <v>231</v>
      </c>
      <c r="D7" s="116" t="s">
        <v>228</v>
      </c>
      <c r="E7" s="114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1.75" customHeight="1">
      <c r="A8" s="32" t="s">
        <v>75</v>
      </c>
      <c r="B8" s="117" t="s">
        <v>232</v>
      </c>
      <c r="C8" s="118" t="s">
        <v>231</v>
      </c>
      <c r="D8" s="118" t="s">
        <v>228</v>
      </c>
      <c r="E8" s="32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1.75" customHeight="1">
      <c r="A9" s="32" t="s">
        <v>113</v>
      </c>
      <c r="B9" s="117" t="s">
        <v>233</v>
      </c>
      <c r="C9" s="118" t="s">
        <v>231</v>
      </c>
      <c r="D9" s="118" t="s">
        <v>228</v>
      </c>
      <c r="E9" s="32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1.75" customHeight="1">
      <c r="A10" s="114" t="s">
        <v>234</v>
      </c>
      <c r="B10" s="115" t="s">
        <v>235</v>
      </c>
      <c r="C10" s="116" t="s">
        <v>231</v>
      </c>
      <c r="D10" s="116" t="s">
        <v>228</v>
      </c>
      <c r="E10" s="114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1.75" customHeight="1">
      <c r="A11" s="119" t="s">
        <v>236</v>
      </c>
      <c r="B11" s="120" t="s">
        <v>237</v>
      </c>
      <c r="C11" s="116" t="s">
        <v>231</v>
      </c>
      <c r="D11" s="116" t="s">
        <v>228</v>
      </c>
      <c r="E11" s="119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1.75" customHeight="1">
      <c r="A12" s="121" t="s">
        <v>101</v>
      </c>
      <c r="B12" s="122" t="s">
        <v>238</v>
      </c>
      <c r="C12" s="116" t="s">
        <v>231</v>
      </c>
      <c r="D12" s="116" t="s">
        <v>228</v>
      </c>
      <c r="E12" s="121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1.75" customHeight="1">
      <c r="A13" s="119" t="s">
        <v>77</v>
      </c>
      <c r="B13" s="120" t="s">
        <v>239</v>
      </c>
      <c r="C13" s="116" t="s">
        <v>231</v>
      </c>
      <c r="D13" s="116" t="s">
        <v>228</v>
      </c>
      <c r="E13" s="119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21.75" customHeight="1">
      <c r="A14" s="121" t="s">
        <v>240</v>
      </c>
      <c r="B14" s="122" t="s">
        <v>241</v>
      </c>
      <c r="C14" s="116" t="s">
        <v>231</v>
      </c>
      <c r="D14" s="116" t="s">
        <v>228</v>
      </c>
      <c r="E14" s="121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21.75" customHeight="1">
      <c r="A15" s="119" t="s">
        <v>44</v>
      </c>
      <c r="B15" s="120">
        <v>1762.0</v>
      </c>
      <c r="C15" s="116" t="s">
        <v>242</v>
      </c>
      <c r="D15" s="116" t="s">
        <v>228</v>
      </c>
      <c r="E15" s="119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21.75" customHeight="1">
      <c r="A16" s="121" t="s">
        <v>69</v>
      </c>
      <c r="B16" s="122" t="s">
        <v>243</v>
      </c>
      <c r="C16" s="116" t="s">
        <v>227</v>
      </c>
      <c r="D16" s="116" t="s">
        <v>228</v>
      </c>
      <c r="E16" s="121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119" t="s">
        <v>105</v>
      </c>
      <c r="B17" s="120" t="s">
        <v>244</v>
      </c>
      <c r="C17" s="116" t="s">
        <v>231</v>
      </c>
      <c r="D17" s="116" t="s">
        <v>228</v>
      </c>
      <c r="E17" s="119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21.75" customHeight="1">
      <c r="A18" s="121" t="s">
        <v>245</v>
      </c>
      <c r="B18" s="122" t="s">
        <v>246</v>
      </c>
      <c r="C18" s="116" t="s">
        <v>231</v>
      </c>
      <c r="D18" s="116" t="s">
        <v>228</v>
      </c>
      <c r="E18" s="121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21.75" customHeight="1">
      <c r="A19" s="119" t="s">
        <v>99</v>
      </c>
      <c r="B19" s="120" t="s">
        <v>247</v>
      </c>
      <c r="C19" s="116" t="s">
        <v>231</v>
      </c>
      <c r="D19" s="116" t="s">
        <v>228</v>
      </c>
      <c r="E19" s="119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21.75" customHeight="1">
      <c r="A20" s="121" t="s">
        <v>106</v>
      </c>
      <c r="B20" s="122" t="s">
        <v>248</v>
      </c>
      <c r="C20" s="116" t="s">
        <v>231</v>
      </c>
      <c r="D20" s="116" t="s">
        <v>228</v>
      </c>
      <c r="E20" s="12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21.75" customHeight="1">
      <c r="A21" s="119" t="s">
        <v>249</v>
      </c>
      <c r="B21" s="120" t="s">
        <v>250</v>
      </c>
      <c r="C21" s="116" t="s">
        <v>227</v>
      </c>
      <c r="D21" s="116" t="s">
        <v>228</v>
      </c>
      <c r="E21" s="119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21.75" customHeight="1">
      <c r="A22" s="121" t="s">
        <v>95</v>
      </c>
      <c r="B22" s="122" t="s">
        <v>251</v>
      </c>
      <c r="C22" s="116" t="s">
        <v>231</v>
      </c>
      <c r="D22" s="116" t="s">
        <v>228</v>
      </c>
      <c r="E22" s="121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21.75" customHeight="1">
      <c r="A23" s="119" t="s">
        <v>91</v>
      </c>
      <c r="B23" s="120" t="s">
        <v>252</v>
      </c>
      <c r="C23" s="116" t="s">
        <v>231</v>
      </c>
      <c r="D23" s="116" t="s">
        <v>228</v>
      </c>
      <c r="E23" s="119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121" t="s">
        <v>253</v>
      </c>
      <c r="B24" s="122" t="s">
        <v>254</v>
      </c>
      <c r="C24" s="116" t="s">
        <v>231</v>
      </c>
      <c r="D24" s="116" t="s">
        <v>228</v>
      </c>
      <c r="E24" s="121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21.75" customHeight="1">
      <c r="A25" s="119" t="s">
        <v>255</v>
      </c>
      <c r="B25" s="120" t="s">
        <v>256</v>
      </c>
      <c r="C25" s="116" t="s">
        <v>231</v>
      </c>
      <c r="D25" s="116" t="s">
        <v>228</v>
      </c>
      <c r="E25" s="119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21.75" customHeight="1">
      <c r="A26" s="119" t="s">
        <v>257</v>
      </c>
      <c r="B26" s="120" t="s">
        <v>258</v>
      </c>
      <c r="C26" s="116" t="s">
        <v>231</v>
      </c>
      <c r="D26" s="116" t="s">
        <v>228</v>
      </c>
      <c r="E26" s="121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121" t="s">
        <v>108</v>
      </c>
      <c r="B27" s="122" t="s">
        <v>259</v>
      </c>
      <c r="C27" s="116" t="s">
        <v>231</v>
      </c>
      <c r="D27" s="116" t="s">
        <v>228</v>
      </c>
      <c r="E27" s="119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21.75" customHeight="1">
      <c r="A28" s="119" t="s">
        <v>97</v>
      </c>
      <c r="B28" s="120" t="s">
        <v>260</v>
      </c>
      <c r="C28" s="116" t="s">
        <v>231</v>
      </c>
      <c r="D28" s="116" t="s">
        <v>228</v>
      </c>
      <c r="E28" s="121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21.75" customHeight="1">
      <c r="A29" s="121" t="s">
        <v>112</v>
      </c>
      <c r="B29" s="122" t="s">
        <v>261</v>
      </c>
      <c r="C29" s="116" t="s">
        <v>231</v>
      </c>
      <c r="D29" s="116" t="s">
        <v>228</v>
      </c>
      <c r="E29" s="119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21.75" customHeight="1">
      <c r="A30" s="119" t="s">
        <v>110</v>
      </c>
      <c r="B30" s="120" t="s">
        <v>262</v>
      </c>
      <c r="C30" s="116" t="s">
        <v>231</v>
      </c>
      <c r="D30" s="116" t="s">
        <v>228</v>
      </c>
      <c r="E30" s="121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21.75" customHeight="1">
      <c r="A31" s="121" t="s">
        <v>263</v>
      </c>
      <c r="B31" s="122" t="s">
        <v>264</v>
      </c>
      <c r="C31" s="116" t="s">
        <v>231</v>
      </c>
      <c r="D31" s="116" t="s">
        <v>228</v>
      </c>
      <c r="E31" s="119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21.75" customHeight="1">
      <c r="A32" s="119" t="s">
        <v>103</v>
      </c>
      <c r="B32" s="120" t="s">
        <v>265</v>
      </c>
      <c r="C32" s="116" t="s">
        <v>231</v>
      </c>
      <c r="D32" s="116" t="s">
        <v>228</v>
      </c>
      <c r="E32" s="121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21.75" customHeight="1">
      <c r="A33" s="121" t="s">
        <v>266</v>
      </c>
      <c r="B33" s="122" t="s">
        <v>267</v>
      </c>
      <c r="C33" s="116" t="s">
        <v>231</v>
      </c>
      <c r="D33" s="116" t="s">
        <v>228</v>
      </c>
      <c r="E33" s="119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21.75" customHeight="1">
      <c r="A34" s="119" t="s">
        <v>81</v>
      </c>
      <c r="B34" s="120" t="s">
        <v>268</v>
      </c>
      <c r="C34" s="116" t="s">
        <v>231</v>
      </c>
      <c r="D34" s="116" t="s">
        <v>228</v>
      </c>
      <c r="E34" s="121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21.75" customHeight="1">
      <c r="A35" s="121" t="s">
        <v>93</v>
      </c>
      <c r="B35" s="122" t="s">
        <v>269</v>
      </c>
      <c r="C35" s="116" t="s">
        <v>231</v>
      </c>
      <c r="D35" s="116" t="s">
        <v>228</v>
      </c>
      <c r="E35" s="119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21.75" customHeight="1">
      <c r="A36" s="119" t="s">
        <v>270</v>
      </c>
      <c r="B36" s="120" t="s">
        <v>271</v>
      </c>
      <c r="C36" s="116" t="s">
        <v>231</v>
      </c>
      <c r="D36" s="116" t="s">
        <v>228</v>
      </c>
      <c r="E36" s="121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21.75" customHeight="1">
      <c r="A37" s="121" t="s">
        <v>272</v>
      </c>
      <c r="B37" s="122" t="s">
        <v>273</v>
      </c>
      <c r="C37" s="116" t="s">
        <v>274</v>
      </c>
      <c r="D37" s="116" t="s">
        <v>228</v>
      </c>
      <c r="E37" s="11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21.75" customHeight="1">
      <c r="A38" s="119" t="s">
        <v>275</v>
      </c>
      <c r="B38" s="120" t="s">
        <v>276</v>
      </c>
      <c r="C38" s="116" t="s">
        <v>274</v>
      </c>
      <c r="D38" s="116" t="s">
        <v>228</v>
      </c>
      <c r="E38" s="121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21.75" customHeight="1">
      <c r="A39" s="121" t="s">
        <v>277</v>
      </c>
      <c r="B39" s="122" t="s">
        <v>278</v>
      </c>
      <c r="C39" s="116" t="s">
        <v>274</v>
      </c>
      <c r="D39" s="116" t="s">
        <v>228</v>
      </c>
      <c r="E39" s="119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21.75" customHeight="1">
      <c r="A40" s="119" t="s">
        <v>84</v>
      </c>
      <c r="B40" s="120" t="s">
        <v>279</v>
      </c>
      <c r="C40" s="116" t="s">
        <v>280</v>
      </c>
      <c r="D40" s="116" t="s">
        <v>228</v>
      </c>
      <c r="E40" s="121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21.75" customHeight="1">
      <c r="A41" s="119" t="s">
        <v>281</v>
      </c>
      <c r="B41" s="120" t="s">
        <v>282</v>
      </c>
      <c r="C41" s="123" t="s">
        <v>280</v>
      </c>
      <c r="D41" s="123" t="s">
        <v>228</v>
      </c>
      <c r="E41" s="119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21.75" customHeight="1">
      <c r="A42" s="121"/>
      <c r="B42" s="122"/>
      <c r="C42" s="124"/>
      <c r="D42" s="124"/>
      <c r="E42" s="121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21.75" customHeight="1">
      <c r="A43" s="119"/>
      <c r="B43" s="120"/>
      <c r="C43" s="123"/>
      <c r="D43" s="123"/>
      <c r="E43" s="119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21.75" customHeight="1">
      <c r="A44" s="121"/>
      <c r="B44" s="122"/>
      <c r="C44" s="124"/>
      <c r="D44" s="124"/>
      <c r="E44" s="121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21.75" customHeight="1">
      <c r="A45" s="119"/>
      <c r="B45" s="120"/>
      <c r="C45" s="123"/>
      <c r="D45" s="123"/>
      <c r="E45" s="119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21.75" customHeight="1">
      <c r="A46" s="121"/>
      <c r="B46" s="122"/>
      <c r="C46" s="124"/>
      <c r="D46" s="124"/>
      <c r="E46" s="121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21.75" customHeight="1">
      <c r="A47" s="119"/>
      <c r="B47" s="120"/>
      <c r="C47" s="123"/>
      <c r="D47" s="123"/>
      <c r="E47" s="119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21.75" customHeight="1">
      <c r="A48" s="121"/>
      <c r="B48" s="122"/>
      <c r="C48" s="124"/>
      <c r="D48" s="124"/>
      <c r="E48" s="12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21.75" customHeight="1">
      <c r="A49" s="119"/>
      <c r="B49" s="120"/>
      <c r="C49" s="123"/>
      <c r="D49" s="123"/>
      <c r="E49" s="119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21.75" customHeight="1">
      <c r="A50" s="121"/>
      <c r="B50" s="122"/>
      <c r="C50" s="124"/>
      <c r="D50" s="124"/>
      <c r="E50" s="1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21.75" customHeight="1">
      <c r="A51" s="119"/>
      <c r="B51" s="120"/>
      <c r="C51" s="123"/>
      <c r="D51" s="123"/>
      <c r="E51" s="119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21.75" customHeight="1">
      <c r="A52" s="121"/>
      <c r="B52" s="122"/>
      <c r="C52" s="124"/>
      <c r="D52" s="124"/>
      <c r="E52" s="1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21.75" customHeight="1">
      <c r="A53" s="119"/>
      <c r="B53" s="120"/>
      <c r="C53" s="123"/>
      <c r="D53" s="123"/>
      <c r="E53" s="119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21.75" customHeight="1">
      <c r="A54" s="121"/>
      <c r="B54" s="122"/>
      <c r="C54" s="124"/>
      <c r="D54" s="124"/>
      <c r="E54" s="1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21.75" customHeight="1">
      <c r="A55" s="119"/>
      <c r="B55" s="120"/>
      <c r="C55" s="123"/>
      <c r="D55" s="123"/>
      <c r="E55" s="119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21.75" customHeight="1">
      <c r="A56" s="121"/>
      <c r="B56" s="122"/>
      <c r="C56" s="124"/>
      <c r="D56" s="124"/>
      <c r="E56" s="1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21.75" customHeight="1">
      <c r="A57" s="119"/>
      <c r="B57" s="120"/>
      <c r="C57" s="123"/>
      <c r="D57" s="123"/>
      <c r="E57" s="119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21.75" customHeight="1">
      <c r="A58" s="121"/>
      <c r="B58" s="122"/>
      <c r="C58" s="124"/>
      <c r="D58" s="124"/>
      <c r="E58" s="1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21.75" customHeight="1">
      <c r="A59" s="119"/>
      <c r="B59" s="120"/>
      <c r="C59" s="123"/>
      <c r="D59" s="123"/>
      <c r="E59" s="119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21.75" customHeight="1">
      <c r="A60" s="121"/>
      <c r="B60" s="122"/>
      <c r="C60" s="124"/>
      <c r="D60" s="124"/>
      <c r="E60" s="1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21.75" customHeight="1">
      <c r="A61" s="119"/>
      <c r="B61" s="120"/>
      <c r="C61" s="123"/>
      <c r="D61" s="123"/>
      <c r="E61" s="119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21.75" customHeight="1">
      <c r="A62" s="121"/>
      <c r="B62" s="122"/>
      <c r="C62" s="124"/>
      <c r="D62" s="124"/>
      <c r="E62" s="1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21.75" customHeight="1">
      <c r="A63" s="119"/>
      <c r="B63" s="120"/>
      <c r="C63" s="123"/>
      <c r="D63" s="123"/>
      <c r="E63" s="119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21.75" customHeight="1">
      <c r="A64" s="121"/>
      <c r="B64" s="122"/>
      <c r="C64" s="124"/>
      <c r="D64" s="124"/>
      <c r="E64" s="1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21.75" customHeight="1">
      <c r="A65" s="119"/>
      <c r="B65" s="120"/>
      <c r="C65" s="123"/>
      <c r="D65" s="123"/>
      <c r="E65" s="119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21.75" customHeight="1">
      <c r="A66" s="121"/>
      <c r="B66" s="122"/>
      <c r="C66" s="124"/>
      <c r="D66" s="124"/>
      <c r="E66" s="1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21.75" customHeight="1">
      <c r="A67" s="119"/>
      <c r="B67" s="120"/>
      <c r="C67" s="123"/>
      <c r="D67" s="123"/>
      <c r="E67" s="119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21.75" customHeight="1">
      <c r="A68" s="121"/>
      <c r="B68" s="122"/>
      <c r="C68" s="124"/>
      <c r="D68" s="124"/>
      <c r="E68" s="1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21.75" customHeight="1">
      <c r="A69" s="119"/>
      <c r="B69" s="120"/>
      <c r="C69" s="123"/>
      <c r="D69" s="123"/>
      <c r="E69" s="11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21.75" customHeight="1">
      <c r="A70" s="121"/>
      <c r="B70" s="122"/>
      <c r="C70" s="124"/>
      <c r="D70" s="124"/>
      <c r="E70" s="1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21.75" customHeight="1">
      <c r="A71" s="119"/>
      <c r="B71" s="120"/>
      <c r="C71" s="123"/>
      <c r="D71" s="123"/>
      <c r="E71" s="119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21.75" customHeight="1">
      <c r="A72" s="121"/>
      <c r="B72" s="122"/>
      <c r="C72" s="124"/>
      <c r="D72" s="124"/>
      <c r="E72" s="1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21.75" customHeight="1">
      <c r="A73" s="119"/>
      <c r="B73" s="120"/>
      <c r="C73" s="123"/>
      <c r="D73" s="123"/>
      <c r="E73" s="11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21.75" customHeight="1">
      <c r="A74" s="121"/>
      <c r="B74" s="122"/>
      <c r="C74" s="124"/>
      <c r="D74" s="124"/>
      <c r="E74" s="1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21.75" customHeight="1">
      <c r="A75" s="119"/>
      <c r="B75" s="120"/>
      <c r="C75" s="123"/>
      <c r="D75" s="123"/>
      <c r="E75" s="11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21.75" customHeight="1">
      <c r="A76" s="121"/>
      <c r="B76" s="122"/>
      <c r="C76" s="124"/>
      <c r="D76" s="124"/>
      <c r="E76" s="1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21.75" customHeight="1">
      <c r="A77" s="119"/>
      <c r="B77" s="120"/>
      <c r="C77" s="123"/>
      <c r="D77" s="123"/>
      <c r="E77" s="119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21.75" customHeight="1">
      <c r="A78" s="121"/>
      <c r="B78" s="122"/>
      <c r="C78" s="124"/>
      <c r="D78" s="124"/>
      <c r="E78" s="1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21.75" customHeight="1">
      <c r="A79" s="119"/>
      <c r="B79" s="120"/>
      <c r="C79" s="123"/>
      <c r="D79" s="123"/>
      <c r="E79" s="119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21.75" customHeight="1">
      <c r="A80" s="121"/>
      <c r="B80" s="122"/>
      <c r="C80" s="124"/>
      <c r="D80" s="124"/>
      <c r="E80" s="1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21.75" customHeight="1">
      <c r="A81" s="119"/>
      <c r="B81" s="120"/>
      <c r="C81" s="123"/>
      <c r="D81" s="123"/>
      <c r="E81" s="119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21.75" customHeight="1">
      <c r="A82" s="121"/>
      <c r="B82" s="122"/>
      <c r="C82" s="124"/>
      <c r="D82" s="124"/>
      <c r="E82" s="1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21.75" customHeight="1">
      <c r="A83" s="119"/>
      <c r="B83" s="120"/>
      <c r="C83" s="123"/>
      <c r="D83" s="123"/>
      <c r="E83" s="119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21.75" customHeight="1">
      <c r="A84" s="121"/>
      <c r="B84" s="122"/>
      <c r="C84" s="124"/>
      <c r="D84" s="124"/>
      <c r="E84" s="1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21.75" customHeight="1">
      <c r="A85" s="119"/>
      <c r="B85" s="120"/>
      <c r="C85" s="123"/>
      <c r="D85" s="123"/>
      <c r="E85" s="119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21.75" customHeight="1">
      <c r="A86" s="121"/>
      <c r="B86" s="122"/>
      <c r="C86" s="124"/>
      <c r="D86" s="124"/>
      <c r="E86" s="1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21.75" customHeight="1">
      <c r="A87" s="119"/>
      <c r="B87" s="120"/>
      <c r="C87" s="123"/>
      <c r="D87" s="123"/>
      <c r="E87" s="119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21.75" customHeight="1">
      <c r="A88" s="121"/>
      <c r="B88" s="122"/>
      <c r="C88" s="124"/>
      <c r="D88" s="124"/>
      <c r="E88" s="1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21.75" customHeight="1">
      <c r="A89" s="119"/>
      <c r="B89" s="120"/>
      <c r="C89" s="123"/>
      <c r="D89" s="123"/>
      <c r="E89" s="119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21.75" customHeight="1">
      <c r="A90" s="121"/>
      <c r="B90" s="122"/>
      <c r="C90" s="124"/>
      <c r="D90" s="124"/>
      <c r="E90" s="1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21.75" customHeight="1">
      <c r="A91" s="119"/>
      <c r="B91" s="120"/>
      <c r="C91" s="123"/>
      <c r="D91" s="123"/>
      <c r="E91" s="119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21.75" customHeight="1">
      <c r="A92" s="121"/>
      <c r="B92" s="122"/>
      <c r="C92" s="124"/>
      <c r="D92" s="124"/>
      <c r="E92" s="1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21.75" customHeight="1">
      <c r="A93" s="119"/>
      <c r="B93" s="120"/>
      <c r="C93" s="123"/>
      <c r="D93" s="123"/>
      <c r="E93" s="119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21.75" customHeight="1">
      <c r="A94" s="121"/>
      <c r="B94" s="122"/>
      <c r="C94" s="124"/>
      <c r="D94" s="124"/>
      <c r="E94" s="1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21.75" customHeight="1">
      <c r="A95" s="119"/>
      <c r="B95" s="120"/>
      <c r="C95" s="123"/>
      <c r="D95" s="123"/>
      <c r="E95" s="119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21.75" customHeight="1">
      <c r="A96" s="121"/>
      <c r="B96" s="122"/>
      <c r="C96" s="124"/>
      <c r="D96" s="124"/>
      <c r="E96" s="1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21.75" customHeight="1">
      <c r="A97" s="119"/>
      <c r="B97" s="120"/>
      <c r="C97" s="123"/>
      <c r="D97" s="123"/>
      <c r="E97" s="11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21.75" customHeight="1">
      <c r="A98" s="121"/>
      <c r="B98" s="122"/>
      <c r="C98" s="124"/>
      <c r="D98" s="124"/>
      <c r="E98" s="1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21.75" customHeight="1">
      <c r="A99" s="119"/>
      <c r="B99" s="120"/>
      <c r="C99" s="123"/>
      <c r="D99" s="123"/>
      <c r="E99" s="119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21.75" customHeight="1">
      <c r="A100" s="121"/>
      <c r="B100" s="122"/>
      <c r="C100" s="124"/>
      <c r="D100" s="124"/>
      <c r="E100" s="1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21.75" customHeight="1">
      <c r="A101" s="119"/>
      <c r="B101" s="120"/>
      <c r="C101" s="123"/>
      <c r="D101" s="123"/>
      <c r="E101" s="11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21.75" customHeight="1">
      <c r="A102" s="121"/>
      <c r="B102" s="122"/>
      <c r="C102" s="124"/>
      <c r="D102" s="124"/>
      <c r="E102" s="1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21.75" customHeight="1">
      <c r="A103" s="119"/>
      <c r="B103" s="120"/>
      <c r="C103" s="123"/>
      <c r="D103" s="123"/>
      <c r="E103" s="11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21.75" customHeight="1">
      <c r="A104" s="121"/>
      <c r="B104" s="122"/>
      <c r="C104" s="124"/>
      <c r="D104" s="124"/>
      <c r="E104" s="1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21.75" customHeight="1">
      <c r="A105" s="119"/>
      <c r="B105" s="120"/>
      <c r="C105" s="123"/>
      <c r="D105" s="123"/>
      <c r="E105" s="119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9.5" customHeight="1">
      <c r="A107" s="136" t="s">
        <v>289</v>
      </c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7"/>
      <c r="B308" s="7"/>
      <c r="C308" s="7"/>
      <c r="D308" s="7"/>
      <c r="E308" s="7"/>
      <c r="F308" s="7"/>
    </row>
    <row r="309" ht="15.75" customHeight="1">
      <c r="A309" s="7"/>
      <c r="B309" s="7"/>
      <c r="C309" s="7"/>
      <c r="D309" s="7"/>
      <c r="E309" s="7"/>
      <c r="F309" s="7"/>
    </row>
    <row r="310" ht="15.75" customHeight="1">
      <c r="A310" s="7"/>
      <c r="B310" s="7"/>
      <c r="C310" s="7"/>
      <c r="D310" s="7"/>
      <c r="E310" s="7"/>
      <c r="F310" s="7"/>
    </row>
    <row r="311" ht="15.75" customHeight="1">
      <c r="A311" s="7"/>
      <c r="B311" s="7"/>
      <c r="C311" s="7"/>
      <c r="D311" s="7"/>
      <c r="E311" s="7"/>
      <c r="F311" s="7"/>
    </row>
    <row r="312" ht="15.75" customHeight="1">
      <c r="A312" s="7"/>
      <c r="B312" s="7"/>
      <c r="C312" s="7"/>
      <c r="D312" s="7"/>
      <c r="E312" s="7"/>
      <c r="F312" s="7"/>
    </row>
    <row r="313" ht="15.75" customHeight="1">
      <c r="A313" s="7"/>
      <c r="B313" s="7"/>
      <c r="C313" s="7"/>
      <c r="D313" s="7"/>
      <c r="E313" s="7"/>
      <c r="F313" s="7"/>
    </row>
    <row r="314" ht="15.75" customHeight="1">
      <c r="A314" s="7"/>
      <c r="B314" s="7"/>
      <c r="C314" s="7"/>
      <c r="D314" s="7"/>
      <c r="E314" s="7"/>
      <c r="F314" s="7"/>
    </row>
    <row r="315" ht="15.75" customHeight="1">
      <c r="A315" s="7"/>
      <c r="B315" s="7"/>
      <c r="C315" s="7"/>
      <c r="D315" s="7"/>
      <c r="E315" s="7"/>
      <c r="F315" s="7"/>
    </row>
    <row r="316" ht="15.75" customHeight="1">
      <c r="A316" s="7"/>
      <c r="B316" s="7"/>
      <c r="C316" s="7"/>
      <c r="D316" s="7"/>
      <c r="E316" s="7"/>
      <c r="F316" s="7"/>
    </row>
    <row r="317" ht="15.75" customHeight="1">
      <c r="A317" s="7"/>
      <c r="B317" s="7"/>
      <c r="C317" s="7"/>
      <c r="D317" s="7"/>
      <c r="E317" s="7"/>
      <c r="F317" s="7"/>
    </row>
    <row r="318" ht="15.75" customHeight="1">
      <c r="A318" s="7"/>
      <c r="B318" s="7"/>
      <c r="C318" s="7"/>
      <c r="D318" s="7"/>
      <c r="E318" s="7"/>
      <c r="F318" s="7"/>
    </row>
    <row r="319" ht="15.75" customHeight="1">
      <c r="A319" s="7"/>
      <c r="B319" s="7"/>
      <c r="C319" s="7"/>
      <c r="D319" s="7"/>
      <c r="E319" s="7"/>
      <c r="F319" s="7"/>
    </row>
    <row r="320" ht="15.75" customHeight="1">
      <c r="A320" s="7"/>
      <c r="B320" s="7"/>
      <c r="C320" s="7"/>
      <c r="D320" s="7"/>
      <c r="E320" s="7"/>
      <c r="F320" s="7"/>
    </row>
    <row r="321" ht="15.75" customHeight="1">
      <c r="A321" s="7"/>
      <c r="B321" s="7"/>
      <c r="C321" s="7"/>
      <c r="D321" s="7"/>
      <c r="E321" s="7"/>
      <c r="F321" s="7"/>
    </row>
    <row r="322" ht="15.75" customHeight="1">
      <c r="A322" s="7"/>
      <c r="B322" s="7"/>
      <c r="C322" s="7"/>
      <c r="D322" s="7"/>
      <c r="E322" s="7"/>
      <c r="F322" s="7"/>
    </row>
    <row r="323" ht="15.75" customHeight="1">
      <c r="A323" s="7"/>
      <c r="B323" s="7"/>
      <c r="C323" s="7"/>
      <c r="D323" s="7"/>
      <c r="E323" s="7"/>
      <c r="F323" s="7"/>
    </row>
    <row r="324" ht="15.75" customHeight="1">
      <c r="A324" s="7"/>
      <c r="B324" s="7"/>
      <c r="C324" s="7"/>
      <c r="D324" s="7"/>
      <c r="E324" s="7"/>
      <c r="F324" s="7"/>
    </row>
    <row r="325" ht="15.75" customHeight="1">
      <c r="A325" s="7"/>
      <c r="B325" s="7"/>
      <c r="C325" s="7"/>
      <c r="D325" s="7"/>
      <c r="E325" s="7"/>
      <c r="F325" s="7"/>
    </row>
    <row r="326" ht="15.75" customHeight="1">
      <c r="A326" s="7"/>
      <c r="B326" s="7"/>
      <c r="C326" s="7"/>
      <c r="D326" s="7"/>
      <c r="E326" s="7"/>
      <c r="F326" s="7"/>
    </row>
    <row r="327" ht="15.75" customHeight="1">
      <c r="A327" s="7"/>
      <c r="B327" s="7"/>
      <c r="C327" s="7"/>
      <c r="D327" s="7"/>
      <c r="E327" s="7"/>
      <c r="F327" s="7"/>
    </row>
    <row r="328" ht="15.75" customHeight="1">
      <c r="A328" s="7"/>
      <c r="B328" s="7"/>
      <c r="C328" s="7"/>
      <c r="D328" s="7"/>
      <c r="E328" s="7"/>
      <c r="F328" s="7"/>
    </row>
    <row r="329" ht="15.75" customHeight="1">
      <c r="A329" s="7"/>
      <c r="B329" s="7"/>
      <c r="C329" s="7"/>
      <c r="D329" s="7"/>
      <c r="E329" s="7"/>
      <c r="F329" s="7"/>
    </row>
    <row r="330" ht="15.75" customHeight="1">
      <c r="A330" s="7"/>
      <c r="B330" s="7"/>
      <c r="C330" s="7"/>
      <c r="D330" s="7"/>
      <c r="E330" s="7"/>
      <c r="F330" s="7"/>
    </row>
    <row r="331" ht="15.75" customHeight="1">
      <c r="A331" s="7"/>
      <c r="B331" s="7"/>
      <c r="C331" s="7"/>
      <c r="D331" s="7"/>
      <c r="E331" s="7"/>
      <c r="F331" s="7"/>
    </row>
    <row r="332" ht="15.75" customHeight="1">
      <c r="A332" s="7"/>
      <c r="B332" s="7"/>
      <c r="C332" s="7"/>
      <c r="D332" s="7"/>
      <c r="E332" s="7"/>
      <c r="F332" s="7"/>
    </row>
    <row r="333" ht="15.75" customHeight="1">
      <c r="A333" s="7"/>
      <c r="B333" s="7"/>
      <c r="C333" s="7"/>
      <c r="D333" s="7"/>
      <c r="E333" s="7"/>
      <c r="F333" s="7"/>
    </row>
    <row r="334" ht="15.75" customHeight="1">
      <c r="A334" s="7"/>
      <c r="B334" s="7"/>
      <c r="C334" s="7"/>
      <c r="D334" s="7"/>
      <c r="E334" s="7"/>
      <c r="F334" s="7"/>
    </row>
    <row r="335" ht="15.75" customHeight="1">
      <c r="A335" s="7"/>
      <c r="B335" s="7"/>
      <c r="C335" s="7"/>
      <c r="D335" s="7"/>
      <c r="E335" s="7"/>
      <c r="F335" s="7"/>
    </row>
    <row r="336" ht="15.75" customHeight="1">
      <c r="A336" s="7"/>
      <c r="B336" s="7"/>
      <c r="C336" s="7"/>
      <c r="D336" s="7"/>
      <c r="E336" s="7"/>
      <c r="F336" s="7"/>
    </row>
    <row r="337" ht="15.75" customHeight="1">
      <c r="A337" s="7"/>
      <c r="B337" s="7"/>
      <c r="C337" s="7"/>
      <c r="D337" s="7"/>
      <c r="E337" s="7"/>
      <c r="F337" s="7"/>
    </row>
    <row r="338" ht="15.75" customHeight="1">
      <c r="A338" s="7"/>
      <c r="B338" s="7"/>
      <c r="C338" s="7"/>
      <c r="D338" s="7"/>
      <c r="E338" s="7"/>
      <c r="F338" s="7"/>
    </row>
    <row r="339" ht="15.75" customHeight="1">
      <c r="A339" s="7"/>
      <c r="B339" s="7"/>
      <c r="C339" s="7"/>
      <c r="D339" s="7"/>
      <c r="E339" s="7"/>
      <c r="F339" s="7"/>
    </row>
    <row r="340" ht="15.75" customHeight="1">
      <c r="A340" s="7"/>
      <c r="B340" s="7"/>
      <c r="C340" s="7"/>
      <c r="D340" s="7"/>
      <c r="E340" s="7"/>
      <c r="F340" s="7"/>
    </row>
    <row r="341" ht="15.75" customHeight="1">
      <c r="A341" s="7"/>
      <c r="B341" s="7"/>
      <c r="C341" s="7"/>
      <c r="D341" s="7"/>
      <c r="E341" s="7"/>
      <c r="F341" s="7"/>
    </row>
    <row r="342" ht="15.75" customHeight="1">
      <c r="A342" s="7"/>
      <c r="B342" s="7"/>
      <c r="C342" s="7"/>
      <c r="D342" s="7"/>
      <c r="E342" s="7"/>
      <c r="F342" s="7"/>
    </row>
    <row r="343" ht="15.75" customHeight="1">
      <c r="A343" s="7"/>
      <c r="B343" s="7"/>
      <c r="C343" s="7"/>
      <c r="D343" s="7"/>
      <c r="E343" s="7"/>
      <c r="F343" s="7"/>
    </row>
    <row r="344" ht="15.75" customHeight="1">
      <c r="A344" s="7"/>
      <c r="B344" s="7"/>
      <c r="C344" s="7"/>
      <c r="D344" s="7"/>
      <c r="E344" s="7"/>
      <c r="F344" s="7"/>
    </row>
    <row r="345" ht="15.75" customHeight="1">
      <c r="A345" s="7"/>
      <c r="B345" s="7"/>
      <c r="C345" s="7"/>
      <c r="D345" s="7"/>
      <c r="E345" s="7"/>
      <c r="F345" s="7"/>
    </row>
    <row r="346" ht="15.75" customHeight="1">
      <c r="A346" s="7"/>
      <c r="B346" s="7"/>
      <c r="C346" s="7"/>
      <c r="D346" s="7"/>
      <c r="E346" s="7"/>
      <c r="F346" s="7"/>
    </row>
    <row r="347" ht="15.75" customHeight="1">
      <c r="A347" s="7"/>
      <c r="B347" s="7"/>
      <c r="C347" s="7"/>
      <c r="D347" s="7"/>
      <c r="E347" s="7"/>
      <c r="F347" s="7"/>
    </row>
    <row r="348" ht="15.75" customHeight="1">
      <c r="A348" s="7"/>
      <c r="B348" s="7"/>
      <c r="C348" s="7"/>
      <c r="D348" s="7"/>
      <c r="E348" s="7"/>
      <c r="F348" s="7"/>
    </row>
    <row r="349" ht="15.75" customHeight="1">
      <c r="A349" s="7"/>
      <c r="B349" s="7"/>
      <c r="C349" s="7"/>
      <c r="D349" s="7"/>
      <c r="E349" s="7"/>
      <c r="F349" s="7"/>
    </row>
    <row r="350" ht="15.75" customHeight="1">
      <c r="A350" s="7"/>
      <c r="B350" s="7"/>
      <c r="C350" s="7"/>
      <c r="D350" s="7"/>
      <c r="E350" s="7"/>
      <c r="F350" s="7"/>
    </row>
    <row r="351" ht="15.75" customHeight="1">
      <c r="A351" s="7"/>
      <c r="B351" s="7"/>
      <c r="C351" s="7"/>
      <c r="D351" s="7"/>
      <c r="E351" s="7"/>
      <c r="F351" s="7"/>
    </row>
    <row r="352" ht="15.75" customHeight="1">
      <c r="A352" s="7"/>
      <c r="B352" s="7"/>
      <c r="C352" s="7"/>
      <c r="D352" s="7"/>
      <c r="E352" s="7"/>
      <c r="F352" s="7"/>
    </row>
    <row r="353" ht="15.75" customHeight="1">
      <c r="A353" s="7"/>
      <c r="B353" s="7"/>
      <c r="C353" s="7"/>
      <c r="D353" s="7"/>
      <c r="E353" s="7"/>
      <c r="F353" s="7"/>
    </row>
    <row r="354" ht="15.75" customHeight="1">
      <c r="A354" s="7"/>
      <c r="B354" s="7"/>
      <c r="C354" s="7"/>
      <c r="D354" s="7"/>
      <c r="E354" s="7"/>
      <c r="F354" s="7"/>
    </row>
    <row r="355" ht="15.75" customHeight="1">
      <c r="A355" s="7"/>
      <c r="B355" s="7"/>
      <c r="C355" s="7"/>
      <c r="D355" s="7"/>
      <c r="E355" s="7"/>
      <c r="F355" s="7"/>
    </row>
    <row r="356" ht="15.75" customHeight="1">
      <c r="A356" s="7"/>
      <c r="B356" s="7"/>
      <c r="C356" s="7"/>
      <c r="D356" s="7"/>
      <c r="E356" s="7"/>
      <c r="F356" s="7"/>
    </row>
    <row r="357" ht="15.75" customHeight="1">
      <c r="A357" s="7"/>
      <c r="B357" s="7"/>
      <c r="C357" s="7"/>
      <c r="D357" s="7"/>
      <c r="E357" s="7"/>
      <c r="F357" s="7"/>
    </row>
    <row r="358" ht="15.75" customHeight="1">
      <c r="A358" s="7"/>
      <c r="B358" s="7"/>
      <c r="C358" s="7"/>
      <c r="D358" s="7"/>
      <c r="E358" s="7"/>
      <c r="F358" s="7"/>
    </row>
    <row r="359" ht="15.75" customHeight="1">
      <c r="A359" s="7"/>
      <c r="B359" s="7"/>
      <c r="C359" s="7"/>
      <c r="D359" s="7"/>
      <c r="E359" s="7"/>
      <c r="F359" s="7"/>
    </row>
    <row r="360" ht="15.75" customHeight="1">
      <c r="A360" s="7"/>
      <c r="B360" s="7"/>
      <c r="C360" s="7"/>
      <c r="D360" s="7"/>
      <c r="E360" s="7"/>
      <c r="F360" s="7"/>
    </row>
    <row r="361" ht="15.75" customHeight="1">
      <c r="A361" s="7"/>
      <c r="B361" s="7"/>
      <c r="C361" s="7"/>
      <c r="D361" s="7"/>
      <c r="E361" s="7"/>
      <c r="F361" s="7"/>
    </row>
    <row r="362" ht="15.75" customHeight="1">
      <c r="A362" s="7"/>
      <c r="B362" s="7"/>
      <c r="C362" s="7"/>
      <c r="D362" s="7"/>
      <c r="E362" s="7"/>
      <c r="F362" s="7"/>
    </row>
    <row r="363" ht="15.75" customHeight="1">
      <c r="A363" s="7"/>
      <c r="B363" s="7"/>
      <c r="C363" s="7"/>
      <c r="D363" s="7"/>
      <c r="E363" s="7"/>
      <c r="F363" s="7"/>
    </row>
    <row r="364" ht="15.75" customHeight="1">
      <c r="A364" s="7"/>
      <c r="B364" s="7"/>
      <c r="C364" s="7"/>
      <c r="D364" s="7"/>
      <c r="E364" s="7"/>
      <c r="F364" s="7"/>
    </row>
    <row r="365" ht="15.75" customHeight="1">
      <c r="A365" s="7"/>
      <c r="B365" s="7"/>
      <c r="C365" s="7"/>
      <c r="D365" s="7"/>
      <c r="E365" s="7"/>
      <c r="F365" s="7"/>
    </row>
    <row r="366" ht="15.75" customHeight="1">
      <c r="A366" s="7"/>
      <c r="B366" s="7"/>
      <c r="C366" s="7"/>
      <c r="D366" s="7"/>
      <c r="E366" s="7"/>
      <c r="F366" s="7"/>
    </row>
    <row r="367" ht="15.75" customHeight="1">
      <c r="A367" s="7"/>
      <c r="B367" s="7"/>
      <c r="C367" s="7"/>
      <c r="D367" s="7"/>
      <c r="E367" s="7"/>
      <c r="F367" s="7"/>
    </row>
    <row r="368" ht="15.75" customHeight="1">
      <c r="A368" s="7"/>
      <c r="B368" s="7"/>
      <c r="C368" s="7"/>
      <c r="D368" s="7"/>
      <c r="E368" s="7"/>
      <c r="F368" s="7"/>
    </row>
    <row r="369" ht="15.75" customHeight="1">
      <c r="A369" s="7"/>
      <c r="B369" s="7"/>
      <c r="C369" s="7"/>
      <c r="D369" s="7"/>
      <c r="E369" s="7"/>
      <c r="F369" s="7"/>
    </row>
    <row r="370" ht="15.75" customHeight="1">
      <c r="A370" s="7"/>
      <c r="B370" s="7"/>
      <c r="C370" s="7"/>
      <c r="D370" s="7"/>
      <c r="E370" s="7"/>
      <c r="F370" s="7"/>
    </row>
    <row r="371" ht="15.75" customHeight="1">
      <c r="A371" s="7"/>
      <c r="B371" s="7"/>
      <c r="C371" s="7"/>
      <c r="D371" s="7"/>
      <c r="E371" s="7"/>
      <c r="F371" s="7"/>
    </row>
    <row r="372" ht="15.75" customHeight="1">
      <c r="A372" s="7"/>
      <c r="B372" s="7"/>
      <c r="C372" s="7"/>
      <c r="D372" s="7"/>
      <c r="E372" s="7"/>
      <c r="F372" s="7"/>
    </row>
    <row r="373" ht="15.75" customHeight="1">
      <c r="A373" s="7"/>
      <c r="B373" s="7"/>
      <c r="C373" s="7"/>
      <c r="D373" s="7"/>
      <c r="E373" s="7"/>
      <c r="F373" s="7"/>
    </row>
    <row r="374" ht="15.75" customHeight="1">
      <c r="A374" s="7"/>
      <c r="B374" s="7"/>
      <c r="C374" s="7"/>
      <c r="D374" s="7"/>
      <c r="E374" s="7"/>
      <c r="F374" s="7"/>
    </row>
    <row r="375" ht="15.75" customHeight="1">
      <c r="A375" s="7"/>
      <c r="B375" s="7"/>
      <c r="C375" s="7"/>
      <c r="D375" s="7"/>
      <c r="E375" s="7"/>
      <c r="F375" s="7"/>
    </row>
    <row r="376" ht="15.75" customHeight="1">
      <c r="A376" s="7"/>
      <c r="B376" s="7"/>
      <c r="C376" s="7"/>
      <c r="D376" s="7"/>
      <c r="E376" s="7"/>
      <c r="F376" s="7"/>
    </row>
    <row r="377" ht="15.75" customHeight="1">
      <c r="A377" s="7"/>
      <c r="B377" s="7"/>
      <c r="C377" s="7"/>
      <c r="D377" s="7"/>
      <c r="E377" s="7"/>
      <c r="F377" s="7"/>
    </row>
    <row r="378" ht="15.75" customHeight="1">
      <c r="A378" s="7"/>
      <c r="B378" s="7"/>
      <c r="C378" s="7"/>
      <c r="D378" s="7"/>
      <c r="E378" s="7"/>
      <c r="F378" s="7"/>
    </row>
    <row r="379" ht="15.75" customHeight="1">
      <c r="A379" s="7"/>
      <c r="B379" s="7"/>
      <c r="C379" s="7"/>
      <c r="D379" s="7"/>
      <c r="E379" s="7"/>
      <c r="F379" s="7"/>
    </row>
    <row r="380" ht="15.75" customHeight="1">
      <c r="A380" s="7"/>
      <c r="B380" s="7"/>
      <c r="C380" s="7"/>
      <c r="D380" s="7"/>
      <c r="E380" s="7"/>
      <c r="F380" s="7"/>
    </row>
    <row r="381" ht="15.75" customHeight="1">
      <c r="A381" s="7"/>
      <c r="B381" s="7"/>
      <c r="C381" s="7"/>
      <c r="D381" s="7"/>
      <c r="E381" s="7"/>
      <c r="F381" s="7"/>
    </row>
    <row r="382" ht="15.75" customHeight="1">
      <c r="A382" s="7"/>
      <c r="B382" s="7"/>
      <c r="C382" s="7"/>
      <c r="D382" s="7"/>
      <c r="E382" s="7"/>
      <c r="F382" s="7"/>
    </row>
    <row r="383" ht="15.75" customHeight="1">
      <c r="A383" s="7"/>
      <c r="B383" s="7"/>
      <c r="C383" s="7"/>
      <c r="D383" s="7"/>
      <c r="E383" s="7"/>
      <c r="F383" s="7"/>
    </row>
    <row r="384" ht="15.75" customHeight="1">
      <c r="A384" s="7"/>
      <c r="B384" s="7"/>
      <c r="C384" s="7"/>
      <c r="D384" s="7"/>
      <c r="E384" s="7"/>
      <c r="F384" s="7"/>
    </row>
    <row r="385" ht="15.75" customHeight="1">
      <c r="A385" s="7"/>
      <c r="B385" s="7"/>
      <c r="C385" s="7"/>
      <c r="D385" s="7"/>
      <c r="E385" s="7"/>
      <c r="F385" s="7"/>
    </row>
    <row r="386" ht="15.75" customHeight="1">
      <c r="A386" s="7"/>
      <c r="B386" s="7"/>
      <c r="C386" s="7"/>
      <c r="D386" s="7"/>
      <c r="E386" s="7"/>
      <c r="F386" s="7"/>
    </row>
    <row r="387" ht="15.75" customHeight="1">
      <c r="A387" s="7"/>
      <c r="B387" s="7"/>
      <c r="C387" s="7"/>
      <c r="D387" s="7"/>
      <c r="E387" s="7"/>
      <c r="F387" s="7"/>
    </row>
    <row r="388" ht="15.75" customHeight="1">
      <c r="A388" s="7"/>
      <c r="B388" s="7"/>
      <c r="C388" s="7"/>
      <c r="D388" s="7"/>
      <c r="E388" s="7"/>
      <c r="F388" s="7"/>
    </row>
    <row r="389" ht="15.75" customHeight="1">
      <c r="A389" s="7"/>
      <c r="B389" s="7"/>
      <c r="C389" s="7"/>
      <c r="D389" s="7"/>
      <c r="E389" s="7"/>
      <c r="F389" s="7"/>
    </row>
    <row r="390" ht="15.75" customHeight="1">
      <c r="A390" s="7"/>
      <c r="B390" s="7"/>
      <c r="C390" s="7"/>
      <c r="D390" s="7"/>
      <c r="E390" s="7"/>
      <c r="F390" s="7"/>
    </row>
    <row r="391" ht="15.75" customHeight="1">
      <c r="A391" s="7"/>
      <c r="B391" s="7"/>
      <c r="C391" s="7"/>
      <c r="D391" s="7"/>
      <c r="E391" s="7"/>
      <c r="F391" s="7"/>
    </row>
    <row r="392" ht="15.75" customHeight="1">
      <c r="A392" s="7"/>
      <c r="B392" s="7"/>
      <c r="C392" s="7"/>
      <c r="D392" s="7"/>
      <c r="E392" s="7"/>
      <c r="F392" s="7"/>
    </row>
    <row r="393" ht="15.75" customHeight="1">
      <c r="A393" s="7"/>
      <c r="B393" s="7"/>
      <c r="C393" s="7"/>
      <c r="D393" s="7"/>
      <c r="E393" s="7"/>
      <c r="F393" s="7"/>
    </row>
    <row r="394" ht="15.75" customHeight="1">
      <c r="A394" s="7"/>
      <c r="B394" s="7"/>
      <c r="C394" s="7"/>
      <c r="D394" s="7"/>
      <c r="E394" s="7"/>
      <c r="F394" s="7"/>
    </row>
    <row r="395" ht="15.75" customHeight="1">
      <c r="A395" s="7"/>
      <c r="B395" s="7"/>
      <c r="C395" s="7"/>
      <c r="D395" s="7"/>
      <c r="E395" s="7"/>
      <c r="F395" s="7"/>
    </row>
    <row r="396" ht="15.75" customHeight="1">
      <c r="A396" s="7"/>
      <c r="B396" s="7"/>
      <c r="C396" s="7"/>
      <c r="D396" s="7"/>
      <c r="E396" s="7"/>
      <c r="F396" s="7"/>
    </row>
    <row r="397" ht="15.75" customHeight="1">
      <c r="A397" s="7"/>
      <c r="B397" s="7"/>
      <c r="C397" s="7"/>
      <c r="D397" s="7"/>
      <c r="E397" s="7"/>
      <c r="F397" s="7"/>
    </row>
    <row r="398" ht="15.75" customHeight="1">
      <c r="A398" s="7"/>
      <c r="B398" s="7"/>
      <c r="C398" s="7"/>
      <c r="D398" s="7"/>
      <c r="E398" s="7"/>
      <c r="F398" s="7"/>
    </row>
    <row r="399" ht="15.75" customHeight="1">
      <c r="A399" s="7"/>
      <c r="B399" s="7"/>
      <c r="C399" s="7"/>
      <c r="D399" s="7"/>
      <c r="E399" s="7"/>
      <c r="F399" s="7"/>
    </row>
    <row r="400" ht="15.75" customHeight="1">
      <c r="A400" s="7"/>
      <c r="B400" s="7"/>
      <c r="C400" s="7"/>
      <c r="D400" s="7"/>
      <c r="E400" s="7"/>
      <c r="F400" s="7"/>
    </row>
    <row r="401" ht="15.75" customHeight="1">
      <c r="A401" s="7"/>
      <c r="B401" s="7"/>
      <c r="C401" s="7"/>
      <c r="D401" s="7"/>
      <c r="E401" s="7"/>
      <c r="F401" s="7"/>
    </row>
    <row r="402" ht="15.75" customHeight="1">
      <c r="A402" s="7"/>
      <c r="B402" s="7"/>
      <c r="C402" s="7"/>
      <c r="D402" s="7"/>
      <c r="E402" s="7"/>
      <c r="F402" s="7"/>
    </row>
    <row r="403" ht="15.75" customHeight="1">
      <c r="A403" s="7"/>
      <c r="B403" s="7"/>
      <c r="C403" s="7"/>
      <c r="D403" s="7"/>
      <c r="E403" s="7"/>
      <c r="F403" s="7"/>
    </row>
    <row r="404" ht="15.75" customHeight="1">
      <c r="A404" s="7"/>
      <c r="B404" s="7"/>
      <c r="C404" s="7"/>
      <c r="D404" s="7"/>
      <c r="E404" s="7"/>
      <c r="F404" s="7"/>
    </row>
    <row r="405" ht="15.75" customHeight="1">
      <c r="A405" s="7"/>
      <c r="B405" s="7"/>
      <c r="C405" s="7"/>
      <c r="D405" s="7"/>
      <c r="E405" s="7"/>
      <c r="F405" s="7"/>
    </row>
    <row r="406" ht="15.75" customHeight="1">
      <c r="A406" s="7"/>
      <c r="B406" s="7"/>
      <c r="C406" s="7"/>
      <c r="D406" s="7"/>
      <c r="E406" s="7"/>
      <c r="F406" s="7"/>
    </row>
    <row r="407" ht="15.75" customHeight="1">
      <c r="A407" s="7"/>
      <c r="B407" s="7"/>
      <c r="C407" s="7"/>
      <c r="D407" s="7"/>
      <c r="E407" s="7"/>
      <c r="F407" s="7"/>
    </row>
    <row r="408" ht="15.75" customHeight="1">
      <c r="A408" s="7"/>
      <c r="B408" s="7"/>
      <c r="C408" s="7"/>
      <c r="D408" s="7"/>
      <c r="E408" s="7"/>
      <c r="F408" s="7"/>
    </row>
    <row r="409" ht="15.75" customHeight="1">
      <c r="A409" s="7"/>
      <c r="B409" s="7"/>
      <c r="C409" s="7"/>
      <c r="D409" s="7"/>
      <c r="E409" s="7"/>
      <c r="F409" s="7"/>
    </row>
    <row r="410" ht="15.75" customHeight="1">
      <c r="A410" s="7"/>
      <c r="B410" s="7"/>
      <c r="C410" s="7"/>
      <c r="D410" s="7"/>
      <c r="E410" s="7"/>
      <c r="F410" s="7"/>
    </row>
    <row r="411" ht="15.75" customHeight="1">
      <c r="A411" s="7"/>
      <c r="B411" s="7"/>
      <c r="C411" s="7"/>
      <c r="D411" s="7"/>
      <c r="E411" s="7"/>
      <c r="F411" s="7"/>
    </row>
    <row r="412" ht="15.75" customHeight="1">
      <c r="A412" s="7"/>
      <c r="B412" s="7"/>
      <c r="C412" s="7"/>
      <c r="D412" s="7"/>
      <c r="E412" s="7"/>
      <c r="F412" s="7"/>
    </row>
    <row r="413" ht="15.75" customHeight="1">
      <c r="A413" s="7"/>
      <c r="B413" s="7"/>
      <c r="C413" s="7"/>
      <c r="D413" s="7"/>
      <c r="E413" s="7"/>
      <c r="F413" s="7"/>
    </row>
    <row r="414" ht="15.75" customHeight="1">
      <c r="A414" s="7"/>
      <c r="B414" s="7"/>
      <c r="C414" s="7"/>
      <c r="D414" s="7"/>
      <c r="E414" s="7"/>
      <c r="F414" s="7"/>
    </row>
    <row r="415" ht="15.75" customHeight="1">
      <c r="A415" s="7"/>
      <c r="B415" s="7"/>
      <c r="C415" s="7"/>
      <c r="D415" s="7"/>
      <c r="E415" s="7"/>
      <c r="F415" s="7"/>
    </row>
    <row r="416" ht="15.75" customHeight="1">
      <c r="A416" s="7"/>
      <c r="B416" s="7"/>
      <c r="C416" s="7"/>
      <c r="D416" s="7"/>
      <c r="E416" s="7"/>
      <c r="F416" s="7"/>
    </row>
    <row r="417" ht="15.75" customHeight="1">
      <c r="A417" s="7"/>
      <c r="B417" s="7"/>
      <c r="C417" s="7"/>
      <c r="D417" s="7"/>
      <c r="E417" s="7"/>
      <c r="F417" s="7"/>
    </row>
    <row r="418" ht="15.75" customHeight="1">
      <c r="A418" s="7"/>
      <c r="B418" s="7"/>
      <c r="C418" s="7"/>
      <c r="D418" s="7"/>
      <c r="E418" s="7"/>
      <c r="F418" s="7"/>
    </row>
    <row r="419" ht="15.75" customHeight="1">
      <c r="A419" s="7"/>
      <c r="B419" s="7"/>
      <c r="C419" s="7"/>
      <c r="D419" s="7"/>
      <c r="E419" s="7"/>
      <c r="F419" s="7"/>
    </row>
    <row r="420" ht="15.75" customHeight="1">
      <c r="A420" s="7"/>
      <c r="B420" s="7"/>
      <c r="C420" s="7"/>
      <c r="D420" s="7"/>
      <c r="E420" s="7"/>
      <c r="F420" s="7"/>
    </row>
    <row r="421" ht="15.75" customHeight="1">
      <c r="A421" s="7"/>
      <c r="B421" s="7"/>
      <c r="C421" s="7"/>
      <c r="D421" s="7"/>
      <c r="E421" s="7"/>
      <c r="F421" s="7"/>
    </row>
    <row r="422" ht="15.75" customHeight="1">
      <c r="A422" s="7"/>
      <c r="B422" s="7"/>
      <c r="C422" s="7"/>
      <c r="D422" s="7"/>
      <c r="E422" s="7"/>
      <c r="F422" s="7"/>
    </row>
    <row r="423" ht="15.75" customHeight="1">
      <c r="A423" s="7"/>
      <c r="B423" s="7"/>
      <c r="C423" s="7"/>
      <c r="D423" s="7"/>
      <c r="E423" s="7"/>
      <c r="F423" s="7"/>
    </row>
    <row r="424" ht="15.75" customHeight="1">
      <c r="A424" s="7"/>
      <c r="B424" s="7"/>
      <c r="C424" s="7"/>
      <c r="D424" s="7"/>
      <c r="E424" s="7"/>
      <c r="F424" s="7"/>
    </row>
    <row r="425" ht="15.75" customHeight="1">
      <c r="A425" s="7"/>
      <c r="B425" s="7"/>
      <c r="C425" s="7"/>
      <c r="D425" s="7"/>
      <c r="E425" s="7"/>
      <c r="F425" s="7"/>
    </row>
    <row r="426" ht="15.75" customHeight="1">
      <c r="A426" s="7"/>
      <c r="B426" s="7"/>
      <c r="C426" s="7"/>
      <c r="D426" s="7"/>
      <c r="E426" s="7"/>
      <c r="F426" s="7"/>
    </row>
    <row r="427" ht="15.75" customHeight="1">
      <c r="A427" s="7"/>
      <c r="B427" s="7"/>
      <c r="C427" s="7"/>
      <c r="D427" s="7"/>
      <c r="E427" s="7"/>
      <c r="F427" s="7"/>
    </row>
    <row r="428" ht="15.75" customHeight="1">
      <c r="A428" s="7"/>
      <c r="B428" s="7"/>
      <c r="C428" s="7"/>
      <c r="D428" s="7"/>
      <c r="E428" s="7"/>
      <c r="F428" s="7"/>
    </row>
    <row r="429" ht="15.75" customHeight="1">
      <c r="A429" s="7"/>
      <c r="B429" s="7"/>
      <c r="C429" s="7"/>
      <c r="D429" s="7"/>
      <c r="E429" s="7"/>
      <c r="F429" s="7"/>
    </row>
    <row r="430" ht="15.75" customHeight="1">
      <c r="A430" s="7"/>
      <c r="B430" s="7"/>
      <c r="C430" s="7"/>
      <c r="D430" s="7"/>
      <c r="E430" s="7"/>
      <c r="F430" s="7"/>
    </row>
    <row r="431" ht="15.75" customHeight="1">
      <c r="A431" s="7"/>
      <c r="B431" s="7"/>
      <c r="C431" s="7"/>
      <c r="D431" s="7"/>
      <c r="E431" s="7"/>
      <c r="F431" s="7"/>
    </row>
    <row r="432" ht="15.75" customHeight="1">
      <c r="A432" s="7"/>
      <c r="B432" s="7"/>
      <c r="C432" s="7"/>
      <c r="D432" s="7"/>
      <c r="E432" s="7"/>
      <c r="F432" s="7"/>
    </row>
    <row r="433" ht="15.75" customHeight="1">
      <c r="A433" s="7"/>
      <c r="B433" s="7"/>
      <c r="C433" s="7"/>
      <c r="D433" s="7"/>
      <c r="E433" s="7"/>
      <c r="F433" s="7"/>
    </row>
    <row r="434" ht="15.75" customHeight="1">
      <c r="A434" s="7"/>
      <c r="B434" s="7"/>
      <c r="C434" s="7"/>
      <c r="D434" s="7"/>
      <c r="E434" s="7"/>
      <c r="F434" s="7"/>
    </row>
    <row r="435" ht="15.75" customHeight="1">
      <c r="A435" s="7"/>
      <c r="B435" s="7"/>
      <c r="C435" s="7"/>
      <c r="D435" s="7"/>
      <c r="E435" s="7"/>
      <c r="F435" s="7"/>
    </row>
    <row r="436" ht="15.75" customHeight="1">
      <c r="A436" s="7"/>
      <c r="B436" s="7"/>
      <c r="C436" s="7"/>
      <c r="D436" s="7"/>
      <c r="E436" s="7"/>
      <c r="F436" s="7"/>
    </row>
    <row r="437" ht="15.75" customHeight="1">
      <c r="A437" s="7"/>
      <c r="B437" s="7"/>
      <c r="C437" s="7"/>
      <c r="D437" s="7"/>
      <c r="E437" s="7"/>
      <c r="F437" s="7"/>
    </row>
    <row r="438" ht="15.75" customHeight="1">
      <c r="A438" s="7"/>
      <c r="B438" s="7"/>
      <c r="C438" s="7"/>
      <c r="D438" s="7"/>
      <c r="E438" s="7"/>
      <c r="F438" s="7"/>
    </row>
    <row r="439" ht="15.75" customHeight="1">
      <c r="A439" s="7"/>
      <c r="B439" s="7"/>
      <c r="C439" s="7"/>
      <c r="D439" s="7"/>
      <c r="E439" s="7"/>
      <c r="F439" s="7"/>
    </row>
    <row r="440" ht="15.75" customHeight="1">
      <c r="A440" s="7"/>
      <c r="B440" s="7"/>
      <c r="C440" s="7"/>
      <c r="D440" s="7"/>
      <c r="E440" s="7"/>
      <c r="F440" s="7"/>
    </row>
    <row r="441" ht="15.75" customHeight="1">
      <c r="A441" s="7"/>
      <c r="B441" s="7"/>
      <c r="C441" s="7"/>
      <c r="D441" s="7"/>
      <c r="E441" s="7"/>
      <c r="F441" s="7"/>
    </row>
    <row r="442" ht="15.75" customHeight="1">
      <c r="A442" s="7"/>
      <c r="B442" s="7"/>
      <c r="C442" s="7"/>
      <c r="D442" s="7"/>
      <c r="E442" s="7"/>
      <c r="F442" s="7"/>
    </row>
    <row r="443" ht="15.75" customHeight="1">
      <c r="A443" s="7"/>
      <c r="B443" s="7"/>
      <c r="C443" s="7"/>
      <c r="D443" s="7"/>
      <c r="E443" s="7"/>
      <c r="F443" s="7"/>
    </row>
    <row r="444" ht="15.75" customHeight="1">
      <c r="A444" s="7"/>
      <c r="B444" s="7"/>
      <c r="C444" s="7"/>
      <c r="D444" s="7"/>
      <c r="E444" s="7"/>
      <c r="F444" s="7"/>
    </row>
    <row r="445" ht="15.75" customHeight="1">
      <c r="A445" s="7"/>
      <c r="B445" s="7"/>
      <c r="C445" s="7"/>
      <c r="D445" s="7"/>
      <c r="E445" s="7"/>
      <c r="F445" s="7"/>
    </row>
    <row r="446" ht="15.75" customHeight="1">
      <c r="A446" s="7"/>
      <c r="B446" s="7"/>
      <c r="C446" s="7"/>
      <c r="D446" s="7"/>
      <c r="E446" s="7"/>
      <c r="F446" s="7"/>
    </row>
    <row r="447" ht="15.75" customHeight="1">
      <c r="A447" s="7"/>
      <c r="B447" s="7"/>
      <c r="C447" s="7"/>
      <c r="D447" s="7"/>
      <c r="E447" s="7"/>
      <c r="F447" s="7"/>
    </row>
    <row r="448" ht="15.75" customHeight="1">
      <c r="A448" s="7"/>
      <c r="B448" s="7"/>
      <c r="C448" s="7"/>
      <c r="D448" s="7"/>
      <c r="E448" s="7"/>
      <c r="F448" s="7"/>
    </row>
    <row r="449" ht="15.75" customHeight="1">
      <c r="A449" s="7"/>
      <c r="B449" s="7"/>
      <c r="C449" s="7"/>
      <c r="D449" s="7"/>
      <c r="E449" s="7"/>
      <c r="F449" s="7"/>
    </row>
    <row r="450" ht="15.75" customHeight="1">
      <c r="A450" s="7"/>
      <c r="B450" s="7"/>
      <c r="C450" s="7"/>
      <c r="D450" s="7"/>
      <c r="E450" s="7"/>
      <c r="F450" s="7"/>
    </row>
    <row r="451" ht="15.75" customHeight="1">
      <c r="A451" s="7"/>
      <c r="B451" s="7"/>
      <c r="C451" s="7"/>
      <c r="D451" s="7"/>
      <c r="E451" s="7"/>
      <c r="F451" s="7"/>
    </row>
    <row r="452" ht="15.75" customHeight="1">
      <c r="A452" s="7"/>
      <c r="B452" s="7"/>
      <c r="C452" s="7"/>
      <c r="D452" s="7"/>
      <c r="E452" s="7"/>
      <c r="F452" s="7"/>
    </row>
    <row r="453" ht="15.75" customHeight="1">
      <c r="A453" s="7"/>
      <c r="B453" s="7"/>
      <c r="C453" s="7"/>
      <c r="D453" s="7"/>
      <c r="E453" s="7"/>
      <c r="F453" s="7"/>
    </row>
    <row r="454" ht="15.75" customHeight="1">
      <c r="A454" s="7"/>
      <c r="B454" s="7"/>
      <c r="C454" s="7"/>
      <c r="D454" s="7"/>
      <c r="E454" s="7"/>
      <c r="F454" s="7"/>
    </row>
    <row r="455" ht="15.75" customHeight="1">
      <c r="A455" s="7"/>
      <c r="B455" s="7"/>
      <c r="C455" s="7"/>
      <c r="D455" s="7"/>
      <c r="E455" s="7"/>
      <c r="F455" s="7"/>
    </row>
    <row r="456" ht="15.75" customHeight="1">
      <c r="A456" s="7"/>
      <c r="B456" s="7"/>
      <c r="C456" s="7"/>
      <c r="D456" s="7"/>
      <c r="E456" s="7"/>
      <c r="F456" s="7"/>
    </row>
    <row r="457" ht="15.75" customHeight="1">
      <c r="A457" s="7"/>
      <c r="B457" s="7"/>
      <c r="C457" s="7"/>
      <c r="D457" s="7"/>
      <c r="E457" s="7"/>
      <c r="F457" s="7"/>
    </row>
    <row r="458" ht="15.75" customHeight="1">
      <c r="A458" s="7"/>
      <c r="B458" s="7"/>
      <c r="C458" s="7"/>
      <c r="D458" s="7"/>
      <c r="E458" s="7"/>
      <c r="F458" s="7"/>
    </row>
    <row r="459" ht="15.75" customHeight="1">
      <c r="A459" s="7"/>
      <c r="B459" s="7"/>
      <c r="C459" s="7"/>
      <c r="D459" s="7"/>
      <c r="E459" s="7"/>
      <c r="F459" s="7"/>
    </row>
    <row r="460" ht="15.75" customHeight="1">
      <c r="A460" s="7"/>
      <c r="B460" s="7"/>
      <c r="C460" s="7"/>
      <c r="D460" s="7"/>
      <c r="E460" s="7"/>
      <c r="F460" s="7"/>
    </row>
    <row r="461" ht="15.75" customHeight="1">
      <c r="A461" s="7"/>
      <c r="B461" s="7"/>
      <c r="C461" s="7"/>
      <c r="D461" s="7"/>
      <c r="E461" s="7"/>
      <c r="F461" s="7"/>
    </row>
    <row r="462" ht="15.75" customHeight="1">
      <c r="A462" s="7"/>
      <c r="B462" s="7"/>
      <c r="C462" s="7"/>
      <c r="D462" s="7"/>
      <c r="E462" s="7"/>
      <c r="F462" s="7"/>
    </row>
    <row r="463" ht="15.75" customHeight="1">
      <c r="A463" s="7"/>
      <c r="B463" s="7"/>
      <c r="C463" s="7"/>
      <c r="D463" s="7"/>
      <c r="E463" s="7"/>
      <c r="F463" s="7"/>
    </row>
    <row r="464" ht="15.75" customHeight="1">
      <c r="A464" s="7"/>
      <c r="B464" s="7"/>
      <c r="C464" s="7"/>
      <c r="D464" s="7"/>
      <c r="E464" s="7"/>
      <c r="F464" s="7"/>
    </row>
    <row r="465" ht="15.75" customHeight="1">
      <c r="A465" s="7"/>
      <c r="B465" s="7"/>
      <c r="C465" s="7"/>
      <c r="D465" s="7"/>
      <c r="E465" s="7"/>
      <c r="F465" s="7"/>
    </row>
    <row r="466" ht="15.75" customHeight="1">
      <c r="A466" s="7"/>
      <c r="B466" s="7"/>
      <c r="C466" s="7"/>
      <c r="D466" s="7"/>
      <c r="E466" s="7"/>
      <c r="F466" s="7"/>
    </row>
    <row r="467" ht="15.75" customHeight="1">
      <c r="A467" s="7"/>
      <c r="B467" s="7"/>
      <c r="C467" s="7"/>
      <c r="D467" s="7"/>
      <c r="E467" s="7"/>
      <c r="F467" s="7"/>
    </row>
    <row r="468" ht="15.75" customHeight="1">
      <c r="A468" s="7"/>
      <c r="B468" s="7"/>
      <c r="C468" s="7"/>
      <c r="D468" s="7"/>
      <c r="E468" s="7"/>
      <c r="F468" s="7"/>
    </row>
    <row r="469" ht="15.75" customHeight="1">
      <c r="A469" s="7"/>
      <c r="B469" s="7"/>
      <c r="C469" s="7"/>
      <c r="D469" s="7"/>
      <c r="E469" s="7"/>
      <c r="F469" s="7"/>
    </row>
    <row r="470" ht="15.75" customHeight="1">
      <c r="A470" s="7"/>
      <c r="B470" s="7"/>
      <c r="C470" s="7"/>
      <c r="D470" s="7"/>
      <c r="E470" s="7"/>
      <c r="F470" s="7"/>
    </row>
    <row r="471" ht="15.75" customHeight="1">
      <c r="A471" s="7"/>
      <c r="B471" s="7"/>
      <c r="C471" s="7"/>
      <c r="D471" s="7"/>
      <c r="E471" s="7"/>
      <c r="F471" s="7"/>
    </row>
    <row r="472" ht="15.75" customHeight="1">
      <c r="A472" s="7"/>
      <c r="B472" s="7"/>
      <c r="C472" s="7"/>
      <c r="D472" s="7"/>
      <c r="E472" s="7"/>
      <c r="F472" s="7"/>
    </row>
    <row r="473" ht="15.75" customHeight="1">
      <c r="A473" s="7"/>
      <c r="B473" s="7"/>
      <c r="C473" s="7"/>
      <c r="D473" s="7"/>
      <c r="E473" s="7"/>
      <c r="F473" s="7"/>
    </row>
    <row r="474" ht="15.75" customHeight="1">
      <c r="A474" s="7"/>
      <c r="B474" s="7"/>
      <c r="C474" s="7"/>
      <c r="D474" s="7"/>
      <c r="E474" s="7"/>
      <c r="F474" s="7"/>
    </row>
    <row r="475" ht="15.75" customHeight="1">
      <c r="A475" s="7"/>
      <c r="B475" s="7"/>
      <c r="C475" s="7"/>
      <c r="D475" s="7"/>
      <c r="E475" s="7"/>
      <c r="F475" s="7"/>
    </row>
    <row r="476" ht="15.75" customHeight="1">
      <c r="A476" s="7"/>
      <c r="B476" s="7"/>
      <c r="C476" s="7"/>
      <c r="D476" s="7"/>
      <c r="E476" s="7"/>
      <c r="F476" s="7"/>
    </row>
    <row r="477" ht="15.75" customHeight="1">
      <c r="A477" s="7"/>
      <c r="B477" s="7"/>
      <c r="C477" s="7"/>
      <c r="D477" s="7"/>
      <c r="E477" s="7"/>
      <c r="F477" s="7"/>
    </row>
    <row r="478" ht="15.75" customHeight="1">
      <c r="A478" s="7"/>
      <c r="B478" s="7"/>
      <c r="C478" s="7"/>
      <c r="D478" s="7"/>
      <c r="E478" s="7"/>
      <c r="F478" s="7"/>
    </row>
    <row r="479" ht="15.75" customHeight="1">
      <c r="A479" s="7"/>
      <c r="B479" s="7"/>
      <c r="C479" s="7"/>
      <c r="D479" s="7"/>
      <c r="E479" s="7"/>
      <c r="F479" s="7"/>
    </row>
    <row r="480" ht="15.75" customHeight="1">
      <c r="A480" s="7"/>
      <c r="B480" s="7"/>
      <c r="C480" s="7"/>
      <c r="D480" s="7"/>
      <c r="E480" s="7"/>
      <c r="F480" s="7"/>
    </row>
    <row r="481" ht="15.75" customHeight="1">
      <c r="A481" s="7"/>
      <c r="B481" s="7"/>
      <c r="C481" s="7"/>
      <c r="D481" s="7"/>
      <c r="E481" s="7"/>
      <c r="F481" s="7"/>
    </row>
    <row r="482" ht="15.75" customHeight="1">
      <c r="A482" s="7"/>
      <c r="B482" s="7"/>
      <c r="C482" s="7"/>
      <c r="D482" s="7"/>
      <c r="E482" s="7"/>
      <c r="F482" s="7"/>
    </row>
    <row r="483" ht="15.75" customHeight="1">
      <c r="A483" s="7"/>
      <c r="B483" s="7"/>
      <c r="C483" s="7"/>
      <c r="D483" s="7"/>
      <c r="E483" s="7"/>
      <c r="F483" s="7"/>
    </row>
    <row r="484" ht="15.75" customHeight="1">
      <c r="A484" s="7"/>
      <c r="B484" s="7"/>
      <c r="C484" s="7"/>
      <c r="D484" s="7"/>
      <c r="E484" s="7"/>
      <c r="F484" s="7"/>
    </row>
    <row r="485" ht="15.75" customHeight="1">
      <c r="A485" s="7"/>
      <c r="B485" s="7"/>
      <c r="C485" s="7"/>
      <c r="D485" s="7"/>
      <c r="E485" s="7"/>
      <c r="F485" s="7"/>
    </row>
    <row r="486" ht="15.75" customHeight="1">
      <c r="A486" s="7"/>
      <c r="B486" s="7"/>
      <c r="C486" s="7"/>
      <c r="D486" s="7"/>
      <c r="E486" s="7"/>
      <c r="F486" s="7"/>
    </row>
    <row r="487" ht="15.75" customHeight="1">
      <c r="A487" s="7"/>
      <c r="B487" s="7"/>
      <c r="C487" s="7"/>
      <c r="D487" s="7"/>
      <c r="E487" s="7"/>
      <c r="F487" s="7"/>
    </row>
    <row r="488" ht="15.75" customHeight="1">
      <c r="A488" s="7"/>
      <c r="B488" s="7"/>
      <c r="C488" s="7"/>
      <c r="D488" s="7"/>
      <c r="E488" s="7"/>
      <c r="F488" s="7"/>
    </row>
    <row r="489" ht="15.75" customHeight="1">
      <c r="A489" s="7"/>
      <c r="B489" s="7"/>
      <c r="C489" s="7"/>
      <c r="D489" s="7"/>
      <c r="E489" s="7"/>
      <c r="F489" s="7"/>
    </row>
    <row r="490" ht="15.75" customHeight="1">
      <c r="A490" s="7"/>
      <c r="B490" s="7"/>
      <c r="C490" s="7"/>
      <c r="D490" s="7"/>
      <c r="E490" s="7"/>
      <c r="F490" s="7"/>
    </row>
    <row r="491" ht="15.75" customHeight="1">
      <c r="A491" s="7"/>
      <c r="B491" s="7"/>
      <c r="C491" s="7"/>
      <c r="D491" s="7"/>
      <c r="E491" s="7"/>
      <c r="F491" s="7"/>
    </row>
    <row r="492" ht="15.75" customHeight="1">
      <c r="A492" s="7"/>
      <c r="B492" s="7"/>
      <c r="C492" s="7"/>
      <c r="D492" s="7"/>
      <c r="E492" s="7"/>
      <c r="F492" s="7"/>
    </row>
    <row r="493" ht="15.75" customHeight="1">
      <c r="A493" s="7"/>
      <c r="B493" s="7"/>
      <c r="C493" s="7"/>
      <c r="D493" s="7"/>
      <c r="E493" s="7"/>
      <c r="F493" s="7"/>
    </row>
    <row r="494" ht="15.75" customHeight="1">
      <c r="A494" s="7"/>
      <c r="B494" s="7"/>
      <c r="C494" s="7"/>
      <c r="D494" s="7"/>
      <c r="E494" s="7"/>
      <c r="F494" s="7"/>
    </row>
    <row r="495" ht="15.75" customHeight="1">
      <c r="A495" s="7"/>
      <c r="B495" s="7"/>
      <c r="C495" s="7"/>
      <c r="D495" s="7"/>
      <c r="E495" s="7"/>
      <c r="F495" s="7"/>
    </row>
    <row r="496" ht="15.75" customHeight="1">
      <c r="A496" s="7"/>
      <c r="B496" s="7"/>
      <c r="C496" s="7"/>
      <c r="D496" s="7"/>
      <c r="E496" s="7"/>
      <c r="F496" s="7"/>
    </row>
    <row r="497" ht="15.75" customHeight="1">
      <c r="A497" s="7"/>
      <c r="B497" s="7"/>
      <c r="C497" s="7"/>
      <c r="D497" s="7"/>
      <c r="E497" s="7"/>
      <c r="F497" s="7"/>
    </row>
    <row r="498" ht="15.75" customHeight="1">
      <c r="A498" s="7"/>
      <c r="B498" s="7"/>
      <c r="C498" s="7"/>
      <c r="D498" s="7"/>
      <c r="E498" s="7"/>
      <c r="F498" s="7"/>
    </row>
    <row r="499" ht="15.75" customHeight="1">
      <c r="A499" s="7"/>
      <c r="B499" s="7"/>
      <c r="C499" s="7"/>
      <c r="D499" s="7"/>
      <c r="E499" s="7"/>
      <c r="F499" s="7"/>
    </row>
    <row r="500" ht="15.75" customHeight="1">
      <c r="A500" s="7"/>
      <c r="B500" s="7"/>
      <c r="C500" s="7"/>
      <c r="D500" s="7"/>
      <c r="E500" s="7"/>
      <c r="F500" s="7"/>
    </row>
    <row r="501" ht="15.75" customHeight="1">
      <c r="A501" s="7"/>
      <c r="B501" s="7"/>
      <c r="C501" s="7"/>
      <c r="D501" s="7"/>
      <c r="E501" s="7"/>
      <c r="F501" s="7"/>
    </row>
    <row r="502" ht="15.75" customHeight="1">
      <c r="A502" s="7"/>
      <c r="B502" s="7"/>
      <c r="C502" s="7"/>
      <c r="D502" s="7"/>
      <c r="E502" s="7"/>
      <c r="F502" s="7"/>
    </row>
    <row r="503" ht="15.75" customHeight="1">
      <c r="A503" s="7"/>
      <c r="B503" s="7"/>
      <c r="C503" s="7"/>
      <c r="D503" s="7"/>
      <c r="E503" s="7"/>
      <c r="F503" s="7"/>
    </row>
    <row r="504" ht="15.75" customHeight="1">
      <c r="A504" s="7"/>
      <c r="B504" s="7"/>
      <c r="C504" s="7"/>
      <c r="D504" s="7"/>
      <c r="E504" s="7"/>
      <c r="F504" s="7"/>
    </row>
    <row r="505" ht="15.75" customHeight="1">
      <c r="A505" s="7"/>
      <c r="B505" s="7"/>
      <c r="C505" s="7"/>
      <c r="D505" s="7"/>
      <c r="E505" s="7"/>
      <c r="F505" s="7"/>
    </row>
    <row r="506" ht="15.75" customHeight="1">
      <c r="A506" s="7"/>
      <c r="B506" s="7"/>
      <c r="C506" s="7"/>
      <c r="D506" s="7"/>
      <c r="E506" s="7"/>
      <c r="F506" s="7"/>
    </row>
    <row r="507" ht="15.75" customHeight="1">
      <c r="A507" s="7"/>
      <c r="B507" s="7"/>
      <c r="C507" s="7"/>
      <c r="D507" s="7"/>
      <c r="E507" s="7"/>
      <c r="F507" s="7"/>
    </row>
    <row r="508" ht="15.75" customHeight="1">
      <c r="A508" s="7"/>
      <c r="B508" s="7"/>
      <c r="C508" s="7"/>
      <c r="D508" s="7"/>
      <c r="E508" s="7"/>
      <c r="F508" s="7"/>
    </row>
    <row r="509" ht="15.75" customHeight="1">
      <c r="A509" s="7"/>
      <c r="B509" s="7"/>
      <c r="C509" s="7"/>
      <c r="D509" s="7"/>
      <c r="E509" s="7"/>
      <c r="F509" s="7"/>
    </row>
    <row r="510" ht="15.75" customHeight="1">
      <c r="A510" s="7"/>
      <c r="B510" s="7"/>
      <c r="C510" s="7"/>
      <c r="D510" s="7"/>
      <c r="E510" s="7"/>
      <c r="F510" s="7"/>
    </row>
    <row r="511" ht="15.75" customHeight="1">
      <c r="A511" s="7"/>
      <c r="B511" s="7"/>
      <c r="C511" s="7"/>
      <c r="D511" s="7"/>
      <c r="E511" s="7"/>
      <c r="F511" s="7"/>
    </row>
    <row r="512" ht="15.75" customHeight="1">
      <c r="A512" s="7"/>
      <c r="B512" s="7"/>
      <c r="C512" s="7"/>
      <c r="D512" s="7"/>
      <c r="E512" s="7"/>
      <c r="F512" s="7"/>
    </row>
    <row r="513" ht="15.75" customHeight="1">
      <c r="A513" s="7"/>
      <c r="B513" s="7"/>
      <c r="C513" s="7"/>
      <c r="D513" s="7"/>
      <c r="E513" s="7"/>
      <c r="F513" s="7"/>
    </row>
    <row r="514" ht="15.75" customHeight="1">
      <c r="A514" s="7"/>
      <c r="B514" s="7"/>
      <c r="C514" s="7"/>
      <c r="D514" s="7"/>
      <c r="E514" s="7"/>
      <c r="F514" s="7"/>
    </row>
    <row r="515" ht="15.75" customHeight="1">
      <c r="A515" s="7"/>
      <c r="B515" s="7"/>
      <c r="C515" s="7"/>
      <c r="D515" s="7"/>
      <c r="E515" s="7"/>
      <c r="F515" s="7"/>
    </row>
    <row r="516" ht="15.75" customHeight="1">
      <c r="A516" s="7"/>
      <c r="B516" s="7"/>
      <c r="C516" s="7"/>
      <c r="D516" s="7"/>
      <c r="E516" s="7"/>
      <c r="F516" s="7"/>
    </row>
    <row r="517" ht="15.75" customHeight="1">
      <c r="A517" s="7"/>
      <c r="B517" s="7"/>
      <c r="C517" s="7"/>
      <c r="D517" s="7"/>
      <c r="E517" s="7"/>
      <c r="F517" s="7"/>
    </row>
    <row r="518" ht="15.75" customHeight="1">
      <c r="A518" s="7"/>
      <c r="B518" s="7"/>
      <c r="C518" s="7"/>
      <c r="D518" s="7"/>
      <c r="E518" s="7"/>
      <c r="F518" s="7"/>
    </row>
    <row r="519" ht="15.75" customHeight="1">
      <c r="A519" s="7"/>
      <c r="B519" s="7"/>
      <c r="C519" s="7"/>
      <c r="D519" s="7"/>
      <c r="E519" s="7"/>
      <c r="F519" s="7"/>
    </row>
    <row r="520" ht="15.75" customHeight="1">
      <c r="A520" s="7"/>
      <c r="B520" s="7"/>
      <c r="C520" s="7"/>
      <c r="D520" s="7"/>
      <c r="E520" s="7"/>
      <c r="F520" s="7"/>
    </row>
    <row r="521" ht="15.75" customHeight="1">
      <c r="A521" s="7"/>
      <c r="B521" s="7"/>
      <c r="C521" s="7"/>
      <c r="D521" s="7"/>
      <c r="E521" s="7"/>
      <c r="F521" s="7"/>
    </row>
    <row r="522" ht="15.75" customHeight="1">
      <c r="A522" s="7"/>
      <c r="B522" s="7"/>
      <c r="C522" s="7"/>
      <c r="D522" s="7"/>
      <c r="E522" s="7"/>
      <c r="F522" s="7"/>
    </row>
    <row r="523" ht="15.75" customHeight="1">
      <c r="A523" s="7"/>
      <c r="B523" s="7"/>
      <c r="C523" s="7"/>
      <c r="D523" s="7"/>
      <c r="E523" s="7"/>
      <c r="F523" s="7"/>
    </row>
    <row r="524" ht="15.75" customHeight="1">
      <c r="A524" s="7"/>
      <c r="B524" s="7"/>
      <c r="C524" s="7"/>
      <c r="D524" s="7"/>
      <c r="E524" s="7"/>
      <c r="F524" s="7"/>
    </row>
    <row r="525" ht="15.75" customHeight="1">
      <c r="A525" s="7"/>
      <c r="B525" s="7"/>
      <c r="C525" s="7"/>
      <c r="D525" s="7"/>
      <c r="E525" s="7"/>
      <c r="F525" s="7"/>
    </row>
    <row r="526" ht="15.75" customHeight="1">
      <c r="A526" s="7"/>
      <c r="B526" s="7"/>
      <c r="C526" s="7"/>
      <c r="D526" s="7"/>
      <c r="E526" s="7"/>
      <c r="F526" s="7"/>
    </row>
    <row r="527" ht="15.75" customHeight="1">
      <c r="A527" s="7"/>
      <c r="B527" s="7"/>
      <c r="C527" s="7"/>
      <c r="D527" s="7"/>
      <c r="E527" s="7"/>
      <c r="F527" s="7"/>
    </row>
    <row r="528" ht="15.75" customHeight="1">
      <c r="A528" s="7"/>
      <c r="B528" s="7"/>
      <c r="C528" s="7"/>
      <c r="D528" s="7"/>
      <c r="E528" s="7"/>
      <c r="F528" s="7"/>
    </row>
    <row r="529" ht="15.75" customHeight="1">
      <c r="A529" s="7"/>
      <c r="B529" s="7"/>
      <c r="C529" s="7"/>
      <c r="D529" s="7"/>
      <c r="E529" s="7"/>
      <c r="F529" s="7"/>
    </row>
    <row r="530" ht="15.75" customHeight="1">
      <c r="A530" s="7"/>
      <c r="B530" s="7"/>
      <c r="C530" s="7"/>
      <c r="D530" s="7"/>
      <c r="E530" s="7"/>
      <c r="F530" s="7"/>
    </row>
    <row r="531" ht="15.75" customHeight="1">
      <c r="A531" s="7"/>
      <c r="B531" s="7"/>
      <c r="C531" s="7"/>
      <c r="D531" s="7"/>
      <c r="E531" s="7"/>
      <c r="F531" s="7"/>
    </row>
    <row r="532" ht="15.75" customHeight="1">
      <c r="A532" s="7"/>
      <c r="B532" s="7"/>
      <c r="C532" s="7"/>
      <c r="D532" s="7"/>
      <c r="E532" s="7"/>
      <c r="F532" s="7"/>
    </row>
    <row r="533" ht="15.75" customHeight="1">
      <c r="A533" s="7"/>
      <c r="B533" s="7"/>
      <c r="C533" s="7"/>
      <c r="D533" s="7"/>
      <c r="E533" s="7"/>
      <c r="F533" s="7"/>
    </row>
    <row r="534" ht="15.75" customHeight="1">
      <c r="A534" s="7"/>
      <c r="B534" s="7"/>
      <c r="C534" s="7"/>
      <c r="D534" s="7"/>
      <c r="E534" s="7"/>
      <c r="F534" s="7"/>
    </row>
    <row r="535" ht="15.75" customHeight="1">
      <c r="A535" s="7"/>
      <c r="B535" s="7"/>
      <c r="C535" s="7"/>
      <c r="D535" s="7"/>
      <c r="E535" s="7"/>
      <c r="F535" s="7"/>
    </row>
    <row r="536" ht="15.75" customHeight="1">
      <c r="A536" s="7"/>
      <c r="B536" s="7"/>
      <c r="C536" s="7"/>
      <c r="D536" s="7"/>
      <c r="E536" s="7"/>
      <c r="F536" s="7"/>
    </row>
    <row r="537" ht="15.75" customHeight="1">
      <c r="A537" s="7"/>
      <c r="B537" s="7"/>
      <c r="C537" s="7"/>
      <c r="D537" s="7"/>
      <c r="E537" s="7"/>
      <c r="F537" s="7"/>
    </row>
    <row r="538" ht="15.75" customHeight="1">
      <c r="A538" s="7"/>
      <c r="B538" s="7"/>
      <c r="C538" s="7"/>
      <c r="D538" s="7"/>
      <c r="E538" s="7"/>
      <c r="F538" s="7"/>
    </row>
    <row r="539" ht="15.75" customHeight="1">
      <c r="A539" s="7"/>
      <c r="B539" s="7"/>
      <c r="C539" s="7"/>
      <c r="D539" s="7"/>
      <c r="E539" s="7"/>
      <c r="F539" s="7"/>
    </row>
    <row r="540" ht="15.75" customHeight="1">
      <c r="A540" s="7"/>
      <c r="B540" s="7"/>
      <c r="C540" s="7"/>
      <c r="D540" s="7"/>
      <c r="E540" s="7"/>
      <c r="F540" s="7"/>
    </row>
    <row r="541" ht="15.75" customHeight="1">
      <c r="A541" s="7"/>
      <c r="B541" s="7"/>
      <c r="C541" s="7"/>
      <c r="D541" s="7"/>
      <c r="E541" s="7"/>
      <c r="F541" s="7"/>
    </row>
    <row r="542" ht="15.75" customHeight="1">
      <c r="A542" s="7"/>
      <c r="B542" s="7"/>
      <c r="C542" s="7"/>
      <c r="D542" s="7"/>
      <c r="E542" s="7"/>
      <c r="F542" s="7"/>
    </row>
    <row r="543" ht="15.75" customHeight="1">
      <c r="A543" s="7"/>
      <c r="B543" s="7"/>
      <c r="C543" s="7"/>
      <c r="D543" s="7"/>
      <c r="E543" s="7"/>
      <c r="F543" s="7"/>
    </row>
    <row r="544" ht="15.75" customHeight="1">
      <c r="A544" s="7"/>
      <c r="B544" s="7"/>
      <c r="C544" s="7"/>
      <c r="D544" s="7"/>
      <c r="E544" s="7"/>
      <c r="F544" s="7"/>
    </row>
    <row r="545" ht="15.75" customHeight="1">
      <c r="A545" s="7"/>
      <c r="B545" s="7"/>
      <c r="C545" s="7"/>
      <c r="D545" s="7"/>
      <c r="E545" s="7"/>
      <c r="F545" s="7"/>
    </row>
    <row r="546" ht="15.75" customHeight="1">
      <c r="A546" s="7"/>
      <c r="B546" s="7"/>
      <c r="C546" s="7"/>
      <c r="D546" s="7"/>
      <c r="E546" s="7"/>
      <c r="F546" s="7"/>
    </row>
    <row r="547" ht="15.75" customHeight="1">
      <c r="A547" s="7"/>
      <c r="B547" s="7"/>
      <c r="C547" s="7"/>
      <c r="D547" s="7"/>
      <c r="E547" s="7"/>
      <c r="F547" s="7"/>
    </row>
    <row r="548" ht="15.75" customHeight="1">
      <c r="A548" s="7"/>
      <c r="B548" s="7"/>
      <c r="C548" s="7"/>
      <c r="D548" s="7"/>
      <c r="E548" s="7"/>
      <c r="F548" s="7"/>
    </row>
    <row r="549" ht="15.75" customHeight="1">
      <c r="A549" s="7"/>
      <c r="B549" s="7"/>
      <c r="C549" s="7"/>
      <c r="D549" s="7"/>
      <c r="E549" s="7"/>
      <c r="F549" s="7"/>
    </row>
    <row r="550" ht="15.75" customHeight="1">
      <c r="A550" s="7"/>
      <c r="B550" s="7"/>
      <c r="C550" s="7"/>
      <c r="D550" s="7"/>
      <c r="E550" s="7"/>
      <c r="F550" s="7"/>
    </row>
    <row r="551" ht="15.75" customHeight="1">
      <c r="A551" s="7"/>
      <c r="B551" s="7"/>
      <c r="C551" s="7"/>
      <c r="D551" s="7"/>
      <c r="E551" s="7"/>
      <c r="F551" s="7"/>
    </row>
    <row r="552" ht="15.75" customHeight="1">
      <c r="A552" s="7"/>
      <c r="B552" s="7"/>
      <c r="C552" s="7"/>
      <c r="D552" s="7"/>
      <c r="E552" s="7"/>
      <c r="F552" s="7"/>
    </row>
    <row r="553" ht="15.75" customHeight="1">
      <c r="A553" s="7"/>
      <c r="B553" s="7"/>
      <c r="C553" s="7"/>
      <c r="D553" s="7"/>
      <c r="E553" s="7"/>
      <c r="F553" s="7"/>
    </row>
    <row r="554" ht="15.75" customHeight="1">
      <c r="A554" s="7"/>
      <c r="B554" s="7"/>
      <c r="C554" s="7"/>
      <c r="D554" s="7"/>
      <c r="E554" s="7"/>
      <c r="F554" s="7"/>
    </row>
    <row r="555" ht="15.75" customHeight="1">
      <c r="A555" s="7"/>
      <c r="B555" s="7"/>
      <c r="C555" s="7"/>
      <c r="D555" s="7"/>
      <c r="E555" s="7"/>
      <c r="F555" s="7"/>
    </row>
    <row r="556" ht="15.75" customHeight="1">
      <c r="A556" s="7"/>
      <c r="B556" s="7"/>
      <c r="C556" s="7"/>
      <c r="D556" s="7"/>
      <c r="E556" s="7"/>
      <c r="F556" s="7"/>
    </row>
    <row r="557" ht="15.75" customHeight="1">
      <c r="A557" s="7"/>
      <c r="B557" s="7"/>
      <c r="C557" s="7"/>
      <c r="D557" s="7"/>
      <c r="E557" s="7"/>
      <c r="F557" s="7"/>
    </row>
    <row r="558" ht="15.75" customHeight="1">
      <c r="A558" s="7"/>
      <c r="B558" s="7"/>
      <c r="C558" s="7"/>
      <c r="D558" s="7"/>
      <c r="E558" s="7"/>
      <c r="F558" s="7"/>
    </row>
    <row r="559" ht="15.75" customHeight="1">
      <c r="A559" s="7"/>
      <c r="B559" s="7"/>
      <c r="C559" s="7"/>
      <c r="D559" s="7"/>
      <c r="E559" s="7"/>
      <c r="F559" s="7"/>
    </row>
    <row r="560" ht="15.75" customHeight="1">
      <c r="A560" s="7"/>
      <c r="B560" s="7"/>
      <c r="C560" s="7"/>
      <c r="D560" s="7"/>
      <c r="E560" s="7"/>
      <c r="F560" s="7"/>
    </row>
    <row r="561" ht="15.75" customHeight="1">
      <c r="A561" s="7"/>
      <c r="B561" s="7"/>
      <c r="C561" s="7"/>
      <c r="D561" s="7"/>
      <c r="E561" s="7"/>
      <c r="F561" s="7"/>
    </row>
    <row r="562" ht="15.75" customHeight="1">
      <c r="A562" s="7"/>
      <c r="B562" s="7"/>
      <c r="C562" s="7"/>
      <c r="D562" s="7"/>
      <c r="E562" s="7"/>
      <c r="F562" s="7"/>
    </row>
    <row r="563" ht="15.75" customHeight="1">
      <c r="A563" s="7"/>
      <c r="B563" s="7"/>
      <c r="C563" s="7"/>
      <c r="D563" s="7"/>
      <c r="E563" s="7"/>
      <c r="F563" s="7"/>
    </row>
    <row r="564" ht="15.75" customHeight="1">
      <c r="A564" s="7"/>
      <c r="B564" s="7"/>
      <c r="C564" s="7"/>
      <c r="D564" s="7"/>
      <c r="E564" s="7"/>
      <c r="F564" s="7"/>
    </row>
    <row r="565" ht="15.75" customHeight="1">
      <c r="A565" s="7"/>
      <c r="B565" s="7"/>
      <c r="C565" s="7"/>
      <c r="D565" s="7"/>
      <c r="E565" s="7"/>
      <c r="F565" s="7"/>
    </row>
    <row r="566" ht="15.75" customHeight="1">
      <c r="A566" s="7"/>
      <c r="B566" s="7"/>
      <c r="C566" s="7"/>
      <c r="D566" s="7"/>
      <c r="E566" s="7"/>
      <c r="F566" s="7"/>
    </row>
    <row r="567" ht="15.75" customHeight="1">
      <c r="A567" s="7"/>
      <c r="B567" s="7"/>
      <c r="C567" s="7"/>
      <c r="D567" s="7"/>
      <c r="E567" s="7"/>
      <c r="F567" s="7"/>
    </row>
    <row r="568" ht="15.75" customHeight="1">
      <c r="A568" s="7"/>
      <c r="B568" s="7"/>
      <c r="C568" s="7"/>
      <c r="D568" s="7"/>
      <c r="E568" s="7"/>
      <c r="F568" s="7"/>
    </row>
    <row r="569" ht="15.75" customHeight="1">
      <c r="A569" s="7"/>
      <c r="B569" s="7"/>
      <c r="C569" s="7"/>
      <c r="D569" s="7"/>
      <c r="E569" s="7"/>
      <c r="F569" s="7"/>
    </row>
    <row r="570" ht="15.75" customHeight="1">
      <c r="A570" s="7"/>
      <c r="B570" s="7"/>
      <c r="C570" s="7"/>
      <c r="D570" s="7"/>
      <c r="E570" s="7"/>
      <c r="F570" s="7"/>
    </row>
    <row r="571" ht="15.75" customHeight="1">
      <c r="A571" s="7"/>
      <c r="B571" s="7"/>
      <c r="C571" s="7"/>
      <c r="D571" s="7"/>
      <c r="E571" s="7"/>
      <c r="F571" s="7"/>
    </row>
    <row r="572" ht="15.75" customHeight="1">
      <c r="A572" s="7"/>
      <c r="B572" s="7"/>
      <c r="C572" s="7"/>
      <c r="D572" s="7"/>
      <c r="E572" s="7"/>
      <c r="F572" s="7"/>
    </row>
    <row r="573" ht="15.75" customHeight="1">
      <c r="A573" s="7"/>
      <c r="B573" s="7"/>
      <c r="C573" s="7"/>
      <c r="D573" s="7"/>
      <c r="E573" s="7"/>
      <c r="F573" s="7"/>
    </row>
    <row r="574" ht="15.75" customHeight="1">
      <c r="A574" s="7"/>
      <c r="B574" s="7"/>
      <c r="C574" s="7"/>
      <c r="D574" s="7"/>
      <c r="E574" s="7"/>
      <c r="F574" s="7"/>
    </row>
    <row r="575" ht="15.75" customHeight="1">
      <c r="A575" s="7"/>
      <c r="B575" s="7"/>
      <c r="C575" s="7"/>
      <c r="D575" s="7"/>
      <c r="E575" s="7"/>
      <c r="F575" s="7"/>
    </row>
    <row r="576" ht="15.75" customHeight="1">
      <c r="A576" s="7"/>
      <c r="B576" s="7"/>
      <c r="C576" s="7"/>
      <c r="D576" s="7"/>
      <c r="E576" s="7"/>
      <c r="F576" s="7"/>
    </row>
    <row r="577" ht="15.75" customHeight="1">
      <c r="A577" s="7"/>
      <c r="B577" s="7"/>
      <c r="C577" s="7"/>
      <c r="D577" s="7"/>
      <c r="E577" s="7"/>
      <c r="F577" s="7"/>
    </row>
    <row r="578" ht="15.75" customHeight="1">
      <c r="A578" s="7"/>
      <c r="B578" s="7"/>
      <c r="C578" s="7"/>
      <c r="D578" s="7"/>
      <c r="E578" s="7"/>
      <c r="F578" s="7"/>
    </row>
    <row r="579" ht="15.75" customHeight="1">
      <c r="A579" s="7"/>
      <c r="B579" s="7"/>
      <c r="C579" s="7"/>
      <c r="D579" s="7"/>
      <c r="E579" s="7"/>
      <c r="F579" s="7"/>
    </row>
    <row r="580" ht="15.75" customHeight="1">
      <c r="A580" s="7"/>
      <c r="B580" s="7"/>
      <c r="C580" s="7"/>
      <c r="D580" s="7"/>
      <c r="E580" s="7"/>
      <c r="F580" s="7"/>
    </row>
    <row r="581" ht="15.75" customHeight="1">
      <c r="A581" s="7"/>
      <c r="B581" s="7"/>
      <c r="C581" s="7"/>
      <c r="D581" s="7"/>
      <c r="E581" s="7"/>
      <c r="F581" s="7"/>
    </row>
    <row r="582" ht="15.75" customHeight="1">
      <c r="A582" s="7"/>
      <c r="B582" s="7"/>
      <c r="C582" s="7"/>
      <c r="D582" s="7"/>
      <c r="E582" s="7"/>
      <c r="F582" s="7"/>
    </row>
    <row r="583" ht="15.75" customHeight="1">
      <c r="A583" s="7"/>
      <c r="B583" s="7"/>
      <c r="C583" s="7"/>
      <c r="D583" s="7"/>
      <c r="E583" s="7"/>
      <c r="F583" s="7"/>
    </row>
    <row r="584" ht="15.75" customHeight="1">
      <c r="A584" s="7"/>
      <c r="B584" s="7"/>
      <c r="C584" s="7"/>
      <c r="D584" s="7"/>
      <c r="E584" s="7"/>
      <c r="F584" s="7"/>
    </row>
    <row r="585" ht="15.75" customHeight="1">
      <c r="A585" s="7"/>
      <c r="B585" s="7"/>
      <c r="C585" s="7"/>
      <c r="D585" s="7"/>
      <c r="E585" s="7"/>
      <c r="F585" s="7"/>
    </row>
    <row r="586" ht="15.75" customHeight="1">
      <c r="A586" s="7"/>
      <c r="B586" s="7"/>
      <c r="C586" s="7"/>
      <c r="D586" s="7"/>
      <c r="E586" s="7"/>
      <c r="F586" s="7"/>
    </row>
    <row r="587" ht="15.75" customHeight="1">
      <c r="A587" s="7"/>
      <c r="B587" s="7"/>
      <c r="C587" s="7"/>
      <c r="D587" s="7"/>
      <c r="E587" s="7"/>
      <c r="F587" s="7"/>
    </row>
    <row r="588" ht="15.75" customHeight="1">
      <c r="A588" s="7"/>
      <c r="B588" s="7"/>
      <c r="C588" s="7"/>
      <c r="D588" s="7"/>
      <c r="E588" s="7"/>
      <c r="F588" s="7"/>
    </row>
    <row r="589" ht="15.75" customHeight="1">
      <c r="A589" s="7"/>
      <c r="B589" s="7"/>
      <c r="C589" s="7"/>
      <c r="D589" s="7"/>
      <c r="E589" s="7"/>
      <c r="F589" s="7"/>
    </row>
    <row r="590" ht="15.75" customHeight="1">
      <c r="A590" s="7"/>
      <c r="B590" s="7"/>
      <c r="C590" s="7"/>
      <c r="D590" s="7"/>
      <c r="E590" s="7"/>
      <c r="F590" s="7"/>
    </row>
    <row r="591" ht="15.75" customHeight="1">
      <c r="A591" s="7"/>
      <c r="B591" s="7"/>
      <c r="C591" s="7"/>
      <c r="D591" s="7"/>
      <c r="E591" s="7"/>
      <c r="F591" s="7"/>
    </row>
    <row r="592" ht="15.75" customHeight="1">
      <c r="A592" s="7"/>
      <c r="B592" s="7"/>
      <c r="C592" s="7"/>
      <c r="D592" s="7"/>
      <c r="E592" s="7"/>
      <c r="F592" s="7"/>
    </row>
    <row r="593" ht="15.75" customHeight="1">
      <c r="A593" s="7"/>
      <c r="B593" s="7"/>
      <c r="C593" s="7"/>
      <c r="D593" s="7"/>
      <c r="E593" s="7"/>
      <c r="F593" s="7"/>
    </row>
    <row r="594" ht="15.75" customHeight="1">
      <c r="A594" s="7"/>
      <c r="B594" s="7"/>
      <c r="C594" s="7"/>
      <c r="D594" s="7"/>
      <c r="E594" s="7"/>
      <c r="F594" s="7"/>
    </row>
    <row r="595" ht="15.75" customHeight="1">
      <c r="A595" s="7"/>
      <c r="B595" s="7"/>
      <c r="C595" s="7"/>
      <c r="D595" s="7"/>
      <c r="E595" s="7"/>
      <c r="F595" s="7"/>
    </row>
    <row r="596" ht="15.75" customHeight="1">
      <c r="A596" s="7"/>
      <c r="B596" s="7"/>
      <c r="C596" s="7"/>
      <c r="D596" s="7"/>
      <c r="E596" s="7"/>
      <c r="F596" s="7"/>
    </row>
    <row r="597" ht="15.75" customHeight="1">
      <c r="A597" s="7"/>
      <c r="B597" s="7"/>
      <c r="C597" s="7"/>
      <c r="D597" s="7"/>
      <c r="E597" s="7"/>
      <c r="F597" s="7"/>
    </row>
    <row r="598" ht="15.75" customHeight="1">
      <c r="A598" s="7"/>
      <c r="B598" s="7"/>
      <c r="C598" s="7"/>
      <c r="D598" s="7"/>
      <c r="E598" s="7"/>
      <c r="F598" s="7"/>
    </row>
    <row r="599" ht="15.75" customHeight="1">
      <c r="A599" s="7"/>
      <c r="B599" s="7"/>
      <c r="C599" s="7"/>
      <c r="D599" s="7"/>
      <c r="E599" s="7"/>
      <c r="F599" s="7"/>
    </row>
    <row r="600" ht="15.75" customHeight="1">
      <c r="A600" s="7"/>
      <c r="B600" s="7"/>
      <c r="C600" s="7"/>
      <c r="D600" s="7"/>
      <c r="E600" s="7"/>
      <c r="F600" s="7"/>
    </row>
    <row r="601" ht="15.75" customHeight="1">
      <c r="A601" s="7"/>
      <c r="B601" s="7"/>
      <c r="C601" s="7"/>
      <c r="D601" s="7"/>
      <c r="E601" s="7"/>
      <c r="F601" s="7"/>
    </row>
    <row r="602" ht="15.75" customHeight="1">
      <c r="A602" s="7"/>
      <c r="B602" s="7"/>
      <c r="C602" s="7"/>
      <c r="D602" s="7"/>
      <c r="E602" s="7"/>
      <c r="F602" s="7"/>
    </row>
    <row r="603" ht="15.75" customHeight="1">
      <c r="A603" s="7"/>
      <c r="B603" s="7"/>
      <c r="C603" s="7"/>
      <c r="D603" s="7"/>
      <c r="E603" s="7"/>
      <c r="F603" s="7"/>
    </row>
    <row r="604" ht="15.75" customHeight="1">
      <c r="A604" s="7"/>
      <c r="B604" s="7"/>
      <c r="C604" s="7"/>
      <c r="D604" s="7"/>
      <c r="E604" s="7"/>
      <c r="F604" s="7"/>
    </row>
    <row r="605" ht="15.75" customHeight="1">
      <c r="A605" s="7"/>
      <c r="B605" s="7"/>
      <c r="C605" s="7"/>
      <c r="D605" s="7"/>
      <c r="E605" s="7"/>
      <c r="F605" s="7"/>
    </row>
    <row r="606" ht="15.75" customHeight="1">
      <c r="A606" s="7"/>
      <c r="B606" s="7"/>
      <c r="C606" s="7"/>
      <c r="D606" s="7"/>
      <c r="E606" s="7"/>
      <c r="F606" s="7"/>
    </row>
    <row r="607" ht="15.75" customHeight="1">
      <c r="A607" s="7"/>
      <c r="B607" s="7"/>
      <c r="C607" s="7"/>
      <c r="D607" s="7"/>
      <c r="E607" s="7"/>
      <c r="F607" s="7"/>
    </row>
    <row r="608" ht="15.75" customHeight="1">
      <c r="A608" s="7"/>
      <c r="B608" s="7"/>
      <c r="C608" s="7"/>
      <c r="D608" s="7"/>
      <c r="E608" s="7"/>
      <c r="F608" s="7"/>
    </row>
    <row r="609" ht="15.75" customHeight="1">
      <c r="A609" s="7"/>
      <c r="B609" s="7"/>
      <c r="C609" s="7"/>
      <c r="D609" s="7"/>
      <c r="E609" s="7"/>
      <c r="F609" s="7"/>
    </row>
    <row r="610" ht="15.75" customHeight="1">
      <c r="A610" s="7"/>
      <c r="B610" s="7"/>
      <c r="C610" s="7"/>
      <c r="D610" s="7"/>
      <c r="E610" s="7"/>
      <c r="F610" s="7"/>
    </row>
    <row r="611" ht="15.75" customHeight="1">
      <c r="A611" s="7"/>
      <c r="B611" s="7"/>
      <c r="C611" s="7"/>
      <c r="D611" s="7"/>
      <c r="E611" s="7"/>
      <c r="F611" s="7"/>
    </row>
    <row r="612" ht="15.75" customHeight="1">
      <c r="A612" s="7"/>
      <c r="B612" s="7"/>
      <c r="C612" s="7"/>
      <c r="D612" s="7"/>
      <c r="E612" s="7"/>
      <c r="F612" s="7"/>
    </row>
    <row r="613" ht="15.75" customHeight="1">
      <c r="A613" s="7"/>
      <c r="B613" s="7"/>
      <c r="C613" s="7"/>
      <c r="D613" s="7"/>
      <c r="E613" s="7"/>
      <c r="F613" s="7"/>
    </row>
    <row r="614" ht="15.75" customHeight="1">
      <c r="A614" s="7"/>
      <c r="B614" s="7"/>
      <c r="C614" s="7"/>
      <c r="D614" s="7"/>
      <c r="E614" s="7"/>
      <c r="F614" s="7"/>
    </row>
    <row r="615" ht="15.75" customHeight="1">
      <c r="A615" s="7"/>
      <c r="B615" s="7"/>
      <c r="C615" s="7"/>
      <c r="D615" s="7"/>
      <c r="E615" s="7"/>
      <c r="F615" s="7"/>
    </row>
    <row r="616" ht="15.75" customHeight="1">
      <c r="A616" s="7"/>
      <c r="B616" s="7"/>
      <c r="C616" s="7"/>
      <c r="D616" s="7"/>
      <c r="E616" s="7"/>
      <c r="F616" s="7"/>
    </row>
    <row r="617" ht="15.75" customHeight="1">
      <c r="A617" s="7"/>
      <c r="B617" s="7"/>
      <c r="C617" s="7"/>
      <c r="D617" s="7"/>
      <c r="E617" s="7"/>
      <c r="F617" s="7"/>
    </row>
    <row r="618" ht="15.75" customHeight="1">
      <c r="A618" s="7"/>
      <c r="B618" s="7"/>
      <c r="C618" s="7"/>
      <c r="D618" s="7"/>
      <c r="E618" s="7"/>
      <c r="F618" s="7"/>
    </row>
    <row r="619" ht="15.75" customHeight="1">
      <c r="A619" s="7"/>
      <c r="B619" s="7"/>
      <c r="C619" s="7"/>
      <c r="D619" s="7"/>
      <c r="E619" s="7"/>
      <c r="F619" s="7"/>
    </row>
    <row r="620" ht="15.75" customHeight="1">
      <c r="A620" s="7"/>
      <c r="B620" s="7"/>
      <c r="C620" s="7"/>
      <c r="D620" s="7"/>
      <c r="E620" s="7"/>
      <c r="F620" s="7"/>
    </row>
    <row r="621" ht="15.75" customHeight="1">
      <c r="A621" s="7"/>
      <c r="B621" s="7"/>
      <c r="C621" s="7"/>
      <c r="D621" s="7"/>
      <c r="E621" s="7"/>
      <c r="F621" s="7"/>
    </row>
    <row r="622" ht="15.75" customHeight="1">
      <c r="A622" s="7"/>
      <c r="B622" s="7"/>
      <c r="C622" s="7"/>
      <c r="D622" s="7"/>
      <c r="E622" s="7"/>
      <c r="F622" s="7"/>
    </row>
    <row r="623" ht="15.75" customHeight="1">
      <c r="A623" s="7"/>
      <c r="B623" s="7"/>
      <c r="C623" s="7"/>
      <c r="D623" s="7"/>
      <c r="E623" s="7"/>
      <c r="F623" s="7"/>
    </row>
    <row r="624" ht="15.75" customHeight="1">
      <c r="A624" s="7"/>
      <c r="B624" s="7"/>
      <c r="C624" s="7"/>
      <c r="D624" s="7"/>
      <c r="E624" s="7"/>
      <c r="F624" s="7"/>
    </row>
    <row r="625" ht="15.75" customHeight="1">
      <c r="A625" s="7"/>
      <c r="B625" s="7"/>
      <c r="C625" s="7"/>
      <c r="D625" s="7"/>
      <c r="E625" s="7"/>
      <c r="F625" s="7"/>
    </row>
    <row r="626" ht="15.75" customHeight="1">
      <c r="A626" s="7"/>
      <c r="B626" s="7"/>
      <c r="C626" s="7"/>
      <c r="D626" s="7"/>
      <c r="E626" s="7"/>
      <c r="F626" s="7"/>
    </row>
    <row r="627" ht="15.75" customHeight="1">
      <c r="A627" s="7"/>
      <c r="B627" s="7"/>
      <c r="C627" s="7"/>
      <c r="D627" s="7"/>
      <c r="E627" s="7"/>
      <c r="F627" s="7"/>
    </row>
    <row r="628" ht="15.75" customHeight="1">
      <c r="A628" s="7"/>
      <c r="B628" s="7"/>
      <c r="C628" s="7"/>
      <c r="D628" s="7"/>
      <c r="E628" s="7"/>
      <c r="F628" s="7"/>
    </row>
    <row r="629" ht="15.75" customHeight="1">
      <c r="A629" s="7"/>
      <c r="B629" s="7"/>
      <c r="C629" s="7"/>
      <c r="D629" s="7"/>
      <c r="E629" s="7"/>
      <c r="F629" s="7"/>
    </row>
    <row r="630" ht="15.75" customHeight="1">
      <c r="A630" s="7"/>
      <c r="B630" s="7"/>
      <c r="C630" s="7"/>
      <c r="D630" s="7"/>
      <c r="E630" s="7"/>
      <c r="F630" s="7"/>
    </row>
    <row r="631" ht="15.75" customHeight="1">
      <c r="A631" s="7"/>
      <c r="B631" s="7"/>
      <c r="C631" s="7"/>
      <c r="D631" s="7"/>
      <c r="E631" s="7"/>
      <c r="F631" s="7"/>
    </row>
    <row r="632" ht="15.75" customHeight="1">
      <c r="A632" s="7"/>
      <c r="B632" s="7"/>
      <c r="C632" s="7"/>
      <c r="D632" s="7"/>
      <c r="E632" s="7"/>
      <c r="F632" s="7"/>
    </row>
    <row r="633" ht="15.75" customHeight="1">
      <c r="A633" s="7"/>
      <c r="B633" s="7"/>
      <c r="C633" s="7"/>
      <c r="D633" s="7"/>
      <c r="E633" s="7"/>
      <c r="F633" s="7"/>
    </row>
    <row r="634" ht="15.75" customHeight="1">
      <c r="A634" s="7"/>
      <c r="B634" s="7"/>
      <c r="C634" s="7"/>
      <c r="D634" s="7"/>
      <c r="E634" s="7"/>
      <c r="F634" s="7"/>
    </row>
    <row r="635" ht="15.75" customHeight="1">
      <c r="A635" s="7"/>
      <c r="B635" s="7"/>
      <c r="C635" s="7"/>
      <c r="D635" s="7"/>
      <c r="E635" s="7"/>
      <c r="F635" s="7"/>
    </row>
    <row r="636" ht="15.75" customHeight="1">
      <c r="A636" s="7"/>
      <c r="B636" s="7"/>
      <c r="C636" s="7"/>
      <c r="D636" s="7"/>
      <c r="E636" s="7"/>
      <c r="F636" s="7"/>
    </row>
    <row r="637" ht="15.75" customHeight="1">
      <c r="A637" s="7"/>
      <c r="B637" s="7"/>
      <c r="C637" s="7"/>
      <c r="D637" s="7"/>
      <c r="E637" s="7"/>
      <c r="F637" s="7"/>
    </row>
    <row r="638" ht="15.75" customHeight="1">
      <c r="A638" s="7"/>
      <c r="B638" s="7"/>
      <c r="C638" s="7"/>
      <c r="D638" s="7"/>
      <c r="E638" s="7"/>
      <c r="F638" s="7"/>
    </row>
    <row r="639" ht="15.75" customHeight="1">
      <c r="A639" s="7"/>
      <c r="B639" s="7"/>
      <c r="C639" s="7"/>
      <c r="D639" s="7"/>
      <c r="E639" s="7"/>
      <c r="F639" s="7"/>
    </row>
    <row r="640" ht="15.75" customHeight="1">
      <c r="A640" s="7"/>
      <c r="B640" s="7"/>
      <c r="C640" s="7"/>
      <c r="D640" s="7"/>
      <c r="E640" s="7"/>
      <c r="F640" s="7"/>
    </row>
    <row r="641" ht="15.75" customHeight="1">
      <c r="A641" s="7"/>
      <c r="B641" s="7"/>
      <c r="C641" s="7"/>
      <c r="D641" s="7"/>
      <c r="E641" s="7"/>
      <c r="F641" s="7"/>
    </row>
    <row r="642" ht="15.75" customHeight="1">
      <c r="A642" s="7"/>
      <c r="B642" s="7"/>
      <c r="C642" s="7"/>
      <c r="D642" s="7"/>
      <c r="E642" s="7"/>
      <c r="F642" s="7"/>
    </row>
    <row r="643" ht="15.75" customHeight="1">
      <c r="A643" s="7"/>
      <c r="B643" s="7"/>
      <c r="C643" s="7"/>
      <c r="D643" s="7"/>
      <c r="E643" s="7"/>
      <c r="F643" s="7"/>
    </row>
    <row r="644" ht="15.75" customHeight="1">
      <c r="A644" s="7"/>
      <c r="B644" s="7"/>
      <c r="C644" s="7"/>
      <c r="D644" s="7"/>
      <c r="E644" s="7"/>
      <c r="F644" s="7"/>
    </row>
    <row r="645" ht="15.75" customHeight="1">
      <c r="A645" s="7"/>
      <c r="B645" s="7"/>
      <c r="C645" s="7"/>
      <c r="D645" s="7"/>
      <c r="E645" s="7"/>
      <c r="F645" s="7"/>
    </row>
    <row r="646" ht="15.75" customHeight="1">
      <c r="A646" s="7"/>
      <c r="B646" s="7"/>
      <c r="C646" s="7"/>
      <c r="D646" s="7"/>
      <c r="E646" s="7"/>
      <c r="F646" s="7"/>
    </row>
    <row r="647" ht="15.75" customHeight="1">
      <c r="A647" s="7"/>
      <c r="B647" s="7"/>
      <c r="C647" s="7"/>
      <c r="D647" s="7"/>
      <c r="E647" s="7"/>
      <c r="F647" s="7"/>
    </row>
    <row r="648" ht="15.75" customHeight="1">
      <c r="A648" s="7"/>
      <c r="B648" s="7"/>
      <c r="C648" s="7"/>
      <c r="D648" s="7"/>
      <c r="E648" s="7"/>
      <c r="F648" s="7"/>
    </row>
    <row r="649" ht="15.75" customHeight="1">
      <c r="A649" s="7"/>
      <c r="B649" s="7"/>
      <c r="C649" s="7"/>
      <c r="D649" s="7"/>
      <c r="E649" s="7"/>
      <c r="F649" s="7"/>
    </row>
    <row r="650" ht="15.75" customHeight="1">
      <c r="A650" s="7"/>
      <c r="B650" s="7"/>
      <c r="C650" s="7"/>
      <c r="D650" s="7"/>
      <c r="E650" s="7"/>
      <c r="F650" s="7"/>
    </row>
    <row r="651" ht="15.75" customHeight="1">
      <c r="A651" s="7"/>
      <c r="B651" s="7"/>
      <c r="C651" s="7"/>
      <c r="D651" s="7"/>
      <c r="E651" s="7"/>
      <c r="F651" s="7"/>
    </row>
    <row r="652" ht="15.75" customHeight="1">
      <c r="A652" s="7"/>
      <c r="B652" s="7"/>
      <c r="C652" s="7"/>
      <c r="D652" s="7"/>
      <c r="E652" s="7"/>
      <c r="F652" s="7"/>
    </row>
    <row r="653" ht="15.75" customHeight="1">
      <c r="A653" s="7"/>
      <c r="B653" s="7"/>
      <c r="C653" s="7"/>
      <c r="D653" s="7"/>
      <c r="E653" s="7"/>
      <c r="F653" s="7"/>
    </row>
    <row r="654" ht="15.75" customHeight="1">
      <c r="A654" s="7"/>
      <c r="B654" s="7"/>
      <c r="C654" s="7"/>
      <c r="D654" s="7"/>
      <c r="E654" s="7"/>
      <c r="F654" s="7"/>
    </row>
    <row r="655" ht="15.75" customHeight="1">
      <c r="A655" s="7"/>
      <c r="B655" s="7"/>
      <c r="C655" s="7"/>
      <c r="D655" s="7"/>
      <c r="E655" s="7"/>
      <c r="F655" s="7"/>
    </row>
    <row r="656" ht="15.75" customHeight="1">
      <c r="A656" s="7"/>
      <c r="B656" s="7"/>
      <c r="C656" s="7"/>
      <c r="D656" s="7"/>
      <c r="E656" s="7"/>
      <c r="F656" s="7"/>
    </row>
    <row r="657" ht="15.75" customHeight="1">
      <c r="A657" s="7"/>
      <c r="B657" s="7"/>
      <c r="C657" s="7"/>
      <c r="D657" s="7"/>
      <c r="E657" s="7"/>
      <c r="F657" s="7"/>
    </row>
    <row r="658" ht="15.75" customHeight="1">
      <c r="A658" s="7"/>
      <c r="B658" s="7"/>
      <c r="C658" s="7"/>
      <c r="D658" s="7"/>
      <c r="E658" s="7"/>
      <c r="F658" s="7"/>
    </row>
    <row r="659" ht="15.75" customHeight="1">
      <c r="A659" s="7"/>
      <c r="B659" s="7"/>
      <c r="C659" s="7"/>
      <c r="D659" s="7"/>
      <c r="E659" s="7"/>
      <c r="F659" s="7"/>
    </row>
    <row r="660" ht="15.75" customHeight="1">
      <c r="A660" s="7"/>
      <c r="B660" s="7"/>
      <c r="C660" s="7"/>
      <c r="D660" s="7"/>
      <c r="E660" s="7"/>
      <c r="F660" s="7"/>
    </row>
    <row r="661" ht="15.75" customHeight="1">
      <c r="A661" s="7"/>
      <c r="B661" s="7"/>
      <c r="C661" s="7"/>
      <c r="D661" s="7"/>
      <c r="E661" s="7"/>
      <c r="F661" s="7"/>
    </row>
    <row r="662" ht="15.75" customHeight="1">
      <c r="A662" s="7"/>
      <c r="B662" s="7"/>
      <c r="C662" s="7"/>
      <c r="D662" s="7"/>
      <c r="E662" s="7"/>
      <c r="F662" s="7"/>
    </row>
    <row r="663" ht="15.75" customHeight="1">
      <c r="A663" s="7"/>
      <c r="B663" s="7"/>
      <c r="C663" s="7"/>
      <c r="D663" s="7"/>
      <c r="E663" s="7"/>
      <c r="F663" s="7"/>
    </row>
    <row r="664" ht="15.75" customHeight="1">
      <c r="A664" s="7"/>
      <c r="B664" s="7"/>
      <c r="C664" s="7"/>
      <c r="D664" s="7"/>
      <c r="E664" s="7"/>
      <c r="F664" s="7"/>
    </row>
    <row r="665" ht="15.75" customHeight="1">
      <c r="A665" s="7"/>
      <c r="B665" s="7"/>
      <c r="C665" s="7"/>
      <c r="D665" s="7"/>
      <c r="E665" s="7"/>
      <c r="F665" s="7"/>
    </row>
    <row r="666" ht="15.75" customHeight="1">
      <c r="A666" s="7"/>
      <c r="B666" s="7"/>
      <c r="C666" s="7"/>
      <c r="D666" s="7"/>
      <c r="E666" s="7"/>
      <c r="F666" s="7"/>
    </row>
    <row r="667" ht="15.75" customHeight="1">
      <c r="A667" s="7"/>
      <c r="B667" s="7"/>
      <c r="C667" s="7"/>
      <c r="D667" s="7"/>
      <c r="E667" s="7"/>
      <c r="F667" s="7"/>
    </row>
    <row r="668" ht="15.75" customHeight="1">
      <c r="A668" s="7"/>
      <c r="B668" s="7"/>
      <c r="C668" s="7"/>
      <c r="D668" s="7"/>
      <c r="E668" s="7"/>
      <c r="F668" s="7"/>
    </row>
    <row r="669" ht="15.75" customHeight="1">
      <c r="A669" s="7"/>
      <c r="B669" s="7"/>
      <c r="C669" s="7"/>
      <c r="D669" s="7"/>
      <c r="E669" s="7"/>
      <c r="F669" s="7"/>
    </row>
    <row r="670" ht="15.75" customHeight="1">
      <c r="A670" s="7"/>
      <c r="B670" s="7"/>
      <c r="C670" s="7"/>
      <c r="D670" s="7"/>
      <c r="E670" s="7"/>
      <c r="F670" s="7"/>
    </row>
    <row r="671" ht="15.75" customHeight="1">
      <c r="A671" s="7"/>
      <c r="B671" s="7"/>
      <c r="C671" s="7"/>
      <c r="D671" s="7"/>
      <c r="E671" s="7"/>
      <c r="F671" s="7"/>
    </row>
    <row r="672" ht="15.75" customHeight="1">
      <c r="A672" s="7"/>
      <c r="B672" s="7"/>
      <c r="C672" s="7"/>
      <c r="D672" s="7"/>
      <c r="E672" s="7"/>
      <c r="F672" s="7"/>
    </row>
    <row r="673" ht="15.75" customHeight="1">
      <c r="A673" s="7"/>
      <c r="B673" s="7"/>
      <c r="C673" s="7"/>
      <c r="D673" s="7"/>
      <c r="E673" s="7"/>
      <c r="F673" s="7"/>
    </row>
    <row r="674" ht="15.75" customHeight="1">
      <c r="A674" s="7"/>
      <c r="B674" s="7"/>
      <c r="C674" s="7"/>
      <c r="D674" s="7"/>
      <c r="E674" s="7"/>
      <c r="F674" s="7"/>
    </row>
    <row r="675" ht="15.75" customHeight="1">
      <c r="A675" s="7"/>
      <c r="B675" s="7"/>
      <c r="C675" s="7"/>
      <c r="D675" s="7"/>
      <c r="E675" s="7"/>
      <c r="F675" s="7"/>
    </row>
    <row r="676" ht="15.75" customHeight="1">
      <c r="A676" s="7"/>
      <c r="B676" s="7"/>
      <c r="C676" s="7"/>
      <c r="D676" s="7"/>
      <c r="E676" s="7"/>
      <c r="F676" s="7"/>
    </row>
    <row r="677" ht="15.75" customHeight="1">
      <c r="A677" s="7"/>
      <c r="B677" s="7"/>
      <c r="C677" s="7"/>
      <c r="D677" s="7"/>
      <c r="E677" s="7"/>
      <c r="F677" s="7"/>
    </row>
    <row r="678" ht="15.75" customHeight="1">
      <c r="A678" s="7"/>
      <c r="B678" s="7"/>
      <c r="C678" s="7"/>
      <c r="D678" s="7"/>
      <c r="E678" s="7"/>
      <c r="F678" s="7"/>
    </row>
    <row r="679" ht="15.75" customHeight="1">
      <c r="A679" s="7"/>
      <c r="B679" s="7"/>
      <c r="C679" s="7"/>
      <c r="D679" s="7"/>
      <c r="E679" s="7"/>
      <c r="F679" s="7"/>
    </row>
    <row r="680" ht="15.75" customHeight="1">
      <c r="A680" s="7"/>
      <c r="B680" s="7"/>
      <c r="C680" s="7"/>
      <c r="D680" s="7"/>
      <c r="E680" s="7"/>
      <c r="F680" s="7"/>
    </row>
    <row r="681" ht="15.75" customHeight="1">
      <c r="A681" s="7"/>
      <c r="B681" s="7"/>
      <c r="C681" s="7"/>
      <c r="D681" s="7"/>
      <c r="E681" s="7"/>
      <c r="F681" s="7"/>
    </row>
    <row r="682" ht="15.75" customHeight="1">
      <c r="A682" s="7"/>
      <c r="B682" s="7"/>
      <c r="C682" s="7"/>
      <c r="D682" s="7"/>
      <c r="E682" s="7"/>
      <c r="F682" s="7"/>
    </row>
    <row r="683" ht="15.75" customHeight="1">
      <c r="A683" s="7"/>
      <c r="B683" s="7"/>
      <c r="C683" s="7"/>
      <c r="D683" s="7"/>
      <c r="E683" s="7"/>
      <c r="F683" s="7"/>
    </row>
    <row r="684" ht="15.75" customHeight="1">
      <c r="A684" s="7"/>
      <c r="B684" s="7"/>
      <c r="C684" s="7"/>
      <c r="D684" s="7"/>
      <c r="E684" s="7"/>
      <c r="F684" s="7"/>
    </row>
    <row r="685" ht="15.75" customHeight="1">
      <c r="A685" s="7"/>
      <c r="B685" s="7"/>
      <c r="C685" s="7"/>
      <c r="D685" s="7"/>
      <c r="E685" s="7"/>
      <c r="F685" s="7"/>
    </row>
    <row r="686" ht="15.75" customHeight="1">
      <c r="A686" s="7"/>
      <c r="B686" s="7"/>
      <c r="C686" s="7"/>
      <c r="D686" s="7"/>
      <c r="E686" s="7"/>
      <c r="F686" s="7"/>
    </row>
    <row r="687" ht="15.75" customHeight="1">
      <c r="A687" s="7"/>
      <c r="B687" s="7"/>
      <c r="C687" s="7"/>
      <c r="D687" s="7"/>
      <c r="E687" s="7"/>
      <c r="F687" s="7"/>
    </row>
    <row r="688" ht="15.75" customHeight="1">
      <c r="A688" s="7"/>
      <c r="B688" s="7"/>
      <c r="C688" s="7"/>
      <c r="D688" s="7"/>
      <c r="E688" s="7"/>
      <c r="F688" s="7"/>
    </row>
    <row r="689" ht="15.75" customHeight="1">
      <c r="A689" s="7"/>
      <c r="B689" s="7"/>
      <c r="C689" s="7"/>
      <c r="D689" s="7"/>
      <c r="E689" s="7"/>
      <c r="F689" s="7"/>
    </row>
    <row r="690" ht="15.75" customHeight="1">
      <c r="A690" s="7"/>
      <c r="B690" s="7"/>
      <c r="C690" s="7"/>
      <c r="D690" s="7"/>
      <c r="E690" s="7"/>
      <c r="F690" s="7"/>
    </row>
    <row r="691" ht="15.75" customHeight="1">
      <c r="A691" s="7"/>
      <c r="B691" s="7"/>
      <c r="C691" s="7"/>
      <c r="D691" s="7"/>
      <c r="E691" s="7"/>
      <c r="F691" s="7"/>
    </row>
    <row r="692" ht="15.75" customHeight="1">
      <c r="A692" s="7"/>
      <c r="B692" s="7"/>
      <c r="C692" s="7"/>
      <c r="D692" s="7"/>
      <c r="E692" s="7"/>
      <c r="F692" s="7"/>
    </row>
    <row r="693" ht="15.75" customHeight="1">
      <c r="A693" s="7"/>
      <c r="B693" s="7"/>
      <c r="C693" s="7"/>
      <c r="D693" s="7"/>
      <c r="E693" s="7"/>
      <c r="F693" s="7"/>
    </row>
    <row r="694" ht="15.75" customHeight="1">
      <c r="A694" s="7"/>
      <c r="B694" s="7"/>
      <c r="C694" s="7"/>
      <c r="D694" s="7"/>
      <c r="E694" s="7"/>
      <c r="F694" s="7"/>
    </row>
    <row r="695" ht="15.75" customHeight="1">
      <c r="A695" s="7"/>
      <c r="B695" s="7"/>
      <c r="C695" s="7"/>
      <c r="D695" s="7"/>
      <c r="E695" s="7"/>
      <c r="F695" s="7"/>
    </row>
    <row r="696" ht="15.75" customHeight="1">
      <c r="A696" s="7"/>
      <c r="B696" s="7"/>
      <c r="C696" s="7"/>
      <c r="D696" s="7"/>
      <c r="E696" s="7"/>
      <c r="F696" s="7"/>
    </row>
    <row r="697" ht="15.75" customHeight="1">
      <c r="A697" s="7"/>
      <c r="B697" s="7"/>
      <c r="C697" s="7"/>
      <c r="D697" s="7"/>
      <c r="E697" s="7"/>
      <c r="F697" s="7"/>
    </row>
    <row r="698" ht="15.75" customHeight="1">
      <c r="A698" s="7"/>
      <c r="B698" s="7"/>
      <c r="C698" s="7"/>
      <c r="D698" s="7"/>
      <c r="E698" s="7"/>
      <c r="F698" s="7"/>
    </row>
    <row r="699" ht="15.75" customHeight="1">
      <c r="A699" s="7"/>
      <c r="B699" s="7"/>
      <c r="C699" s="7"/>
      <c r="D699" s="7"/>
      <c r="E699" s="7"/>
      <c r="F699" s="7"/>
    </row>
    <row r="700" ht="15.75" customHeight="1">
      <c r="A700" s="7"/>
      <c r="B700" s="7"/>
      <c r="C700" s="7"/>
      <c r="D700" s="7"/>
      <c r="E700" s="7"/>
      <c r="F700" s="7"/>
    </row>
    <row r="701" ht="15.75" customHeight="1">
      <c r="A701" s="7"/>
      <c r="B701" s="7"/>
      <c r="C701" s="7"/>
      <c r="D701" s="7"/>
      <c r="E701" s="7"/>
      <c r="F701" s="7"/>
    </row>
    <row r="702" ht="15.75" customHeight="1">
      <c r="A702" s="7"/>
      <c r="B702" s="7"/>
      <c r="C702" s="7"/>
      <c r="D702" s="7"/>
      <c r="E702" s="7"/>
      <c r="F702" s="7"/>
    </row>
    <row r="703" ht="15.75" customHeight="1">
      <c r="A703" s="7"/>
      <c r="B703" s="7"/>
      <c r="C703" s="7"/>
      <c r="D703" s="7"/>
      <c r="E703" s="7"/>
      <c r="F703" s="7"/>
    </row>
    <row r="704" ht="15.75" customHeight="1">
      <c r="A704" s="7"/>
      <c r="B704" s="7"/>
      <c r="C704" s="7"/>
      <c r="D704" s="7"/>
      <c r="E704" s="7"/>
      <c r="F704" s="7"/>
    </row>
    <row r="705" ht="15.75" customHeight="1">
      <c r="A705" s="7"/>
      <c r="B705" s="7"/>
      <c r="C705" s="7"/>
      <c r="D705" s="7"/>
      <c r="E705" s="7"/>
      <c r="F705" s="7"/>
    </row>
    <row r="706" ht="15.75" customHeight="1">
      <c r="A706" s="7"/>
      <c r="B706" s="7"/>
      <c r="C706" s="7"/>
      <c r="D706" s="7"/>
      <c r="E706" s="7"/>
      <c r="F706" s="7"/>
    </row>
    <row r="707" ht="15.75" customHeight="1">
      <c r="A707" s="7"/>
      <c r="B707" s="7"/>
      <c r="C707" s="7"/>
      <c r="D707" s="7"/>
      <c r="E707" s="7"/>
      <c r="F707" s="7"/>
    </row>
    <row r="708" ht="15.75" customHeight="1">
      <c r="A708" s="7"/>
      <c r="B708" s="7"/>
      <c r="C708" s="7"/>
      <c r="D708" s="7"/>
      <c r="E708" s="7"/>
      <c r="F708" s="7"/>
    </row>
    <row r="709" ht="15.75" customHeight="1">
      <c r="A709" s="7"/>
      <c r="B709" s="7"/>
      <c r="C709" s="7"/>
      <c r="D709" s="7"/>
      <c r="E709" s="7"/>
      <c r="F709" s="7"/>
    </row>
    <row r="710" ht="15.75" customHeight="1">
      <c r="A710" s="7"/>
      <c r="B710" s="7"/>
      <c r="C710" s="7"/>
      <c r="D710" s="7"/>
      <c r="E710" s="7"/>
      <c r="F710" s="7"/>
    </row>
    <row r="711" ht="15.75" customHeight="1">
      <c r="A711" s="7"/>
      <c r="B711" s="7"/>
      <c r="C711" s="7"/>
      <c r="D711" s="7"/>
      <c r="E711" s="7"/>
      <c r="F711" s="7"/>
    </row>
    <row r="712" ht="15.75" customHeight="1">
      <c r="A712" s="7"/>
      <c r="B712" s="7"/>
      <c r="C712" s="7"/>
      <c r="D712" s="7"/>
      <c r="E712" s="7"/>
      <c r="F712" s="7"/>
    </row>
    <row r="713" ht="15.75" customHeight="1">
      <c r="A713" s="7"/>
      <c r="B713" s="7"/>
      <c r="C713" s="7"/>
      <c r="D713" s="7"/>
      <c r="E713" s="7"/>
      <c r="F713" s="7"/>
    </row>
    <row r="714" ht="15.75" customHeight="1">
      <c r="A714" s="7"/>
      <c r="B714" s="7"/>
      <c r="C714" s="7"/>
      <c r="D714" s="7"/>
      <c r="E714" s="7"/>
      <c r="F714" s="7"/>
    </row>
    <row r="715" ht="15.75" customHeight="1">
      <c r="A715" s="7"/>
      <c r="B715" s="7"/>
      <c r="C715" s="7"/>
      <c r="D715" s="7"/>
      <c r="E715" s="7"/>
      <c r="F715" s="7"/>
    </row>
    <row r="716" ht="15.75" customHeight="1">
      <c r="A716" s="7"/>
      <c r="B716" s="7"/>
      <c r="C716" s="7"/>
      <c r="D716" s="7"/>
      <c r="E716" s="7"/>
      <c r="F716" s="7"/>
    </row>
    <row r="717" ht="15.75" customHeight="1">
      <c r="A717" s="7"/>
      <c r="B717" s="7"/>
      <c r="C717" s="7"/>
      <c r="D717" s="7"/>
      <c r="E717" s="7"/>
      <c r="F717" s="7"/>
    </row>
    <row r="718" ht="15.75" customHeight="1">
      <c r="A718" s="7"/>
      <c r="B718" s="7"/>
      <c r="C718" s="7"/>
      <c r="D718" s="7"/>
      <c r="E718" s="7"/>
      <c r="F718" s="7"/>
    </row>
    <row r="719" ht="15.75" customHeight="1">
      <c r="A719" s="7"/>
      <c r="B719" s="7"/>
      <c r="C719" s="7"/>
      <c r="D719" s="7"/>
      <c r="E719" s="7"/>
      <c r="F719" s="7"/>
    </row>
    <row r="720" ht="15.75" customHeight="1">
      <c r="A720" s="7"/>
      <c r="B720" s="7"/>
      <c r="C720" s="7"/>
      <c r="D720" s="7"/>
      <c r="E720" s="7"/>
      <c r="F720" s="7"/>
    </row>
    <row r="721" ht="15.75" customHeight="1">
      <c r="A721" s="7"/>
      <c r="B721" s="7"/>
      <c r="C721" s="7"/>
      <c r="D721" s="7"/>
      <c r="E721" s="7"/>
      <c r="F721" s="7"/>
    </row>
    <row r="722" ht="15.75" customHeight="1">
      <c r="A722" s="7"/>
      <c r="B722" s="7"/>
      <c r="C722" s="7"/>
      <c r="D722" s="7"/>
      <c r="E722" s="7"/>
      <c r="F722" s="7"/>
    </row>
    <row r="723" ht="15.75" customHeight="1">
      <c r="A723" s="7"/>
      <c r="B723" s="7"/>
      <c r="C723" s="7"/>
      <c r="D723" s="7"/>
      <c r="E723" s="7"/>
      <c r="F723" s="7"/>
    </row>
    <row r="724" ht="15.75" customHeight="1">
      <c r="A724" s="7"/>
      <c r="B724" s="7"/>
      <c r="C724" s="7"/>
      <c r="D724" s="7"/>
      <c r="E724" s="7"/>
      <c r="F724" s="7"/>
    </row>
    <row r="725" ht="15.75" customHeight="1">
      <c r="A725" s="7"/>
      <c r="B725" s="7"/>
      <c r="C725" s="7"/>
      <c r="D725" s="7"/>
      <c r="E725" s="7"/>
      <c r="F725" s="7"/>
    </row>
    <row r="726" ht="15.75" customHeight="1">
      <c r="A726" s="7"/>
      <c r="B726" s="7"/>
      <c r="C726" s="7"/>
      <c r="D726" s="7"/>
      <c r="E726" s="7"/>
      <c r="F726" s="7"/>
    </row>
    <row r="727" ht="15.75" customHeight="1">
      <c r="A727" s="7"/>
      <c r="B727" s="7"/>
      <c r="C727" s="7"/>
      <c r="D727" s="7"/>
      <c r="E727" s="7"/>
      <c r="F727" s="7"/>
    </row>
    <row r="728" ht="15.75" customHeight="1">
      <c r="A728" s="7"/>
      <c r="B728" s="7"/>
      <c r="C728" s="7"/>
      <c r="D728" s="7"/>
      <c r="E728" s="7"/>
      <c r="F728" s="7"/>
    </row>
    <row r="729" ht="15.75" customHeight="1">
      <c r="A729" s="7"/>
      <c r="B729" s="7"/>
      <c r="C729" s="7"/>
      <c r="D729" s="7"/>
      <c r="E729" s="7"/>
      <c r="F729" s="7"/>
    </row>
    <row r="730" ht="15.75" customHeight="1">
      <c r="A730" s="7"/>
      <c r="B730" s="7"/>
      <c r="C730" s="7"/>
      <c r="D730" s="7"/>
      <c r="E730" s="7"/>
      <c r="F730" s="7"/>
    </row>
    <row r="731" ht="15.75" customHeight="1">
      <c r="A731" s="7"/>
      <c r="B731" s="7"/>
      <c r="C731" s="7"/>
      <c r="D731" s="7"/>
      <c r="E731" s="7"/>
      <c r="F731" s="7"/>
    </row>
    <row r="732" ht="15.75" customHeight="1">
      <c r="A732" s="7"/>
      <c r="B732" s="7"/>
      <c r="C732" s="7"/>
      <c r="D732" s="7"/>
      <c r="E732" s="7"/>
      <c r="F732" s="7"/>
    </row>
    <row r="733" ht="15.75" customHeight="1">
      <c r="A733" s="7"/>
      <c r="B733" s="7"/>
      <c r="C733" s="7"/>
      <c r="D733" s="7"/>
      <c r="E733" s="7"/>
      <c r="F733" s="7"/>
    </row>
    <row r="734" ht="15.75" customHeight="1">
      <c r="A734" s="7"/>
      <c r="B734" s="7"/>
      <c r="C734" s="7"/>
      <c r="D734" s="7"/>
      <c r="E734" s="7"/>
      <c r="F734" s="7"/>
    </row>
    <row r="735" ht="15.75" customHeight="1">
      <c r="A735" s="7"/>
      <c r="B735" s="7"/>
      <c r="C735" s="7"/>
      <c r="D735" s="7"/>
      <c r="E735" s="7"/>
      <c r="F735" s="7"/>
    </row>
    <row r="736" ht="15.75" customHeight="1">
      <c r="A736" s="7"/>
      <c r="B736" s="7"/>
      <c r="C736" s="7"/>
      <c r="D736" s="7"/>
      <c r="E736" s="7"/>
      <c r="F736" s="7"/>
    </row>
    <row r="737" ht="15.75" customHeight="1">
      <c r="A737" s="7"/>
      <c r="B737" s="7"/>
      <c r="C737" s="7"/>
      <c r="D737" s="7"/>
      <c r="E737" s="7"/>
      <c r="F737" s="7"/>
    </row>
    <row r="738" ht="15.75" customHeight="1">
      <c r="A738" s="7"/>
      <c r="B738" s="7"/>
      <c r="C738" s="7"/>
      <c r="D738" s="7"/>
      <c r="E738" s="7"/>
      <c r="F738" s="7"/>
    </row>
    <row r="739" ht="15.75" customHeight="1">
      <c r="A739" s="7"/>
      <c r="B739" s="7"/>
      <c r="C739" s="7"/>
      <c r="D739" s="7"/>
      <c r="E739" s="7"/>
      <c r="F739" s="7"/>
    </row>
    <row r="740" ht="15.75" customHeight="1">
      <c r="A740" s="7"/>
      <c r="B740" s="7"/>
      <c r="C740" s="7"/>
      <c r="D740" s="7"/>
      <c r="E740" s="7"/>
      <c r="F740" s="7"/>
    </row>
    <row r="741" ht="15.75" customHeight="1">
      <c r="A741" s="7"/>
      <c r="B741" s="7"/>
      <c r="C741" s="7"/>
      <c r="D741" s="7"/>
      <c r="E741" s="7"/>
      <c r="F741" s="7"/>
    </row>
    <row r="742" ht="15.75" customHeight="1">
      <c r="A742" s="7"/>
      <c r="B742" s="7"/>
      <c r="C742" s="7"/>
      <c r="D742" s="7"/>
      <c r="E742" s="7"/>
      <c r="F742" s="7"/>
    </row>
    <row r="743" ht="15.75" customHeight="1">
      <c r="A743" s="7"/>
      <c r="B743" s="7"/>
      <c r="C743" s="7"/>
      <c r="D743" s="7"/>
      <c r="E743" s="7"/>
      <c r="F743" s="7"/>
    </row>
    <row r="744" ht="15.75" customHeight="1">
      <c r="A744" s="7"/>
      <c r="B744" s="7"/>
      <c r="C744" s="7"/>
      <c r="D744" s="7"/>
      <c r="E744" s="7"/>
      <c r="F744" s="7"/>
    </row>
    <row r="745" ht="15.75" customHeight="1">
      <c r="A745" s="7"/>
      <c r="B745" s="7"/>
      <c r="C745" s="7"/>
      <c r="D745" s="7"/>
      <c r="E745" s="7"/>
      <c r="F745" s="7"/>
    </row>
    <row r="746" ht="15.75" customHeight="1">
      <c r="A746" s="7"/>
      <c r="B746" s="7"/>
      <c r="C746" s="7"/>
      <c r="D746" s="7"/>
      <c r="E746" s="7"/>
      <c r="F746" s="7"/>
    </row>
    <row r="747" ht="15.75" customHeight="1">
      <c r="A747" s="7"/>
      <c r="B747" s="7"/>
      <c r="C747" s="7"/>
      <c r="D747" s="7"/>
      <c r="E747" s="7"/>
      <c r="F747" s="7"/>
    </row>
    <row r="748" ht="15.75" customHeight="1">
      <c r="A748" s="7"/>
      <c r="B748" s="7"/>
      <c r="C748" s="7"/>
      <c r="D748" s="7"/>
      <c r="E748" s="7"/>
      <c r="F748" s="7"/>
    </row>
    <row r="749" ht="15.75" customHeight="1">
      <c r="A749" s="7"/>
      <c r="B749" s="7"/>
      <c r="C749" s="7"/>
      <c r="D749" s="7"/>
      <c r="E749" s="7"/>
      <c r="F749" s="7"/>
    </row>
    <row r="750" ht="15.75" customHeight="1">
      <c r="A750" s="7"/>
      <c r="B750" s="7"/>
      <c r="C750" s="7"/>
      <c r="D750" s="7"/>
      <c r="E750" s="7"/>
      <c r="F750" s="7"/>
    </row>
    <row r="751" ht="15.75" customHeight="1">
      <c r="A751" s="7"/>
      <c r="B751" s="7"/>
      <c r="C751" s="7"/>
      <c r="D751" s="7"/>
      <c r="E751" s="7"/>
      <c r="F751" s="7"/>
    </row>
    <row r="752" ht="15.75" customHeight="1">
      <c r="A752" s="7"/>
      <c r="B752" s="7"/>
      <c r="C752" s="7"/>
      <c r="D752" s="7"/>
      <c r="E752" s="7"/>
      <c r="F752" s="7"/>
    </row>
    <row r="753" ht="15.75" customHeight="1">
      <c r="A753" s="7"/>
      <c r="B753" s="7"/>
      <c r="C753" s="7"/>
      <c r="D753" s="7"/>
      <c r="E753" s="7"/>
      <c r="F753" s="7"/>
    </row>
    <row r="754" ht="15.75" customHeight="1">
      <c r="A754" s="7"/>
      <c r="B754" s="7"/>
      <c r="C754" s="7"/>
      <c r="D754" s="7"/>
      <c r="E754" s="7"/>
      <c r="F754" s="7"/>
    </row>
    <row r="755" ht="15.75" customHeight="1">
      <c r="A755" s="7"/>
      <c r="B755" s="7"/>
      <c r="C755" s="7"/>
      <c r="D755" s="7"/>
      <c r="E755" s="7"/>
      <c r="F755" s="7"/>
    </row>
    <row r="756" ht="15.75" customHeight="1">
      <c r="A756" s="7"/>
      <c r="B756" s="7"/>
      <c r="C756" s="7"/>
      <c r="D756" s="7"/>
      <c r="E756" s="7"/>
      <c r="F756" s="7"/>
    </row>
    <row r="757" ht="15.75" customHeight="1">
      <c r="A757" s="7"/>
      <c r="B757" s="7"/>
      <c r="C757" s="7"/>
      <c r="D757" s="7"/>
      <c r="E757" s="7"/>
      <c r="F757" s="7"/>
    </row>
    <row r="758" ht="15.75" customHeight="1">
      <c r="A758" s="7"/>
      <c r="B758" s="7"/>
      <c r="C758" s="7"/>
      <c r="D758" s="7"/>
      <c r="E758" s="7"/>
      <c r="F758" s="7"/>
    </row>
    <row r="759" ht="15.75" customHeight="1">
      <c r="A759" s="7"/>
      <c r="B759" s="7"/>
      <c r="C759" s="7"/>
      <c r="D759" s="7"/>
      <c r="E759" s="7"/>
      <c r="F759" s="7"/>
    </row>
    <row r="760" ht="15.75" customHeight="1">
      <c r="A760" s="7"/>
      <c r="B760" s="7"/>
      <c r="C760" s="7"/>
      <c r="D760" s="7"/>
      <c r="E760" s="7"/>
      <c r="F760" s="7"/>
    </row>
    <row r="761" ht="15.75" customHeight="1">
      <c r="A761" s="7"/>
      <c r="B761" s="7"/>
      <c r="C761" s="7"/>
      <c r="D761" s="7"/>
      <c r="E761" s="7"/>
      <c r="F761" s="7"/>
    </row>
    <row r="762" ht="15.75" customHeight="1">
      <c r="A762" s="7"/>
      <c r="B762" s="7"/>
      <c r="C762" s="7"/>
      <c r="D762" s="7"/>
      <c r="E762" s="7"/>
      <c r="F762" s="7"/>
    </row>
    <row r="763" ht="15.75" customHeight="1">
      <c r="A763" s="7"/>
      <c r="B763" s="7"/>
      <c r="C763" s="7"/>
      <c r="D763" s="7"/>
      <c r="E763" s="7"/>
      <c r="F763" s="7"/>
    </row>
    <row r="764" ht="15.75" customHeight="1">
      <c r="A764" s="7"/>
      <c r="B764" s="7"/>
      <c r="C764" s="7"/>
      <c r="D764" s="7"/>
      <c r="E764" s="7"/>
      <c r="F764" s="7"/>
    </row>
    <row r="765" ht="15.75" customHeight="1">
      <c r="A765" s="7"/>
      <c r="B765" s="7"/>
      <c r="C765" s="7"/>
      <c r="D765" s="7"/>
      <c r="E765" s="7"/>
      <c r="F765" s="7"/>
    </row>
    <row r="766" ht="15.75" customHeight="1">
      <c r="A766" s="7"/>
      <c r="B766" s="7"/>
      <c r="C766" s="7"/>
      <c r="D766" s="7"/>
      <c r="E766" s="7"/>
      <c r="F766" s="7"/>
    </row>
    <row r="767" ht="15.75" customHeight="1">
      <c r="A767" s="7"/>
      <c r="B767" s="7"/>
      <c r="C767" s="7"/>
      <c r="D767" s="7"/>
      <c r="E767" s="7"/>
      <c r="F767" s="7"/>
    </row>
    <row r="768" ht="15.75" customHeight="1">
      <c r="A768" s="7"/>
      <c r="B768" s="7"/>
      <c r="C768" s="7"/>
      <c r="D768" s="7"/>
      <c r="E768" s="7"/>
      <c r="F768" s="7"/>
    </row>
    <row r="769" ht="15.75" customHeight="1">
      <c r="A769" s="7"/>
      <c r="B769" s="7"/>
      <c r="C769" s="7"/>
      <c r="D769" s="7"/>
      <c r="E769" s="7"/>
      <c r="F769" s="7"/>
    </row>
    <row r="770" ht="15.75" customHeight="1">
      <c r="A770" s="7"/>
      <c r="B770" s="7"/>
      <c r="C770" s="7"/>
      <c r="D770" s="7"/>
      <c r="E770" s="7"/>
      <c r="F770" s="7"/>
    </row>
    <row r="771" ht="15.75" customHeight="1">
      <c r="A771" s="7"/>
      <c r="B771" s="7"/>
      <c r="C771" s="7"/>
      <c r="D771" s="7"/>
      <c r="E771" s="7"/>
      <c r="F771" s="7"/>
    </row>
    <row r="772" ht="15.75" customHeight="1">
      <c r="A772" s="7"/>
      <c r="B772" s="7"/>
      <c r="C772" s="7"/>
      <c r="D772" s="7"/>
      <c r="E772" s="7"/>
      <c r="F772" s="7"/>
    </row>
    <row r="773" ht="15.75" customHeight="1">
      <c r="A773" s="7"/>
      <c r="B773" s="7"/>
      <c r="C773" s="7"/>
      <c r="D773" s="7"/>
      <c r="E773" s="7"/>
      <c r="F773" s="7"/>
    </row>
    <row r="774" ht="15.75" customHeight="1">
      <c r="A774" s="7"/>
      <c r="B774" s="7"/>
      <c r="C774" s="7"/>
      <c r="D774" s="7"/>
      <c r="E774" s="7"/>
      <c r="F774" s="7"/>
    </row>
    <row r="775" ht="15.75" customHeight="1">
      <c r="A775" s="7"/>
      <c r="B775" s="7"/>
      <c r="C775" s="7"/>
      <c r="D775" s="7"/>
      <c r="E775" s="7"/>
      <c r="F775" s="7"/>
    </row>
    <row r="776" ht="15.75" customHeight="1">
      <c r="A776" s="7"/>
      <c r="B776" s="7"/>
      <c r="C776" s="7"/>
      <c r="D776" s="7"/>
      <c r="E776" s="7"/>
      <c r="F776" s="7"/>
    </row>
    <row r="777" ht="15.75" customHeight="1">
      <c r="A777" s="7"/>
      <c r="B777" s="7"/>
      <c r="C777" s="7"/>
      <c r="D777" s="7"/>
      <c r="E777" s="7"/>
      <c r="F777" s="7"/>
    </row>
    <row r="778" ht="15.75" customHeight="1">
      <c r="A778" s="7"/>
      <c r="B778" s="7"/>
      <c r="C778" s="7"/>
      <c r="D778" s="7"/>
      <c r="E778" s="7"/>
      <c r="F778" s="7"/>
    </row>
    <row r="779" ht="15.75" customHeight="1">
      <c r="A779" s="7"/>
      <c r="B779" s="7"/>
      <c r="C779" s="7"/>
      <c r="D779" s="7"/>
      <c r="E779" s="7"/>
      <c r="F779" s="7"/>
    </row>
    <row r="780" ht="15.75" customHeight="1">
      <c r="A780" s="7"/>
      <c r="B780" s="7"/>
      <c r="C780" s="7"/>
      <c r="D780" s="7"/>
      <c r="E780" s="7"/>
      <c r="F780" s="7"/>
    </row>
    <row r="781" ht="15.75" customHeight="1">
      <c r="A781" s="7"/>
      <c r="B781" s="7"/>
      <c r="C781" s="7"/>
      <c r="D781" s="7"/>
      <c r="E781" s="7"/>
      <c r="F781" s="7"/>
    </row>
    <row r="782" ht="15.75" customHeight="1">
      <c r="A782" s="7"/>
      <c r="B782" s="7"/>
      <c r="C782" s="7"/>
      <c r="D782" s="7"/>
      <c r="E782" s="7"/>
      <c r="F782" s="7"/>
    </row>
    <row r="783" ht="15.75" customHeight="1">
      <c r="A783" s="7"/>
      <c r="B783" s="7"/>
      <c r="C783" s="7"/>
      <c r="D783" s="7"/>
      <c r="E783" s="7"/>
      <c r="F783" s="7"/>
    </row>
    <row r="784" ht="15.75" customHeight="1">
      <c r="A784" s="7"/>
      <c r="B784" s="7"/>
      <c r="C784" s="7"/>
      <c r="D784" s="7"/>
      <c r="E784" s="7"/>
      <c r="F784" s="7"/>
    </row>
    <row r="785" ht="15.75" customHeight="1">
      <c r="A785" s="7"/>
      <c r="B785" s="7"/>
      <c r="C785" s="7"/>
      <c r="D785" s="7"/>
      <c r="E785" s="7"/>
      <c r="F785" s="7"/>
    </row>
    <row r="786" ht="15.75" customHeight="1">
      <c r="A786" s="7"/>
      <c r="B786" s="7"/>
      <c r="C786" s="7"/>
      <c r="D786" s="7"/>
      <c r="E786" s="7"/>
      <c r="F786" s="7"/>
    </row>
    <row r="787" ht="15.75" customHeight="1">
      <c r="A787" s="7"/>
      <c r="B787" s="7"/>
      <c r="C787" s="7"/>
      <c r="D787" s="7"/>
      <c r="E787" s="7"/>
      <c r="F787" s="7"/>
    </row>
    <row r="788" ht="15.75" customHeight="1">
      <c r="A788" s="7"/>
      <c r="B788" s="7"/>
      <c r="C788" s="7"/>
      <c r="D788" s="7"/>
      <c r="E788" s="7"/>
      <c r="F788" s="7"/>
    </row>
    <row r="789" ht="15.75" customHeight="1">
      <c r="A789" s="7"/>
      <c r="B789" s="7"/>
      <c r="C789" s="7"/>
      <c r="D789" s="7"/>
      <c r="E789" s="7"/>
      <c r="F789" s="7"/>
    </row>
    <row r="790" ht="15.75" customHeight="1">
      <c r="A790" s="7"/>
      <c r="B790" s="7"/>
      <c r="C790" s="7"/>
      <c r="D790" s="7"/>
      <c r="E790" s="7"/>
      <c r="F790" s="7"/>
    </row>
    <row r="791" ht="15.75" customHeight="1">
      <c r="A791" s="7"/>
      <c r="B791" s="7"/>
      <c r="C791" s="7"/>
      <c r="D791" s="7"/>
      <c r="E791" s="7"/>
      <c r="F791" s="7"/>
    </row>
    <row r="792" ht="15.75" customHeight="1">
      <c r="A792" s="7"/>
      <c r="B792" s="7"/>
      <c r="C792" s="7"/>
      <c r="D792" s="7"/>
      <c r="E792" s="7"/>
      <c r="F792" s="7"/>
    </row>
    <row r="793" ht="15.75" customHeight="1">
      <c r="A793" s="7"/>
      <c r="B793" s="7"/>
      <c r="C793" s="7"/>
      <c r="D793" s="7"/>
      <c r="E793" s="7"/>
      <c r="F793" s="7"/>
    </row>
    <row r="794" ht="15.75" customHeight="1">
      <c r="A794" s="7"/>
      <c r="B794" s="7"/>
      <c r="C794" s="7"/>
      <c r="D794" s="7"/>
      <c r="E794" s="7"/>
      <c r="F794" s="7"/>
    </row>
    <row r="795" ht="15.75" customHeight="1">
      <c r="A795" s="7"/>
      <c r="B795" s="7"/>
      <c r="C795" s="7"/>
      <c r="D795" s="7"/>
      <c r="E795" s="7"/>
      <c r="F795" s="7"/>
    </row>
    <row r="796" ht="15.75" customHeight="1">
      <c r="A796" s="7"/>
      <c r="B796" s="7"/>
      <c r="C796" s="7"/>
      <c r="D796" s="7"/>
      <c r="E796" s="7"/>
      <c r="F796" s="7"/>
    </row>
    <row r="797" ht="15.75" customHeight="1">
      <c r="A797" s="7"/>
      <c r="B797" s="7"/>
      <c r="C797" s="7"/>
      <c r="D797" s="7"/>
      <c r="E797" s="7"/>
      <c r="F797" s="7"/>
    </row>
    <row r="798" ht="15.75" customHeight="1">
      <c r="A798" s="7"/>
      <c r="B798" s="7"/>
      <c r="C798" s="7"/>
      <c r="D798" s="7"/>
      <c r="E798" s="7"/>
      <c r="F798" s="7"/>
    </row>
    <row r="799" ht="15.75" customHeight="1">
      <c r="A799" s="7"/>
      <c r="B799" s="7"/>
      <c r="C799" s="7"/>
      <c r="D799" s="7"/>
      <c r="E799" s="7"/>
      <c r="F799" s="7"/>
    </row>
    <row r="800" ht="15.75" customHeight="1">
      <c r="A800" s="7"/>
      <c r="B800" s="7"/>
      <c r="C800" s="7"/>
      <c r="D800" s="7"/>
      <c r="E800" s="7"/>
      <c r="F800" s="7"/>
    </row>
    <row r="801" ht="15.75" customHeight="1">
      <c r="A801" s="7"/>
      <c r="B801" s="7"/>
      <c r="C801" s="7"/>
      <c r="D801" s="7"/>
      <c r="E801" s="7"/>
      <c r="F801" s="7"/>
    </row>
    <row r="802" ht="15.75" customHeight="1">
      <c r="A802" s="7"/>
      <c r="B802" s="7"/>
      <c r="C802" s="7"/>
      <c r="D802" s="7"/>
      <c r="E802" s="7"/>
      <c r="F802" s="7"/>
    </row>
    <row r="803" ht="15.75" customHeight="1">
      <c r="A803" s="7"/>
      <c r="B803" s="7"/>
      <c r="C803" s="7"/>
      <c r="D803" s="7"/>
      <c r="E803" s="7"/>
      <c r="F803" s="7"/>
    </row>
    <row r="804" ht="15.75" customHeight="1">
      <c r="A804" s="7"/>
      <c r="B804" s="7"/>
      <c r="C804" s="7"/>
      <c r="D804" s="7"/>
      <c r="E804" s="7"/>
      <c r="F804" s="7"/>
    </row>
    <row r="805" ht="15.75" customHeight="1">
      <c r="A805" s="7"/>
      <c r="B805" s="7"/>
      <c r="C805" s="7"/>
      <c r="D805" s="7"/>
      <c r="E805" s="7"/>
      <c r="F805" s="7"/>
    </row>
    <row r="806" ht="15.75" customHeight="1">
      <c r="A806" s="7"/>
      <c r="B806" s="7"/>
      <c r="C806" s="7"/>
      <c r="D806" s="7"/>
      <c r="E806" s="7"/>
      <c r="F806" s="7"/>
    </row>
    <row r="807" ht="15.75" customHeight="1">
      <c r="A807" s="7"/>
      <c r="B807" s="7"/>
      <c r="C807" s="7"/>
      <c r="D807" s="7"/>
      <c r="E807" s="7"/>
      <c r="F807" s="7"/>
    </row>
    <row r="808" ht="15.75" customHeight="1">
      <c r="A808" s="7"/>
      <c r="B808" s="7"/>
      <c r="C808" s="7"/>
      <c r="D808" s="7"/>
      <c r="E808" s="7"/>
      <c r="F808" s="7"/>
    </row>
    <row r="809" ht="15.75" customHeight="1">
      <c r="A809" s="7"/>
      <c r="B809" s="7"/>
      <c r="C809" s="7"/>
      <c r="D809" s="7"/>
      <c r="E809" s="7"/>
      <c r="F809" s="7"/>
    </row>
    <row r="810" ht="15.75" customHeight="1">
      <c r="A810" s="7"/>
      <c r="B810" s="7"/>
      <c r="C810" s="7"/>
      <c r="D810" s="7"/>
      <c r="E810" s="7"/>
      <c r="F810" s="7"/>
    </row>
    <row r="811" ht="15.75" customHeight="1">
      <c r="A811" s="7"/>
      <c r="B811" s="7"/>
      <c r="C811" s="7"/>
      <c r="D811" s="7"/>
      <c r="E811" s="7"/>
      <c r="F811" s="7"/>
    </row>
    <row r="812" ht="15.75" customHeight="1">
      <c r="A812" s="7"/>
      <c r="B812" s="7"/>
      <c r="C812" s="7"/>
      <c r="D812" s="7"/>
      <c r="E812" s="7"/>
      <c r="F812" s="7"/>
    </row>
    <row r="813" ht="15.75" customHeight="1">
      <c r="A813" s="7"/>
      <c r="B813" s="7"/>
      <c r="C813" s="7"/>
      <c r="D813" s="7"/>
      <c r="E813" s="7"/>
      <c r="F813" s="7"/>
    </row>
    <row r="814" ht="15.75" customHeight="1">
      <c r="A814" s="7"/>
      <c r="B814" s="7"/>
      <c r="C814" s="7"/>
      <c r="D814" s="7"/>
      <c r="E814" s="7"/>
      <c r="F814" s="7"/>
    </row>
    <row r="815" ht="15.75" customHeight="1">
      <c r="A815" s="7"/>
      <c r="B815" s="7"/>
      <c r="C815" s="7"/>
      <c r="D815" s="7"/>
      <c r="E815" s="7"/>
      <c r="F815" s="7"/>
    </row>
    <row r="816" ht="15.75" customHeight="1">
      <c r="A816" s="7"/>
      <c r="B816" s="7"/>
      <c r="C816" s="7"/>
      <c r="D816" s="7"/>
      <c r="E816" s="7"/>
      <c r="F816" s="7"/>
    </row>
    <row r="817" ht="15.75" customHeight="1">
      <c r="A817" s="7"/>
      <c r="B817" s="7"/>
      <c r="C817" s="7"/>
      <c r="D817" s="7"/>
      <c r="E817" s="7"/>
      <c r="F817" s="7"/>
    </row>
    <row r="818" ht="15.75" customHeight="1">
      <c r="A818" s="7"/>
      <c r="B818" s="7"/>
      <c r="C818" s="7"/>
      <c r="D818" s="7"/>
      <c r="E818" s="7"/>
      <c r="F818" s="7"/>
    </row>
    <row r="819" ht="15.75" customHeight="1">
      <c r="A819" s="7"/>
      <c r="B819" s="7"/>
      <c r="C819" s="7"/>
      <c r="D819" s="7"/>
      <c r="E819" s="7"/>
      <c r="F819" s="7"/>
    </row>
    <row r="820" ht="15.75" customHeight="1">
      <c r="A820" s="7"/>
      <c r="B820" s="7"/>
      <c r="C820" s="7"/>
      <c r="D820" s="7"/>
      <c r="E820" s="7"/>
      <c r="F820" s="7"/>
    </row>
    <row r="821" ht="15.75" customHeight="1">
      <c r="A821" s="7"/>
      <c r="B821" s="7"/>
      <c r="C821" s="7"/>
      <c r="D821" s="7"/>
      <c r="E821" s="7"/>
      <c r="F821" s="7"/>
    </row>
    <row r="822" ht="15.75" customHeight="1">
      <c r="A822" s="7"/>
      <c r="B822" s="7"/>
      <c r="C822" s="7"/>
      <c r="D822" s="7"/>
      <c r="E822" s="7"/>
      <c r="F822" s="7"/>
    </row>
    <row r="823" ht="15.75" customHeight="1">
      <c r="A823" s="7"/>
      <c r="B823" s="7"/>
      <c r="C823" s="7"/>
      <c r="D823" s="7"/>
      <c r="E823" s="7"/>
      <c r="F823" s="7"/>
    </row>
    <row r="824" ht="15.75" customHeight="1">
      <c r="A824" s="7"/>
      <c r="B824" s="7"/>
      <c r="C824" s="7"/>
      <c r="D824" s="7"/>
      <c r="E824" s="7"/>
      <c r="F824" s="7"/>
    </row>
    <row r="825" ht="15.75" customHeight="1">
      <c r="A825" s="7"/>
      <c r="B825" s="7"/>
      <c r="C825" s="7"/>
      <c r="D825" s="7"/>
      <c r="E825" s="7"/>
      <c r="F825" s="7"/>
    </row>
    <row r="826" ht="15.75" customHeight="1">
      <c r="A826" s="7"/>
      <c r="B826" s="7"/>
      <c r="C826" s="7"/>
      <c r="D826" s="7"/>
      <c r="E826" s="7"/>
      <c r="F826" s="7"/>
    </row>
    <row r="827" ht="15.75" customHeight="1">
      <c r="A827" s="7"/>
      <c r="B827" s="7"/>
      <c r="C827" s="7"/>
      <c r="D827" s="7"/>
      <c r="E827" s="7"/>
      <c r="F827" s="7"/>
    </row>
    <row r="828" ht="15.75" customHeight="1">
      <c r="A828" s="7"/>
      <c r="B828" s="7"/>
      <c r="C828" s="7"/>
      <c r="D828" s="7"/>
      <c r="E828" s="7"/>
      <c r="F828" s="7"/>
    </row>
    <row r="829" ht="15.75" customHeight="1">
      <c r="A829" s="7"/>
      <c r="B829" s="7"/>
      <c r="C829" s="7"/>
      <c r="D829" s="7"/>
      <c r="E829" s="7"/>
      <c r="F829" s="7"/>
    </row>
    <row r="830" ht="15.75" customHeight="1">
      <c r="A830" s="7"/>
      <c r="B830" s="7"/>
      <c r="C830" s="7"/>
      <c r="D830" s="7"/>
      <c r="E830" s="7"/>
      <c r="F830" s="7"/>
    </row>
    <row r="831" ht="15.75" customHeight="1">
      <c r="A831" s="7"/>
      <c r="B831" s="7"/>
      <c r="C831" s="7"/>
      <c r="D831" s="7"/>
      <c r="E831" s="7"/>
      <c r="F831" s="7"/>
    </row>
    <row r="832" ht="15.75" customHeight="1">
      <c r="A832" s="7"/>
      <c r="B832" s="7"/>
      <c r="C832" s="7"/>
      <c r="D832" s="7"/>
      <c r="E832" s="7"/>
      <c r="F832" s="7"/>
    </row>
    <row r="833" ht="15.75" customHeight="1">
      <c r="A833" s="7"/>
      <c r="B833" s="7"/>
      <c r="C833" s="7"/>
      <c r="D833" s="7"/>
      <c r="E833" s="7"/>
      <c r="F833" s="7"/>
    </row>
    <row r="834" ht="15.75" customHeight="1">
      <c r="A834" s="7"/>
      <c r="B834" s="7"/>
      <c r="C834" s="7"/>
      <c r="D834" s="7"/>
      <c r="E834" s="7"/>
      <c r="F834" s="7"/>
    </row>
    <row r="835" ht="15.75" customHeight="1">
      <c r="A835" s="7"/>
      <c r="B835" s="7"/>
      <c r="C835" s="7"/>
      <c r="D835" s="7"/>
      <c r="E835" s="7"/>
      <c r="F835" s="7"/>
    </row>
    <row r="836" ht="15.75" customHeight="1">
      <c r="A836" s="7"/>
      <c r="B836" s="7"/>
      <c r="C836" s="7"/>
      <c r="D836" s="7"/>
      <c r="E836" s="7"/>
      <c r="F836" s="7"/>
    </row>
    <row r="837" ht="15.75" customHeight="1">
      <c r="A837" s="7"/>
      <c r="B837" s="7"/>
      <c r="C837" s="7"/>
      <c r="D837" s="7"/>
      <c r="E837" s="7"/>
      <c r="F837" s="7"/>
    </row>
    <row r="838" ht="15.75" customHeight="1">
      <c r="A838" s="7"/>
      <c r="B838" s="7"/>
      <c r="C838" s="7"/>
      <c r="D838" s="7"/>
      <c r="E838" s="7"/>
      <c r="F838" s="7"/>
    </row>
    <row r="839" ht="15.75" customHeight="1">
      <c r="A839" s="7"/>
      <c r="B839" s="7"/>
      <c r="C839" s="7"/>
      <c r="D839" s="7"/>
      <c r="E839" s="7"/>
      <c r="F839" s="7"/>
    </row>
    <row r="840" ht="15.75" customHeight="1">
      <c r="A840" s="7"/>
      <c r="B840" s="7"/>
      <c r="C840" s="7"/>
      <c r="D840" s="7"/>
      <c r="E840" s="7"/>
      <c r="F840" s="7"/>
    </row>
    <row r="841" ht="15.75" customHeight="1">
      <c r="A841" s="7"/>
      <c r="B841" s="7"/>
      <c r="C841" s="7"/>
      <c r="D841" s="7"/>
      <c r="E841" s="7"/>
      <c r="F841" s="7"/>
    </row>
    <row r="842" ht="15.75" customHeight="1">
      <c r="A842" s="7"/>
      <c r="B842" s="7"/>
      <c r="C842" s="7"/>
      <c r="D842" s="7"/>
      <c r="E842" s="7"/>
      <c r="F842" s="7"/>
    </row>
    <row r="843" ht="15.75" customHeight="1">
      <c r="A843" s="7"/>
      <c r="B843" s="7"/>
      <c r="C843" s="7"/>
      <c r="D843" s="7"/>
      <c r="E843" s="7"/>
      <c r="F843" s="7"/>
    </row>
    <row r="844" ht="15.75" customHeight="1">
      <c r="A844" s="7"/>
      <c r="B844" s="7"/>
      <c r="C844" s="7"/>
      <c r="D844" s="7"/>
      <c r="E844" s="7"/>
      <c r="F844" s="7"/>
    </row>
    <row r="845" ht="15.75" customHeight="1">
      <c r="A845" s="7"/>
      <c r="B845" s="7"/>
      <c r="C845" s="7"/>
      <c r="D845" s="7"/>
      <c r="E845" s="7"/>
      <c r="F845" s="7"/>
    </row>
    <row r="846" ht="15.75" customHeight="1">
      <c r="A846" s="7"/>
      <c r="B846" s="7"/>
      <c r="C846" s="7"/>
      <c r="D846" s="7"/>
      <c r="E846" s="7"/>
      <c r="F846" s="7"/>
    </row>
    <row r="847" ht="15.75" customHeight="1">
      <c r="A847" s="7"/>
      <c r="B847" s="7"/>
      <c r="C847" s="7"/>
      <c r="D847" s="7"/>
      <c r="E847" s="7"/>
      <c r="F847" s="7"/>
    </row>
    <row r="848" ht="15.75" customHeight="1">
      <c r="A848" s="7"/>
      <c r="B848" s="7"/>
      <c r="C848" s="7"/>
      <c r="D848" s="7"/>
      <c r="E848" s="7"/>
      <c r="F848" s="7"/>
    </row>
    <row r="849" ht="15.75" customHeight="1">
      <c r="A849" s="7"/>
      <c r="B849" s="7"/>
      <c r="C849" s="7"/>
      <c r="D849" s="7"/>
      <c r="E849" s="7"/>
      <c r="F849" s="7"/>
    </row>
    <row r="850" ht="15.75" customHeight="1">
      <c r="A850" s="7"/>
      <c r="B850" s="7"/>
      <c r="C850" s="7"/>
      <c r="D850" s="7"/>
      <c r="E850" s="7"/>
      <c r="F850" s="7"/>
    </row>
    <row r="851" ht="15.75" customHeight="1">
      <c r="A851" s="7"/>
      <c r="B851" s="7"/>
      <c r="C851" s="7"/>
      <c r="D851" s="7"/>
      <c r="E851" s="7"/>
      <c r="F851" s="7"/>
    </row>
    <row r="852" ht="15.75" customHeight="1">
      <c r="A852" s="7"/>
      <c r="B852" s="7"/>
      <c r="C852" s="7"/>
      <c r="D852" s="7"/>
      <c r="E852" s="7"/>
      <c r="F852" s="7"/>
    </row>
    <row r="853" ht="15.75" customHeight="1">
      <c r="A853" s="7"/>
      <c r="B853" s="7"/>
      <c r="C853" s="7"/>
      <c r="D853" s="7"/>
      <c r="E853" s="7"/>
      <c r="F853" s="7"/>
    </row>
    <row r="854" ht="15.75" customHeight="1">
      <c r="A854" s="7"/>
      <c r="B854" s="7"/>
      <c r="C854" s="7"/>
      <c r="D854" s="7"/>
      <c r="E854" s="7"/>
      <c r="F854" s="7"/>
    </row>
    <row r="855" ht="15.75" customHeight="1">
      <c r="A855" s="7"/>
      <c r="B855" s="7"/>
      <c r="C855" s="7"/>
      <c r="D855" s="7"/>
      <c r="E855" s="7"/>
      <c r="F855" s="7"/>
    </row>
    <row r="856" ht="15.75" customHeight="1">
      <c r="A856" s="7"/>
      <c r="B856" s="7"/>
      <c r="C856" s="7"/>
      <c r="D856" s="7"/>
      <c r="E856" s="7"/>
      <c r="F856" s="7"/>
    </row>
    <row r="857" ht="15.75" customHeight="1">
      <c r="A857" s="7"/>
      <c r="B857" s="7"/>
      <c r="C857" s="7"/>
      <c r="D857" s="7"/>
      <c r="E857" s="7"/>
      <c r="F857" s="7"/>
    </row>
    <row r="858" ht="15.75" customHeight="1">
      <c r="A858" s="7"/>
      <c r="B858" s="7"/>
      <c r="C858" s="7"/>
      <c r="D858" s="7"/>
      <c r="E858" s="7"/>
      <c r="F858" s="7"/>
    </row>
    <row r="859" ht="15.75" customHeight="1">
      <c r="A859" s="7"/>
      <c r="B859" s="7"/>
      <c r="C859" s="7"/>
      <c r="D859" s="7"/>
      <c r="E859" s="7"/>
      <c r="F859" s="7"/>
    </row>
    <row r="860" ht="15.75" customHeight="1">
      <c r="A860" s="7"/>
      <c r="B860" s="7"/>
      <c r="C860" s="7"/>
      <c r="D860" s="7"/>
      <c r="E860" s="7"/>
      <c r="F860" s="7"/>
    </row>
    <row r="861" ht="15.75" customHeight="1">
      <c r="A861" s="7"/>
      <c r="B861" s="7"/>
      <c r="C861" s="7"/>
      <c r="D861" s="7"/>
      <c r="E861" s="7"/>
      <c r="F861" s="7"/>
    </row>
    <row r="862" ht="15.75" customHeight="1">
      <c r="A862" s="7"/>
      <c r="B862" s="7"/>
      <c r="C862" s="7"/>
      <c r="D862" s="7"/>
      <c r="E862" s="7"/>
      <c r="F862" s="7"/>
    </row>
    <row r="863" ht="15.75" customHeight="1">
      <c r="A863" s="7"/>
      <c r="B863" s="7"/>
      <c r="C863" s="7"/>
      <c r="D863" s="7"/>
      <c r="E863" s="7"/>
      <c r="F863" s="7"/>
    </row>
    <row r="864" ht="15.75" customHeight="1">
      <c r="A864" s="7"/>
      <c r="B864" s="7"/>
      <c r="C864" s="7"/>
      <c r="D864" s="7"/>
      <c r="E864" s="7"/>
      <c r="F864" s="7"/>
    </row>
    <row r="865" ht="15.75" customHeight="1">
      <c r="A865" s="7"/>
      <c r="B865" s="7"/>
      <c r="C865" s="7"/>
      <c r="D865" s="7"/>
      <c r="E865" s="7"/>
      <c r="F865" s="7"/>
    </row>
    <row r="866" ht="15.75" customHeight="1">
      <c r="A866" s="7"/>
      <c r="B866" s="7"/>
      <c r="C866" s="7"/>
      <c r="D866" s="7"/>
      <c r="E866" s="7"/>
      <c r="F866" s="7"/>
    </row>
    <row r="867" ht="15.75" customHeight="1">
      <c r="A867" s="7"/>
      <c r="B867" s="7"/>
      <c r="C867" s="7"/>
      <c r="D867" s="7"/>
      <c r="E867" s="7"/>
      <c r="F867" s="7"/>
    </row>
    <row r="868" ht="15.75" customHeight="1">
      <c r="A868" s="7"/>
      <c r="B868" s="7"/>
      <c r="C868" s="7"/>
      <c r="D868" s="7"/>
      <c r="E868" s="7"/>
      <c r="F868" s="7"/>
    </row>
    <row r="869" ht="15.75" customHeight="1">
      <c r="A869" s="7"/>
      <c r="B869" s="7"/>
      <c r="C869" s="7"/>
      <c r="D869" s="7"/>
      <c r="E869" s="7"/>
      <c r="F869" s="7"/>
    </row>
    <row r="870" ht="15.75" customHeight="1">
      <c r="A870" s="7"/>
      <c r="B870" s="7"/>
      <c r="C870" s="7"/>
      <c r="D870" s="7"/>
      <c r="E870" s="7"/>
      <c r="F870" s="7"/>
    </row>
    <row r="871" ht="15.75" customHeight="1">
      <c r="A871" s="7"/>
      <c r="B871" s="7"/>
      <c r="C871" s="7"/>
      <c r="D871" s="7"/>
      <c r="E871" s="7"/>
      <c r="F871" s="7"/>
    </row>
    <row r="872" ht="15.75" customHeight="1">
      <c r="A872" s="7"/>
      <c r="B872" s="7"/>
      <c r="C872" s="7"/>
      <c r="D872" s="7"/>
      <c r="E872" s="7"/>
      <c r="F872" s="7"/>
    </row>
    <row r="873" ht="15.75" customHeight="1">
      <c r="A873" s="7"/>
      <c r="B873" s="7"/>
      <c r="C873" s="7"/>
      <c r="D873" s="7"/>
      <c r="E873" s="7"/>
      <c r="F873" s="7"/>
    </row>
    <row r="874" ht="15.75" customHeight="1">
      <c r="A874" s="7"/>
      <c r="B874" s="7"/>
      <c r="C874" s="7"/>
      <c r="D874" s="7"/>
      <c r="E874" s="7"/>
      <c r="F874" s="7"/>
    </row>
    <row r="875" ht="15.75" customHeight="1">
      <c r="A875" s="7"/>
      <c r="B875" s="7"/>
      <c r="C875" s="7"/>
      <c r="D875" s="7"/>
      <c r="E875" s="7"/>
      <c r="F875" s="7"/>
    </row>
    <row r="876" ht="15.75" customHeight="1">
      <c r="A876" s="7"/>
      <c r="B876" s="7"/>
      <c r="C876" s="7"/>
      <c r="D876" s="7"/>
      <c r="E876" s="7"/>
      <c r="F876" s="7"/>
    </row>
    <row r="877" ht="15.75" customHeight="1">
      <c r="A877" s="7"/>
      <c r="B877" s="7"/>
      <c r="C877" s="7"/>
      <c r="D877" s="7"/>
      <c r="E877" s="7"/>
      <c r="F877" s="7"/>
    </row>
    <row r="878" ht="15.75" customHeight="1">
      <c r="A878" s="7"/>
      <c r="B878" s="7"/>
      <c r="C878" s="7"/>
      <c r="D878" s="7"/>
      <c r="E878" s="7"/>
      <c r="F878" s="7"/>
    </row>
    <row r="879" ht="15.75" customHeight="1">
      <c r="A879" s="7"/>
      <c r="B879" s="7"/>
      <c r="C879" s="7"/>
      <c r="D879" s="7"/>
      <c r="E879" s="7"/>
      <c r="F879" s="7"/>
    </row>
    <row r="880" ht="15.75" customHeight="1">
      <c r="A880" s="7"/>
      <c r="B880" s="7"/>
      <c r="C880" s="7"/>
      <c r="D880" s="7"/>
      <c r="E880" s="7"/>
      <c r="F880" s="7"/>
    </row>
    <row r="881" ht="15.75" customHeight="1">
      <c r="A881" s="7"/>
      <c r="B881" s="7"/>
      <c r="C881" s="7"/>
      <c r="D881" s="7"/>
      <c r="E881" s="7"/>
      <c r="F881" s="7"/>
    </row>
    <row r="882" ht="15.75" customHeight="1">
      <c r="A882" s="7"/>
      <c r="B882" s="7"/>
      <c r="C882" s="7"/>
      <c r="D882" s="7"/>
      <c r="E882" s="7"/>
      <c r="F882" s="7"/>
    </row>
    <row r="883" ht="15.75" customHeight="1">
      <c r="A883" s="7"/>
      <c r="B883" s="7"/>
      <c r="C883" s="7"/>
      <c r="D883" s="7"/>
      <c r="E883" s="7"/>
      <c r="F883" s="7"/>
    </row>
    <row r="884" ht="15.75" customHeight="1">
      <c r="A884" s="7"/>
      <c r="B884" s="7"/>
      <c r="C884" s="7"/>
      <c r="D884" s="7"/>
      <c r="E884" s="7"/>
      <c r="F884" s="7"/>
    </row>
    <row r="885" ht="15.75" customHeight="1">
      <c r="A885" s="7"/>
      <c r="B885" s="7"/>
      <c r="C885" s="7"/>
      <c r="D885" s="7"/>
      <c r="E885" s="7"/>
      <c r="F885" s="7"/>
    </row>
    <row r="886" ht="15.75" customHeight="1">
      <c r="A886" s="7"/>
      <c r="B886" s="7"/>
      <c r="C886" s="7"/>
      <c r="D886" s="7"/>
      <c r="E886" s="7"/>
      <c r="F886" s="7"/>
    </row>
    <row r="887" ht="15.75" customHeight="1">
      <c r="A887" s="7"/>
      <c r="B887" s="7"/>
      <c r="C887" s="7"/>
      <c r="D887" s="7"/>
      <c r="E887" s="7"/>
      <c r="F887" s="7"/>
    </row>
    <row r="888" ht="15.75" customHeight="1">
      <c r="A888" s="7"/>
      <c r="B888" s="7"/>
      <c r="C888" s="7"/>
      <c r="D888" s="7"/>
      <c r="E888" s="7"/>
      <c r="F888" s="7"/>
    </row>
    <row r="889" ht="15.75" customHeight="1">
      <c r="A889" s="7"/>
      <c r="B889" s="7"/>
      <c r="C889" s="7"/>
      <c r="D889" s="7"/>
      <c r="E889" s="7"/>
      <c r="F889" s="7"/>
    </row>
    <row r="890" ht="15.75" customHeight="1">
      <c r="A890" s="7"/>
      <c r="B890" s="7"/>
      <c r="C890" s="7"/>
      <c r="D890" s="7"/>
      <c r="E890" s="7"/>
      <c r="F890" s="7"/>
    </row>
    <row r="891" ht="15.75" customHeight="1">
      <c r="A891" s="7"/>
      <c r="B891" s="7"/>
      <c r="C891" s="7"/>
      <c r="D891" s="7"/>
      <c r="E891" s="7"/>
      <c r="F891" s="7"/>
    </row>
    <row r="892" ht="15.75" customHeight="1">
      <c r="A892" s="7"/>
      <c r="B892" s="7"/>
      <c r="C892" s="7"/>
      <c r="D892" s="7"/>
      <c r="E892" s="7"/>
      <c r="F892" s="7"/>
    </row>
    <row r="893" ht="15.75" customHeight="1">
      <c r="A893" s="7"/>
      <c r="B893" s="7"/>
      <c r="C893" s="7"/>
      <c r="D893" s="7"/>
      <c r="E893" s="7"/>
      <c r="F893" s="7"/>
    </row>
    <row r="894" ht="15.75" customHeight="1">
      <c r="A894" s="7"/>
      <c r="B894" s="7"/>
      <c r="C894" s="7"/>
      <c r="D894" s="7"/>
      <c r="E894" s="7"/>
      <c r="F894" s="7"/>
    </row>
    <row r="895" ht="15.75" customHeight="1">
      <c r="A895" s="7"/>
      <c r="B895" s="7"/>
      <c r="C895" s="7"/>
      <c r="D895" s="7"/>
      <c r="E895" s="7"/>
      <c r="F895" s="7"/>
    </row>
    <row r="896" ht="15.75" customHeight="1">
      <c r="A896" s="7"/>
      <c r="B896" s="7"/>
      <c r="C896" s="7"/>
      <c r="D896" s="7"/>
      <c r="E896" s="7"/>
      <c r="F896" s="7"/>
    </row>
    <row r="897" ht="15.75" customHeight="1">
      <c r="A897" s="7"/>
      <c r="B897" s="7"/>
      <c r="C897" s="7"/>
      <c r="D897" s="7"/>
      <c r="E897" s="7"/>
      <c r="F897" s="7"/>
    </row>
    <row r="898" ht="15.75" customHeight="1">
      <c r="A898" s="7"/>
      <c r="B898" s="7"/>
      <c r="C898" s="7"/>
      <c r="D898" s="7"/>
      <c r="E898" s="7"/>
      <c r="F898" s="7"/>
    </row>
    <row r="899" ht="15.75" customHeight="1">
      <c r="A899" s="7"/>
      <c r="B899" s="7"/>
      <c r="C899" s="7"/>
      <c r="D899" s="7"/>
      <c r="E899" s="7"/>
      <c r="F899" s="7"/>
    </row>
    <row r="900" ht="15.75" customHeight="1">
      <c r="A900" s="7"/>
      <c r="B900" s="7"/>
      <c r="C900" s="7"/>
      <c r="D900" s="7"/>
      <c r="E900" s="7"/>
      <c r="F900" s="7"/>
    </row>
    <row r="901" ht="15.75" customHeight="1">
      <c r="A901" s="7"/>
      <c r="B901" s="7"/>
      <c r="C901" s="7"/>
      <c r="D901" s="7"/>
      <c r="E901" s="7"/>
      <c r="F901" s="7"/>
    </row>
    <row r="902" ht="15.75" customHeight="1">
      <c r="A902" s="7"/>
      <c r="B902" s="7"/>
      <c r="C902" s="7"/>
      <c r="D902" s="7"/>
      <c r="E902" s="7"/>
      <c r="F902" s="7"/>
    </row>
    <row r="903" ht="15.75" customHeight="1">
      <c r="A903" s="7"/>
      <c r="B903" s="7"/>
      <c r="C903" s="7"/>
      <c r="D903" s="7"/>
      <c r="E903" s="7"/>
      <c r="F903" s="7"/>
    </row>
    <row r="904" ht="15.75" customHeight="1">
      <c r="A904" s="7"/>
      <c r="B904" s="7"/>
      <c r="C904" s="7"/>
      <c r="D904" s="7"/>
      <c r="E904" s="7"/>
      <c r="F904" s="7"/>
    </row>
    <row r="905" ht="15.75" customHeight="1">
      <c r="A905" s="7"/>
      <c r="B905" s="7"/>
      <c r="C905" s="7"/>
      <c r="D905" s="7"/>
      <c r="E905" s="7"/>
      <c r="F905" s="7"/>
    </row>
    <row r="906" ht="15.75" customHeight="1">
      <c r="A906" s="7"/>
      <c r="B906" s="7"/>
      <c r="C906" s="7"/>
      <c r="D906" s="7"/>
      <c r="E906" s="7"/>
      <c r="F906" s="7"/>
    </row>
    <row r="907" ht="15.75" customHeight="1">
      <c r="A907" s="7"/>
      <c r="B907" s="7"/>
      <c r="C907" s="7"/>
      <c r="D907" s="7"/>
      <c r="E907" s="7"/>
      <c r="F907" s="7"/>
    </row>
    <row r="908" ht="15.75" customHeight="1">
      <c r="A908" s="7"/>
      <c r="B908" s="7"/>
      <c r="C908" s="7"/>
      <c r="D908" s="7"/>
      <c r="E908" s="7"/>
      <c r="F908" s="7"/>
    </row>
    <row r="909" ht="15.75" customHeight="1">
      <c r="A909" s="7"/>
      <c r="B909" s="7"/>
      <c r="C909" s="7"/>
      <c r="D909" s="7"/>
      <c r="E909" s="7"/>
      <c r="F909" s="7"/>
    </row>
    <row r="910" ht="15.75" customHeight="1">
      <c r="A910" s="7"/>
      <c r="B910" s="7"/>
      <c r="C910" s="7"/>
      <c r="D910" s="7"/>
      <c r="E910" s="7"/>
      <c r="F910" s="7"/>
    </row>
    <row r="911" ht="15.75" customHeight="1">
      <c r="A911" s="7"/>
      <c r="B911" s="7"/>
      <c r="C911" s="7"/>
      <c r="D911" s="7"/>
      <c r="E911" s="7"/>
      <c r="F911" s="7"/>
    </row>
    <row r="912" ht="15.75" customHeight="1">
      <c r="A912" s="7"/>
      <c r="B912" s="7"/>
      <c r="C912" s="7"/>
      <c r="D912" s="7"/>
      <c r="E912" s="7"/>
      <c r="F912" s="7"/>
    </row>
    <row r="913" ht="15.75" customHeight="1">
      <c r="A913" s="7"/>
      <c r="B913" s="7"/>
      <c r="C913" s="7"/>
      <c r="D913" s="7"/>
      <c r="E913" s="7"/>
      <c r="F913" s="7"/>
    </row>
    <row r="914" ht="15.75" customHeight="1">
      <c r="A914" s="7"/>
      <c r="B914" s="7"/>
      <c r="C914" s="7"/>
      <c r="D914" s="7"/>
      <c r="E914" s="7"/>
      <c r="F914" s="7"/>
    </row>
    <row r="915" ht="15.75" customHeight="1">
      <c r="A915" s="7"/>
      <c r="B915" s="7"/>
      <c r="C915" s="7"/>
      <c r="D915" s="7"/>
      <c r="E915" s="7"/>
      <c r="F915" s="7"/>
    </row>
    <row r="916" ht="15.75" customHeight="1">
      <c r="A916" s="7"/>
      <c r="B916" s="7"/>
      <c r="C916" s="7"/>
      <c r="D916" s="7"/>
      <c r="E916" s="7"/>
      <c r="F916" s="7"/>
    </row>
    <row r="917" ht="15.75" customHeight="1">
      <c r="A917" s="7"/>
      <c r="B917" s="7"/>
      <c r="C917" s="7"/>
      <c r="D917" s="7"/>
      <c r="E917" s="7"/>
      <c r="F917" s="7"/>
    </row>
    <row r="918" ht="15.75" customHeight="1">
      <c r="A918" s="7"/>
      <c r="B918" s="7"/>
      <c r="C918" s="7"/>
      <c r="D918" s="7"/>
      <c r="E918" s="7"/>
      <c r="F918" s="7"/>
    </row>
    <row r="919" ht="15.75" customHeight="1">
      <c r="A919" s="7"/>
      <c r="B919" s="7"/>
      <c r="C919" s="7"/>
      <c r="D919" s="7"/>
      <c r="E919" s="7"/>
      <c r="F919" s="7"/>
    </row>
    <row r="920" ht="15.75" customHeight="1">
      <c r="A920" s="7"/>
      <c r="B920" s="7"/>
      <c r="C920" s="7"/>
      <c r="D920" s="7"/>
      <c r="E920" s="7"/>
      <c r="F920" s="7"/>
    </row>
    <row r="921" ht="15.75" customHeight="1">
      <c r="A921" s="7"/>
      <c r="B921" s="7"/>
      <c r="C921" s="7"/>
      <c r="D921" s="7"/>
      <c r="E921" s="7"/>
      <c r="F921" s="7"/>
    </row>
    <row r="922" ht="15.75" customHeight="1">
      <c r="A922" s="7"/>
      <c r="B922" s="7"/>
      <c r="C922" s="7"/>
      <c r="D922" s="7"/>
      <c r="E922" s="7"/>
      <c r="F922" s="7"/>
    </row>
    <row r="923" ht="15.75" customHeight="1">
      <c r="A923" s="7"/>
      <c r="B923" s="7"/>
      <c r="C923" s="7"/>
      <c r="D923" s="7"/>
      <c r="E923" s="7"/>
      <c r="F923" s="7"/>
    </row>
    <row r="924" ht="15.75" customHeight="1">
      <c r="A924" s="7"/>
      <c r="B924" s="7"/>
      <c r="C924" s="7"/>
      <c r="D924" s="7"/>
      <c r="E924" s="7"/>
      <c r="F924" s="7"/>
    </row>
    <row r="925" ht="15.75" customHeight="1">
      <c r="A925" s="7"/>
      <c r="B925" s="7"/>
      <c r="C925" s="7"/>
      <c r="D925" s="7"/>
      <c r="E925" s="7"/>
      <c r="F925" s="7"/>
    </row>
    <row r="926" ht="15.75" customHeight="1">
      <c r="A926" s="7"/>
      <c r="B926" s="7"/>
      <c r="C926" s="7"/>
      <c r="D926" s="7"/>
      <c r="E926" s="7"/>
      <c r="F926" s="7"/>
    </row>
    <row r="927" ht="15.75" customHeight="1">
      <c r="A927" s="7"/>
      <c r="B927" s="7"/>
      <c r="C927" s="7"/>
      <c r="D927" s="7"/>
      <c r="E927" s="7"/>
      <c r="F927" s="7"/>
    </row>
    <row r="928" ht="15.75" customHeight="1">
      <c r="A928" s="7"/>
      <c r="B928" s="7"/>
      <c r="C928" s="7"/>
      <c r="D928" s="7"/>
      <c r="E928" s="7"/>
      <c r="F928" s="7"/>
    </row>
    <row r="929" ht="15.75" customHeight="1">
      <c r="A929" s="7"/>
      <c r="B929" s="7"/>
      <c r="C929" s="7"/>
      <c r="D929" s="7"/>
      <c r="E929" s="7"/>
      <c r="F929" s="7"/>
    </row>
    <row r="930" ht="15.75" customHeight="1">
      <c r="A930" s="7"/>
      <c r="B930" s="7"/>
      <c r="C930" s="7"/>
      <c r="D930" s="7"/>
      <c r="E930" s="7"/>
      <c r="F930" s="7"/>
    </row>
    <row r="931" ht="15.75" customHeight="1">
      <c r="A931" s="7"/>
      <c r="B931" s="7"/>
      <c r="C931" s="7"/>
      <c r="D931" s="7"/>
      <c r="E931" s="7"/>
      <c r="F931" s="7"/>
    </row>
    <row r="932" ht="15.75" customHeight="1">
      <c r="A932" s="7"/>
      <c r="B932" s="7"/>
      <c r="C932" s="7"/>
      <c r="D932" s="7"/>
      <c r="E932" s="7"/>
      <c r="F932" s="7"/>
    </row>
    <row r="933" ht="15.75" customHeight="1">
      <c r="A933" s="7"/>
      <c r="B933" s="7"/>
      <c r="C933" s="7"/>
      <c r="D933" s="7"/>
      <c r="E933" s="7"/>
      <c r="F933" s="7"/>
    </row>
    <row r="934" ht="15.75" customHeight="1">
      <c r="A934" s="7"/>
      <c r="B934" s="7"/>
      <c r="C934" s="7"/>
      <c r="D934" s="7"/>
      <c r="E934" s="7"/>
      <c r="F934" s="7"/>
    </row>
    <row r="935" ht="15.75" customHeight="1">
      <c r="A935" s="7"/>
      <c r="B935" s="7"/>
      <c r="C935" s="7"/>
      <c r="D935" s="7"/>
      <c r="E935" s="7"/>
      <c r="F935" s="7"/>
    </row>
    <row r="936" ht="15.75" customHeight="1">
      <c r="A936" s="7"/>
      <c r="B936" s="7"/>
      <c r="C936" s="7"/>
      <c r="D936" s="7"/>
      <c r="E936" s="7"/>
      <c r="F936" s="7"/>
    </row>
    <row r="937" ht="15.75" customHeight="1">
      <c r="A937" s="7"/>
      <c r="B937" s="7"/>
      <c r="C937" s="7"/>
      <c r="D937" s="7"/>
      <c r="E937" s="7"/>
      <c r="F937" s="7"/>
    </row>
    <row r="938" ht="15.75" customHeight="1">
      <c r="A938" s="7"/>
      <c r="B938" s="7"/>
      <c r="C938" s="7"/>
      <c r="D938" s="7"/>
      <c r="E938" s="7"/>
      <c r="F938" s="7"/>
    </row>
    <row r="939" ht="15.75" customHeight="1">
      <c r="A939" s="7"/>
      <c r="B939" s="7"/>
      <c r="C939" s="7"/>
      <c r="D939" s="7"/>
      <c r="E939" s="7"/>
      <c r="F939" s="7"/>
    </row>
    <row r="940" ht="15.75" customHeight="1">
      <c r="A940" s="7"/>
      <c r="B940" s="7"/>
      <c r="C940" s="7"/>
      <c r="D940" s="7"/>
      <c r="E940" s="7"/>
      <c r="F940" s="7"/>
    </row>
    <row r="941" ht="15.75" customHeight="1">
      <c r="A941" s="7"/>
      <c r="B941" s="7"/>
      <c r="C941" s="7"/>
      <c r="D941" s="7"/>
      <c r="E941" s="7"/>
      <c r="F941" s="7"/>
    </row>
    <row r="942" ht="15.75" customHeight="1">
      <c r="A942" s="7"/>
      <c r="B942" s="7"/>
      <c r="C942" s="7"/>
      <c r="D942" s="7"/>
      <c r="E942" s="7"/>
      <c r="F942" s="7"/>
    </row>
    <row r="943" ht="15.75" customHeight="1">
      <c r="A943" s="7"/>
      <c r="B943" s="7"/>
      <c r="C943" s="7"/>
      <c r="D943" s="7"/>
      <c r="E943" s="7"/>
      <c r="F943" s="7"/>
    </row>
    <row r="944" ht="15.75" customHeight="1">
      <c r="A944" s="7"/>
      <c r="B944" s="7"/>
      <c r="C944" s="7"/>
      <c r="D944" s="7"/>
      <c r="E944" s="7"/>
      <c r="F944" s="7"/>
    </row>
    <row r="945" ht="15.75" customHeight="1">
      <c r="A945" s="7"/>
      <c r="B945" s="7"/>
      <c r="C945" s="7"/>
      <c r="D945" s="7"/>
      <c r="E945" s="7"/>
      <c r="F945" s="7"/>
    </row>
    <row r="946" ht="15.75" customHeight="1">
      <c r="A946" s="7"/>
      <c r="B946" s="7"/>
      <c r="C946" s="7"/>
      <c r="D946" s="7"/>
      <c r="E946" s="7"/>
      <c r="F946" s="7"/>
    </row>
    <row r="947" ht="15.75" customHeight="1">
      <c r="A947" s="7"/>
      <c r="B947" s="7"/>
      <c r="C947" s="7"/>
      <c r="D947" s="7"/>
      <c r="E947" s="7"/>
      <c r="F947" s="7"/>
    </row>
    <row r="948" ht="15.75" customHeight="1">
      <c r="A948" s="7"/>
      <c r="B948" s="7"/>
      <c r="C948" s="7"/>
      <c r="D948" s="7"/>
      <c r="E948" s="7"/>
      <c r="F948" s="7"/>
    </row>
    <row r="949" ht="15.75" customHeight="1">
      <c r="A949" s="7"/>
      <c r="B949" s="7"/>
      <c r="C949" s="7"/>
      <c r="D949" s="7"/>
      <c r="E949" s="7"/>
      <c r="F949" s="7"/>
    </row>
    <row r="950" ht="15.75" customHeight="1">
      <c r="A950" s="7"/>
      <c r="B950" s="7"/>
      <c r="C950" s="7"/>
      <c r="D950" s="7"/>
      <c r="E950" s="7"/>
      <c r="F950" s="7"/>
    </row>
    <row r="951" ht="15.75" customHeight="1">
      <c r="A951" s="7"/>
      <c r="B951" s="7"/>
      <c r="C951" s="7"/>
      <c r="D951" s="7"/>
      <c r="E951" s="7"/>
      <c r="F951" s="7"/>
    </row>
    <row r="952" ht="15.75" customHeight="1">
      <c r="A952" s="7"/>
      <c r="B952" s="7"/>
      <c r="C952" s="7"/>
      <c r="D952" s="7"/>
      <c r="E952" s="7"/>
      <c r="F952" s="7"/>
    </row>
    <row r="953" ht="15.75" customHeight="1">
      <c r="A953" s="7"/>
      <c r="B953" s="7"/>
      <c r="C953" s="7"/>
      <c r="D953" s="7"/>
      <c r="E953" s="7"/>
      <c r="F953" s="7"/>
    </row>
    <row r="954" ht="15.75" customHeight="1">
      <c r="A954" s="7"/>
      <c r="B954" s="7"/>
      <c r="C954" s="7"/>
      <c r="D954" s="7"/>
      <c r="E954" s="7"/>
      <c r="F954" s="7"/>
    </row>
    <row r="955" ht="15.75" customHeight="1">
      <c r="A955" s="7"/>
      <c r="B955" s="7"/>
      <c r="C955" s="7"/>
      <c r="D955" s="7"/>
      <c r="E955" s="7"/>
      <c r="F955" s="7"/>
    </row>
    <row r="956" ht="15.75" customHeight="1">
      <c r="A956" s="7"/>
      <c r="B956" s="7"/>
      <c r="C956" s="7"/>
      <c r="D956" s="7"/>
      <c r="E956" s="7"/>
      <c r="F956" s="7"/>
    </row>
    <row r="957" ht="15.75" customHeight="1">
      <c r="A957" s="7"/>
      <c r="B957" s="7"/>
      <c r="C957" s="7"/>
      <c r="D957" s="7"/>
      <c r="E957" s="7"/>
      <c r="F957" s="7"/>
    </row>
    <row r="958" ht="15.75" customHeight="1">
      <c r="A958" s="7"/>
      <c r="B958" s="7"/>
      <c r="C958" s="7"/>
      <c r="D958" s="7"/>
      <c r="E958" s="7"/>
      <c r="F958" s="7"/>
    </row>
    <row r="959" ht="15.75" customHeight="1">
      <c r="A959" s="7"/>
      <c r="B959" s="7"/>
      <c r="C959" s="7"/>
      <c r="D959" s="7"/>
      <c r="E959" s="7"/>
      <c r="F959" s="7"/>
    </row>
    <row r="960" ht="15.75" customHeight="1">
      <c r="A960" s="7"/>
      <c r="B960" s="7"/>
      <c r="C960" s="7"/>
      <c r="D960" s="7"/>
      <c r="E960" s="7"/>
      <c r="F960" s="7"/>
    </row>
    <row r="961" ht="15.75" customHeight="1">
      <c r="A961" s="7"/>
      <c r="B961" s="7"/>
      <c r="C961" s="7"/>
      <c r="D961" s="7"/>
      <c r="E961" s="7"/>
      <c r="F961" s="7"/>
    </row>
    <row r="962" ht="15.75" customHeight="1">
      <c r="A962" s="7"/>
      <c r="B962" s="7"/>
      <c r="C962" s="7"/>
      <c r="D962" s="7"/>
      <c r="E962" s="7"/>
      <c r="F962" s="7"/>
    </row>
    <row r="963" ht="15.75" customHeight="1">
      <c r="A963" s="7"/>
      <c r="B963" s="7"/>
      <c r="C963" s="7"/>
      <c r="D963" s="7"/>
      <c r="E963" s="7"/>
      <c r="F963" s="7"/>
    </row>
    <row r="964" ht="15.75" customHeight="1">
      <c r="A964" s="7"/>
      <c r="B964" s="7"/>
      <c r="C964" s="7"/>
      <c r="D964" s="7"/>
      <c r="E964" s="7"/>
      <c r="F964" s="7"/>
    </row>
    <row r="965" ht="15.75" customHeight="1">
      <c r="A965" s="7"/>
      <c r="B965" s="7"/>
      <c r="C965" s="7"/>
      <c r="D965" s="7"/>
      <c r="E965" s="7"/>
      <c r="F965" s="7"/>
    </row>
    <row r="966" ht="15.75" customHeight="1">
      <c r="A966" s="7"/>
      <c r="B966" s="7"/>
      <c r="C966" s="7"/>
      <c r="D966" s="7"/>
      <c r="E966" s="7"/>
      <c r="F966" s="7"/>
    </row>
    <row r="967" ht="15.75" customHeight="1">
      <c r="A967" s="7"/>
      <c r="B967" s="7"/>
      <c r="C967" s="7"/>
      <c r="D967" s="7"/>
      <c r="E967" s="7"/>
      <c r="F967" s="7"/>
    </row>
    <row r="968" ht="15.75" customHeight="1">
      <c r="A968" s="7"/>
      <c r="B968" s="7"/>
      <c r="C968" s="7"/>
      <c r="D968" s="7"/>
      <c r="E968" s="7"/>
      <c r="F968" s="7"/>
    </row>
    <row r="969" ht="15.75" customHeight="1">
      <c r="A969" s="7"/>
      <c r="B969" s="7"/>
      <c r="C969" s="7"/>
      <c r="D969" s="7"/>
      <c r="E969" s="7"/>
      <c r="F969" s="7"/>
    </row>
    <row r="970" ht="15.75" customHeight="1">
      <c r="A970" s="7"/>
      <c r="B970" s="7"/>
      <c r="C970" s="7"/>
      <c r="D970" s="7"/>
      <c r="E970" s="7"/>
      <c r="F970" s="7"/>
    </row>
    <row r="971" ht="15.75" customHeight="1">
      <c r="A971" s="7"/>
      <c r="B971" s="7"/>
      <c r="C971" s="7"/>
      <c r="D971" s="7"/>
      <c r="E971" s="7"/>
      <c r="F971" s="7"/>
    </row>
    <row r="972" ht="15.75" customHeight="1">
      <c r="A972" s="7"/>
      <c r="B972" s="7"/>
      <c r="C972" s="7"/>
      <c r="D972" s="7"/>
      <c r="E972" s="7"/>
      <c r="F972" s="7"/>
    </row>
    <row r="973" ht="15.75" customHeight="1">
      <c r="A973" s="7"/>
      <c r="B973" s="7"/>
      <c r="C973" s="7"/>
      <c r="D973" s="7"/>
      <c r="E973" s="7"/>
      <c r="F973" s="7"/>
    </row>
    <row r="974" ht="15.75" customHeight="1">
      <c r="A974" s="7"/>
      <c r="B974" s="7"/>
      <c r="C974" s="7"/>
      <c r="D974" s="7"/>
      <c r="E974" s="7"/>
      <c r="F974" s="7"/>
    </row>
    <row r="975" ht="15.75" customHeight="1">
      <c r="A975" s="7"/>
      <c r="B975" s="7"/>
      <c r="C975" s="7"/>
      <c r="D975" s="7"/>
      <c r="E975" s="7"/>
      <c r="F975" s="7"/>
    </row>
    <row r="976" ht="15.75" customHeight="1">
      <c r="A976" s="7"/>
      <c r="B976" s="7"/>
      <c r="C976" s="7"/>
      <c r="D976" s="7"/>
      <c r="E976" s="7"/>
      <c r="F976" s="7"/>
    </row>
    <row r="977" ht="15.75" customHeight="1">
      <c r="A977" s="7"/>
      <c r="B977" s="7"/>
      <c r="C977" s="7"/>
      <c r="D977" s="7"/>
      <c r="E977" s="7"/>
      <c r="F977" s="7"/>
    </row>
    <row r="978" ht="15.75" customHeight="1">
      <c r="A978" s="7"/>
      <c r="B978" s="7"/>
      <c r="C978" s="7"/>
      <c r="D978" s="7"/>
      <c r="E978" s="7"/>
      <c r="F978" s="7"/>
    </row>
    <row r="979" ht="15.75" customHeight="1">
      <c r="A979" s="7"/>
      <c r="B979" s="7"/>
      <c r="C979" s="7"/>
      <c r="D979" s="7"/>
      <c r="E979" s="7"/>
      <c r="F979" s="7"/>
    </row>
    <row r="980" ht="15.75" customHeight="1">
      <c r="A980" s="7"/>
      <c r="B980" s="7"/>
      <c r="C980" s="7"/>
      <c r="D980" s="7"/>
      <c r="E980" s="7"/>
      <c r="F980" s="7"/>
    </row>
    <row r="981" ht="15.75" customHeight="1">
      <c r="A981" s="7"/>
      <c r="B981" s="7"/>
      <c r="C981" s="7"/>
      <c r="D981" s="7"/>
      <c r="E981" s="7"/>
      <c r="F981" s="7"/>
    </row>
    <row r="982" ht="15.75" customHeight="1">
      <c r="A982" s="7"/>
      <c r="B982" s="7"/>
      <c r="C982" s="7"/>
      <c r="D982" s="7"/>
      <c r="E982" s="7"/>
      <c r="F982" s="7"/>
    </row>
    <row r="983" ht="15.75" customHeight="1">
      <c r="A983" s="7"/>
      <c r="B983" s="7"/>
      <c r="C983" s="7"/>
      <c r="D983" s="7"/>
      <c r="E983" s="7"/>
      <c r="F983" s="7"/>
    </row>
    <row r="984" ht="15.75" customHeight="1">
      <c r="A984" s="7"/>
      <c r="B984" s="7"/>
      <c r="C984" s="7"/>
      <c r="D984" s="7"/>
      <c r="E984" s="7"/>
      <c r="F984" s="7"/>
    </row>
    <row r="985" ht="15.75" customHeight="1">
      <c r="A985" s="7"/>
      <c r="B985" s="7"/>
      <c r="C985" s="7"/>
      <c r="D985" s="7"/>
      <c r="E985" s="7"/>
      <c r="F985" s="7"/>
    </row>
    <row r="986" ht="15.75" customHeight="1">
      <c r="A986" s="7"/>
      <c r="B986" s="7"/>
      <c r="C986" s="7"/>
      <c r="D986" s="7"/>
      <c r="E986" s="7"/>
      <c r="F986" s="7"/>
    </row>
    <row r="987" ht="15.75" customHeight="1">
      <c r="A987" s="7"/>
      <c r="B987" s="7"/>
      <c r="C987" s="7"/>
      <c r="D987" s="7"/>
      <c r="E987" s="7"/>
      <c r="F987" s="7"/>
    </row>
    <row r="988" ht="15.75" customHeight="1">
      <c r="A988" s="7"/>
      <c r="B988" s="7"/>
      <c r="C988" s="7"/>
      <c r="D988" s="7"/>
      <c r="E988" s="7"/>
      <c r="F988" s="7"/>
    </row>
    <row r="989" ht="15.75" customHeight="1">
      <c r="A989" s="7"/>
      <c r="B989" s="7"/>
      <c r="C989" s="7"/>
      <c r="D989" s="7"/>
      <c r="E989" s="7"/>
      <c r="F989" s="7"/>
    </row>
    <row r="990" ht="15.75" customHeight="1">
      <c r="A990" s="7"/>
      <c r="B990" s="7"/>
      <c r="C990" s="7"/>
      <c r="D990" s="7"/>
      <c r="E990" s="7"/>
      <c r="F990" s="7"/>
    </row>
    <row r="991" ht="15.75" customHeight="1">
      <c r="A991" s="7"/>
      <c r="B991" s="7"/>
      <c r="C991" s="7"/>
      <c r="D991" s="7"/>
      <c r="E991" s="7"/>
      <c r="F991" s="7"/>
    </row>
    <row r="992" ht="15.75" customHeight="1">
      <c r="A992" s="7"/>
      <c r="B992" s="7"/>
      <c r="C992" s="7"/>
      <c r="D992" s="7"/>
      <c r="E992" s="7"/>
      <c r="F992" s="7"/>
    </row>
    <row r="993" ht="15.75" customHeight="1">
      <c r="A993" s="7"/>
      <c r="B993" s="7"/>
      <c r="C993" s="7"/>
      <c r="D993" s="7"/>
      <c r="E993" s="7"/>
      <c r="F993" s="7"/>
    </row>
    <row r="994" ht="15.75" customHeight="1">
      <c r="A994" s="7"/>
      <c r="B994" s="7"/>
      <c r="C994" s="7"/>
      <c r="D994" s="7"/>
      <c r="E994" s="7"/>
      <c r="F994" s="7"/>
    </row>
    <row r="995" ht="15.75" customHeight="1">
      <c r="A995" s="7"/>
      <c r="B995" s="7"/>
      <c r="C995" s="7"/>
      <c r="D995" s="7"/>
      <c r="E995" s="7"/>
      <c r="F995" s="7"/>
    </row>
    <row r="996" ht="15.75" customHeight="1">
      <c r="A996" s="7"/>
      <c r="B996" s="7"/>
      <c r="C996" s="7"/>
      <c r="D996" s="7"/>
      <c r="E996" s="7"/>
      <c r="F996" s="7"/>
    </row>
    <row r="997" ht="15.75" customHeight="1">
      <c r="A997" s="7"/>
      <c r="B997" s="7"/>
      <c r="C997" s="7"/>
      <c r="D997" s="7"/>
      <c r="E997" s="7"/>
      <c r="F997" s="7"/>
    </row>
    <row r="998" ht="15.75" customHeight="1">
      <c r="A998" s="7"/>
      <c r="B998" s="7"/>
      <c r="C998" s="7"/>
      <c r="D998" s="7"/>
      <c r="E998" s="7"/>
      <c r="F998" s="7"/>
    </row>
    <row r="999" ht="15.75" customHeight="1">
      <c r="A999" s="7"/>
      <c r="B999" s="7"/>
      <c r="C999" s="7"/>
      <c r="D999" s="7"/>
      <c r="E999" s="7"/>
      <c r="F999" s="7"/>
    </row>
    <row r="1000" ht="15.75" customHeight="1">
      <c r="A1000" s="7"/>
      <c r="B1000" s="7"/>
      <c r="C1000" s="7"/>
      <c r="D1000" s="7"/>
      <c r="E1000" s="7"/>
      <c r="F1000" s="7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5" t="s">
        <v>283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8.0" customHeight="1">
      <c r="A2" s="126" t="s">
        <v>284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6.0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1.75" customHeight="1">
      <c r="A4" s="127" t="s">
        <v>24</v>
      </c>
      <c r="B4" s="127" t="s">
        <v>285</v>
      </c>
      <c r="C4" s="127" t="s">
        <v>9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8.0" customHeight="1">
      <c r="A5" s="128" t="s">
        <v>53</v>
      </c>
      <c r="B5" s="129" t="s">
        <v>286</v>
      </c>
      <c r="C5" s="130" t="s">
        <v>287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8.0" customHeight="1">
      <c r="A6" s="131" t="s">
        <v>34</v>
      </c>
      <c r="B6" s="132" t="s">
        <v>145</v>
      </c>
      <c r="C6" s="133" t="s">
        <v>288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8.0" customHeight="1">
      <c r="A7" s="134"/>
      <c r="B7" s="29"/>
      <c r="C7" s="134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8.0" customHeight="1">
      <c r="A8" s="135"/>
      <c r="B8" s="34"/>
      <c r="C8" s="135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8.0" customHeight="1">
      <c r="A9" s="134"/>
      <c r="B9" s="29"/>
      <c r="C9" s="134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8.0" customHeight="1">
      <c r="A10" s="135"/>
      <c r="B10" s="34"/>
      <c r="C10" s="135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8.0" customHeight="1">
      <c r="A11" s="134"/>
      <c r="B11" s="29"/>
      <c r="C11" s="134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8.0" customHeight="1">
      <c r="A12" s="135"/>
      <c r="B12" s="34"/>
      <c r="C12" s="135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8.0" customHeight="1">
      <c r="A13" s="134"/>
      <c r="B13" s="29"/>
      <c r="C13" s="134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8.0" customHeight="1">
      <c r="A14" s="135"/>
      <c r="B14" s="34"/>
      <c r="C14" s="135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</row>
    <row r="222" ht="15.75" customHeight="1">
      <c r="A222" s="7"/>
      <c r="B222" s="7"/>
      <c r="C222" s="7"/>
      <c r="D222" s="7"/>
      <c r="E222" s="7"/>
      <c r="F222" s="7"/>
    </row>
    <row r="223" ht="15.75" customHeight="1">
      <c r="A223" s="7"/>
      <c r="B223" s="7"/>
      <c r="C223" s="7"/>
      <c r="D223" s="7"/>
      <c r="E223" s="7"/>
      <c r="F223" s="7"/>
    </row>
    <row r="224" ht="15.75" customHeight="1">
      <c r="A224" s="7"/>
      <c r="B224" s="7"/>
      <c r="C224" s="7"/>
      <c r="D224" s="7"/>
      <c r="E224" s="7"/>
      <c r="F224" s="7"/>
    </row>
    <row r="225" ht="15.75" customHeight="1">
      <c r="A225" s="7"/>
      <c r="B225" s="7"/>
      <c r="C225" s="7"/>
      <c r="D225" s="7"/>
      <c r="E225" s="7"/>
      <c r="F225" s="7"/>
    </row>
    <row r="226" ht="15.75" customHeight="1">
      <c r="A226" s="7"/>
      <c r="B226" s="7"/>
      <c r="C226" s="7"/>
      <c r="D226" s="7"/>
      <c r="E226" s="7"/>
      <c r="F226" s="7"/>
    </row>
    <row r="227" ht="15.75" customHeight="1">
      <c r="A227" s="7"/>
      <c r="B227" s="7"/>
      <c r="C227" s="7"/>
      <c r="D227" s="7"/>
      <c r="E227" s="7"/>
      <c r="F227" s="7"/>
    </row>
    <row r="228" ht="15.75" customHeight="1">
      <c r="A228" s="7"/>
      <c r="B228" s="7"/>
      <c r="C228" s="7"/>
      <c r="D228" s="7"/>
      <c r="E228" s="7"/>
      <c r="F228" s="7"/>
    </row>
    <row r="229" ht="15.75" customHeight="1">
      <c r="A229" s="7"/>
      <c r="B229" s="7"/>
      <c r="C229" s="7"/>
      <c r="D229" s="7"/>
      <c r="E229" s="7"/>
      <c r="F229" s="7"/>
    </row>
    <row r="230" ht="15.75" customHeight="1">
      <c r="A230" s="7"/>
      <c r="B230" s="7"/>
      <c r="C230" s="7"/>
      <c r="D230" s="7"/>
      <c r="E230" s="7"/>
      <c r="F230" s="7"/>
    </row>
    <row r="231" ht="15.75" customHeight="1">
      <c r="A231" s="7"/>
      <c r="B231" s="7"/>
      <c r="C231" s="7"/>
      <c r="D231" s="7"/>
      <c r="E231" s="7"/>
      <c r="F231" s="7"/>
    </row>
    <row r="232" ht="15.75" customHeight="1">
      <c r="A232" s="7"/>
      <c r="B232" s="7"/>
      <c r="C232" s="7"/>
      <c r="D232" s="7"/>
      <c r="E232" s="7"/>
      <c r="F232" s="7"/>
    </row>
    <row r="233" ht="15.75" customHeight="1">
      <c r="A233" s="7"/>
      <c r="B233" s="7"/>
      <c r="C233" s="7"/>
      <c r="D233" s="7"/>
      <c r="E233" s="7"/>
      <c r="F233" s="7"/>
    </row>
    <row r="234" ht="15.75" customHeight="1">
      <c r="A234" s="7"/>
      <c r="B234" s="7"/>
      <c r="C234" s="7"/>
      <c r="D234" s="7"/>
      <c r="E234" s="7"/>
      <c r="F234" s="7"/>
    </row>
    <row r="235" ht="15.75" customHeight="1">
      <c r="A235" s="7"/>
      <c r="B235" s="7"/>
      <c r="C235" s="7"/>
      <c r="D235" s="7"/>
      <c r="E235" s="7"/>
      <c r="F235" s="7"/>
    </row>
    <row r="236" ht="15.75" customHeight="1">
      <c r="A236" s="7"/>
      <c r="B236" s="7"/>
      <c r="C236" s="7"/>
      <c r="D236" s="7"/>
      <c r="E236" s="7"/>
      <c r="F236" s="7"/>
    </row>
    <row r="237" ht="15.75" customHeight="1">
      <c r="A237" s="7"/>
      <c r="B237" s="7"/>
      <c r="C237" s="7"/>
      <c r="D237" s="7"/>
      <c r="E237" s="7"/>
      <c r="F237" s="7"/>
    </row>
    <row r="238" ht="15.75" customHeight="1">
      <c r="A238" s="7"/>
      <c r="B238" s="7"/>
      <c r="C238" s="7"/>
      <c r="D238" s="7"/>
      <c r="E238" s="7"/>
      <c r="F238" s="7"/>
    </row>
    <row r="239" ht="15.75" customHeight="1">
      <c r="A239" s="7"/>
      <c r="B239" s="7"/>
      <c r="C239" s="7"/>
      <c r="D239" s="7"/>
      <c r="E239" s="7"/>
      <c r="F239" s="7"/>
    </row>
    <row r="240" ht="15.75" customHeight="1">
      <c r="A240" s="7"/>
      <c r="B240" s="7"/>
      <c r="C240" s="7"/>
      <c r="D240" s="7"/>
      <c r="E240" s="7"/>
      <c r="F240" s="7"/>
    </row>
    <row r="241" ht="15.75" customHeight="1">
      <c r="A241" s="7"/>
      <c r="B241" s="7"/>
      <c r="C241" s="7"/>
      <c r="D241" s="7"/>
      <c r="E241" s="7"/>
      <c r="F241" s="7"/>
    </row>
    <row r="242" ht="15.75" customHeight="1">
      <c r="A242" s="7"/>
      <c r="B242" s="7"/>
      <c r="C242" s="7"/>
      <c r="D242" s="7"/>
      <c r="E242" s="7"/>
      <c r="F242" s="7"/>
    </row>
    <row r="243" ht="15.75" customHeight="1">
      <c r="A243" s="7"/>
      <c r="B243" s="7"/>
      <c r="C243" s="7"/>
      <c r="D243" s="7"/>
      <c r="E243" s="7"/>
      <c r="F243" s="7"/>
    </row>
    <row r="244" ht="15.75" customHeight="1">
      <c r="A244" s="7"/>
      <c r="B244" s="7"/>
      <c r="C244" s="7"/>
      <c r="D244" s="7"/>
      <c r="E244" s="7"/>
      <c r="F244" s="7"/>
    </row>
    <row r="245" ht="15.75" customHeight="1">
      <c r="A245" s="7"/>
      <c r="B245" s="7"/>
      <c r="C245" s="7"/>
      <c r="D245" s="7"/>
      <c r="E245" s="7"/>
      <c r="F245" s="7"/>
    </row>
    <row r="246" ht="15.75" customHeight="1">
      <c r="A246" s="7"/>
      <c r="B246" s="7"/>
      <c r="C246" s="7"/>
      <c r="D246" s="7"/>
      <c r="E246" s="7"/>
      <c r="F246" s="7"/>
    </row>
    <row r="247" ht="15.75" customHeight="1">
      <c r="A247" s="7"/>
      <c r="B247" s="7"/>
      <c r="C247" s="7"/>
      <c r="D247" s="7"/>
      <c r="E247" s="7"/>
      <c r="F247" s="7"/>
    </row>
    <row r="248" ht="15.75" customHeight="1">
      <c r="A248" s="7"/>
      <c r="B248" s="7"/>
      <c r="C248" s="7"/>
      <c r="D248" s="7"/>
      <c r="E248" s="7"/>
      <c r="F248" s="7"/>
    </row>
    <row r="249" ht="15.75" customHeight="1">
      <c r="A249" s="7"/>
      <c r="B249" s="7"/>
      <c r="C249" s="7"/>
      <c r="D249" s="7"/>
      <c r="E249" s="7"/>
      <c r="F249" s="7"/>
    </row>
    <row r="250" ht="15.75" customHeight="1">
      <c r="A250" s="7"/>
      <c r="B250" s="7"/>
      <c r="C250" s="7"/>
      <c r="D250" s="7"/>
      <c r="E250" s="7"/>
      <c r="F250" s="7"/>
    </row>
    <row r="251" ht="15.75" customHeight="1">
      <c r="A251" s="7"/>
      <c r="B251" s="7"/>
      <c r="C251" s="7"/>
      <c r="D251" s="7"/>
      <c r="E251" s="7"/>
      <c r="F251" s="7"/>
    </row>
    <row r="252" ht="15.75" customHeight="1">
      <c r="A252" s="7"/>
      <c r="B252" s="7"/>
      <c r="C252" s="7"/>
      <c r="D252" s="7"/>
      <c r="E252" s="7"/>
      <c r="F252" s="7"/>
    </row>
    <row r="253" ht="15.75" customHeight="1">
      <c r="A253" s="7"/>
      <c r="B253" s="7"/>
      <c r="C253" s="7"/>
      <c r="D253" s="7"/>
      <c r="E253" s="7"/>
      <c r="F253" s="7"/>
    </row>
    <row r="254" ht="15.75" customHeight="1">
      <c r="A254" s="7"/>
      <c r="B254" s="7"/>
      <c r="C254" s="7"/>
      <c r="D254" s="7"/>
      <c r="E254" s="7"/>
      <c r="F254" s="7"/>
    </row>
    <row r="255" ht="15.75" customHeight="1">
      <c r="A255" s="7"/>
      <c r="B255" s="7"/>
      <c r="C255" s="7"/>
      <c r="D255" s="7"/>
      <c r="E255" s="7"/>
      <c r="F255" s="7"/>
    </row>
    <row r="256" ht="15.75" customHeight="1">
      <c r="A256" s="7"/>
      <c r="B256" s="7"/>
      <c r="C256" s="7"/>
      <c r="D256" s="7"/>
      <c r="E256" s="7"/>
      <c r="F256" s="7"/>
    </row>
    <row r="257" ht="15.75" customHeight="1">
      <c r="A257" s="7"/>
      <c r="B257" s="7"/>
      <c r="C257" s="7"/>
      <c r="D257" s="7"/>
      <c r="E257" s="7"/>
      <c r="F257" s="7"/>
    </row>
    <row r="258" ht="15.75" customHeight="1">
      <c r="A258" s="7"/>
      <c r="B258" s="7"/>
      <c r="C258" s="7"/>
      <c r="D258" s="7"/>
      <c r="E258" s="7"/>
      <c r="F258" s="7"/>
    </row>
    <row r="259" ht="15.75" customHeight="1">
      <c r="A259" s="7"/>
      <c r="B259" s="7"/>
      <c r="C259" s="7"/>
      <c r="D259" s="7"/>
      <c r="E259" s="7"/>
      <c r="F259" s="7"/>
    </row>
    <row r="260" ht="15.75" customHeight="1">
      <c r="A260" s="7"/>
      <c r="B260" s="7"/>
      <c r="C260" s="7"/>
      <c r="D260" s="7"/>
      <c r="E260" s="7"/>
      <c r="F260" s="7"/>
    </row>
    <row r="261" ht="15.75" customHeight="1">
      <c r="A261" s="7"/>
      <c r="B261" s="7"/>
      <c r="C261" s="7"/>
      <c r="D261" s="7"/>
      <c r="E261" s="7"/>
      <c r="F261" s="7"/>
    </row>
    <row r="262" ht="15.75" customHeight="1">
      <c r="A262" s="7"/>
      <c r="B262" s="7"/>
      <c r="C262" s="7"/>
      <c r="D262" s="7"/>
      <c r="E262" s="7"/>
      <c r="F262" s="7"/>
    </row>
    <row r="263" ht="15.75" customHeight="1">
      <c r="A263" s="7"/>
      <c r="B263" s="7"/>
      <c r="C263" s="7"/>
      <c r="D263" s="7"/>
      <c r="E263" s="7"/>
      <c r="F263" s="7"/>
    </row>
    <row r="264" ht="15.75" customHeight="1">
      <c r="A264" s="7"/>
      <c r="B264" s="7"/>
      <c r="C264" s="7"/>
      <c r="D264" s="7"/>
      <c r="E264" s="7"/>
      <c r="F264" s="7"/>
    </row>
    <row r="265" ht="15.75" customHeight="1">
      <c r="A265" s="7"/>
      <c r="B265" s="7"/>
      <c r="C265" s="7"/>
      <c r="D265" s="7"/>
      <c r="E265" s="7"/>
      <c r="F265" s="7"/>
    </row>
    <row r="266" ht="15.75" customHeight="1">
      <c r="A266" s="7"/>
      <c r="B266" s="7"/>
      <c r="C266" s="7"/>
      <c r="D266" s="7"/>
      <c r="E266" s="7"/>
      <c r="F266" s="7"/>
    </row>
    <row r="267" ht="15.75" customHeight="1">
      <c r="A267" s="7"/>
      <c r="B267" s="7"/>
      <c r="C267" s="7"/>
      <c r="D267" s="7"/>
      <c r="E267" s="7"/>
      <c r="F267" s="7"/>
    </row>
    <row r="268" ht="15.75" customHeight="1">
      <c r="A268" s="7"/>
      <c r="B268" s="7"/>
      <c r="C268" s="7"/>
      <c r="D268" s="7"/>
      <c r="E268" s="7"/>
      <c r="F268" s="7"/>
    </row>
    <row r="269" ht="15.75" customHeight="1">
      <c r="A269" s="7"/>
      <c r="B269" s="7"/>
      <c r="C269" s="7"/>
      <c r="D269" s="7"/>
      <c r="E269" s="7"/>
      <c r="F269" s="7"/>
    </row>
    <row r="270" ht="15.75" customHeight="1">
      <c r="A270" s="7"/>
      <c r="B270" s="7"/>
      <c r="C270" s="7"/>
      <c r="D270" s="7"/>
      <c r="E270" s="7"/>
      <c r="F270" s="7"/>
    </row>
    <row r="271" ht="15.75" customHeight="1">
      <c r="A271" s="7"/>
      <c r="B271" s="7"/>
      <c r="C271" s="7"/>
      <c r="D271" s="7"/>
      <c r="E271" s="7"/>
      <c r="F271" s="7"/>
    </row>
    <row r="272" ht="15.75" customHeight="1">
      <c r="A272" s="7"/>
      <c r="B272" s="7"/>
      <c r="C272" s="7"/>
      <c r="D272" s="7"/>
      <c r="E272" s="7"/>
      <c r="F272" s="7"/>
    </row>
    <row r="273" ht="15.75" customHeight="1">
      <c r="A273" s="7"/>
      <c r="B273" s="7"/>
      <c r="C273" s="7"/>
      <c r="D273" s="7"/>
      <c r="E273" s="7"/>
      <c r="F273" s="7"/>
    </row>
    <row r="274" ht="15.75" customHeight="1">
      <c r="A274" s="7"/>
      <c r="B274" s="7"/>
      <c r="C274" s="7"/>
      <c r="D274" s="7"/>
      <c r="E274" s="7"/>
      <c r="F274" s="7"/>
    </row>
    <row r="275" ht="15.75" customHeight="1">
      <c r="A275" s="7"/>
      <c r="B275" s="7"/>
      <c r="C275" s="7"/>
      <c r="D275" s="7"/>
      <c r="E275" s="7"/>
      <c r="F275" s="7"/>
    </row>
    <row r="276" ht="15.75" customHeight="1">
      <c r="A276" s="7"/>
      <c r="B276" s="7"/>
      <c r="C276" s="7"/>
      <c r="D276" s="7"/>
      <c r="E276" s="7"/>
      <c r="F276" s="7"/>
    </row>
    <row r="277" ht="15.75" customHeight="1">
      <c r="A277" s="7"/>
      <c r="B277" s="7"/>
      <c r="C277" s="7"/>
      <c r="D277" s="7"/>
      <c r="E277" s="7"/>
      <c r="F277" s="7"/>
    </row>
    <row r="278" ht="15.75" customHeight="1">
      <c r="A278" s="7"/>
      <c r="B278" s="7"/>
      <c r="C278" s="7"/>
      <c r="D278" s="7"/>
      <c r="E278" s="7"/>
      <c r="F278" s="7"/>
    </row>
    <row r="279" ht="15.75" customHeight="1">
      <c r="A279" s="7"/>
      <c r="B279" s="7"/>
      <c r="C279" s="7"/>
      <c r="D279" s="7"/>
      <c r="E279" s="7"/>
      <c r="F279" s="7"/>
    </row>
    <row r="280" ht="15.75" customHeight="1">
      <c r="A280" s="7"/>
      <c r="B280" s="7"/>
      <c r="C280" s="7"/>
      <c r="D280" s="7"/>
      <c r="E280" s="7"/>
      <c r="F280" s="7"/>
    </row>
    <row r="281" ht="15.75" customHeight="1">
      <c r="A281" s="7"/>
      <c r="B281" s="7"/>
      <c r="C281" s="7"/>
      <c r="D281" s="7"/>
      <c r="E281" s="7"/>
      <c r="F281" s="7"/>
    </row>
    <row r="282" ht="15.75" customHeight="1">
      <c r="A282" s="7"/>
      <c r="B282" s="7"/>
      <c r="C282" s="7"/>
      <c r="D282" s="7"/>
      <c r="E282" s="7"/>
      <c r="F282" s="7"/>
    </row>
    <row r="283" ht="15.75" customHeight="1">
      <c r="A283" s="7"/>
      <c r="B283" s="7"/>
      <c r="C283" s="7"/>
      <c r="D283" s="7"/>
      <c r="E283" s="7"/>
      <c r="F283" s="7"/>
    </row>
    <row r="284" ht="15.75" customHeight="1">
      <c r="A284" s="7"/>
      <c r="B284" s="7"/>
      <c r="C284" s="7"/>
      <c r="D284" s="7"/>
      <c r="E284" s="7"/>
      <c r="F284" s="7"/>
    </row>
    <row r="285" ht="15.75" customHeight="1">
      <c r="A285" s="7"/>
      <c r="B285" s="7"/>
      <c r="C285" s="7"/>
      <c r="D285" s="7"/>
      <c r="E285" s="7"/>
      <c r="F285" s="7"/>
    </row>
    <row r="286" ht="15.75" customHeight="1">
      <c r="A286" s="7"/>
      <c r="B286" s="7"/>
      <c r="C286" s="7"/>
      <c r="D286" s="7"/>
      <c r="E286" s="7"/>
      <c r="F286" s="7"/>
    </row>
    <row r="287" ht="15.75" customHeight="1">
      <c r="A287" s="7"/>
      <c r="B287" s="7"/>
      <c r="C287" s="7"/>
      <c r="D287" s="7"/>
      <c r="E287" s="7"/>
      <c r="F287" s="7"/>
    </row>
    <row r="288" ht="15.75" customHeight="1">
      <c r="A288" s="7"/>
      <c r="B288" s="7"/>
      <c r="C288" s="7"/>
      <c r="D288" s="7"/>
      <c r="E288" s="7"/>
      <c r="F288" s="7"/>
    </row>
    <row r="289" ht="15.75" customHeight="1">
      <c r="A289" s="7"/>
      <c r="B289" s="7"/>
      <c r="C289" s="7"/>
      <c r="D289" s="7"/>
      <c r="E289" s="7"/>
      <c r="F289" s="7"/>
    </row>
    <row r="290" ht="15.75" customHeight="1">
      <c r="A290" s="7"/>
      <c r="B290" s="7"/>
      <c r="C290" s="7"/>
      <c r="D290" s="7"/>
      <c r="E290" s="7"/>
      <c r="F290" s="7"/>
    </row>
    <row r="291" ht="15.75" customHeight="1">
      <c r="A291" s="7"/>
      <c r="B291" s="7"/>
      <c r="C291" s="7"/>
      <c r="D291" s="7"/>
      <c r="E291" s="7"/>
      <c r="F291" s="7"/>
    </row>
    <row r="292" ht="15.75" customHeight="1">
      <c r="A292" s="7"/>
      <c r="B292" s="7"/>
      <c r="C292" s="7"/>
      <c r="D292" s="7"/>
      <c r="E292" s="7"/>
      <c r="F292" s="7"/>
    </row>
    <row r="293" ht="15.75" customHeight="1">
      <c r="A293" s="7"/>
      <c r="B293" s="7"/>
      <c r="C293" s="7"/>
      <c r="D293" s="7"/>
      <c r="E293" s="7"/>
      <c r="F293" s="7"/>
    </row>
    <row r="294" ht="15.75" customHeight="1">
      <c r="A294" s="7"/>
      <c r="B294" s="7"/>
      <c r="C294" s="7"/>
      <c r="D294" s="7"/>
      <c r="E294" s="7"/>
      <c r="F294" s="7"/>
    </row>
    <row r="295" ht="15.75" customHeight="1">
      <c r="A295" s="7"/>
      <c r="B295" s="7"/>
      <c r="C295" s="7"/>
      <c r="D295" s="7"/>
      <c r="E295" s="7"/>
      <c r="F295" s="7"/>
    </row>
    <row r="296" ht="15.75" customHeight="1">
      <c r="A296" s="7"/>
      <c r="B296" s="7"/>
      <c r="C296" s="7"/>
      <c r="D296" s="7"/>
      <c r="E296" s="7"/>
      <c r="F296" s="7"/>
    </row>
    <row r="297" ht="15.75" customHeight="1">
      <c r="A297" s="7"/>
      <c r="B297" s="7"/>
      <c r="C297" s="7"/>
      <c r="D297" s="7"/>
      <c r="E297" s="7"/>
      <c r="F297" s="7"/>
    </row>
    <row r="298" ht="15.75" customHeight="1">
      <c r="A298" s="7"/>
      <c r="B298" s="7"/>
      <c r="C298" s="7"/>
      <c r="D298" s="7"/>
      <c r="E298" s="7"/>
      <c r="F298" s="7"/>
    </row>
    <row r="299" ht="15.75" customHeight="1">
      <c r="A299" s="7"/>
      <c r="B299" s="7"/>
      <c r="C299" s="7"/>
      <c r="D299" s="7"/>
      <c r="E299" s="7"/>
      <c r="F299" s="7"/>
    </row>
    <row r="300" ht="15.75" customHeight="1">
      <c r="A300" s="7"/>
      <c r="B300" s="7"/>
      <c r="C300" s="7"/>
      <c r="D300" s="7"/>
      <c r="E300" s="7"/>
      <c r="F300" s="7"/>
    </row>
    <row r="301" ht="15.75" customHeight="1">
      <c r="A301" s="7"/>
      <c r="B301" s="7"/>
      <c r="C301" s="7"/>
      <c r="D301" s="7"/>
      <c r="E301" s="7"/>
      <c r="F301" s="7"/>
    </row>
    <row r="302" ht="15.75" customHeight="1">
      <c r="A302" s="7"/>
      <c r="B302" s="7"/>
      <c r="C302" s="7"/>
      <c r="D302" s="7"/>
      <c r="E302" s="7"/>
      <c r="F302" s="7"/>
    </row>
    <row r="303" ht="15.75" customHeight="1">
      <c r="A303" s="7"/>
      <c r="B303" s="7"/>
      <c r="C303" s="7"/>
      <c r="D303" s="7"/>
      <c r="E303" s="7"/>
      <c r="F303" s="7"/>
    </row>
    <row r="304" ht="15.75" customHeight="1">
      <c r="A304" s="7"/>
      <c r="B304" s="7"/>
      <c r="C304" s="7"/>
      <c r="D304" s="7"/>
      <c r="E304" s="7"/>
      <c r="F304" s="7"/>
    </row>
    <row r="305" ht="15.75" customHeight="1">
      <c r="A305" s="7"/>
      <c r="B305" s="7"/>
      <c r="C305" s="7"/>
      <c r="D305" s="7"/>
      <c r="E305" s="7"/>
      <c r="F305" s="7"/>
    </row>
    <row r="306" ht="15.75" customHeight="1">
      <c r="A306" s="7"/>
      <c r="B306" s="7"/>
      <c r="C306" s="7"/>
      <c r="D306" s="7"/>
      <c r="E306" s="7"/>
      <c r="F306" s="7"/>
    </row>
    <row r="307" ht="15.75" customHeight="1">
      <c r="A307" s="7"/>
      <c r="B307" s="7"/>
      <c r="C307" s="7"/>
      <c r="D307" s="7"/>
      <c r="E307" s="7"/>
      <c r="F307" s="7"/>
    </row>
    <row r="308" ht="15.75" customHeight="1">
      <c r="A308" s="7"/>
      <c r="B308" s="7"/>
      <c r="C308" s="7"/>
      <c r="D308" s="7"/>
      <c r="E308" s="7"/>
      <c r="F308" s="7"/>
    </row>
    <row r="309" ht="15.75" customHeight="1">
      <c r="A309" s="7"/>
      <c r="B309" s="7"/>
      <c r="C309" s="7"/>
      <c r="D309" s="7"/>
      <c r="E309" s="7"/>
      <c r="F309" s="7"/>
    </row>
    <row r="310" ht="15.75" customHeight="1">
      <c r="A310" s="7"/>
      <c r="B310" s="7"/>
      <c r="C310" s="7"/>
      <c r="D310" s="7"/>
      <c r="E310" s="7"/>
      <c r="F310" s="7"/>
    </row>
    <row r="311" ht="15.75" customHeight="1">
      <c r="A311" s="7"/>
      <c r="B311" s="7"/>
      <c r="C311" s="7"/>
      <c r="D311" s="7"/>
      <c r="E311" s="7"/>
      <c r="F311" s="7"/>
    </row>
    <row r="312" ht="15.75" customHeight="1">
      <c r="A312" s="7"/>
      <c r="B312" s="7"/>
      <c r="C312" s="7"/>
      <c r="D312" s="7"/>
      <c r="E312" s="7"/>
      <c r="F312" s="7"/>
    </row>
    <row r="313" ht="15.75" customHeight="1">
      <c r="A313" s="7"/>
      <c r="B313" s="7"/>
      <c r="C313" s="7"/>
      <c r="D313" s="7"/>
      <c r="E313" s="7"/>
      <c r="F313" s="7"/>
    </row>
    <row r="314" ht="15.75" customHeight="1">
      <c r="A314" s="7"/>
      <c r="B314" s="7"/>
      <c r="C314" s="7"/>
      <c r="D314" s="7"/>
      <c r="E314" s="7"/>
      <c r="F314" s="7"/>
    </row>
    <row r="315" ht="15.75" customHeight="1">
      <c r="A315" s="7"/>
      <c r="B315" s="7"/>
      <c r="C315" s="7"/>
      <c r="D315" s="7"/>
      <c r="E315" s="7"/>
      <c r="F315" s="7"/>
    </row>
    <row r="316" ht="15.75" customHeight="1">
      <c r="A316" s="7"/>
      <c r="B316" s="7"/>
      <c r="C316" s="7"/>
      <c r="D316" s="7"/>
      <c r="E316" s="7"/>
      <c r="F316" s="7"/>
    </row>
    <row r="317" ht="15.75" customHeight="1">
      <c r="A317" s="7"/>
      <c r="B317" s="7"/>
      <c r="C317" s="7"/>
      <c r="D317" s="7"/>
      <c r="E317" s="7"/>
      <c r="F317" s="7"/>
    </row>
    <row r="318" ht="15.75" customHeight="1">
      <c r="A318" s="7"/>
      <c r="B318" s="7"/>
      <c r="C318" s="7"/>
      <c r="D318" s="7"/>
      <c r="E318" s="7"/>
      <c r="F318" s="7"/>
    </row>
    <row r="319" ht="15.75" customHeight="1">
      <c r="A319" s="7"/>
      <c r="B319" s="7"/>
      <c r="C319" s="7"/>
      <c r="D319" s="7"/>
      <c r="E319" s="7"/>
      <c r="F319" s="7"/>
    </row>
    <row r="320" ht="15.75" customHeight="1">
      <c r="A320" s="7"/>
      <c r="B320" s="7"/>
      <c r="C320" s="7"/>
      <c r="D320" s="7"/>
      <c r="E320" s="7"/>
      <c r="F320" s="7"/>
    </row>
    <row r="321" ht="15.75" customHeight="1">
      <c r="A321" s="7"/>
      <c r="B321" s="7"/>
      <c r="C321" s="7"/>
      <c r="D321" s="7"/>
      <c r="E321" s="7"/>
      <c r="F321" s="7"/>
    </row>
    <row r="322" ht="15.75" customHeight="1">
      <c r="A322" s="7"/>
      <c r="B322" s="7"/>
      <c r="C322" s="7"/>
      <c r="D322" s="7"/>
      <c r="E322" s="7"/>
      <c r="F322" s="7"/>
    </row>
    <row r="323" ht="15.75" customHeight="1">
      <c r="A323" s="7"/>
      <c r="B323" s="7"/>
      <c r="C323" s="7"/>
      <c r="D323" s="7"/>
      <c r="E323" s="7"/>
      <c r="F323" s="7"/>
    </row>
    <row r="324" ht="15.75" customHeight="1">
      <c r="A324" s="7"/>
      <c r="B324" s="7"/>
      <c r="C324" s="7"/>
      <c r="D324" s="7"/>
      <c r="E324" s="7"/>
      <c r="F324" s="7"/>
    </row>
    <row r="325" ht="15.75" customHeight="1">
      <c r="A325" s="7"/>
      <c r="B325" s="7"/>
      <c r="C325" s="7"/>
      <c r="D325" s="7"/>
      <c r="E325" s="7"/>
      <c r="F325" s="7"/>
    </row>
    <row r="326" ht="15.75" customHeight="1">
      <c r="A326" s="7"/>
      <c r="B326" s="7"/>
      <c r="C326" s="7"/>
      <c r="D326" s="7"/>
      <c r="E326" s="7"/>
      <c r="F326" s="7"/>
    </row>
    <row r="327" ht="15.75" customHeight="1">
      <c r="A327" s="7"/>
      <c r="B327" s="7"/>
      <c r="C327" s="7"/>
      <c r="D327" s="7"/>
      <c r="E327" s="7"/>
      <c r="F327" s="7"/>
    </row>
    <row r="328" ht="15.75" customHeight="1">
      <c r="A328" s="7"/>
      <c r="B328" s="7"/>
      <c r="C328" s="7"/>
      <c r="D328" s="7"/>
      <c r="E328" s="7"/>
      <c r="F328" s="7"/>
    </row>
    <row r="329" ht="15.75" customHeight="1">
      <c r="A329" s="7"/>
      <c r="B329" s="7"/>
      <c r="C329" s="7"/>
      <c r="D329" s="7"/>
      <c r="E329" s="7"/>
      <c r="F329" s="7"/>
    </row>
    <row r="330" ht="15.75" customHeight="1">
      <c r="A330" s="7"/>
      <c r="B330" s="7"/>
      <c r="C330" s="7"/>
      <c r="D330" s="7"/>
      <c r="E330" s="7"/>
      <c r="F330" s="7"/>
    </row>
    <row r="331" ht="15.75" customHeight="1">
      <c r="A331" s="7"/>
      <c r="B331" s="7"/>
      <c r="C331" s="7"/>
      <c r="D331" s="7"/>
      <c r="E331" s="7"/>
      <c r="F331" s="7"/>
    </row>
    <row r="332" ht="15.75" customHeight="1">
      <c r="A332" s="7"/>
      <c r="B332" s="7"/>
      <c r="C332" s="7"/>
      <c r="D332" s="7"/>
      <c r="E332" s="7"/>
      <c r="F332" s="7"/>
    </row>
    <row r="333" ht="15.75" customHeight="1">
      <c r="A333" s="7"/>
      <c r="B333" s="7"/>
      <c r="C333" s="7"/>
      <c r="D333" s="7"/>
      <c r="E333" s="7"/>
      <c r="F333" s="7"/>
    </row>
    <row r="334" ht="15.75" customHeight="1">
      <c r="A334" s="7"/>
      <c r="B334" s="7"/>
      <c r="C334" s="7"/>
      <c r="D334" s="7"/>
      <c r="E334" s="7"/>
      <c r="F334" s="7"/>
    </row>
    <row r="335" ht="15.75" customHeight="1">
      <c r="A335" s="7"/>
      <c r="B335" s="7"/>
      <c r="C335" s="7"/>
      <c r="D335" s="7"/>
      <c r="E335" s="7"/>
      <c r="F335" s="7"/>
    </row>
    <row r="336" ht="15.75" customHeight="1">
      <c r="A336" s="7"/>
      <c r="B336" s="7"/>
      <c r="C336" s="7"/>
      <c r="D336" s="7"/>
      <c r="E336" s="7"/>
      <c r="F336" s="7"/>
    </row>
    <row r="337" ht="15.75" customHeight="1">
      <c r="A337" s="7"/>
      <c r="B337" s="7"/>
      <c r="C337" s="7"/>
      <c r="D337" s="7"/>
      <c r="E337" s="7"/>
      <c r="F337" s="7"/>
    </row>
    <row r="338" ht="15.75" customHeight="1">
      <c r="A338" s="7"/>
      <c r="B338" s="7"/>
      <c r="C338" s="7"/>
      <c r="D338" s="7"/>
      <c r="E338" s="7"/>
      <c r="F338" s="7"/>
    </row>
    <row r="339" ht="15.75" customHeight="1">
      <c r="A339" s="7"/>
      <c r="B339" s="7"/>
      <c r="C339" s="7"/>
      <c r="D339" s="7"/>
      <c r="E339" s="7"/>
      <c r="F339" s="7"/>
    </row>
    <row r="340" ht="15.75" customHeight="1">
      <c r="A340" s="7"/>
      <c r="B340" s="7"/>
      <c r="C340" s="7"/>
      <c r="D340" s="7"/>
      <c r="E340" s="7"/>
      <c r="F340" s="7"/>
    </row>
    <row r="341" ht="15.75" customHeight="1">
      <c r="A341" s="7"/>
      <c r="B341" s="7"/>
      <c r="C341" s="7"/>
      <c r="D341" s="7"/>
      <c r="E341" s="7"/>
      <c r="F341" s="7"/>
    </row>
    <row r="342" ht="15.75" customHeight="1">
      <c r="A342" s="7"/>
      <c r="B342" s="7"/>
      <c r="C342" s="7"/>
      <c r="D342" s="7"/>
      <c r="E342" s="7"/>
      <c r="F342" s="7"/>
    </row>
    <row r="343" ht="15.75" customHeight="1">
      <c r="A343" s="7"/>
      <c r="B343" s="7"/>
      <c r="C343" s="7"/>
      <c r="D343" s="7"/>
      <c r="E343" s="7"/>
      <c r="F343" s="7"/>
    </row>
    <row r="344" ht="15.75" customHeight="1">
      <c r="A344" s="7"/>
      <c r="B344" s="7"/>
      <c r="C344" s="7"/>
      <c r="D344" s="7"/>
      <c r="E344" s="7"/>
      <c r="F344" s="7"/>
    </row>
    <row r="345" ht="15.75" customHeight="1">
      <c r="A345" s="7"/>
      <c r="B345" s="7"/>
      <c r="C345" s="7"/>
      <c r="D345" s="7"/>
      <c r="E345" s="7"/>
      <c r="F345" s="7"/>
    </row>
    <row r="346" ht="15.75" customHeight="1">
      <c r="A346" s="7"/>
      <c r="B346" s="7"/>
      <c r="C346" s="7"/>
      <c r="D346" s="7"/>
      <c r="E346" s="7"/>
      <c r="F346" s="7"/>
    </row>
    <row r="347" ht="15.75" customHeight="1">
      <c r="A347" s="7"/>
      <c r="B347" s="7"/>
      <c r="C347" s="7"/>
      <c r="D347" s="7"/>
      <c r="E347" s="7"/>
      <c r="F347" s="7"/>
    </row>
    <row r="348" ht="15.75" customHeight="1">
      <c r="A348" s="7"/>
      <c r="B348" s="7"/>
      <c r="C348" s="7"/>
      <c r="D348" s="7"/>
      <c r="E348" s="7"/>
      <c r="F348" s="7"/>
    </row>
    <row r="349" ht="15.75" customHeight="1">
      <c r="A349" s="7"/>
      <c r="B349" s="7"/>
      <c r="C349" s="7"/>
      <c r="D349" s="7"/>
      <c r="E349" s="7"/>
      <c r="F349" s="7"/>
    </row>
    <row r="350" ht="15.75" customHeight="1">
      <c r="A350" s="7"/>
      <c r="B350" s="7"/>
      <c r="C350" s="7"/>
      <c r="D350" s="7"/>
      <c r="E350" s="7"/>
      <c r="F350" s="7"/>
    </row>
    <row r="351" ht="15.75" customHeight="1">
      <c r="A351" s="7"/>
      <c r="B351" s="7"/>
      <c r="C351" s="7"/>
      <c r="D351" s="7"/>
      <c r="E351" s="7"/>
      <c r="F351" s="7"/>
    </row>
    <row r="352" ht="15.75" customHeight="1">
      <c r="A352" s="7"/>
      <c r="B352" s="7"/>
      <c r="C352" s="7"/>
      <c r="D352" s="7"/>
      <c r="E352" s="7"/>
      <c r="F352" s="7"/>
    </row>
    <row r="353" ht="15.75" customHeight="1">
      <c r="A353" s="7"/>
      <c r="B353" s="7"/>
      <c r="C353" s="7"/>
      <c r="D353" s="7"/>
      <c r="E353" s="7"/>
      <c r="F353" s="7"/>
    </row>
    <row r="354" ht="15.75" customHeight="1">
      <c r="A354" s="7"/>
      <c r="B354" s="7"/>
      <c r="C354" s="7"/>
      <c r="D354" s="7"/>
      <c r="E354" s="7"/>
      <c r="F354" s="7"/>
    </row>
    <row r="355" ht="15.75" customHeight="1">
      <c r="A355" s="7"/>
      <c r="B355" s="7"/>
      <c r="C355" s="7"/>
      <c r="D355" s="7"/>
      <c r="E355" s="7"/>
      <c r="F355" s="7"/>
    </row>
    <row r="356" ht="15.75" customHeight="1">
      <c r="A356" s="7"/>
      <c r="B356" s="7"/>
      <c r="C356" s="7"/>
      <c r="D356" s="7"/>
      <c r="E356" s="7"/>
      <c r="F356" s="7"/>
    </row>
    <row r="357" ht="15.75" customHeight="1">
      <c r="A357" s="7"/>
      <c r="B357" s="7"/>
      <c r="C357" s="7"/>
      <c r="D357" s="7"/>
      <c r="E357" s="7"/>
      <c r="F357" s="7"/>
    </row>
    <row r="358" ht="15.75" customHeight="1">
      <c r="A358" s="7"/>
      <c r="B358" s="7"/>
      <c r="C358" s="7"/>
      <c r="D358" s="7"/>
      <c r="E358" s="7"/>
      <c r="F358" s="7"/>
    </row>
    <row r="359" ht="15.75" customHeight="1">
      <c r="A359" s="7"/>
      <c r="B359" s="7"/>
      <c r="C359" s="7"/>
      <c r="D359" s="7"/>
      <c r="E359" s="7"/>
      <c r="F359" s="7"/>
    </row>
    <row r="360" ht="15.75" customHeight="1">
      <c r="A360" s="7"/>
      <c r="B360" s="7"/>
      <c r="C360" s="7"/>
      <c r="D360" s="7"/>
      <c r="E360" s="7"/>
      <c r="F360" s="7"/>
    </row>
    <row r="361" ht="15.75" customHeight="1">
      <c r="A361" s="7"/>
      <c r="B361" s="7"/>
      <c r="C361" s="7"/>
      <c r="D361" s="7"/>
      <c r="E361" s="7"/>
      <c r="F361" s="7"/>
    </row>
    <row r="362" ht="15.75" customHeight="1">
      <c r="A362" s="7"/>
      <c r="B362" s="7"/>
      <c r="C362" s="7"/>
      <c r="D362" s="7"/>
      <c r="E362" s="7"/>
      <c r="F362" s="7"/>
    </row>
    <row r="363" ht="15.75" customHeight="1">
      <c r="A363" s="7"/>
      <c r="B363" s="7"/>
      <c r="C363" s="7"/>
      <c r="D363" s="7"/>
      <c r="E363" s="7"/>
      <c r="F363" s="7"/>
    </row>
    <row r="364" ht="15.75" customHeight="1">
      <c r="A364" s="7"/>
      <c r="B364" s="7"/>
      <c r="C364" s="7"/>
      <c r="D364" s="7"/>
      <c r="E364" s="7"/>
      <c r="F364" s="7"/>
    </row>
    <row r="365" ht="15.75" customHeight="1">
      <c r="A365" s="7"/>
      <c r="B365" s="7"/>
      <c r="C365" s="7"/>
      <c r="D365" s="7"/>
      <c r="E365" s="7"/>
      <c r="F365" s="7"/>
    </row>
    <row r="366" ht="15.75" customHeight="1">
      <c r="A366" s="7"/>
      <c r="B366" s="7"/>
      <c r="C366" s="7"/>
      <c r="D366" s="7"/>
      <c r="E366" s="7"/>
      <c r="F366" s="7"/>
    </row>
    <row r="367" ht="15.75" customHeight="1">
      <c r="A367" s="7"/>
      <c r="B367" s="7"/>
      <c r="C367" s="7"/>
      <c r="D367" s="7"/>
      <c r="E367" s="7"/>
      <c r="F367" s="7"/>
    </row>
    <row r="368" ht="15.75" customHeight="1">
      <c r="A368" s="7"/>
      <c r="B368" s="7"/>
      <c r="C368" s="7"/>
      <c r="D368" s="7"/>
      <c r="E368" s="7"/>
      <c r="F368" s="7"/>
    </row>
    <row r="369" ht="15.75" customHeight="1">
      <c r="A369" s="7"/>
      <c r="B369" s="7"/>
      <c r="C369" s="7"/>
      <c r="D369" s="7"/>
      <c r="E369" s="7"/>
      <c r="F369" s="7"/>
    </row>
    <row r="370" ht="15.75" customHeight="1">
      <c r="A370" s="7"/>
      <c r="B370" s="7"/>
      <c r="C370" s="7"/>
      <c r="D370" s="7"/>
      <c r="E370" s="7"/>
      <c r="F370" s="7"/>
    </row>
    <row r="371" ht="15.75" customHeight="1">
      <c r="A371" s="7"/>
      <c r="B371" s="7"/>
      <c r="C371" s="7"/>
      <c r="D371" s="7"/>
      <c r="E371" s="7"/>
      <c r="F371" s="7"/>
    </row>
    <row r="372" ht="15.75" customHeight="1">
      <c r="A372" s="7"/>
      <c r="B372" s="7"/>
      <c r="C372" s="7"/>
      <c r="D372" s="7"/>
      <c r="E372" s="7"/>
      <c r="F372" s="7"/>
    </row>
    <row r="373" ht="15.75" customHeight="1">
      <c r="A373" s="7"/>
      <c r="B373" s="7"/>
      <c r="C373" s="7"/>
      <c r="D373" s="7"/>
      <c r="E373" s="7"/>
      <c r="F373" s="7"/>
    </row>
    <row r="374" ht="15.75" customHeight="1">
      <c r="A374" s="7"/>
      <c r="B374" s="7"/>
      <c r="C374" s="7"/>
      <c r="D374" s="7"/>
      <c r="E374" s="7"/>
      <c r="F374" s="7"/>
    </row>
    <row r="375" ht="15.75" customHeight="1">
      <c r="A375" s="7"/>
      <c r="B375" s="7"/>
      <c r="C375" s="7"/>
      <c r="D375" s="7"/>
      <c r="E375" s="7"/>
      <c r="F375" s="7"/>
    </row>
    <row r="376" ht="15.75" customHeight="1">
      <c r="A376" s="7"/>
      <c r="B376" s="7"/>
      <c r="C376" s="7"/>
      <c r="D376" s="7"/>
      <c r="E376" s="7"/>
      <c r="F376" s="7"/>
    </row>
    <row r="377" ht="15.75" customHeight="1">
      <c r="A377" s="7"/>
      <c r="B377" s="7"/>
      <c r="C377" s="7"/>
      <c r="D377" s="7"/>
      <c r="E377" s="7"/>
      <c r="F377" s="7"/>
    </row>
    <row r="378" ht="15.75" customHeight="1">
      <c r="A378" s="7"/>
      <c r="B378" s="7"/>
      <c r="C378" s="7"/>
      <c r="D378" s="7"/>
      <c r="E378" s="7"/>
      <c r="F378" s="7"/>
    </row>
    <row r="379" ht="15.75" customHeight="1">
      <c r="A379" s="7"/>
      <c r="B379" s="7"/>
      <c r="C379" s="7"/>
      <c r="D379" s="7"/>
      <c r="E379" s="7"/>
      <c r="F379" s="7"/>
    </row>
    <row r="380" ht="15.75" customHeight="1">
      <c r="A380" s="7"/>
      <c r="B380" s="7"/>
      <c r="C380" s="7"/>
      <c r="D380" s="7"/>
      <c r="E380" s="7"/>
      <c r="F380" s="7"/>
    </row>
    <row r="381" ht="15.75" customHeight="1">
      <c r="A381" s="7"/>
      <c r="B381" s="7"/>
      <c r="C381" s="7"/>
      <c r="D381" s="7"/>
      <c r="E381" s="7"/>
      <c r="F381" s="7"/>
    </row>
    <row r="382" ht="15.75" customHeight="1">
      <c r="A382" s="7"/>
      <c r="B382" s="7"/>
      <c r="C382" s="7"/>
      <c r="D382" s="7"/>
      <c r="E382" s="7"/>
      <c r="F382" s="7"/>
    </row>
    <row r="383" ht="15.75" customHeight="1">
      <c r="A383" s="7"/>
      <c r="B383" s="7"/>
      <c r="C383" s="7"/>
      <c r="D383" s="7"/>
      <c r="E383" s="7"/>
      <c r="F383" s="7"/>
    </row>
    <row r="384" ht="15.75" customHeight="1">
      <c r="A384" s="7"/>
      <c r="B384" s="7"/>
      <c r="C384" s="7"/>
      <c r="D384" s="7"/>
      <c r="E384" s="7"/>
      <c r="F384" s="7"/>
    </row>
    <row r="385" ht="15.75" customHeight="1">
      <c r="A385" s="7"/>
      <c r="B385" s="7"/>
      <c r="C385" s="7"/>
      <c r="D385" s="7"/>
      <c r="E385" s="7"/>
      <c r="F385" s="7"/>
    </row>
    <row r="386" ht="15.75" customHeight="1">
      <c r="A386" s="7"/>
      <c r="B386" s="7"/>
      <c r="C386" s="7"/>
      <c r="D386" s="7"/>
      <c r="E386" s="7"/>
      <c r="F386" s="7"/>
    </row>
    <row r="387" ht="15.75" customHeight="1">
      <c r="A387" s="7"/>
      <c r="B387" s="7"/>
      <c r="C387" s="7"/>
      <c r="D387" s="7"/>
      <c r="E387" s="7"/>
      <c r="F387" s="7"/>
    </row>
    <row r="388" ht="15.75" customHeight="1">
      <c r="A388" s="7"/>
      <c r="B388" s="7"/>
      <c r="C388" s="7"/>
      <c r="D388" s="7"/>
      <c r="E388" s="7"/>
      <c r="F388" s="7"/>
    </row>
    <row r="389" ht="15.75" customHeight="1">
      <c r="A389" s="7"/>
      <c r="B389" s="7"/>
      <c r="C389" s="7"/>
      <c r="D389" s="7"/>
      <c r="E389" s="7"/>
      <c r="F389" s="7"/>
    </row>
    <row r="390" ht="15.75" customHeight="1">
      <c r="A390" s="7"/>
      <c r="B390" s="7"/>
      <c r="C390" s="7"/>
      <c r="D390" s="7"/>
      <c r="E390" s="7"/>
      <c r="F390" s="7"/>
    </row>
    <row r="391" ht="15.75" customHeight="1">
      <c r="A391" s="7"/>
      <c r="B391" s="7"/>
      <c r="C391" s="7"/>
      <c r="D391" s="7"/>
      <c r="E391" s="7"/>
      <c r="F391" s="7"/>
    </row>
    <row r="392" ht="15.75" customHeight="1">
      <c r="A392" s="7"/>
      <c r="B392" s="7"/>
      <c r="C392" s="7"/>
      <c r="D392" s="7"/>
      <c r="E392" s="7"/>
      <c r="F392" s="7"/>
    </row>
    <row r="393" ht="15.75" customHeight="1">
      <c r="A393" s="7"/>
      <c r="B393" s="7"/>
      <c r="C393" s="7"/>
      <c r="D393" s="7"/>
      <c r="E393" s="7"/>
      <c r="F393" s="7"/>
    </row>
    <row r="394" ht="15.75" customHeight="1">
      <c r="A394" s="7"/>
      <c r="B394" s="7"/>
      <c r="C394" s="7"/>
      <c r="D394" s="7"/>
      <c r="E394" s="7"/>
      <c r="F394" s="7"/>
    </row>
    <row r="395" ht="15.75" customHeight="1">
      <c r="A395" s="7"/>
      <c r="B395" s="7"/>
      <c r="C395" s="7"/>
      <c r="D395" s="7"/>
      <c r="E395" s="7"/>
      <c r="F395" s="7"/>
    </row>
    <row r="396" ht="15.75" customHeight="1">
      <c r="A396" s="7"/>
      <c r="B396" s="7"/>
      <c r="C396" s="7"/>
      <c r="D396" s="7"/>
      <c r="E396" s="7"/>
      <c r="F396" s="7"/>
    </row>
    <row r="397" ht="15.75" customHeight="1">
      <c r="A397" s="7"/>
      <c r="B397" s="7"/>
      <c r="C397" s="7"/>
      <c r="D397" s="7"/>
      <c r="E397" s="7"/>
      <c r="F397" s="7"/>
    </row>
    <row r="398" ht="15.75" customHeight="1">
      <c r="A398" s="7"/>
      <c r="B398" s="7"/>
      <c r="C398" s="7"/>
      <c r="D398" s="7"/>
      <c r="E398" s="7"/>
      <c r="F398" s="7"/>
    </row>
    <row r="399" ht="15.75" customHeight="1">
      <c r="A399" s="7"/>
      <c r="B399" s="7"/>
      <c r="C399" s="7"/>
      <c r="D399" s="7"/>
      <c r="E399" s="7"/>
      <c r="F399" s="7"/>
    </row>
    <row r="400" ht="15.75" customHeight="1">
      <c r="A400" s="7"/>
      <c r="B400" s="7"/>
      <c r="C400" s="7"/>
      <c r="D400" s="7"/>
      <c r="E400" s="7"/>
      <c r="F400" s="7"/>
    </row>
    <row r="401" ht="15.75" customHeight="1">
      <c r="A401" s="7"/>
      <c r="B401" s="7"/>
      <c r="C401" s="7"/>
      <c r="D401" s="7"/>
      <c r="E401" s="7"/>
      <c r="F401" s="7"/>
    </row>
    <row r="402" ht="15.75" customHeight="1">
      <c r="A402" s="7"/>
      <c r="B402" s="7"/>
      <c r="C402" s="7"/>
      <c r="D402" s="7"/>
      <c r="E402" s="7"/>
      <c r="F402" s="7"/>
    </row>
    <row r="403" ht="15.75" customHeight="1">
      <c r="A403" s="7"/>
      <c r="B403" s="7"/>
      <c r="C403" s="7"/>
      <c r="D403" s="7"/>
      <c r="E403" s="7"/>
      <c r="F403" s="7"/>
    </row>
    <row r="404" ht="15.75" customHeight="1">
      <c r="A404" s="7"/>
      <c r="B404" s="7"/>
      <c r="C404" s="7"/>
      <c r="D404" s="7"/>
      <c r="E404" s="7"/>
      <c r="F404" s="7"/>
    </row>
    <row r="405" ht="15.75" customHeight="1">
      <c r="A405" s="7"/>
      <c r="B405" s="7"/>
      <c r="C405" s="7"/>
      <c r="D405" s="7"/>
      <c r="E405" s="7"/>
      <c r="F405" s="7"/>
    </row>
    <row r="406" ht="15.75" customHeight="1">
      <c r="A406" s="7"/>
      <c r="B406" s="7"/>
      <c r="C406" s="7"/>
      <c r="D406" s="7"/>
      <c r="E406" s="7"/>
      <c r="F406" s="7"/>
    </row>
    <row r="407" ht="15.75" customHeight="1">
      <c r="A407" s="7"/>
      <c r="B407" s="7"/>
      <c r="C407" s="7"/>
      <c r="D407" s="7"/>
      <c r="E407" s="7"/>
      <c r="F407" s="7"/>
    </row>
    <row r="408" ht="15.75" customHeight="1">
      <c r="A408" s="7"/>
      <c r="B408" s="7"/>
      <c r="C408" s="7"/>
      <c r="D408" s="7"/>
      <c r="E408" s="7"/>
      <c r="F408" s="7"/>
    </row>
    <row r="409" ht="15.75" customHeight="1">
      <c r="A409" s="7"/>
      <c r="B409" s="7"/>
      <c r="C409" s="7"/>
      <c r="D409" s="7"/>
      <c r="E409" s="7"/>
      <c r="F409" s="7"/>
    </row>
    <row r="410" ht="15.75" customHeight="1">
      <c r="A410" s="7"/>
      <c r="B410" s="7"/>
      <c r="C410" s="7"/>
      <c r="D410" s="7"/>
      <c r="E410" s="7"/>
      <c r="F410" s="7"/>
    </row>
    <row r="411" ht="15.75" customHeight="1">
      <c r="A411" s="7"/>
      <c r="B411" s="7"/>
      <c r="C411" s="7"/>
      <c r="D411" s="7"/>
      <c r="E411" s="7"/>
      <c r="F411" s="7"/>
    </row>
    <row r="412" ht="15.75" customHeight="1">
      <c r="A412" s="7"/>
      <c r="B412" s="7"/>
      <c r="C412" s="7"/>
      <c r="D412" s="7"/>
      <c r="E412" s="7"/>
      <c r="F412" s="7"/>
    </row>
    <row r="413" ht="15.75" customHeight="1">
      <c r="A413" s="7"/>
      <c r="B413" s="7"/>
      <c r="C413" s="7"/>
      <c r="D413" s="7"/>
      <c r="E413" s="7"/>
      <c r="F413" s="7"/>
    </row>
    <row r="414" ht="15.75" customHeight="1">
      <c r="A414" s="7"/>
      <c r="B414" s="7"/>
      <c r="C414" s="7"/>
      <c r="D414" s="7"/>
      <c r="E414" s="7"/>
      <c r="F414" s="7"/>
    </row>
    <row r="415" ht="15.75" customHeight="1">
      <c r="A415" s="7"/>
      <c r="B415" s="7"/>
      <c r="C415" s="7"/>
      <c r="D415" s="7"/>
      <c r="E415" s="7"/>
      <c r="F415" s="7"/>
    </row>
    <row r="416" ht="15.75" customHeight="1">
      <c r="A416" s="7"/>
      <c r="B416" s="7"/>
      <c r="C416" s="7"/>
      <c r="D416" s="7"/>
      <c r="E416" s="7"/>
      <c r="F416" s="7"/>
    </row>
    <row r="417" ht="15.75" customHeight="1">
      <c r="A417" s="7"/>
      <c r="B417" s="7"/>
      <c r="C417" s="7"/>
      <c r="D417" s="7"/>
      <c r="E417" s="7"/>
      <c r="F417" s="7"/>
    </row>
    <row r="418" ht="15.75" customHeight="1">
      <c r="A418" s="7"/>
      <c r="B418" s="7"/>
      <c r="C418" s="7"/>
      <c r="D418" s="7"/>
      <c r="E418" s="7"/>
      <c r="F418" s="7"/>
    </row>
    <row r="419" ht="15.75" customHeight="1">
      <c r="A419" s="7"/>
      <c r="B419" s="7"/>
      <c r="C419" s="7"/>
      <c r="D419" s="7"/>
      <c r="E419" s="7"/>
      <c r="F419" s="7"/>
    </row>
    <row r="420" ht="15.75" customHeight="1">
      <c r="A420" s="7"/>
      <c r="B420" s="7"/>
      <c r="C420" s="7"/>
      <c r="D420" s="7"/>
      <c r="E420" s="7"/>
      <c r="F420" s="7"/>
    </row>
    <row r="421" ht="15.75" customHeight="1">
      <c r="A421" s="7"/>
      <c r="B421" s="7"/>
      <c r="C421" s="7"/>
      <c r="D421" s="7"/>
      <c r="E421" s="7"/>
      <c r="F421" s="7"/>
    </row>
    <row r="422" ht="15.75" customHeight="1">
      <c r="A422" s="7"/>
      <c r="B422" s="7"/>
      <c r="C422" s="7"/>
      <c r="D422" s="7"/>
      <c r="E422" s="7"/>
      <c r="F422" s="7"/>
    </row>
    <row r="423" ht="15.75" customHeight="1">
      <c r="A423" s="7"/>
      <c r="B423" s="7"/>
      <c r="C423" s="7"/>
      <c r="D423" s="7"/>
      <c r="E423" s="7"/>
      <c r="F423" s="7"/>
    </row>
    <row r="424" ht="15.75" customHeight="1">
      <c r="A424" s="7"/>
      <c r="B424" s="7"/>
      <c r="C424" s="7"/>
      <c r="D424" s="7"/>
      <c r="E424" s="7"/>
      <c r="F424" s="7"/>
    </row>
    <row r="425" ht="15.75" customHeight="1">
      <c r="A425" s="7"/>
      <c r="B425" s="7"/>
      <c r="C425" s="7"/>
      <c r="D425" s="7"/>
      <c r="E425" s="7"/>
      <c r="F425" s="7"/>
    </row>
    <row r="426" ht="15.75" customHeight="1">
      <c r="A426" s="7"/>
      <c r="B426" s="7"/>
      <c r="C426" s="7"/>
      <c r="D426" s="7"/>
      <c r="E426" s="7"/>
      <c r="F426" s="7"/>
    </row>
    <row r="427" ht="15.75" customHeight="1">
      <c r="A427" s="7"/>
      <c r="B427" s="7"/>
      <c r="C427" s="7"/>
      <c r="D427" s="7"/>
      <c r="E427" s="7"/>
      <c r="F427" s="7"/>
    </row>
    <row r="428" ht="15.75" customHeight="1">
      <c r="A428" s="7"/>
      <c r="B428" s="7"/>
      <c r="C428" s="7"/>
      <c r="D428" s="7"/>
      <c r="E428" s="7"/>
      <c r="F428" s="7"/>
    </row>
    <row r="429" ht="15.75" customHeight="1">
      <c r="A429" s="7"/>
      <c r="B429" s="7"/>
      <c r="C429" s="7"/>
      <c r="D429" s="7"/>
      <c r="E429" s="7"/>
      <c r="F429" s="7"/>
    </row>
    <row r="430" ht="15.75" customHeight="1">
      <c r="A430" s="7"/>
      <c r="B430" s="7"/>
      <c r="C430" s="7"/>
      <c r="D430" s="7"/>
      <c r="E430" s="7"/>
      <c r="F430" s="7"/>
    </row>
    <row r="431" ht="15.75" customHeight="1">
      <c r="A431" s="7"/>
      <c r="B431" s="7"/>
      <c r="C431" s="7"/>
      <c r="D431" s="7"/>
      <c r="E431" s="7"/>
      <c r="F431" s="7"/>
    </row>
    <row r="432" ht="15.75" customHeight="1">
      <c r="A432" s="7"/>
      <c r="B432" s="7"/>
      <c r="C432" s="7"/>
      <c r="D432" s="7"/>
      <c r="E432" s="7"/>
      <c r="F432" s="7"/>
    </row>
    <row r="433" ht="15.75" customHeight="1">
      <c r="A433" s="7"/>
      <c r="B433" s="7"/>
      <c r="C433" s="7"/>
      <c r="D433" s="7"/>
      <c r="E433" s="7"/>
      <c r="F433" s="7"/>
    </row>
    <row r="434" ht="15.75" customHeight="1">
      <c r="A434" s="7"/>
      <c r="B434" s="7"/>
      <c r="C434" s="7"/>
      <c r="D434" s="7"/>
      <c r="E434" s="7"/>
      <c r="F434" s="7"/>
    </row>
    <row r="435" ht="15.75" customHeight="1">
      <c r="A435" s="7"/>
      <c r="B435" s="7"/>
      <c r="C435" s="7"/>
      <c r="D435" s="7"/>
      <c r="E435" s="7"/>
      <c r="F435" s="7"/>
    </row>
    <row r="436" ht="15.75" customHeight="1">
      <c r="A436" s="7"/>
      <c r="B436" s="7"/>
      <c r="C436" s="7"/>
      <c r="D436" s="7"/>
      <c r="E436" s="7"/>
      <c r="F436" s="7"/>
    </row>
    <row r="437" ht="15.75" customHeight="1">
      <c r="A437" s="7"/>
      <c r="B437" s="7"/>
      <c r="C437" s="7"/>
      <c r="D437" s="7"/>
      <c r="E437" s="7"/>
      <c r="F437" s="7"/>
    </row>
    <row r="438" ht="15.75" customHeight="1">
      <c r="A438" s="7"/>
      <c r="B438" s="7"/>
      <c r="C438" s="7"/>
      <c r="D438" s="7"/>
      <c r="E438" s="7"/>
      <c r="F438" s="7"/>
    </row>
    <row r="439" ht="15.75" customHeight="1">
      <c r="A439" s="7"/>
      <c r="B439" s="7"/>
      <c r="C439" s="7"/>
      <c r="D439" s="7"/>
      <c r="E439" s="7"/>
      <c r="F439" s="7"/>
    </row>
    <row r="440" ht="15.75" customHeight="1">
      <c r="A440" s="7"/>
      <c r="B440" s="7"/>
      <c r="C440" s="7"/>
      <c r="D440" s="7"/>
      <c r="E440" s="7"/>
      <c r="F440" s="7"/>
    </row>
    <row r="441" ht="15.75" customHeight="1">
      <c r="A441" s="7"/>
      <c r="B441" s="7"/>
      <c r="C441" s="7"/>
      <c r="D441" s="7"/>
      <c r="E441" s="7"/>
      <c r="F441" s="7"/>
    </row>
    <row r="442" ht="15.75" customHeight="1">
      <c r="A442" s="7"/>
      <c r="B442" s="7"/>
      <c r="C442" s="7"/>
      <c r="D442" s="7"/>
      <c r="E442" s="7"/>
      <c r="F442" s="7"/>
    </row>
    <row r="443" ht="15.75" customHeight="1">
      <c r="A443" s="7"/>
      <c r="B443" s="7"/>
      <c r="C443" s="7"/>
      <c r="D443" s="7"/>
      <c r="E443" s="7"/>
      <c r="F443" s="7"/>
    </row>
    <row r="444" ht="15.75" customHeight="1">
      <c r="A444" s="7"/>
      <c r="B444" s="7"/>
      <c r="C444" s="7"/>
      <c r="D444" s="7"/>
      <c r="E444" s="7"/>
      <c r="F444" s="7"/>
    </row>
    <row r="445" ht="15.75" customHeight="1">
      <c r="A445" s="7"/>
      <c r="B445" s="7"/>
      <c r="C445" s="7"/>
      <c r="D445" s="7"/>
      <c r="E445" s="7"/>
      <c r="F445" s="7"/>
    </row>
    <row r="446" ht="15.75" customHeight="1">
      <c r="A446" s="7"/>
      <c r="B446" s="7"/>
      <c r="C446" s="7"/>
      <c r="D446" s="7"/>
      <c r="E446" s="7"/>
      <c r="F446" s="7"/>
    </row>
    <row r="447" ht="15.75" customHeight="1">
      <c r="A447" s="7"/>
      <c r="B447" s="7"/>
      <c r="C447" s="7"/>
      <c r="D447" s="7"/>
      <c r="E447" s="7"/>
      <c r="F447" s="7"/>
    </row>
    <row r="448" ht="15.75" customHeight="1">
      <c r="A448" s="7"/>
      <c r="B448" s="7"/>
      <c r="C448" s="7"/>
      <c r="D448" s="7"/>
      <c r="E448" s="7"/>
      <c r="F448" s="7"/>
    </row>
    <row r="449" ht="15.75" customHeight="1">
      <c r="A449" s="7"/>
      <c r="B449" s="7"/>
      <c r="C449" s="7"/>
      <c r="D449" s="7"/>
      <c r="E449" s="7"/>
      <c r="F449" s="7"/>
    </row>
    <row r="450" ht="15.75" customHeight="1">
      <c r="A450" s="7"/>
      <c r="B450" s="7"/>
      <c r="C450" s="7"/>
      <c r="D450" s="7"/>
      <c r="E450" s="7"/>
      <c r="F450" s="7"/>
    </row>
    <row r="451" ht="15.75" customHeight="1">
      <c r="A451" s="7"/>
      <c r="B451" s="7"/>
      <c r="C451" s="7"/>
      <c r="D451" s="7"/>
      <c r="E451" s="7"/>
      <c r="F451" s="7"/>
    </row>
    <row r="452" ht="15.75" customHeight="1">
      <c r="A452" s="7"/>
      <c r="B452" s="7"/>
      <c r="C452" s="7"/>
      <c r="D452" s="7"/>
      <c r="E452" s="7"/>
      <c r="F452" s="7"/>
    </row>
    <row r="453" ht="15.75" customHeight="1">
      <c r="A453" s="7"/>
      <c r="B453" s="7"/>
      <c r="C453" s="7"/>
      <c r="D453" s="7"/>
      <c r="E453" s="7"/>
      <c r="F453" s="7"/>
    </row>
    <row r="454" ht="15.75" customHeight="1">
      <c r="A454" s="7"/>
      <c r="B454" s="7"/>
      <c r="C454" s="7"/>
      <c r="D454" s="7"/>
      <c r="E454" s="7"/>
      <c r="F454" s="7"/>
    </row>
    <row r="455" ht="15.75" customHeight="1">
      <c r="A455" s="7"/>
      <c r="B455" s="7"/>
      <c r="C455" s="7"/>
      <c r="D455" s="7"/>
      <c r="E455" s="7"/>
      <c r="F455" s="7"/>
    </row>
    <row r="456" ht="15.75" customHeight="1">
      <c r="A456" s="7"/>
      <c r="B456" s="7"/>
      <c r="C456" s="7"/>
      <c r="D456" s="7"/>
      <c r="E456" s="7"/>
      <c r="F456" s="7"/>
    </row>
    <row r="457" ht="15.75" customHeight="1">
      <c r="A457" s="7"/>
      <c r="B457" s="7"/>
      <c r="C457" s="7"/>
      <c r="D457" s="7"/>
      <c r="E457" s="7"/>
      <c r="F457" s="7"/>
    </row>
    <row r="458" ht="15.75" customHeight="1">
      <c r="A458" s="7"/>
      <c r="B458" s="7"/>
      <c r="C458" s="7"/>
      <c r="D458" s="7"/>
      <c r="E458" s="7"/>
      <c r="F458" s="7"/>
    </row>
    <row r="459" ht="15.75" customHeight="1">
      <c r="A459" s="7"/>
      <c r="B459" s="7"/>
      <c r="C459" s="7"/>
      <c r="D459" s="7"/>
      <c r="E459" s="7"/>
      <c r="F459" s="7"/>
    </row>
    <row r="460" ht="15.75" customHeight="1">
      <c r="A460" s="7"/>
      <c r="B460" s="7"/>
      <c r="C460" s="7"/>
      <c r="D460" s="7"/>
      <c r="E460" s="7"/>
      <c r="F460" s="7"/>
    </row>
    <row r="461" ht="15.75" customHeight="1">
      <c r="A461" s="7"/>
      <c r="B461" s="7"/>
      <c r="C461" s="7"/>
      <c r="D461" s="7"/>
      <c r="E461" s="7"/>
      <c r="F461" s="7"/>
    </row>
    <row r="462" ht="15.75" customHeight="1">
      <c r="A462" s="7"/>
      <c r="B462" s="7"/>
      <c r="C462" s="7"/>
      <c r="D462" s="7"/>
      <c r="E462" s="7"/>
      <c r="F462" s="7"/>
    </row>
    <row r="463" ht="15.75" customHeight="1">
      <c r="A463" s="7"/>
      <c r="B463" s="7"/>
      <c r="C463" s="7"/>
      <c r="D463" s="7"/>
      <c r="E463" s="7"/>
      <c r="F463" s="7"/>
    </row>
    <row r="464" ht="15.75" customHeight="1">
      <c r="A464" s="7"/>
      <c r="B464" s="7"/>
      <c r="C464" s="7"/>
      <c r="D464" s="7"/>
      <c r="E464" s="7"/>
      <c r="F464" s="7"/>
    </row>
    <row r="465" ht="15.75" customHeight="1">
      <c r="A465" s="7"/>
      <c r="B465" s="7"/>
      <c r="C465" s="7"/>
      <c r="D465" s="7"/>
      <c r="E465" s="7"/>
      <c r="F465" s="7"/>
    </row>
    <row r="466" ht="15.75" customHeight="1">
      <c r="A466" s="7"/>
      <c r="B466" s="7"/>
      <c r="C466" s="7"/>
      <c r="D466" s="7"/>
      <c r="E466" s="7"/>
      <c r="F466" s="7"/>
    </row>
    <row r="467" ht="15.75" customHeight="1">
      <c r="A467" s="7"/>
      <c r="B467" s="7"/>
      <c r="C467" s="7"/>
      <c r="D467" s="7"/>
      <c r="E467" s="7"/>
      <c r="F467" s="7"/>
    </row>
    <row r="468" ht="15.75" customHeight="1">
      <c r="A468" s="7"/>
      <c r="B468" s="7"/>
      <c r="C468" s="7"/>
      <c r="D468" s="7"/>
      <c r="E468" s="7"/>
      <c r="F468" s="7"/>
    </row>
    <row r="469" ht="15.75" customHeight="1">
      <c r="A469" s="7"/>
      <c r="B469" s="7"/>
      <c r="C469" s="7"/>
      <c r="D469" s="7"/>
      <c r="E469" s="7"/>
      <c r="F469" s="7"/>
    </row>
    <row r="470" ht="15.75" customHeight="1">
      <c r="A470" s="7"/>
      <c r="B470" s="7"/>
      <c r="C470" s="7"/>
      <c r="D470" s="7"/>
      <c r="E470" s="7"/>
      <c r="F470" s="7"/>
    </row>
    <row r="471" ht="15.75" customHeight="1">
      <c r="A471" s="7"/>
      <c r="B471" s="7"/>
      <c r="C471" s="7"/>
      <c r="D471" s="7"/>
      <c r="E471" s="7"/>
      <c r="F471" s="7"/>
    </row>
    <row r="472" ht="15.75" customHeight="1">
      <c r="A472" s="7"/>
      <c r="B472" s="7"/>
      <c r="C472" s="7"/>
      <c r="D472" s="7"/>
      <c r="E472" s="7"/>
      <c r="F472" s="7"/>
    </row>
    <row r="473" ht="15.75" customHeight="1">
      <c r="A473" s="7"/>
      <c r="B473" s="7"/>
      <c r="C473" s="7"/>
      <c r="D473" s="7"/>
      <c r="E473" s="7"/>
      <c r="F473" s="7"/>
    </row>
    <row r="474" ht="15.75" customHeight="1">
      <c r="A474" s="7"/>
      <c r="B474" s="7"/>
      <c r="C474" s="7"/>
      <c r="D474" s="7"/>
      <c r="E474" s="7"/>
      <c r="F474" s="7"/>
    </row>
    <row r="475" ht="15.75" customHeight="1">
      <c r="A475" s="7"/>
      <c r="B475" s="7"/>
      <c r="C475" s="7"/>
      <c r="D475" s="7"/>
      <c r="E475" s="7"/>
      <c r="F475" s="7"/>
    </row>
    <row r="476" ht="15.75" customHeight="1">
      <c r="A476" s="7"/>
      <c r="B476" s="7"/>
      <c r="C476" s="7"/>
      <c r="D476" s="7"/>
      <c r="E476" s="7"/>
      <c r="F476" s="7"/>
    </row>
    <row r="477" ht="15.75" customHeight="1">
      <c r="A477" s="7"/>
      <c r="B477" s="7"/>
      <c r="C477" s="7"/>
      <c r="D477" s="7"/>
      <c r="E477" s="7"/>
      <c r="F477" s="7"/>
    </row>
    <row r="478" ht="15.75" customHeight="1">
      <c r="A478" s="7"/>
      <c r="B478" s="7"/>
      <c r="C478" s="7"/>
      <c r="D478" s="7"/>
      <c r="E478" s="7"/>
      <c r="F478" s="7"/>
    </row>
    <row r="479" ht="15.75" customHeight="1">
      <c r="A479" s="7"/>
      <c r="B479" s="7"/>
      <c r="C479" s="7"/>
      <c r="D479" s="7"/>
      <c r="E479" s="7"/>
      <c r="F479" s="7"/>
    </row>
    <row r="480" ht="15.75" customHeight="1">
      <c r="A480" s="7"/>
      <c r="B480" s="7"/>
      <c r="C480" s="7"/>
      <c r="D480" s="7"/>
      <c r="E480" s="7"/>
      <c r="F480" s="7"/>
    </row>
    <row r="481" ht="15.75" customHeight="1">
      <c r="A481" s="7"/>
      <c r="B481" s="7"/>
      <c r="C481" s="7"/>
      <c r="D481" s="7"/>
      <c r="E481" s="7"/>
      <c r="F481" s="7"/>
    </row>
    <row r="482" ht="15.75" customHeight="1">
      <c r="A482" s="7"/>
      <c r="B482" s="7"/>
      <c r="C482" s="7"/>
      <c r="D482" s="7"/>
      <c r="E482" s="7"/>
      <c r="F482" s="7"/>
    </row>
    <row r="483" ht="15.75" customHeight="1">
      <c r="A483" s="7"/>
      <c r="B483" s="7"/>
      <c r="C483" s="7"/>
      <c r="D483" s="7"/>
      <c r="E483" s="7"/>
      <c r="F483" s="7"/>
    </row>
    <row r="484" ht="15.75" customHeight="1">
      <c r="A484" s="7"/>
      <c r="B484" s="7"/>
      <c r="C484" s="7"/>
      <c r="D484" s="7"/>
      <c r="E484" s="7"/>
      <c r="F484" s="7"/>
    </row>
    <row r="485" ht="15.75" customHeight="1">
      <c r="A485" s="7"/>
      <c r="B485" s="7"/>
      <c r="C485" s="7"/>
      <c r="D485" s="7"/>
      <c r="E485" s="7"/>
      <c r="F485" s="7"/>
    </row>
    <row r="486" ht="15.75" customHeight="1">
      <c r="A486" s="7"/>
      <c r="B486" s="7"/>
      <c r="C486" s="7"/>
      <c r="D486" s="7"/>
      <c r="E486" s="7"/>
      <c r="F486" s="7"/>
    </row>
    <row r="487" ht="15.75" customHeight="1">
      <c r="A487" s="7"/>
      <c r="B487" s="7"/>
      <c r="C487" s="7"/>
      <c r="D487" s="7"/>
      <c r="E487" s="7"/>
      <c r="F487" s="7"/>
    </row>
    <row r="488" ht="15.75" customHeight="1">
      <c r="A488" s="7"/>
      <c r="B488" s="7"/>
      <c r="C488" s="7"/>
      <c r="D488" s="7"/>
      <c r="E488" s="7"/>
      <c r="F488" s="7"/>
    </row>
    <row r="489" ht="15.75" customHeight="1">
      <c r="A489" s="7"/>
      <c r="B489" s="7"/>
      <c r="C489" s="7"/>
      <c r="D489" s="7"/>
      <c r="E489" s="7"/>
      <c r="F489" s="7"/>
    </row>
    <row r="490" ht="15.75" customHeight="1">
      <c r="A490" s="7"/>
      <c r="B490" s="7"/>
      <c r="C490" s="7"/>
      <c r="D490" s="7"/>
      <c r="E490" s="7"/>
      <c r="F490" s="7"/>
    </row>
    <row r="491" ht="15.75" customHeight="1">
      <c r="A491" s="7"/>
      <c r="B491" s="7"/>
      <c r="C491" s="7"/>
      <c r="D491" s="7"/>
      <c r="E491" s="7"/>
      <c r="F491" s="7"/>
    </row>
    <row r="492" ht="15.75" customHeight="1">
      <c r="A492" s="7"/>
      <c r="B492" s="7"/>
      <c r="C492" s="7"/>
      <c r="D492" s="7"/>
      <c r="E492" s="7"/>
      <c r="F492" s="7"/>
    </row>
    <row r="493" ht="15.75" customHeight="1">
      <c r="A493" s="7"/>
      <c r="B493" s="7"/>
      <c r="C493" s="7"/>
      <c r="D493" s="7"/>
      <c r="E493" s="7"/>
      <c r="F493" s="7"/>
    </row>
    <row r="494" ht="15.75" customHeight="1">
      <c r="A494" s="7"/>
      <c r="B494" s="7"/>
      <c r="C494" s="7"/>
      <c r="D494" s="7"/>
      <c r="E494" s="7"/>
      <c r="F494" s="7"/>
    </row>
    <row r="495" ht="15.75" customHeight="1">
      <c r="A495" s="7"/>
      <c r="B495" s="7"/>
      <c r="C495" s="7"/>
      <c r="D495" s="7"/>
      <c r="E495" s="7"/>
      <c r="F495" s="7"/>
    </row>
    <row r="496" ht="15.75" customHeight="1">
      <c r="A496" s="7"/>
      <c r="B496" s="7"/>
      <c r="C496" s="7"/>
      <c r="D496" s="7"/>
      <c r="E496" s="7"/>
      <c r="F496" s="7"/>
    </row>
    <row r="497" ht="15.75" customHeight="1">
      <c r="A497" s="7"/>
      <c r="B497" s="7"/>
      <c r="C497" s="7"/>
      <c r="D497" s="7"/>
      <c r="E497" s="7"/>
      <c r="F497" s="7"/>
    </row>
    <row r="498" ht="15.75" customHeight="1">
      <c r="A498" s="7"/>
      <c r="B498" s="7"/>
      <c r="C498" s="7"/>
      <c r="D498" s="7"/>
      <c r="E498" s="7"/>
      <c r="F498" s="7"/>
    </row>
    <row r="499" ht="15.75" customHeight="1">
      <c r="A499" s="7"/>
      <c r="B499" s="7"/>
      <c r="C499" s="7"/>
      <c r="D499" s="7"/>
      <c r="E499" s="7"/>
      <c r="F499" s="7"/>
    </row>
    <row r="500" ht="15.75" customHeight="1">
      <c r="A500" s="7"/>
      <c r="B500" s="7"/>
      <c r="C500" s="7"/>
      <c r="D500" s="7"/>
      <c r="E500" s="7"/>
      <c r="F500" s="7"/>
    </row>
    <row r="501" ht="15.75" customHeight="1">
      <c r="A501" s="7"/>
      <c r="B501" s="7"/>
      <c r="C501" s="7"/>
      <c r="D501" s="7"/>
      <c r="E501" s="7"/>
      <c r="F501" s="7"/>
    </row>
    <row r="502" ht="15.75" customHeight="1">
      <c r="A502" s="7"/>
      <c r="B502" s="7"/>
      <c r="C502" s="7"/>
      <c r="D502" s="7"/>
      <c r="E502" s="7"/>
      <c r="F502" s="7"/>
    </row>
    <row r="503" ht="15.75" customHeight="1">
      <c r="A503" s="7"/>
      <c r="B503" s="7"/>
      <c r="C503" s="7"/>
      <c r="D503" s="7"/>
      <c r="E503" s="7"/>
      <c r="F503" s="7"/>
    </row>
    <row r="504" ht="15.75" customHeight="1">
      <c r="A504" s="7"/>
      <c r="B504" s="7"/>
      <c r="C504" s="7"/>
      <c r="D504" s="7"/>
      <c r="E504" s="7"/>
      <c r="F504" s="7"/>
    </row>
    <row r="505" ht="15.75" customHeight="1">
      <c r="A505" s="7"/>
      <c r="B505" s="7"/>
      <c r="C505" s="7"/>
      <c r="D505" s="7"/>
      <c r="E505" s="7"/>
      <c r="F505" s="7"/>
    </row>
    <row r="506" ht="15.75" customHeight="1">
      <c r="A506" s="7"/>
      <c r="B506" s="7"/>
      <c r="C506" s="7"/>
      <c r="D506" s="7"/>
      <c r="E506" s="7"/>
      <c r="F506" s="7"/>
    </row>
    <row r="507" ht="15.75" customHeight="1">
      <c r="A507" s="7"/>
      <c r="B507" s="7"/>
      <c r="C507" s="7"/>
      <c r="D507" s="7"/>
      <c r="E507" s="7"/>
      <c r="F507" s="7"/>
    </row>
    <row r="508" ht="15.75" customHeight="1">
      <c r="A508" s="7"/>
      <c r="B508" s="7"/>
      <c r="C508" s="7"/>
      <c r="D508" s="7"/>
      <c r="E508" s="7"/>
      <c r="F508" s="7"/>
    </row>
    <row r="509" ht="15.75" customHeight="1">
      <c r="A509" s="7"/>
      <c r="B509" s="7"/>
      <c r="C509" s="7"/>
      <c r="D509" s="7"/>
      <c r="E509" s="7"/>
      <c r="F509" s="7"/>
    </row>
    <row r="510" ht="15.75" customHeight="1">
      <c r="A510" s="7"/>
      <c r="B510" s="7"/>
      <c r="C510" s="7"/>
      <c r="D510" s="7"/>
      <c r="E510" s="7"/>
      <c r="F510" s="7"/>
    </row>
    <row r="511" ht="15.75" customHeight="1">
      <c r="A511" s="7"/>
      <c r="B511" s="7"/>
      <c r="C511" s="7"/>
      <c r="D511" s="7"/>
      <c r="E511" s="7"/>
      <c r="F511" s="7"/>
    </row>
    <row r="512" ht="15.75" customHeight="1">
      <c r="A512" s="7"/>
      <c r="B512" s="7"/>
      <c r="C512" s="7"/>
      <c r="D512" s="7"/>
      <c r="E512" s="7"/>
      <c r="F512" s="7"/>
    </row>
    <row r="513" ht="15.75" customHeight="1">
      <c r="A513" s="7"/>
      <c r="B513" s="7"/>
      <c r="C513" s="7"/>
      <c r="D513" s="7"/>
      <c r="E513" s="7"/>
      <c r="F513" s="7"/>
    </row>
    <row r="514" ht="15.75" customHeight="1">
      <c r="A514" s="7"/>
      <c r="B514" s="7"/>
      <c r="C514" s="7"/>
      <c r="D514" s="7"/>
      <c r="E514" s="7"/>
      <c r="F514" s="7"/>
    </row>
    <row r="515" ht="15.75" customHeight="1">
      <c r="A515" s="7"/>
      <c r="B515" s="7"/>
      <c r="C515" s="7"/>
      <c r="D515" s="7"/>
      <c r="E515" s="7"/>
      <c r="F515" s="7"/>
    </row>
    <row r="516" ht="15.75" customHeight="1">
      <c r="A516" s="7"/>
      <c r="B516" s="7"/>
      <c r="C516" s="7"/>
      <c r="D516" s="7"/>
      <c r="E516" s="7"/>
      <c r="F516" s="7"/>
    </row>
    <row r="517" ht="15.75" customHeight="1">
      <c r="A517" s="7"/>
      <c r="B517" s="7"/>
      <c r="C517" s="7"/>
      <c r="D517" s="7"/>
      <c r="E517" s="7"/>
      <c r="F517" s="7"/>
    </row>
    <row r="518" ht="15.75" customHeight="1">
      <c r="A518" s="7"/>
      <c r="B518" s="7"/>
      <c r="C518" s="7"/>
      <c r="D518" s="7"/>
      <c r="E518" s="7"/>
      <c r="F518" s="7"/>
    </row>
    <row r="519" ht="15.75" customHeight="1">
      <c r="A519" s="7"/>
      <c r="B519" s="7"/>
      <c r="C519" s="7"/>
      <c r="D519" s="7"/>
      <c r="E519" s="7"/>
      <c r="F519" s="7"/>
    </row>
    <row r="520" ht="15.75" customHeight="1">
      <c r="A520" s="7"/>
      <c r="B520" s="7"/>
      <c r="C520" s="7"/>
      <c r="D520" s="7"/>
      <c r="E520" s="7"/>
      <c r="F520" s="7"/>
    </row>
    <row r="521" ht="15.75" customHeight="1">
      <c r="A521" s="7"/>
      <c r="B521" s="7"/>
      <c r="C521" s="7"/>
      <c r="D521" s="7"/>
      <c r="E521" s="7"/>
      <c r="F521" s="7"/>
    </row>
    <row r="522" ht="15.75" customHeight="1">
      <c r="A522" s="7"/>
      <c r="B522" s="7"/>
      <c r="C522" s="7"/>
      <c r="D522" s="7"/>
      <c r="E522" s="7"/>
      <c r="F522" s="7"/>
    </row>
    <row r="523" ht="15.75" customHeight="1">
      <c r="A523" s="7"/>
      <c r="B523" s="7"/>
      <c r="C523" s="7"/>
      <c r="D523" s="7"/>
      <c r="E523" s="7"/>
      <c r="F523" s="7"/>
    </row>
    <row r="524" ht="15.75" customHeight="1">
      <c r="A524" s="7"/>
      <c r="B524" s="7"/>
      <c r="C524" s="7"/>
      <c r="D524" s="7"/>
      <c r="E524" s="7"/>
      <c r="F524" s="7"/>
    </row>
    <row r="525" ht="15.75" customHeight="1">
      <c r="A525" s="7"/>
      <c r="B525" s="7"/>
      <c r="C525" s="7"/>
      <c r="D525" s="7"/>
      <c r="E525" s="7"/>
      <c r="F525" s="7"/>
    </row>
    <row r="526" ht="15.75" customHeight="1">
      <c r="A526" s="7"/>
      <c r="B526" s="7"/>
      <c r="C526" s="7"/>
      <c r="D526" s="7"/>
      <c r="E526" s="7"/>
      <c r="F526" s="7"/>
    </row>
    <row r="527" ht="15.75" customHeight="1">
      <c r="A527" s="7"/>
      <c r="B527" s="7"/>
      <c r="C527" s="7"/>
      <c r="D527" s="7"/>
      <c r="E527" s="7"/>
      <c r="F527" s="7"/>
    </row>
    <row r="528" ht="15.75" customHeight="1">
      <c r="A528" s="7"/>
      <c r="B528" s="7"/>
      <c r="C528" s="7"/>
      <c r="D528" s="7"/>
      <c r="E528" s="7"/>
      <c r="F528" s="7"/>
    </row>
    <row r="529" ht="15.75" customHeight="1">
      <c r="A529" s="7"/>
      <c r="B529" s="7"/>
      <c r="C529" s="7"/>
      <c r="D529" s="7"/>
      <c r="E529" s="7"/>
      <c r="F529" s="7"/>
    </row>
    <row r="530" ht="15.75" customHeight="1">
      <c r="A530" s="7"/>
      <c r="B530" s="7"/>
      <c r="C530" s="7"/>
      <c r="D530" s="7"/>
      <c r="E530" s="7"/>
      <c r="F530" s="7"/>
    </row>
    <row r="531" ht="15.75" customHeight="1">
      <c r="A531" s="7"/>
      <c r="B531" s="7"/>
      <c r="C531" s="7"/>
      <c r="D531" s="7"/>
      <c r="E531" s="7"/>
      <c r="F531" s="7"/>
    </row>
    <row r="532" ht="15.75" customHeight="1">
      <c r="A532" s="7"/>
      <c r="B532" s="7"/>
      <c r="C532" s="7"/>
      <c r="D532" s="7"/>
      <c r="E532" s="7"/>
      <c r="F532" s="7"/>
    </row>
    <row r="533" ht="15.75" customHeight="1">
      <c r="A533" s="7"/>
      <c r="B533" s="7"/>
      <c r="C533" s="7"/>
      <c r="D533" s="7"/>
      <c r="E533" s="7"/>
      <c r="F533" s="7"/>
    </row>
    <row r="534" ht="15.75" customHeight="1">
      <c r="A534" s="7"/>
      <c r="B534" s="7"/>
      <c r="C534" s="7"/>
      <c r="D534" s="7"/>
      <c r="E534" s="7"/>
      <c r="F534" s="7"/>
    </row>
    <row r="535" ht="15.75" customHeight="1">
      <c r="A535" s="7"/>
      <c r="B535" s="7"/>
      <c r="C535" s="7"/>
      <c r="D535" s="7"/>
      <c r="E535" s="7"/>
      <c r="F535" s="7"/>
    </row>
    <row r="536" ht="15.75" customHeight="1">
      <c r="A536" s="7"/>
      <c r="B536" s="7"/>
      <c r="C536" s="7"/>
      <c r="D536" s="7"/>
      <c r="E536" s="7"/>
      <c r="F536" s="7"/>
    </row>
    <row r="537" ht="15.75" customHeight="1">
      <c r="A537" s="7"/>
      <c r="B537" s="7"/>
      <c r="C537" s="7"/>
      <c r="D537" s="7"/>
      <c r="E537" s="7"/>
      <c r="F537" s="7"/>
    </row>
    <row r="538" ht="15.75" customHeight="1">
      <c r="A538" s="7"/>
      <c r="B538" s="7"/>
      <c r="C538" s="7"/>
      <c r="D538" s="7"/>
      <c r="E538" s="7"/>
      <c r="F538" s="7"/>
    </row>
    <row r="539" ht="15.75" customHeight="1">
      <c r="A539" s="7"/>
      <c r="B539" s="7"/>
      <c r="C539" s="7"/>
      <c r="D539" s="7"/>
      <c r="E539" s="7"/>
      <c r="F539" s="7"/>
    </row>
    <row r="540" ht="15.75" customHeight="1">
      <c r="A540" s="7"/>
      <c r="B540" s="7"/>
      <c r="C540" s="7"/>
      <c r="D540" s="7"/>
      <c r="E540" s="7"/>
      <c r="F540" s="7"/>
    </row>
    <row r="541" ht="15.75" customHeight="1">
      <c r="A541" s="7"/>
      <c r="B541" s="7"/>
      <c r="C541" s="7"/>
      <c r="D541" s="7"/>
      <c r="E541" s="7"/>
      <c r="F541" s="7"/>
    </row>
    <row r="542" ht="15.75" customHeight="1">
      <c r="A542" s="7"/>
      <c r="B542" s="7"/>
      <c r="C542" s="7"/>
      <c r="D542" s="7"/>
      <c r="E542" s="7"/>
      <c r="F542" s="7"/>
    </row>
    <row r="543" ht="15.75" customHeight="1">
      <c r="A543" s="7"/>
      <c r="B543" s="7"/>
      <c r="C543" s="7"/>
      <c r="D543" s="7"/>
      <c r="E543" s="7"/>
      <c r="F543" s="7"/>
    </row>
    <row r="544" ht="15.75" customHeight="1">
      <c r="A544" s="7"/>
      <c r="B544" s="7"/>
      <c r="C544" s="7"/>
      <c r="D544" s="7"/>
      <c r="E544" s="7"/>
      <c r="F544" s="7"/>
    </row>
    <row r="545" ht="15.75" customHeight="1">
      <c r="A545" s="7"/>
      <c r="B545" s="7"/>
      <c r="C545" s="7"/>
      <c r="D545" s="7"/>
      <c r="E545" s="7"/>
      <c r="F545" s="7"/>
    </row>
    <row r="546" ht="15.75" customHeight="1">
      <c r="A546" s="7"/>
      <c r="B546" s="7"/>
      <c r="C546" s="7"/>
      <c r="D546" s="7"/>
      <c r="E546" s="7"/>
      <c r="F546" s="7"/>
    </row>
    <row r="547" ht="15.75" customHeight="1">
      <c r="A547" s="7"/>
      <c r="B547" s="7"/>
      <c r="C547" s="7"/>
      <c r="D547" s="7"/>
      <c r="E547" s="7"/>
      <c r="F547" s="7"/>
    </row>
    <row r="548" ht="15.75" customHeight="1">
      <c r="A548" s="7"/>
      <c r="B548" s="7"/>
      <c r="C548" s="7"/>
      <c r="D548" s="7"/>
      <c r="E548" s="7"/>
      <c r="F548" s="7"/>
    </row>
    <row r="549" ht="15.75" customHeight="1">
      <c r="A549" s="7"/>
      <c r="B549" s="7"/>
      <c r="C549" s="7"/>
      <c r="D549" s="7"/>
      <c r="E549" s="7"/>
      <c r="F549" s="7"/>
    </row>
    <row r="550" ht="15.75" customHeight="1">
      <c r="A550" s="7"/>
      <c r="B550" s="7"/>
      <c r="C550" s="7"/>
      <c r="D550" s="7"/>
      <c r="E550" s="7"/>
      <c r="F550" s="7"/>
    </row>
    <row r="551" ht="15.75" customHeight="1">
      <c r="A551" s="7"/>
      <c r="B551" s="7"/>
      <c r="C551" s="7"/>
      <c r="D551" s="7"/>
      <c r="E551" s="7"/>
      <c r="F551" s="7"/>
    </row>
    <row r="552" ht="15.75" customHeight="1">
      <c r="A552" s="7"/>
      <c r="B552" s="7"/>
      <c r="C552" s="7"/>
      <c r="D552" s="7"/>
      <c r="E552" s="7"/>
      <c r="F552" s="7"/>
    </row>
    <row r="553" ht="15.75" customHeight="1">
      <c r="A553" s="7"/>
      <c r="B553" s="7"/>
      <c r="C553" s="7"/>
      <c r="D553" s="7"/>
      <c r="E553" s="7"/>
      <c r="F553" s="7"/>
    </row>
    <row r="554" ht="15.75" customHeight="1">
      <c r="A554" s="7"/>
      <c r="B554" s="7"/>
      <c r="C554" s="7"/>
      <c r="D554" s="7"/>
      <c r="E554" s="7"/>
      <c r="F554" s="7"/>
    </row>
    <row r="555" ht="15.75" customHeight="1">
      <c r="A555" s="7"/>
      <c r="B555" s="7"/>
      <c r="C555" s="7"/>
      <c r="D555" s="7"/>
      <c r="E555" s="7"/>
      <c r="F555" s="7"/>
    </row>
    <row r="556" ht="15.75" customHeight="1">
      <c r="A556" s="7"/>
      <c r="B556" s="7"/>
      <c r="C556" s="7"/>
      <c r="D556" s="7"/>
      <c r="E556" s="7"/>
      <c r="F556" s="7"/>
    </row>
    <row r="557" ht="15.75" customHeight="1">
      <c r="A557" s="7"/>
      <c r="B557" s="7"/>
      <c r="C557" s="7"/>
      <c r="D557" s="7"/>
      <c r="E557" s="7"/>
      <c r="F557" s="7"/>
    </row>
    <row r="558" ht="15.75" customHeight="1">
      <c r="A558" s="7"/>
      <c r="B558" s="7"/>
      <c r="C558" s="7"/>
      <c r="D558" s="7"/>
      <c r="E558" s="7"/>
      <c r="F558" s="7"/>
    </row>
    <row r="559" ht="15.75" customHeight="1">
      <c r="A559" s="7"/>
      <c r="B559" s="7"/>
      <c r="C559" s="7"/>
      <c r="D559" s="7"/>
      <c r="E559" s="7"/>
      <c r="F559" s="7"/>
    </row>
    <row r="560" ht="15.75" customHeight="1">
      <c r="A560" s="7"/>
      <c r="B560" s="7"/>
      <c r="C560" s="7"/>
      <c r="D560" s="7"/>
      <c r="E560" s="7"/>
      <c r="F560" s="7"/>
    </row>
    <row r="561" ht="15.75" customHeight="1">
      <c r="A561" s="7"/>
      <c r="B561" s="7"/>
      <c r="C561" s="7"/>
      <c r="D561" s="7"/>
      <c r="E561" s="7"/>
      <c r="F561" s="7"/>
    </row>
    <row r="562" ht="15.75" customHeight="1">
      <c r="A562" s="7"/>
      <c r="B562" s="7"/>
      <c r="C562" s="7"/>
      <c r="D562" s="7"/>
      <c r="E562" s="7"/>
      <c r="F562" s="7"/>
    </row>
    <row r="563" ht="15.75" customHeight="1">
      <c r="A563" s="7"/>
      <c r="B563" s="7"/>
      <c r="C563" s="7"/>
      <c r="D563" s="7"/>
      <c r="E563" s="7"/>
      <c r="F563" s="7"/>
    </row>
    <row r="564" ht="15.75" customHeight="1">
      <c r="A564" s="7"/>
      <c r="B564" s="7"/>
      <c r="C564" s="7"/>
      <c r="D564" s="7"/>
      <c r="E564" s="7"/>
      <c r="F564" s="7"/>
    </row>
    <row r="565" ht="15.75" customHeight="1">
      <c r="A565" s="7"/>
      <c r="B565" s="7"/>
      <c r="C565" s="7"/>
      <c r="D565" s="7"/>
      <c r="E565" s="7"/>
      <c r="F565" s="7"/>
    </row>
    <row r="566" ht="15.75" customHeight="1">
      <c r="A566" s="7"/>
      <c r="B566" s="7"/>
      <c r="C566" s="7"/>
      <c r="D566" s="7"/>
      <c r="E566" s="7"/>
      <c r="F566" s="7"/>
    </row>
    <row r="567" ht="15.75" customHeight="1">
      <c r="A567" s="7"/>
      <c r="B567" s="7"/>
      <c r="C567" s="7"/>
      <c r="D567" s="7"/>
      <c r="E567" s="7"/>
      <c r="F567" s="7"/>
    </row>
    <row r="568" ht="15.75" customHeight="1">
      <c r="A568" s="7"/>
      <c r="B568" s="7"/>
      <c r="C568" s="7"/>
      <c r="D568" s="7"/>
      <c r="E568" s="7"/>
      <c r="F568" s="7"/>
    </row>
    <row r="569" ht="15.75" customHeight="1">
      <c r="A569" s="7"/>
      <c r="B569" s="7"/>
      <c r="C569" s="7"/>
      <c r="D569" s="7"/>
      <c r="E569" s="7"/>
      <c r="F569" s="7"/>
    </row>
    <row r="570" ht="15.75" customHeight="1">
      <c r="A570" s="7"/>
      <c r="B570" s="7"/>
      <c r="C570" s="7"/>
      <c r="D570" s="7"/>
      <c r="E570" s="7"/>
      <c r="F570" s="7"/>
    </row>
    <row r="571" ht="15.75" customHeight="1">
      <c r="A571" s="7"/>
      <c r="B571" s="7"/>
      <c r="C571" s="7"/>
      <c r="D571" s="7"/>
      <c r="E571" s="7"/>
      <c r="F571" s="7"/>
    </row>
    <row r="572" ht="15.75" customHeight="1">
      <c r="A572" s="7"/>
      <c r="B572" s="7"/>
      <c r="C572" s="7"/>
      <c r="D572" s="7"/>
      <c r="E572" s="7"/>
      <c r="F572" s="7"/>
    </row>
    <row r="573" ht="15.75" customHeight="1">
      <c r="A573" s="7"/>
      <c r="B573" s="7"/>
      <c r="C573" s="7"/>
      <c r="D573" s="7"/>
      <c r="E573" s="7"/>
      <c r="F573" s="7"/>
    </row>
    <row r="574" ht="15.75" customHeight="1">
      <c r="A574" s="7"/>
      <c r="B574" s="7"/>
      <c r="C574" s="7"/>
      <c r="D574" s="7"/>
      <c r="E574" s="7"/>
      <c r="F574" s="7"/>
    </row>
    <row r="575" ht="15.75" customHeight="1">
      <c r="A575" s="7"/>
      <c r="B575" s="7"/>
      <c r="C575" s="7"/>
      <c r="D575" s="7"/>
      <c r="E575" s="7"/>
      <c r="F575" s="7"/>
    </row>
    <row r="576" ht="15.75" customHeight="1">
      <c r="A576" s="7"/>
      <c r="B576" s="7"/>
      <c r="C576" s="7"/>
      <c r="D576" s="7"/>
      <c r="E576" s="7"/>
      <c r="F576" s="7"/>
    </row>
    <row r="577" ht="15.75" customHeight="1">
      <c r="A577" s="7"/>
      <c r="B577" s="7"/>
      <c r="C577" s="7"/>
      <c r="D577" s="7"/>
      <c r="E577" s="7"/>
      <c r="F577" s="7"/>
    </row>
    <row r="578" ht="15.75" customHeight="1">
      <c r="A578" s="7"/>
      <c r="B578" s="7"/>
      <c r="C578" s="7"/>
      <c r="D578" s="7"/>
      <c r="E578" s="7"/>
      <c r="F578" s="7"/>
    </row>
    <row r="579" ht="15.75" customHeight="1">
      <c r="A579" s="7"/>
      <c r="B579" s="7"/>
      <c r="C579" s="7"/>
      <c r="D579" s="7"/>
      <c r="E579" s="7"/>
      <c r="F579" s="7"/>
    </row>
    <row r="580" ht="15.75" customHeight="1">
      <c r="A580" s="7"/>
      <c r="B580" s="7"/>
      <c r="C580" s="7"/>
      <c r="D580" s="7"/>
      <c r="E580" s="7"/>
      <c r="F580" s="7"/>
    </row>
    <row r="581" ht="15.75" customHeight="1">
      <c r="A581" s="7"/>
      <c r="B581" s="7"/>
      <c r="C581" s="7"/>
      <c r="D581" s="7"/>
      <c r="E581" s="7"/>
      <c r="F581" s="7"/>
    </row>
    <row r="582" ht="15.75" customHeight="1">
      <c r="A582" s="7"/>
      <c r="B582" s="7"/>
      <c r="C582" s="7"/>
      <c r="D582" s="7"/>
      <c r="E582" s="7"/>
      <c r="F582" s="7"/>
    </row>
    <row r="583" ht="15.75" customHeight="1">
      <c r="A583" s="7"/>
      <c r="B583" s="7"/>
      <c r="C583" s="7"/>
      <c r="D583" s="7"/>
      <c r="E583" s="7"/>
      <c r="F583" s="7"/>
    </row>
    <row r="584" ht="15.75" customHeight="1">
      <c r="A584" s="7"/>
      <c r="B584" s="7"/>
      <c r="C584" s="7"/>
      <c r="D584" s="7"/>
      <c r="E584" s="7"/>
      <c r="F584" s="7"/>
    </row>
    <row r="585" ht="15.75" customHeight="1">
      <c r="A585" s="7"/>
      <c r="B585" s="7"/>
      <c r="C585" s="7"/>
      <c r="D585" s="7"/>
      <c r="E585" s="7"/>
      <c r="F585" s="7"/>
    </row>
    <row r="586" ht="15.75" customHeight="1">
      <c r="A586" s="7"/>
      <c r="B586" s="7"/>
      <c r="C586" s="7"/>
      <c r="D586" s="7"/>
      <c r="E586" s="7"/>
      <c r="F586" s="7"/>
    </row>
    <row r="587" ht="15.75" customHeight="1">
      <c r="A587" s="7"/>
      <c r="B587" s="7"/>
      <c r="C587" s="7"/>
      <c r="D587" s="7"/>
      <c r="E587" s="7"/>
      <c r="F587" s="7"/>
    </row>
    <row r="588" ht="15.75" customHeight="1">
      <c r="A588" s="7"/>
      <c r="B588" s="7"/>
      <c r="C588" s="7"/>
      <c r="D588" s="7"/>
      <c r="E588" s="7"/>
      <c r="F588" s="7"/>
    </row>
    <row r="589" ht="15.75" customHeight="1">
      <c r="A589" s="7"/>
      <c r="B589" s="7"/>
      <c r="C589" s="7"/>
      <c r="D589" s="7"/>
      <c r="E589" s="7"/>
      <c r="F589" s="7"/>
    </row>
    <row r="590" ht="15.75" customHeight="1">
      <c r="A590" s="7"/>
      <c r="B590" s="7"/>
      <c r="C590" s="7"/>
      <c r="D590" s="7"/>
      <c r="E590" s="7"/>
      <c r="F590" s="7"/>
    </row>
    <row r="591" ht="15.75" customHeight="1">
      <c r="A591" s="7"/>
      <c r="B591" s="7"/>
      <c r="C591" s="7"/>
      <c r="D591" s="7"/>
      <c r="E591" s="7"/>
      <c r="F591" s="7"/>
    </row>
    <row r="592" ht="15.75" customHeight="1">
      <c r="A592" s="7"/>
      <c r="B592" s="7"/>
      <c r="C592" s="7"/>
      <c r="D592" s="7"/>
      <c r="E592" s="7"/>
      <c r="F592" s="7"/>
    </row>
    <row r="593" ht="15.75" customHeight="1">
      <c r="A593" s="7"/>
      <c r="B593" s="7"/>
      <c r="C593" s="7"/>
      <c r="D593" s="7"/>
      <c r="E593" s="7"/>
      <c r="F593" s="7"/>
    </row>
    <row r="594" ht="15.75" customHeight="1">
      <c r="A594" s="7"/>
      <c r="B594" s="7"/>
      <c r="C594" s="7"/>
      <c r="D594" s="7"/>
      <c r="E594" s="7"/>
      <c r="F594" s="7"/>
    </row>
    <row r="595" ht="15.75" customHeight="1">
      <c r="A595" s="7"/>
      <c r="B595" s="7"/>
      <c r="C595" s="7"/>
      <c r="D595" s="7"/>
      <c r="E595" s="7"/>
      <c r="F595" s="7"/>
    </row>
    <row r="596" ht="15.75" customHeight="1">
      <c r="A596" s="7"/>
      <c r="B596" s="7"/>
      <c r="C596" s="7"/>
      <c r="D596" s="7"/>
      <c r="E596" s="7"/>
      <c r="F596" s="7"/>
    </row>
    <row r="597" ht="15.75" customHeight="1">
      <c r="A597" s="7"/>
      <c r="B597" s="7"/>
      <c r="C597" s="7"/>
      <c r="D597" s="7"/>
      <c r="E597" s="7"/>
      <c r="F597" s="7"/>
    </row>
    <row r="598" ht="15.75" customHeight="1">
      <c r="A598" s="7"/>
      <c r="B598" s="7"/>
      <c r="C598" s="7"/>
      <c r="D598" s="7"/>
      <c r="E598" s="7"/>
      <c r="F598" s="7"/>
    </row>
    <row r="599" ht="15.75" customHeight="1">
      <c r="A599" s="7"/>
      <c r="B599" s="7"/>
      <c r="C599" s="7"/>
      <c r="D599" s="7"/>
      <c r="E599" s="7"/>
      <c r="F599" s="7"/>
    </row>
    <row r="600" ht="15.75" customHeight="1">
      <c r="A600" s="7"/>
      <c r="B600" s="7"/>
      <c r="C600" s="7"/>
      <c r="D600" s="7"/>
      <c r="E600" s="7"/>
      <c r="F600" s="7"/>
    </row>
    <row r="601" ht="15.75" customHeight="1">
      <c r="A601" s="7"/>
      <c r="B601" s="7"/>
      <c r="C601" s="7"/>
      <c r="D601" s="7"/>
      <c r="E601" s="7"/>
      <c r="F601" s="7"/>
    </row>
    <row r="602" ht="15.75" customHeight="1">
      <c r="A602" s="7"/>
      <c r="B602" s="7"/>
      <c r="C602" s="7"/>
      <c r="D602" s="7"/>
      <c r="E602" s="7"/>
      <c r="F602" s="7"/>
    </row>
    <row r="603" ht="15.75" customHeight="1">
      <c r="A603" s="7"/>
      <c r="B603" s="7"/>
      <c r="C603" s="7"/>
      <c r="D603" s="7"/>
      <c r="E603" s="7"/>
      <c r="F603" s="7"/>
    </row>
    <row r="604" ht="15.75" customHeight="1">
      <c r="A604" s="7"/>
      <c r="B604" s="7"/>
      <c r="C604" s="7"/>
      <c r="D604" s="7"/>
      <c r="E604" s="7"/>
      <c r="F604" s="7"/>
    </row>
    <row r="605" ht="15.75" customHeight="1">
      <c r="A605" s="7"/>
      <c r="B605" s="7"/>
      <c r="C605" s="7"/>
      <c r="D605" s="7"/>
      <c r="E605" s="7"/>
      <c r="F605" s="7"/>
    </row>
    <row r="606" ht="15.75" customHeight="1">
      <c r="A606" s="7"/>
      <c r="B606" s="7"/>
      <c r="C606" s="7"/>
      <c r="D606" s="7"/>
      <c r="E606" s="7"/>
      <c r="F606" s="7"/>
    </row>
    <row r="607" ht="15.75" customHeight="1">
      <c r="A607" s="7"/>
      <c r="B607" s="7"/>
      <c r="C607" s="7"/>
      <c r="D607" s="7"/>
      <c r="E607" s="7"/>
      <c r="F607" s="7"/>
    </row>
    <row r="608" ht="15.75" customHeight="1">
      <c r="A608" s="7"/>
      <c r="B608" s="7"/>
      <c r="C608" s="7"/>
      <c r="D608" s="7"/>
      <c r="E608" s="7"/>
      <c r="F608" s="7"/>
    </row>
    <row r="609" ht="15.75" customHeight="1">
      <c r="A609" s="7"/>
      <c r="B609" s="7"/>
      <c r="C609" s="7"/>
      <c r="D609" s="7"/>
      <c r="E609" s="7"/>
      <c r="F609" s="7"/>
    </row>
    <row r="610" ht="15.75" customHeight="1">
      <c r="A610" s="7"/>
      <c r="B610" s="7"/>
      <c r="C610" s="7"/>
      <c r="D610" s="7"/>
      <c r="E610" s="7"/>
      <c r="F610" s="7"/>
    </row>
    <row r="611" ht="15.75" customHeight="1">
      <c r="A611" s="7"/>
      <c r="B611" s="7"/>
      <c r="C611" s="7"/>
      <c r="D611" s="7"/>
      <c r="E611" s="7"/>
      <c r="F611" s="7"/>
    </row>
    <row r="612" ht="15.75" customHeight="1">
      <c r="A612" s="7"/>
      <c r="B612" s="7"/>
      <c r="C612" s="7"/>
      <c r="D612" s="7"/>
      <c r="E612" s="7"/>
      <c r="F612" s="7"/>
    </row>
    <row r="613" ht="15.75" customHeight="1">
      <c r="A613" s="7"/>
      <c r="B613" s="7"/>
      <c r="C613" s="7"/>
      <c r="D613" s="7"/>
      <c r="E613" s="7"/>
      <c r="F613" s="7"/>
    </row>
    <row r="614" ht="15.75" customHeight="1">
      <c r="A614" s="7"/>
      <c r="B614" s="7"/>
      <c r="C614" s="7"/>
      <c r="D614" s="7"/>
      <c r="E614" s="7"/>
      <c r="F614" s="7"/>
    </row>
    <row r="615" ht="15.75" customHeight="1">
      <c r="A615" s="7"/>
      <c r="B615" s="7"/>
      <c r="C615" s="7"/>
      <c r="D615" s="7"/>
      <c r="E615" s="7"/>
      <c r="F615" s="7"/>
    </row>
    <row r="616" ht="15.75" customHeight="1">
      <c r="A616" s="7"/>
      <c r="B616" s="7"/>
      <c r="C616" s="7"/>
      <c r="D616" s="7"/>
      <c r="E616" s="7"/>
      <c r="F616" s="7"/>
    </row>
    <row r="617" ht="15.75" customHeight="1">
      <c r="A617" s="7"/>
      <c r="B617" s="7"/>
      <c r="C617" s="7"/>
      <c r="D617" s="7"/>
      <c r="E617" s="7"/>
      <c r="F617" s="7"/>
    </row>
    <row r="618" ht="15.75" customHeight="1">
      <c r="A618" s="7"/>
      <c r="B618" s="7"/>
      <c r="C618" s="7"/>
      <c r="D618" s="7"/>
      <c r="E618" s="7"/>
      <c r="F618" s="7"/>
    </row>
    <row r="619" ht="15.75" customHeight="1">
      <c r="A619" s="7"/>
      <c r="B619" s="7"/>
      <c r="C619" s="7"/>
      <c r="D619" s="7"/>
      <c r="E619" s="7"/>
      <c r="F619" s="7"/>
    </row>
    <row r="620" ht="15.75" customHeight="1">
      <c r="A620" s="7"/>
      <c r="B620" s="7"/>
      <c r="C620" s="7"/>
      <c r="D620" s="7"/>
      <c r="E620" s="7"/>
      <c r="F620" s="7"/>
    </row>
    <row r="621" ht="15.75" customHeight="1">
      <c r="A621" s="7"/>
      <c r="B621" s="7"/>
      <c r="C621" s="7"/>
      <c r="D621" s="7"/>
      <c r="E621" s="7"/>
      <c r="F621" s="7"/>
    </row>
    <row r="622" ht="15.75" customHeight="1">
      <c r="A622" s="7"/>
      <c r="B622" s="7"/>
      <c r="C622" s="7"/>
      <c r="D622" s="7"/>
      <c r="E622" s="7"/>
      <c r="F622" s="7"/>
    </row>
    <row r="623" ht="15.75" customHeight="1">
      <c r="A623" s="7"/>
      <c r="B623" s="7"/>
      <c r="C623" s="7"/>
      <c r="D623" s="7"/>
      <c r="E623" s="7"/>
      <c r="F623" s="7"/>
    </row>
    <row r="624" ht="15.75" customHeight="1">
      <c r="A624" s="7"/>
      <c r="B624" s="7"/>
      <c r="C624" s="7"/>
      <c r="D624" s="7"/>
      <c r="E624" s="7"/>
      <c r="F624" s="7"/>
    </row>
    <row r="625" ht="15.75" customHeight="1">
      <c r="A625" s="7"/>
      <c r="B625" s="7"/>
      <c r="C625" s="7"/>
      <c r="D625" s="7"/>
      <c r="E625" s="7"/>
      <c r="F625" s="7"/>
    </row>
    <row r="626" ht="15.75" customHeight="1">
      <c r="A626" s="7"/>
      <c r="B626" s="7"/>
      <c r="C626" s="7"/>
      <c r="D626" s="7"/>
      <c r="E626" s="7"/>
      <c r="F626" s="7"/>
    </row>
    <row r="627" ht="15.75" customHeight="1">
      <c r="A627" s="7"/>
      <c r="B627" s="7"/>
      <c r="C627" s="7"/>
      <c r="D627" s="7"/>
      <c r="E627" s="7"/>
      <c r="F627" s="7"/>
    </row>
    <row r="628" ht="15.75" customHeight="1">
      <c r="A628" s="7"/>
      <c r="B628" s="7"/>
      <c r="C628" s="7"/>
      <c r="D628" s="7"/>
      <c r="E628" s="7"/>
      <c r="F628" s="7"/>
    </row>
    <row r="629" ht="15.75" customHeight="1">
      <c r="A629" s="7"/>
      <c r="B629" s="7"/>
      <c r="C629" s="7"/>
      <c r="D629" s="7"/>
      <c r="E629" s="7"/>
      <c r="F629" s="7"/>
    </row>
    <row r="630" ht="15.75" customHeight="1">
      <c r="A630" s="7"/>
      <c r="B630" s="7"/>
      <c r="C630" s="7"/>
      <c r="D630" s="7"/>
      <c r="E630" s="7"/>
      <c r="F630" s="7"/>
    </row>
    <row r="631" ht="15.75" customHeight="1">
      <c r="A631" s="7"/>
      <c r="B631" s="7"/>
      <c r="C631" s="7"/>
      <c r="D631" s="7"/>
      <c r="E631" s="7"/>
      <c r="F631" s="7"/>
    </row>
    <row r="632" ht="15.75" customHeight="1">
      <c r="A632" s="7"/>
      <c r="B632" s="7"/>
      <c r="C632" s="7"/>
      <c r="D632" s="7"/>
      <c r="E632" s="7"/>
      <c r="F632" s="7"/>
    </row>
    <row r="633" ht="15.75" customHeight="1">
      <c r="A633" s="7"/>
      <c r="B633" s="7"/>
      <c r="C633" s="7"/>
      <c r="D633" s="7"/>
      <c r="E633" s="7"/>
      <c r="F633" s="7"/>
    </row>
    <row r="634" ht="15.75" customHeight="1">
      <c r="A634" s="7"/>
      <c r="B634" s="7"/>
      <c r="C634" s="7"/>
      <c r="D634" s="7"/>
      <c r="E634" s="7"/>
      <c r="F634" s="7"/>
    </row>
    <row r="635" ht="15.75" customHeight="1">
      <c r="A635" s="7"/>
      <c r="B635" s="7"/>
      <c r="C635" s="7"/>
      <c r="D635" s="7"/>
      <c r="E635" s="7"/>
      <c r="F635" s="7"/>
    </row>
    <row r="636" ht="15.75" customHeight="1">
      <c r="A636" s="7"/>
      <c r="B636" s="7"/>
      <c r="C636" s="7"/>
      <c r="D636" s="7"/>
      <c r="E636" s="7"/>
      <c r="F636" s="7"/>
    </row>
    <row r="637" ht="15.75" customHeight="1">
      <c r="A637" s="7"/>
      <c r="B637" s="7"/>
      <c r="C637" s="7"/>
      <c r="D637" s="7"/>
      <c r="E637" s="7"/>
      <c r="F637" s="7"/>
    </row>
    <row r="638" ht="15.75" customHeight="1">
      <c r="A638" s="7"/>
      <c r="B638" s="7"/>
      <c r="C638" s="7"/>
      <c r="D638" s="7"/>
      <c r="E638" s="7"/>
      <c r="F638" s="7"/>
    </row>
    <row r="639" ht="15.75" customHeight="1">
      <c r="A639" s="7"/>
      <c r="B639" s="7"/>
      <c r="C639" s="7"/>
      <c r="D639" s="7"/>
      <c r="E639" s="7"/>
      <c r="F639" s="7"/>
    </row>
    <row r="640" ht="15.75" customHeight="1">
      <c r="A640" s="7"/>
      <c r="B640" s="7"/>
      <c r="C640" s="7"/>
      <c r="D640" s="7"/>
      <c r="E640" s="7"/>
      <c r="F640" s="7"/>
    </row>
    <row r="641" ht="15.75" customHeight="1">
      <c r="A641" s="7"/>
      <c r="B641" s="7"/>
      <c r="C641" s="7"/>
      <c r="D641" s="7"/>
      <c r="E641" s="7"/>
      <c r="F641" s="7"/>
    </row>
    <row r="642" ht="15.75" customHeight="1">
      <c r="A642" s="7"/>
      <c r="B642" s="7"/>
      <c r="C642" s="7"/>
      <c r="D642" s="7"/>
      <c r="E642" s="7"/>
      <c r="F642" s="7"/>
    </row>
    <row r="643" ht="15.75" customHeight="1">
      <c r="A643" s="7"/>
      <c r="B643" s="7"/>
      <c r="C643" s="7"/>
      <c r="D643" s="7"/>
      <c r="E643" s="7"/>
      <c r="F643" s="7"/>
    </row>
    <row r="644" ht="15.75" customHeight="1">
      <c r="A644" s="7"/>
      <c r="B644" s="7"/>
      <c r="C644" s="7"/>
      <c r="D644" s="7"/>
      <c r="E644" s="7"/>
      <c r="F644" s="7"/>
    </row>
    <row r="645" ht="15.75" customHeight="1">
      <c r="A645" s="7"/>
      <c r="B645" s="7"/>
      <c r="C645" s="7"/>
      <c r="D645" s="7"/>
      <c r="E645" s="7"/>
      <c r="F645" s="7"/>
    </row>
    <row r="646" ht="15.75" customHeight="1">
      <c r="A646" s="7"/>
      <c r="B646" s="7"/>
      <c r="C646" s="7"/>
      <c r="D646" s="7"/>
      <c r="E646" s="7"/>
      <c r="F646" s="7"/>
    </row>
    <row r="647" ht="15.75" customHeight="1">
      <c r="A647" s="7"/>
      <c r="B647" s="7"/>
      <c r="C647" s="7"/>
      <c r="D647" s="7"/>
      <c r="E647" s="7"/>
      <c r="F647" s="7"/>
    </row>
    <row r="648" ht="15.75" customHeight="1">
      <c r="A648" s="7"/>
      <c r="B648" s="7"/>
      <c r="C648" s="7"/>
      <c r="D648" s="7"/>
      <c r="E648" s="7"/>
      <c r="F648" s="7"/>
    </row>
    <row r="649" ht="15.75" customHeight="1">
      <c r="A649" s="7"/>
      <c r="B649" s="7"/>
      <c r="C649" s="7"/>
      <c r="D649" s="7"/>
      <c r="E649" s="7"/>
      <c r="F649" s="7"/>
    </row>
    <row r="650" ht="15.75" customHeight="1">
      <c r="A650" s="7"/>
      <c r="B650" s="7"/>
      <c r="C650" s="7"/>
      <c r="D650" s="7"/>
      <c r="E650" s="7"/>
      <c r="F650" s="7"/>
    </row>
    <row r="651" ht="15.75" customHeight="1">
      <c r="A651" s="7"/>
      <c r="B651" s="7"/>
      <c r="C651" s="7"/>
      <c r="D651" s="7"/>
      <c r="E651" s="7"/>
      <c r="F651" s="7"/>
    </row>
    <row r="652" ht="15.75" customHeight="1">
      <c r="A652" s="7"/>
      <c r="B652" s="7"/>
      <c r="C652" s="7"/>
      <c r="D652" s="7"/>
      <c r="E652" s="7"/>
      <c r="F652" s="7"/>
    </row>
    <row r="653" ht="15.75" customHeight="1">
      <c r="A653" s="7"/>
      <c r="B653" s="7"/>
      <c r="C653" s="7"/>
      <c r="D653" s="7"/>
      <c r="E653" s="7"/>
      <c r="F653" s="7"/>
    </row>
    <row r="654" ht="15.75" customHeight="1">
      <c r="A654" s="7"/>
      <c r="B654" s="7"/>
      <c r="C654" s="7"/>
      <c r="D654" s="7"/>
      <c r="E654" s="7"/>
      <c r="F654" s="7"/>
    </row>
    <row r="655" ht="15.75" customHeight="1">
      <c r="A655" s="7"/>
      <c r="B655" s="7"/>
      <c r="C655" s="7"/>
      <c r="D655" s="7"/>
      <c r="E655" s="7"/>
      <c r="F655" s="7"/>
    </row>
    <row r="656" ht="15.75" customHeight="1">
      <c r="A656" s="7"/>
      <c r="B656" s="7"/>
      <c r="C656" s="7"/>
      <c r="D656" s="7"/>
      <c r="E656" s="7"/>
      <c r="F656" s="7"/>
    </row>
    <row r="657" ht="15.75" customHeight="1">
      <c r="A657" s="7"/>
      <c r="B657" s="7"/>
      <c r="C657" s="7"/>
      <c r="D657" s="7"/>
      <c r="E657" s="7"/>
      <c r="F657" s="7"/>
    </row>
    <row r="658" ht="15.75" customHeight="1">
      <c r="A658" s="7"/>
      <c r="B658" s="7"/>
      <c r="C658" s="7"/>
      <c r="D658" s="7"/>
      <c r="E658" s="7"/>
      <c r="F658" s="7"/>
    </row>
    <row r="659" ht="15.75" customHeight="1">
      <c r="A659" s="7"/>
      <c r="B659" s="7"/>
      <c r="C659" s="7"/>
      <c r="D659" s="7"/>
      <c r="E659" s="7"/>
      <c r="F659" s="7"/>
    </row>
    <row r="660" ht="15.75" customHeight="1">
      <c r="A660" s="7"/>
      <c r="B660" s="7"/>
      <c r="C660" s="7"/>
      <c r="D660" s="7"/>
      <c r="E660" s="7"/>
      <c r="F660" s="7"/>
    </row>
    <row r="661" ht="15.75" customHeight="1">
      <c r="A661" s="7"/>
      <c r="B661" s="7"/>
      <c r="C661" s="7"/>
      <c r="D661" s="7"/>
      <c r="E661" s="7"/>
      <c r="F661" s="7"/>
    </row>
    <row r="662" ht="15.75" customHeight="1">
      <c r="A662" s="7"/>
      <c r="B662" s="7"/>
      <c r="C662" s="7"/>
      <c r="D662" s="7"/>
      <c r="E662" s="7"/>
      <c r="F662" s="7"/>
    </row>
    <row r="663" ht="15.75" customHeight="1">
      <c r="A663" s="7"/>
      <c r="B663" s="7"/>
      <c r="C663" s="7"/>
      <c r="D663" s="7"/>
      <c r="E663" s="7"/>
      <c r="F663" s="7"/>
    </row>
    <row r="664" ht="15.75" customHeight="1">
      <c r="A664" s="7"/>
      <c r="B664" s="7"/>
      <c r="C664" s="7"/>
      <c r="D664" s="7"/>
      <c r="E664" s="7"/>
      <c r="F664" s="7"/>
    </row>
    <row r="665" ht="15.75" customHeight="1">
      <c r="A665" s="7"/>
      <c r="B665" s="7"/>
      <c r="C665" s="7"/>
      <c r="D665" s="7"/>
      <c r="E665" s="7"/>
      <c r="F665" s="7"/>
    </row>
    <row r="666" ht="15.75" customHeight="1">
      <c r="A666" s="7"/>
      <c r="B666" s="7"/>
      <c r="C666" s="7"/>
      <c r="D666" s="7"/>
      <c r="E666" s="7"/>
      <c r="F666" s="7"/>
    </row>
    <row r="667" ht="15.75" customHeight="1">
      <c r="A667" s="7"/>
      <c r="B667" s="7"/>
      <c r="C667" s="7"/>
      <c r="D667" s="7"/>
      <c r="E667" s="7"/>
      <c r="F667" s="7"/>
    </row>
    <row r="668" ht="15.75" customHeight="1">
      <c r="A668" s="7"/>
      <c r="B668" s="7"/>
      <c r="C668" s="7"/>
      <c r="D668" s="7"/>
      <c r="E668" s="7"/>
      <c r="F668" s="7"/>
    </row>
    <row r="669" ht="15.75" customHeight="1">
      <c r="A669" s="7"/>
      <c r="B669" s="7"/>
      <c r="C669" s="7"/>
      <c r="D669" s="7"/>
      <c r="E669" s="7"/>
      <c r="F669" s="7"/>
    </row>
    <row r="670" ht="15.75" customHeight="1">
      <c r="A670" s="7"/>
      <c r="B670" s="7"/>
      <c r="C670" s="7"/>
      <c r="D670" s="7"/>
      <c r="E670" s="7"/>
      <c r="F670" s="7"/>
    </row>
    <row r="671" ht="15.75" customHeight="1">
      <c r="A671" s="7"/>
      <c r="B671" s="7"/>
      <c r="C671" s="7"/>
      <c r="D671" s="7"/>
      <c r="E671" s="7"/>
      <c r="F671" s="7"/>
    </row>
    <row r="672" ht="15.75" customHeight="1">
      <c r="A672" s="7"/>
      <c r="B672" s="7"/>
      <c r="C672" s="7"/>
      <c r="D672" s="7"/>
      <c r="E672" s="7"/>
      <c r="F672" s="7"/>
    </row>
    <row r="673" ht="15.75" customHeight="1">
      <c r="A673" s="7"/>
      <c r="B673" s="7"/>
      <c r="C673" s="7"/>
      <c r="D673" s="7"/>
      <c r="E673" s="7"/>
      <c r="F673" s="7"/>
    </row>
    <row r="674" ht="15.75" customHeight="1">
      <c r="A674" s="7"/>
      <c r="B674" s="7"/>
      <c r="C674" s="7"/>
      <c r="D674" s="7"/>
      <c r="E674" s="7"/>
      <c r="F674" s="7"/>
    </row>
    <row r="675" ht="15.75" customHeight="1">
      <c r="A675" s="7"/>
      <c r="B675" s="7"/>
      <c r="C675" s="7"/>
      <c r="D675" s="7"/>
      <c r="E675" s="7"/>
      <c r="F675" s="7"/>
    </row>
    <row r="676" ht="15.75" customHeight="1">
      <c r="A676" s="7"/>
      <c r="B676" s="7"/>
      <c r="C676" s="7"/>
      <c r="D676" s="7"/>
      <c r="E676" s="7"/>
      <c r="F676" s="7"/>
    </row>
    <row r="677" ht="15.75" customHeight="1">
      <c r="A677" s="7"/>
      <c r="B677" s="7"/>
      <c r="C677" s="7"/>
      <c r="D677" s="7"/>
      <c r="E677" s="7"/>
      <c r="F677" s="7"/>
    </row>
    <row r="678" ht="15.75" customHeight="1">
      <c r="A678" s="7"/>
      <c r="B678" s="7"/>
      <c r="C678" s="7"/>
      <c r="D678" s="7"/>
      <c r="E678" s="7"/>
      <c r="F678" s="7"/>
    </row>
    <row r="679" ht="15.75" customHeight="1">
      <c r="A679" s="7"/>
      <c r="B679" s="7"/>
      <c r="C679" s="7"/>
      <c r="D679" s="7"/>
      <c r="E679" s="7"/>
      <c r="F679" s="7"/>
    </row>
    <row r="680" ht="15.75" customHeight="1">
      <c r="A680" s="7"/>
      <c r="B680" s="7"/>
      <c r="C680" s="7"/>
      <c r="D680" s="7"/>
      <c r="E680" s="7"/>
      <c r="F680" s="7"/>
    </row>
    <row r="681" ht="15.75" customHeight="1">
      <c r="A681" s="7"/>
      <c r="B681" s="7"/>
      <c r="C681" s="7"/>
      <c r="D681" s="7"/>
      <c r="E681" s="7"/>
      <c r="F681" s="7"/>
    </row>
    <row r="682" ht="15.75" customHeight="1">
      <c r="A682" s="7"/>
      <c r="B682" s="7"/>
      <c r="C682" s="7"/>
      <c r="D682" s="7"/>
      <c r="E682" s="7"/>
      <c r="F682" s="7"/>
    </row>
    <row r="683" ht="15.75" customHeight="1">
      <c r="A683" s="7"/>
      <c r="B683" s="7"/>
      <c r="C683" s="7"/>
      <c r="D683" s="7"/>
      <c r="E683" s="7"/>
      <c r="F683" s="7"/>
    </row>
    <row r="684" ht="15.75" customHeight="1">
      <c r="A684" s="7"/>
      <c r="B684" s="7"/>
      <c r="C684" s="7"/>
      <c r="D684" s="7"/>
      <c r="E684" s="7"/>
      <c r="F684" s="7"/>
    </row>
    <row r="685" ht="15.75" customHeight="1">
      <c r="A685" s="7"/>
      <c r="B685" s="7"/>
      <c r="C685" s="7"/>
      <c r="D685" s="7"/>
      <c r="E685" s="7"/>
      <c r="F685" s="7"/>
    </row>
    <row r="686" ht="15.75" customHeight="1">
      <c r="A686" s="7"/>
      <c r="B686" s="7"/>
      <c r="C686" s="7"/>
      <c r="D686" s="7"/>
      <c r="E686" s="7"/>
      <c r="F686" s="7"/>
    </row>
    <row r="687" ht="15.75" customHeight="1">
      <c r="A687" s="7"/>
      <c r="B687" s="7"/>
      <c r="C687" s="7"/>
      <c r="D687" s="7"/>
      <c r="E687" s="7"/>
      <c r="F687" s="7"/>
    </row>
    <row r="688" ht="15.75" customHeight="1">
      <c r="A688" s="7"/>
      <c r="B688" s="7"/>
      <c r="C688" s="7"/>
      <c r="D688" s="7"/>
      <c r="E688" s="7"/>
      <c r="F688" s="7"/>
    </row>
    <row r="689" ht="15.75" customHeight="1">
      <c r="A689" s="7"/>
      <c r="B689" s="7"/>
      <c r="C689" s="7"/>
      <c r="D689" s="7"/>
      <c r="E689" s="7"/>
      <c r="F689" s="7"/>
    </row>
    <row r="690" ht="15.75" customHeight="1">
      <c r="A690" s="7"/>
      <c r="B690" s="7"/>
      <c r="C690" s="7"/>
      <c r="D690" s="7"/>
      <c r="E690" s="7"/>
      <c r="F690" s="7"/>
    </row>
    <row r="691" ht="15.75" customHeight="1">
      <c r="A691" s="7"/>
      <c r="B691" s="7"/>
      <c r="C691" s="7"/>
      <c r="D691" s="7"/>
      <c r="E691" s="7"/>
      <c r="F691" s="7"/>
    </row>
    <row r="692" ht="15.75" customHeight="1">
      <c r="A692" s="7"/>
      <c r="B692" s="7"/>
      <c r="C692" s="7"/>
      <c r="D692" s="7"/>
      <c r="E692" s="7"/>
      <c r="F692" s="7"/>
    </row>
    <row r="693" ht="15.75" customHeight="1">
      <c r="A693" s="7"/>
      <c r="B693" s="7"/>
      <c r="C693" s="7"/>
      <c r="D693" s="7"/>
      <c r="E693" s="7"/>
      <c r="F693" s="7"/>
    </row>
    <row r="694" ht="15.75" customHeight="1">
      <c r="A694" s="7"/>
      <c r="B694" s="7"/>
      <c r="C694" s="7"/>
      <c r="D694" s="7"/>
      <c r="E694" s="7"/>
      <c r="F694" s="7"/>
    </row>
    <row r="695" ht="15.75" customHeight="1">
      <c r="A695" s="7"/>
      <c r="B695" s="7"/>
      <c r="C695" s="7"/>
      <c r="D695" s="7"/>
      <c r="E695" s="7"/>
      <c r="F695" s="7"/>
    </row>
    <row r="696" ht="15.75" customHeight="1">
      <c r="A696" s="7"/>
      <c r="B696" s="7"/>
      <c r="C696" s="7"/>
      <c r="D696" s="7"/>
      <c r="E696" s="7"/>
      <c r="F696" s="7"/>
    </row>
    <row r="697" ht="15.75" customHeight="1">
      <c r="A697" s="7"/>
      <c r="B697" s="7"/>
      <c r="C697" s="7"/>
      <c r="D697" s="7"/>
      <c r="E697" s="7"/>
      <c r="F697" s="7"/>
    </row>
    <row r="698" ht="15.75" customHeight="1">
      <c r="A698" s="7"/>
      <c r="B698" s="7"/>
      <c r="C698" s="7"/>
      <c r="D698" s="7"/>
      <c r="E698" s="7"/>
      <c r="F698" s="7"/>
    </row>
    <row r="699" ht="15.75" customHeight="1">
      <c r="A699" s="7"/>
      <c r="B699" s="7"/>
      <c r="C699" s="7"/>
      <c r="D699" s="7"/>
      <c r="E699" s="7"/>
      <c r="F699" s="7"/>
    </row>
    <row r="700" ht="15.75" customHeight="1">
      <c r="A700" s="7"/>
      <c r="B700" s="7"/>
      <c r="C700" s="7"/>
      <c r="D700" s="7"/>
      <c r="E700" s="7"/>
      <c r="F700" s="7"/>
    </row>
    <row r="701" ht="15.75" customHeight="1">
      <c r="A701" s="7"/>
      <c r="B701" s="7"/>
      <c r="C701" s="7"/>
      <c r="D701" s="7"/>
      <c r="E701" s="7"/>
      <c r="F701" s="7"/>
    </row>
    <row r="702" ht="15.75" customHeight="1">
      <c r="A702" s="7"/>
      <c r="B702" s="7"/>
      <c r="C702" s="7"/>
      <c r="D702" s="7"/>
      <c r="E702" s="7"/>
      <c r="F702" s="7"/>
    </row>
    <row r="703" ht="15.75" customHeight="1">
      <c r="A703" s="7"/>
      <c r="B703" s="7"/>
      <c r="C703" s="7"/>
      <c r="D703" s="7"/>
      <c r="E703" s="7"/>
      <c r="F703" s="7"/>
    </row>
    <row r="704" ht="15.75" customHeight="1">
      <c r="A704" s="7"/>
      <c r="B704" s="7"/>
      <c r="C704" s="7"/>
      <c r="D704" s="7"/>
      <c r="E704" s="7"/>
      <c r="F704" s="7"/>
    </row>
    <row r="705" ht="15.75" customHeight="1">
      <c r="A705" s="7"/>
      <c r="B705" s="7"/>
      <c r="C705" s="7"/>
      <c r="D705" s="7"/>
      <c r="E705" s="7"/>
      <c r="F705" s="7"/>
    </row>
    <row r="706" ht="15.75" customHeight="1">
      <c r="A706" s="7"/>
      <c r="B706" s="7"/>
      <c r="C706" s="7"/>
      <c r="D706" s="7"/>
      <c r="E706" s="7"/>
      <c r="F706" s="7"/>
    </row>
    <row r="707" ht="15.75" customHeight="1">
      <c r="A707" s="7"/>
      <c r="B707" s="7"/>
      <c r="C707" s="7"/>
      <c r="D707" s="7"/>
      <c r="E707" s="7"/>
      <c r="F707" s="7"/>
    </row>
    <row r="708" ht="15.75" customHeight="1">
      <c r="A708" s="7"/>
      <c r="B708" s="7"/>
      <c r="C708" s="7"/>
      <c r="D708" s="7"/>
      <c r="E708" s="7"/>
      <c r="F708" s="7"/>
    </row>
    <row r="709" ht="15.75" customHeight="1">
      <c r="A709" s="7"/>
      <c r="B709" s="7"/>
      <c r="C709" s="7"/>
      <c r="D709" s="7"/>
      <c r="E709" s="7"/>
      <c r="F709" s="7"/>
    </row>
    <row r="710" ht="15.75" customHeight="1">
      <c r="A710" s="7"/>
      <c r="B710" s="7"/>
      <c r="C710" s="7"/>
      <c r="D710" s="7"/>
      <c r="E710" s="7"/>
      <c r="F710" s="7"/>
    </row>
    <row r="711" ht="15.75" customHeight="1">
      <c r="A711" s="7"/>
      <c r="B711" s="7"/>
      <c r="C711" s="7"/>
      <c r="D711" s="7"/>
      <c r="E711" s="7"/>
      <c r="F711" s="7"/>
    </row>
    <row r="712" ht="15.75" customHeight="1">
      <c r="A712" s="7"/>
      <c r="B712" s="7"/>
      <c r="C712" s="7"/>
      <c r="D712" s="7"/>
      <c r="E712" s="7"/>
      <c r="F712" s="7"/>
    </row>
    <row r="713" ht="15.75" customHeight="1">
      <c r="A713" s="7"/>
      <c r="B713" s="7"/>
      <c r="C713" s="7"/>
      <c r="D713" s="7"/>
      <c r="E713" s="7"/>
      <c r="F713" s="7"/>
    </row>
    <row r="714" ht="15.75" customHeight="1">
      <c r="A714" s="7"/>
      <c r="B714" s="7"/>
      <c r="C714" s="7"/>
      <c r="D714" s="7"/>
      <c r="E714" s="7"/>
      <c r="F714" s="7"/>
    </row>
    <row r="715" ht="15.75" customHeight="1">
      <c r="A715" s="7"/>
      <c r="B715" s="7"/>
      <c r="C715" s="7"/>
      <c r="D715" s="7"/>
      <c r="E715" s="7"/>
      <c r="F715" s="7"/>
    </row>
    <row r="716" ht="15.75" customHeight="1">
      <c r="A716" s="7"/>
      <c r="B716" s="7"/>
      <c r="C716" s="7"/>
      <c r="D716" s="7"/>
      <c r="E716" s="7"/>
      <c r="F716" s="7"/>
    </row>
    <row r="717" ht="15.75" customHeight="1">
      <c r="A717" s="7"/>
      <c r="B717" s="7"/>
      <c r="C717" s="7"/>
      <c r="D717" s="7"/>
      <c r="E717" s="7"/>
      <c r="F717" s="7"/>
    </row>
    <row r="718" ht="15.75" customHeight="1">
      <c r="A718" s="7"/>
      <c r="B718" s="7"/>
      <c r="C718" s="7"/>
      <c r="D718" s="7"/>
      <c r="E718" s="7"/>
      <c r="F718" s="7"/>
    </row>
    <row r="719" ht="15.75" customHeight="1">
      <c r="A719" s="7"/>
      <c r="B719" s="7"/>
      <c r="C719" s="7"/>
      <c r="D719" s="7"/>
      <c r="E719" s="7"/>
      <c r="F719" s="7"/>
    </row>
    <row r="720" ht="15.75" customHeight="1">
      <c r="A720" s="7"/>
      <c r="B720" s="7"/>
      <c r="C720" s="7"/>
      <c r="D720" s="7"/>
      <c r="E720" s="7"/>
      <c r="F720" s="7"/>
    </row>
    <row r="721" ht="15.75" customHeight="1">
      <c r="A721" s="7"/>
      <c r="B721" s="7"/>
      <c r="C721" s="7"/>
      <c r="D721" s="7"/>
      <c r="E721" s="7"/>
      <c r="F721" s="7"/>
    </row>
    <row r="722" ht="15.75" customHeight="1">
      <c r="A722" s="7"/>
      <c r="B722" s="7"/>
      <c r="C722" s="7"/>
      <c r="D722" s="7"/>
      <c r="E722" s="7"/>
      <c r="F722" s="7"/>
    </row>
    <row r="723" ht="15.75" customHeight="1">
      <c r="A723" s="7"/>
      <c r="B723" s="7"/>
      <c r="C723" s="7"/>
      <c r="D723" s="7"/>
      <c r="E723" s="7"/>
      <c r="F723" s="7"/>
    </row>
    <row r="724" ht="15.75" customHeight="1">
      <c r="A724" s="7"/>
      <c r="B724" s="7"/>
      <c r="C724" s="7"/>
      <c r="D724" s="7"/>
      <c r="E724" s="7"/>
      <c r="F724" s="7"/>
    </row>
    <row r="725" ht="15.75" customHeight="1">
      <c r="A725" s="7"/>
      <c r="B725" s="7"/>
      <c r="C725" s="7"/>
      <c r="D725" s="7"/>
      <c r="E725" s="7"/>
      <c r="F725" s="7"/>
    </row>
    <row r="726" ht="15.75" customHeight="1">
      <c r="A726" s="7"/>
      <c r="B726" s="7"/>
      <c r="C726" s="7"/>
      <c r="D726" s="7"/>
      <c r="E726" s="7"/>
      <c r="F726" s="7"/>
    </row>
    <row r="727" ht="15.75" customHeight="1">
      <c r="A727" s="7"/>
      <c r="B727" s="7"/>
      <c r="C727" s="7"/>
      <c r="D727" s="7"/>
      <c r="E727" s="7"/>
      <c r="F727" s="7"/>
    </row>
    <row r="728" ht="15.75" customHeight="1">
      <c r="A728" s="7"/>
      <c r="B728" s="7"/>
      <c r="C728" s="7"/>
      <c r="D728" s="7"/>
      <c r="E728" s="7"/>
      <c r="F728" s="7"/>
    </row>
    <row r="729" ht="15.75" customHeight="1">
      <c r="A729" s="7"/>
      <c r="B729" s="7"/>
      <c r="C729" s="7"/>
      <c r="D729" s="7"/>
      <c r="E729" s="7"/>
      <c r="F729" s="7"/>
    </row>
    <row r="730" ht="15.75" customHeight="1">
      <c r="A730" s="7"/>
      <c r="B730" s="7"/>
      <c r="C730" s="7"/>
      <c r="D730" s="7"/>
      <c r="E730" s="7"/>
      <c r="F730" s="7"/>
    </row>
    <row r="731" ht="15.75" customHeight="1">
      <c r="A731" s="7"/>
      <c r="B731" s="7"/>
      <c r="C731" s="7"/>
      <c r="D731" s="7"/>
      <c r="E731" s="7"/>
      <c r="F731" s="7"/>
    </row>
    <row r="732" ht="15.75" customHeight="1">
      <c r="A732" s="7"/>
      <c r="B732" s="7"/>
      <c r="C732" s="7"/>
      <c r="D732" s="7"/>
      <c r="E732" s="7"/>
      <c r="F732" s="7"/>
    </row>
    <row r="733" ht="15.75" customHeight="1">
      <c r="A733" s="7"/>
      <c r="B733" s="7"/>
      <c r="C733" s="7"/>
      <c r="D733" s="7"/>
      <c r="E733" s="7"/>
      <c r="F733" s="7"/>
    </row>
    <row r="734" ht="15.75" customHeight="1">
      <c r="A734" s="7"/>
      <c r="B734" s="7"/>
      <c r="C734" s="7"/>
      <c r="D734" s="7"/>
      <c r="E734" s="7"/>
      <c r="F734" s="7"/>
    </row>
    <row r="735" ht="15.75" customHeight="1">
      <c r="A735" s="7"/>
      <c r="B735" s="7"/>
      <c r="C735" s="7"/>
      <c r="D735" s="7"/>
      <c r="E735" s="7"/>
      <c r="F735" s="7"/>
    </row>
    <row r="736" ht="15.75" customHeight="1">
      <c r="A736" s="7"/>
      <c r="B736" s="7"/>
      <c r="C736" s="7"/>
      <c r="D736" s="7"/>
      <c r="E736" s="7"/>
      <c r="F736" s="7"/>
    </row>
    <row r="737" ht="15.75" customHeight="1">
      <c r="A737" s="7"/>
      <c r="B737" s="7"/>
      <c r="C737" s="7"/>
      <c r="D737" s="7"/>
      <c r="E737" s="7"/>
      <c r="F737" s="7"/>
    </row>
    <row r="738" ht="15.75" customHeight="1">
      <c r="A738" s="7"/>
      <c r="B738" s="7"/>
      <c r="C738" s="7"/>
      <c r="D738" s="7"/>
      <c r="E738" s="7"/>
      <c r="F738" s="7"/>
    </row>
    <row r="739" ht="15.75" customHeight="1">
      <c r="A739" s="7"/>
      <c r="B739" s="7"/>
      <c r="C739" s="7"/>
      <c r="D739" s="7"/>
      <c r="E739" s="7"/>
      <c r="F739" s="7"/>
    </row>
    <row r="740" ht="15.75" customHeight="1">
      <c r="A740" s="7"/>
      <c r="B740" s="7"/>
      <c r="C740" s="7"/>
      <c r="D740" s="7"/>
      <c r="E740" s="7"/>
      <c r="F740" s="7"/>
    </row>
    <row r="741" ht="15.75" customHeight="1">
      <c r="A741" s="7"/>
      <c r="B741" s="7"/>
      <c r="C741" s="7"/>
      <c r="D741" s="7"/>
      <c r="E741" s="7"/>
      <c r="F741" s="7"/>
    </row>
    <row r="742" ht="15.75" customHeight="1">
      <c r="A742" s="7"/>
      <c r="B742" s="7"/>
      <c r="C742" s="7"/>
      <c r="D742" s="7"/>
      <c r="E742" s="7"/>
      <c r="F742" s="7"/>
    </row>
    <row r="743" ht="15.75" customHeight="1">
      <c r="A743" s="7"/>
      <c r="B743" s="7"/>
      <c r="C743" s="7"/>
      <c r="D743" s="7"/>
      <c r="E743" s="7"/>
      <c r="F743" s="7"/>
    </row>
    <row r="744" ht="15.75" customHeight="1">
      <c r="A744" s="7"/>
      <c r="B744" s="7"/>
      <c r="C744" s="7"/>
      <c r="D744" s="7"/>
      <c r="E744" s="7"/>
      <c r="F744" s="7"/>
    </row>
    <row r="745" ht="15.75" customHeight="1">
      <c r="A745" s="7"/>
      <c r="B745" s="7"/>
      <c r="C745" s="7"/>
      <c r="D745" s="7"/>
      <c r="E745" s="7"/>
      <c r="F745" s="7"/>
    </row>
    <row r="746" ht="15.75" customHeight="1">
      <c r="A746" s="7"/>
      <c r="B746" s="7"/>
      <c r="C746" s="7"/>
      <c r="D746" s="7"/>
      <c r="E746" s="7"/>
      <c r="F746" s="7"/>
    </row>
    <row r="747" ht="15.75" customHeight="1">
      <c r="A747" s="7"/>
      <c r="B747" s="7"/>
      <c r="C747" s="7"/>
      <c r="D747" s="7"/>
      <c r="E747" s="7"/>
      <c r="F747" s="7"/>
    </row>
    <row r="748" ht="15.75" customHeight="1">
      <c r="A748" s="7"/>
      <c r="B748" s="7"/>
      <c r="C748" s="7"/>
      <c r="D748" s="7"/>
      <c r="E748" s="7"/>
      <c r="F748" s="7"/>
    </row>
    <row r="749" ht="15.75" customHeight="1">
      <c r="A749" s="7"/>
      <c r="B749" s="7"/>
      <c r="C749" s="7"/>
      <c r="D749" s="7"/>
      <c r="E749" s="7"/>
      <c r="F749" s="7"/>
    </row>
    <row r="750" ht="15.75" customHeight="1">
      <c r="A750" s="7"/>
      <c r="B750" s="7"/>
      <c r="C750" s="7"/>
      <c r="D750" s="7"/>
      <c r="E750" s="7"/>
      <c r="F750" s="7"/>
    </row>
    <row r="751" ht="15.75" customHeight="1">
      <c r="A751" s="7"/>
      <c r="B751" s="7"/>
      <c r="C751" s="7"/>
      <c r="D751" s="7"/>
      <c r="E751" s="7"/>
      <c r="F751" s="7"/>
    </row>
    <row r="752" ht="15.75" customHeight="1">
      <c r="A752" s="7"/>
      <c r="B752" s="7"/>
      <c r="C752" s="7"/>
      <c r="D752" s="7"/>
      <c r="E752" s="7"/>
      <c r="F752" s="7"/>
    </row>
    <row r="753" ht="15.75" customHeight="1">
      <c r="A753" s="7"/>
      <c r="B753" s="7"/>
      <c r="C753" s="7"/>
      <c r="D753" s="7"/>
      <c r="E753" s="7"/>
      <c r="F753" s="7"/>
    </row>
    <row r="754" ht="15.75" customHeight="1">
      <c r="A754" s="7"/>
      <c r="B754" s="7"/>
      <c r="C754" s="7"/>
      <c r="D754" s="7"/>
      <c r="E754" s="7"/>
      <c r="F754" s="7"/>
    </row>
    <row r="755" ht="15.75" customHeight="1">
      <c r="A755" s="7"/>
      <c r="B755" s="7"/>
      <c r="C755" s="7"/>
      <c r="D755" s="7"/>
      <c r="E755" s="7"/>
      <c r="F755" s="7"/>
    </row>
    <row r="756" ht="15.75" customHeight="1">
      <c r="A756" s="7"/>
      <c r="B756" s="7"/>
      <c r="C756" s="7"/>
      <c r="D756" s="7"/>
      <c r="E756" s="7"/>
      <c r="F756" s="7"/>
    </row>
    <row r="757" ht="15.75" customHeight="1">
      <c r="A757" s="7"/>
      <c r="B757" s="7"/>
      <c r="C757" s="7"/>
      <c r="D757" s="7"/>
      <c r="E757" s="7"/>
      <c r="F757" s="7"/>
    </row>
    <row r="758" ht="15.75" customHeight="1">
      <c r="A758" s="7"/>
      <c r="B758" s="7"/>
      <c r="C758" s="7"/>
      <c r="D758" s="7"/>
      <c r="E758" s="7"/>
      <c r="F758" s="7"/>
    </row>
    <row r="759" ht="15.75" customHeight="1">
      <c r="A759" s="7"/>
      <c r="B759" s="7"/>
      <c r="C759" s="7"/>
      <c r="D759" s="7"/>
      <c r="E759" s="7"/>
      <c r="F759" s="7"/>
    </row>
    <row r="760" ht="15.75" customHeight="1">
      <c r="A760" s="7"/>
      <c r="B760" s="7"/>
      <c r="C760" s="7"/>
      <c r="D760" s="7"/>
      <c r="E760" s="7"/>
      <c r="F760" s="7"/>
    </row>
    <row r="761" ht="15.75" customHeight="1">
      <c r="A761" s="7"/>
      <c r="B761" s="7"/>
      <c r="C761" s="7"/>
      <c r="D761" s="7"/>
      <c r="E761" s="7"/>
      <c r="F761" s="7"/>
    </row>
    <row r="762" ht="15.75" customHeight="1">
      <c r="A762" s="7"/>
      <c r="B762" s="7"/>
      <c r="C762" s="7"/>
      <c r="D762" s="7"/>
      <c r="E762" s="7"/>
      <c r="F762" s="7"/>
    </row>
    <row r="763" ht="15.75" customHeight="1">
      <c r="A763" s="7"/>
      <c r="B763" s="7"/>
      <c r="C763" s="7"/>
      <c r="D763" s="7"/>
      <c r="E763" s="7"/>
      <c r="F763" s="7"/>
    </row>
    <row r="764" ht="15.75" customHeight="1">
      <c r="A764" s="7"/>
      <c r="B764" s="7"/>
      <c r="C764" s="7"/>
      <c r="D764" s="7"/>
      <c r="E764" s="7"/>
      <c r="F764" s="7"/>
    </row>
    <row r="765" ht="15.75" customHeight="1">
      <c r="A765" s="7"/>
      <c r="B765" s="7"/>
      <c r="C765" s="7"/>
      <c r="D765" s="7"/>
      <c r="E765" s="7"/>
      <c r="F765" s="7"/>
    </row>
    <row r="766" ht="15.75" customHeight="1">
      <c r="A766" s="7"/>
      <c r="B766" s="7"/>
      <c r="C766" s="7"/>
      <c r="D766" s="7"/>
      <c r="E766" s="7"/>
      <c r="F766" s="7"/>
    </row>
    <row r="767" ht="15.75" customHeight="1">
      <c r="A767" s="7"/>
      <c r="B767" s="7"/>
      <c r="C767" s="7"/>
      <c r="D767" s="7"/>
      <c r="E767" s="7"/>
      <c r="F767" s="7"/>
    </row>
    <row r="768" ht="15.75" customHeight="1">
      <c r="A768" s="7"/>
      <c r="B768" s="7"/>
      <c r="C768" s="7"/>
      <c r="D768" s="7"/>
      <c r="E768" s="7"/>
      <c r="F768" s="7"/>
    </row>
    <row r="769" ht="15.75" customHeight="1">
      <c r="A769" s="7"/>
      <c r="B769" s="7"/>
      <c r="C769" s="7"/>
      <c r="D769" s="7"/>
      <c r="E769" s="7"/>
      <c r="F769" s="7"/>
    </row>
    <row r="770" ht="15.75" customHeight="1">
      <c r="A770" s="7"/>
      <c r="B770" s="7"/>
      <c r="C770" s="7"/>
      <c r="D770" s="7"/>
      <c r="E770" s="7"/>
      <c r="F770" s="7"/>
    </row>
    <row r="771" ht="15.75" customHeight="1">
      <c r="A771" s="7"/>
      <c r="B771" s="7"/>
      <c r="C771" s="7"/>
      <c r="D771" s="7"/>
      <c r="E771" s="7"/>
      <c r="F771" s="7"/>
    </row>
    <row r="772" ht="15.75" customHeight="1">
      <c r="A772" s="7"/>
      <c r="B772" s="7"/>
      <c r="C772" s="7"/>
      <c r="D772" s="7"/>
      <c r="E772" s="7"/>
      <c r="F772" s="7"/>
    </row>
    <row r="773" ht="15.75" customHeight="1">
      <c r="A773" s="7"/>
      <c r="B773" s="7"/>
      <c r="C773" s="7"/>
      <c r="D773" s="7"/>
      <c r="E773" s="7"/>
      <c r="F773" s="7"/>
    </row>
    <row r="774" ht="15.75" customHeight="1">
      <c r="A774" s="7"/>
      <c r="B774" s="7"/>
      <c r="C774" s="7"/>
      <c r="D774" s="7"/>
      <c r="E774" s="7"/>
      <c r="F774" s="7"/>
    </row>
    <row r="775" ht="15.75" customHeight="1">
      <c r="A775" s="7"/>
      <c r="B775" s="7"/>
      <c r="C775" s="7"/>
      <c r="D775" s="7"/>
      <c r="E775" s="7"/>
      <c r="F775" s="7"/>
    </row>
    <row r="776" ht="15.75" customHeight="1">
      <c r="A776" s="7"/>
      <c r="B776" s="7"/>
      <c r="C776" s="7"/>
      <c r="D776" s="7"/>
      <c r="E776" s="7"/>
      <c r="F776" s="7"/>
    </row>
    <row r="777" ht="15.75" customHeight="1">
      <c r="A777" s="7"/>
      <c r="B777" s="7"/>
      <c r="C777" s="7"/>
      <c r="D777" s="7"/>
      <c r="E777" s="7"/>
      <c r="F777" s="7"/>
    </row>
    <row r="778" ht="15.75" customHeight="1">
      <c r="A778" s="7"/>
      <c r="B778" s="7"/>
      <c r="C778" s="7"/>
      <c r="D778" s="7"/>
      <c r="E778" s="7"/>
      <c r="F778" s="7"/>
    </row>
    <row r="779" ht="15.75" customHeight="1">
      <c r="A779" s="7"/>
      <c r="B779" s="7"/>
      <c r="C779" s="7"/>
      <c r="D779" s="7"/>
      <c r="E779" s="7"/>
      <c r="F779" s="7"/>
    </row>
    <row r="780" ht="15.75" customHeight="1">
      <c r="A780" s="7"/>
      <c r="B780" s="7"/>
      <c r="C780" s="7"/>
      <c r="D780" s="7"/>
      <c r="E780" s="7"/>
      <c r="F780" s="7"/>
    </row>
    <row r="781" ht="15.75" customHeight="1">
      <c r="A781" s="7"/>
      <c r="B781" s="7"/>
      <c r="C781" s="7"/>
      <c r="D781" s="7"/>
      <c r="E781" s="7"/>
      <c r="F781" s="7"/>
    </row>
    <row r="782" ht="15.75" customHeight="1">
      <c r="A782" s="7"/>
      <c r="B782" s="7"/>
      <c r="C782" s="7"/>
      <c r="D782" s="7"/>
      <c r="E782" s="7"/>
      <c r="F782" s="7"/>
    </row>
    <row r="783" ht="15.75" customHeight="1">
      <c r="A783" s="7"/>
      <c r="B783" s="7"/>
      <c r="C783" s="7"/>
      <c r="D783" s="7"/>
      <c r="E783" s="7"/>
      <c r="F783" s="7"/>
    </row>
    <row r="784" ht="15.75" customHeight="1">
      <c r="A784" s="7"/>
      <c r="B784" s="7"/>
      <c r="C784" s="7"/>
      <c r="D784" s="7"/>
      <c r="E784" s="7"/>
      <c r="F784" s="7"/>
    </row>
    <row r="785" ht="15.75" customHeight="1">
      <c r="A785" s="7"/>
      <c r="B785" s="7"/>
      <c r="C785" s="7"/>
      <c r="D785" s="7"/>
      <c r="E785" s="7"/>
      <c r="F785" s="7"/>
    </row>
    <row r="786" ht="15.75" customHeight="1">
      <c r="A786" s="7"/>
      <c r="B786" s="7"/>
      <c r="C786" s="7"/>
      <c r="D786" s="7"/>
      <c r="E786" s="7"/>
      <c r="F786" s="7"/>
    </row>
    <row r="787" ht="15.75" customHeight="1">
      <c r="A787" s="7"/>
      <c r="B787" s="7"/>
      <c r="C787" s="7"/>
      <c r="D787" s="7"/>
      <c r="E787" s="7"/>
      <c r="F787" s="7"/>
    </row>
    <row r="788" ht="15.75" customHeight="1">
      <c r="A788" s="7"/>
      <c r="B788" s="7"/>
      <c r="C788" s="7"/>
      <c r="D788" s="7"/>
      <c r="E788" s="7"/>
      <c r="F788" s="7"/>
    </row>
    <row r="789" ht="15.75" customHeight="1">
      <c r="A789" s="7"/>
      <c r="B789" s="7"/>
      <c r="C789" s="7"/>
      <c r="D789" s="7"/>
      <c r="E789" s="7"/>
      <c r="F789" s="7"/>
    </row>
    <row r="790" ht="15.75" customHeight="1">
      <c r="A790" s="7"/>
      <c r="B790" s="7"/>
      <c r="C790" s="7"/>
      <c r="D790" s="7"/>
      <c r="E790" s="7"/>
      <c r="F790" s="7"/>
    </row>
    <row r="791" ht="15.75" customHeight="1">
      <c r="A791" s="7"/>
      <c r="B791" s="7"/>
      <c r="C791" s="7"/>
      <c r="D791" s="7"/>
      <c r="E791" s="7"/>
      <c r="F791" s="7"/>
    </row>
    <row r="792" ht="15.75" customHeight="1">
      <c r="A792" s="7"/>
      <c r="B792" s="7"/>
      <c r="C792" s="7"/>
      <c r="D792" s="7"/>
      <c r="E792" s="7"/>
      <c r="F792" s="7"/>
    </row>
    <row r="793" ht="15.75" customHeight="1">
      <c r="A793" s="7"/>
      <c r="B793" s="7"/>
      <c r="C793" s="7"/>
      <c r="D793" s="7"/>
      <c r="E793" s="7"/>
      <c r="F793" s="7"/>
    </row>
    <row r="794" ht="15.75" customHeight="1">
      <c r="A794" s="7"/>
      <c r="B794" s="7"/>
      <c r="C794" s="7"/>
      <c r="D794" s="7"/>
      <c r="E794" s="7"/>
      <c r="F794" s="7"/>
    </row>
    <row r="795" ht="15.75" customHeight="1">
      <c r="A795" s="7"/>
      <c r="B795" s="7"/>
      <c r="C795" s="7"/>
      <c r="D795" s="7"/>
      <c r="E795" s="7"/>
      <c r="F795" s="7"/>
    </row>
    <row r="796" ht="15.75" customHeight="1">
      <c r="A796" s="7"/>
      <c r="B796" s="7"/>
      <c r="C796" s="7"/>
      <c r="D796" s="7"/>
      <c r="E796" s="7"/>
      <c r="F796" s="7"/>
    </row>
    <row r="797" ht="15.75" customHeight="1">
      <c r="A797" s="7"/>
      <c r="B797" s="7"/>
      <c r="C797" s="7"/>
      <c r="D797" s="7"/>
      <c r="E797" s="7"/>
      <c r="F797" s="7"/>
    </row>
    <row r="798" ht="15.75" customHeight="1">
      <c r="A798" s="7"/>
      <c r="B798" s="7"/>
      <c r="C798" s="7"/>
      <c r="D798" s="7"/>
      <c r="E798" s="7"/>
      <c r="F798" s="7"/>
    </row>
    <row r="799" ht="15.75" customHeight="1">
      <c r="A799" s="7"/>
      <c r="B799" s="7"/>
      <c r="C799" s="7"/>
      <c r="D799" s="7"/>
      <c r="E799" s="7"/>
      <c r="F799" s="7"/>
    </row>
    <row r="800" ht="15.75" customHeight="1">
      <c r="A800" s="7"/>
      <c r="B800" s="7"/>
      <c r="C800" s="7"/>
      <c r="D800" s="7"/>
      <c r="E800" s="7"/>
      <c r="F800" s="7"/>
    </row>
    <row r="801" ht="15.75" customHeight="1">
      <c r="A801" s="7"/>
      <c r="B801" s="7"/>
      <c r="C801" s="7"/>
      <c r="D801" s="7"/>
      <c r="E801" s="7"/>
      <c r="F801" s="7"/>
    </row>
    <row r="802" ht="15.75" customHeight="1">
      <c r="A802" s="7"/>
      <c r="B802" s="7"/>
      <c r="C802" s="7"/>
      <c r="D802" s="7"/>
      <c r="E802" s="7"/>
      <c r="F802" s="7"/>
    </row>
    <row r="803" ht="15.75" customHeight="1">
      <c r="A803" s="7"/>
      <c r="B803" s="7"/>
      <c r="C803" s="7"/>
      <c r="D803" s="7"/>
      <c r="E803" s="7"/>
      <c r="F803" s="7"/>
    </row>
    <row r="804" ht="15.75" customHeight="1">
      <c r="A804" s="7"/>
      <c r="B804" s="7"/>
      <c r="C804" s="7"/>
      <c r="D804" s="7"/>
      <c r="E804" s="7"/>
      <c r="F804" s="7"/>
    </row>
    <row r="805" ht="15.75" customHeight="1">
      <c r="A805" s="7"/>
      <c r="B805" s="7"/>
      <c r="C805" s="7"/>
      <c r="D805" s="7"/>
      <c r="E805" s="7"/>
      <c r="F805" s="7"/>
    </row>
    <row r="806" ht="15.75" customHeight="1">
      <c r="A806" s="7"/>
      <c r="B806" s="7"/>
      <c r="C806" s="7"/>
      <c r="D806" s="7"/>
      <c r="E806" s="7"/>
      <c r="F806" s="7"/>
    </row>
    <row r="807" ht="15.75" customHeight="1">
      <c r="A807" s="7"/>
      <c r="B807" s="7"/>
      <c r="C807" s="7"/>
      <c r="D807" s="7"/>
      <c r="E807" s="7"/>
      <c r="F807" s="7"/>
    </row>
    <row r="808" ht="15.75" customHeight="1">
      <c r="A808" s="7"/>
      <c r="B808" s="7"/>
      <c r="C808" s="7"/>
      <c r="D808" s="7"/>
      <c r="E808" s="7"/>
      <c r="F808" s="7"/>
    </row>
    <row r="809" ht="15.75" customHeight="1">
      <c r="A809" s="7"/>
      <c r="B809" s="7"/>
      <c r="C809" s="7"/>
      <c r="D809" s="7"/>
      <c r="E809" s="7"/>
      <c r="F809" s="7"/>
    </row>
    <row r="810" ht="15.75" customHeight="1">
      <c r="A810" s="7"/>
      <c r="B810" s="7"/>
      <c r="C810" s="7"/>
      <c r="D810" s="7"/>
      <c r="E810" s="7"/>
      <c r="F810" s="7"/>
    </row>
    <row r="811" ht="15.75" customHeight="1">
      <c r="A811" s="7"/>
      <c r="B811" s="7"/>
      <c r="C811" s="7"/>
      <c r="D811" s="7"/>
      <c r="E811" s="7"/>
      <c r="F811" s="7"/>
    </row>
    <row r="812" ht="15.75" customHeight="1">
      <c r="A812" s="7"/>
      <c r="B812" s="7"/>
      <c r="C812" s="7"/>
      <c r="D812" s="7"/>
      <c r="E812" s="7"/>
      <c r="F812" s="7"/>
    </row>
    <row r="813" ht="15.75" customHeight="1">
      <c r="A813" s="7"/>
      <c r="B813" s="7"/>
      <c r="C813" s="7"/>
      <c r="D813" s="7"/>
      <c r="E813" s="7"/>
      <c r="F813" s="7"/>
    </row>
    <row r="814" ht="15.75" customHeight="1">
      <c r="A814" s="7"/>
      <c r="B814" s="7"/>
      <c r="C814" s="7"/>
      <c r="D814" s="7"/>
      <c r="E814" s="7"/>
      <c r="F814" s="7"/>
    </row>
    <row r="815" ht="15.75" customHeight="1">
      <c r="A815" s="7"/>
      <c r="B815" s="7"/>
      <c r="C815" s="7"/>
      <c r="D815" s="7"/>
      <c r="E815" s="7"/>
      <c r="F815" s="7"/>
    </row>
    <row r="816" ht="15.75" customHeight="1">
      <c r="A816" s="7"/>
      <c r="B816" s="7"/>
      <c r="C816" s="7"/>
      <c r="D816" s="7"/>
      <c r="E816" s="7"/>
      <c r="F816" s="7"/>
    </row>
    <row r="817" ht="15.75" customHeight="1">
      <c r="A817" s="7"/>
      <c r="B817" s="7"/>
      <c r="C817" s="7"/>
      <c r="D817" s="7"/>
      <c r="E817" s="7"/>
      <c r="F817" s="7"/>
    </row>
    <row r="818" ht="15.75" customHeight="1">
      <c r="A818" s="7"/>
      <c r="B818" s="7"/>
      <c r="C818" s="7"/>
      <c r="D818" s="7"/>
      <c r="E818" s="7"/>
      <c r="F818" s="7"/>
    </row>
    <row r="819" ht="15.75" customHeight="1">
      <c r="A819" s="7"/>
      <c r="B819" s="7"/>
      <c r="C819" s="7"/>
      <c r="D819" s="7"/>
      <c r="E819" s="7"/>
      <c r="F819" s="7"/>
    </row>
    <row r="820" ht="15.75" customHeight="1">
      <c r="A820" s="7"/>
      <c r="B820" s="7"/>
      <c r="C820" s="7"/>
      <c r="D820" s="7"/>
      <c r="E820" s="7"/>
      <c r="F820" s="7"/>
    </row>
    <row r="821" ht="15.75" customHeight="1">
      <c r="A821" s="7"/>
      <c r="B821" s="7"/>
      <c r="C821" s="7"/>
      <c r="D821" s="7"/>
      <c r="E821" s="7"/>
      <c r="F821" s="7"/>
    </row>
    <row r="822" ht="15.75" customHeight="1">
      <c r="A822" s="7"/>
      <c r="B822" s="7"/>
      <c r="C822" s="7"/>
      <c r="D822" s="7"/>
      <c r="E822" s="7"/>
      <c r="F822" s="7"/>
    </row>
    <row r="823" ht="15.75" customHeight="1">
      <c r="A823" s="7"/>
      <c r="B823" s="7"/>
      <c r="C823" s="7"/>
      <c r="D823" s="7"/>
      <c r="E823" s="7"/>
      <c r="F823" s="7"/>
    </row>
    <row r="824" ht="15.75" customHeight="1">
      <c r="A824" s="7"/>
      <c r="B824" s="7"/>
      <c r="C824" s="7"/>
      <c r="D824" s="7"/>
      <c r="E824" s="7"/>
      <c r="F824" s="7"/>
    </row>
    <row r="825" ht="15.75" customHeight="1">
      <c r="A825" s="7"/>
      <c r="B825" s="7"/>
      <c r="C825" s="7"/>
      <c r="D825" s="7"/>
      <c r="E825" s="7"/>
      <c r="F825" s="7"/>
    </row>
    <row r="826" ht="15.75" customHeight="1">
      <c r="A826" s="7"/>
      <c r="B826" s="7"/>
      <c r="C826" s="7"/>
      <c r="D826" s="7"/>
      <c r="E826" s="7"/>
      <c r="F826" s="7"/>
    </row>
    <row r="827" ht="15.75" customHeight="1">
      <c r="A827" s="7"/>
      <c r="B827" s="7"/>
      <c r="C827" s="7"/>
      <c r="D827" s="7"/>
      <c r="E827" s="7"/>
      <c r="F827" s="7"/>
    </row>
    <row r="828" ht="15.75" customHeight="1">
      <c r="A828" s="7"/>
      <c r="B828" s="7"/>
      <c r="C828" s="7"/>
      <c r="D828" s="7"/>
      <c r="E828" s="7"/>
      <c r="F828" s="7"/>
    </row>
    <row r="829" ht="15.75" customHeight="1">
      <c r="A829" s="7"/>
      <c r="B829" s="7"/>
      <c r="C829" s="7"/>
      <c r="D829" s="7"/>
      <c r="E829" s="7"/>
      <c r="F829" s="7"/>
    </row>
    <row r="830" ht="15.75" customHeight="1">
      <c r="A830" s="7"/>
      <c r="B830" s="7"/>
      <c r="C830" s="7"/>
      <c r="D830" s="7"/>
      <c r="E830" s="7"/>
      <c r="F830" s="7"/>
    </row>
    <row r="831" ht="15.75" customHeight="1">
      <c r="A831" s="7"/>
      <c r="B831" s="7"/>
      <c r="C831" s="7"/>
      <c r="D831" s="7"/>
      <c r="E831" s="7"/>
      <c r="F831" s="7"/>
    </row>
    <row r="832" ht="15.75" customHeight="1">
      <c r="A832" s="7"/>
      <c r="B832" s="7"/>
      <c r="C832" s="7"/>
      <c r="D832" s="7"/>
      <c r="E832" s="7"/>
      <c r="F832" s="7"/>
    </row>
    <row r="833" ht="15.75" customHeight="1">
      <c r="A833" s="7"/>
      <c r="B833" s="7"/>
      <c r="C833" s="7"/>
      <c r="D833" s="7"/>
      <c r="E833" s="7"/>
      <c r="F833" s="7"/>
    </row>
    <row r="834" ht="15.75" customHeight="1">
      <c r="A834" s="7"/>
      <c r="B834" s="7"/>
      <c r="C834" s="7"/>
      <c r="D834" s="7"/>
      <c r="E834" s="7"/>
      <c r="F834" s="7"/>
    </row>
    <row r="835" ht="15.75" customHeight="1">
      <c r="A835" s="7"/>
      <c r="B835" s="7"/>
      <c r="C835" s="7"/>
      <c r="D835" s="7"/>
      <c r="E835" s="7"/>
      <c r="F835" s="7"/>
    </row>
    <row r="836" ht="15.75" customHeight="1">
      <c r="A836" s="7"/>
      <c r="B836" s="7"/>
      <c r="C836" s="7"/>
      <c r="D836" s="7"/>
      <c r="E836" s="7"/>
      <c r="F836" s="7"/>
    </row>
    <row r="837" ht="15.75" customHeight="1">
      <c r="A837" s="7"/>
      <c r="B837" s="7"/>
      <c r="C837" s="7"/>
      <c r="D837" s="7"/>
      <c r="E837" s="7"/>
      <c r="F837" s="7"/>
    </row>
    <row r="838" ht="15.75" customHeight="1">
      <c r="A838" s="7"/>
      <c r="B838" s="7"/>
      <c r="C838" s="7"/>
      <c r="D838" s="7"/>
      <c r="E838" s="7"/>
      <c r="F838" s="7"/>
    </row>
    <row r="839" ht="15.75" customHeight="1">
      <c r="A839" s="7"/>
      <c r="B839" s="7"/>
      <c r="C839" s="7"/>
      <c r="D839" s="7"/>
      <c r="E839" s="7"/>
      <c r="F839" s="7"/>
    </row>
    <row r="840" ht="15.75" customHeight="1">
      <c r="A840" s="7"/>
      <c r="B840" s="7"/>
      <c r="C840" s="7"/>
      <c r="D840" s="7"/>
      <c r="E840" s="7"/>
      <c r="F840" s="7"/>
    </row>
    <row r="841" ht="15.75" customHeight="1">
      <c r="A841" s="7"/>
      <c r="B841" s="7"/>
      <c r="C841" s="7"/>
      <c r="D841" s="7"/>
      <c r="E841" s="7"/>
      <c r="F841" s="7"/>
    </row>
    <row r="842" ht="15.75" customHeight="1">
      <c r="A842" s="7"/>
      <c r="B842" s="7"/>
      <c r="C842" s="7"/>
      <c r="D842" s="7"/>
      <c r="E842" s="7"/>
      <c r="F842" s="7"/>
    </row>
    <row r="843" ht="15.75" customHeight="1">
      <c r="A843" s="7"/>
      <c r="B843" s="7"/>
      <c r="C843" s="7"/>
      <c r="D843" s="7"/>
      <c r="E843" s="7"/>
      <c r="F843" s="7"/>
    </row>
    <row r="844" ht="15.75" customHeight="1">
      <c r="A844" s="7"/>
      <c r="B844" s="7"/>
      <c r="C844" s="7"/>
      <c r="D844" s="7"/>
      <c r="E844" s="7"/>
      <c r="F844" s="7"/>
    </row>
    <row r="845" ht="15.75" customHeight="1">
      <c r="A845" s="7"/>
      <c r="B845" s="7"/>
      <c r="C845" s="7"/>
      <c r="D845" s="7"/>
      <c r="E845" s="7"/>
      <c r="F845" s="7"/>
    </row>
    <row r="846" ht="15.75" customHeight="1">
      <c r="A846" s="7"/>
      <c r="B846" s="7"/>
      <c r="C846" s="7"/>
      <c r="D846" s="7"/>
      <c r="E846" s="7"/>
      <c r="F846" s="7"/>
    </row>
    <row r="847" ht="15.75" customHeight="1">
      <c r="A847" s="7"/>
      <c r="B847" s="7"/>
      <c r="C847" s="7"/>
      <c r="D847" s="7"/>
      <c r="E847" s="7"/>
      <c r="F847" s="7"/>
    </row>
    <row r="848" ht="15.75" customHeight="1">
      <c r="A848" s="7"/>
      <c r="B848" s="7"/>
      <c r="C848" s="7"/>
      <c r="D848" s="7"/>
      <c r="E848" s="7"/>
      <c r="F848" s="7"/>
    </row>
    <row r="849" ht="15.75" customHeight="1">
      <c r="A849" s="7"/>
      <c r="B849" s="7"/>
      <c r="C849" s="7"/>
      <c r="D849" s="7"/>
      <c r="E849" s="7"/>
      <c r="F849" s="7"/>
    </row>
    <row r="850" ht="15.75" customHeight="1">
      <c r="A850" s="7"/>
      <c r="B850" s="7"/>
      <c r="C850" s="7"/>
      <c r="D850" s="7"/>
      <c r="E850" s="7"/>
      <c r="F850" s="7"/>
    </row>
    <row r="851" ht="15.75" customHeight="1">
      <c r="A851" s="7"/>
      <c r="B851" s="7"/>
      <c r="C851" s="7"/>
      <c r="D851" s="7"/>
      <c r="E851" s="7"/>
      <c r="F851" s="7"/>
    </row>
    <row r="852" ht="15.75" customHeight="1">
      <c r="A852" s="7"/>
      <c r="B852" s="7"/>
      <c r="C852" s="7"/>
      <c r="D852" s="7"/>
      <c r="E852" s="7"/>
      <c r="F852" s="7"/>
    </row>
    <row r="853" ht="15.75" customHeight="1">
      <c r="A853" s="7"/>
      <c r="B853" s="7"/>
      <c r="C853" s="7"/>
      <c r="D853" s="7"/>
      <c r="E853" s="7"/>
      <c r="F853" s="7"/>
    </row>
    <row r="854" ht="15.75" customHeight="1">
      <c r="A854" s="7"/>
      <c r="B854" s="7"/>
      <c r="C854" s="7"/>
      <c r="D854" s="7"/>
      <c r="E854" s="7"/>
      <c r="F854" s="7"/>
    </row>
    <row r="855" ht="15.75" customHeight="1">
      <c r="A855" s="7"/>
      <c r="B855" s="7"/>
      <c r="C855" s="7"/>
      <c r="D855" s="7"/>
      <c r="E855" s="7"/>
      <c r="F855" s="7"/>
    </row>
    <row r="856" ht="15.75" customHeight="1">
      <c r="A856" s="7"/>
      <c r="B856" s="7"/>
      <c r="C856" s="7"/>
      <c r="D856" s="7"/>
      <c r="E856" s="7"/>
      <c r="F856" s="7"/>
    </row>
    <row r="857" ht="15.75" customHeight="1">
      <c r="A857" s="7"/>
      <c r="B857" s="7"/>
      <c r="C857" s="7"/>
      <c r="D857" s="7"/>
      <c r="E857" s="7"/>
      <c r="F857" s="7"/>
    </row>
    <row r="858" ht="15.75" customHeight="1">
      <c r="A858" s="7"/>
      <c r="B858" s="7"/>
      <c r="C858" s="7"/>
      <c r="D858" s="7"/>
      <c r="E858" s="7"/>
      <c r="F858" s="7"/>
    </row>
    <row r="859" ht="15.75" customHeight="1">
      <c r="A859" s="7"/>
      <c r="B859" s="7"/>
      <c r="C859" s="7"/>
      <c r="D859" s="7"/>
      <c r="E859" s="7"/>
      <c r="F859" s="7"/>
    </row>
    <row r="860" ht="15.75" customHeight="1">
      <c r="A860" s="7"/>
      <c r="B860" s="7"/>
      <c r="C860" s="7"/>
      <c r="D860" s="7"/>
      <c r="E860" s="7"/>
      <c r="F860" s="7"/>
    </row>
    <row r="861" ht="15.75" customHeight="1">
      <c r="A861" s="7"/>
      <c r="B861" s="7"/>
      <c r="C861" s="7"/>
      <c r="D861" s="7"/>
      <c r="E861" s="7"/>
      <c r="F861" s="7"/>
    </row>
    <row r="862" ht="15.75" customHeight="1">
      <c r="A862" s="7"/>
      <c r="B862" s="7"/>
      <c r="C862" s="7"/>
      <c r="D862" s="7"/>
      <c r="E862" s="7"/>
      <c r="F862" s="7"/>
    </row>
    <row r="863" ht="15.75" customHeight="1">
      <c r="A863" s="7"/>
      <c r="B863" s="7"/>
      <c r="C863" s="7"/>
      <c r="D863" s="7"/>
      <c r="E863" s="7"/>
      <c r="F863" s="7"/>
    </row>
    <row r="864" ht="15.75" customHeight="1">
      <c r="A864" s="7"/>
      <c r="B864" s="7"/>
      <c r="C864" s="7"/>
      <c r="D864" s="7"/>
      <c r="E864" s="7"/>
      <c r="F864" s="7"/>
    </row>
    <row r="865" ht="15.75" customHeight="1">
      <c r="A865" s="7"/>
      <c r="B865" s="7"/>
      <c r="C865" s="7"/>
      <c r="D865" s="7"/>
      <c r="E865" s="7"/>
      <c r="F865" s="7"/>
    </row>
    <row r="866" ht="15.75" customHeight="1">
      <c r="A866" s="7"/>
      <c r="B866" s="7"/>
      <c r="C866" s="7"/>
      <c r="D866" s="7"/>
      <c r="E866" s="7"/>
      <c r="F866" s="7"/>
    </row>
    <row r="867" ht="15.75" customHeight="1">
      <c r="A867" s="7"/>
      <c r="B867" s="7"/>
      <c r="C867" s="7"/>
      <c r="D867" s="7"/>
      <c r="E867" s="7"/>
      <c r="F867" s="7"/>
    </row>
    <row r="868" ht="15.75" customHeight="1">
      <c r="A868" s="7"/>
      <c r="B868" s="7"/>
      <c r="C868" s="7"/>
      <c r="D868" s="7"/>
      <c r="E868" s="7"/>
      <c r="F868" s="7"/>
    </row>
    <row r="869" ht="15.75" customHeight="1">
      <c r="A869" s="7"/>
      <c r="B869" s="7"/>
      <c r="C869" s="7"/>
      <c r="D869" s="7"/>
      <c r="E869" s="7"/>
      <c r="F869" s="7"/>
    </row>
    <row r="870" ht="15.75" customHeight="1">
      <c r="A870" s="7"/>
      <c r="B870" s="7"/>
      <c r="C870" s="7"/>
      <c r="D870" s="7"/>
      <c r="E870" s="7"/>
      <c r="F870" s="7"/>
    </row>
    <row r="871" ht="15.75" customHeight="1">
      <c r="A871" s="7"/>
      <c r="B871" s="7"/>
      <c r="C871" s="7"/>
      <c r="D871" s="7"/>
      <c r="E871" s="7"/>
      <c r="F871" s="7"/>
    </row>
    <row r="872" ht="15.75" customHeight="1">
      <c r="A872" s="7"/>
      <c r="B872" s="7"/>
      <c r="C872" s="7"/>
      <c r="D872" s="7"/>
      <c r="E872" s="7"/>
      <c r="F872" s="7"/>
    </row>
    <row r="873" ht="15.75" customHeight="1">
      <c r="A873" s="7"/>
      <c r="B873" s="7"/>
      <c r="C873" s="7"/>
      <c r="D873" s="7"/>
      <c r="E873" s="7"/>
      <c r="F873" s="7"/>
    </row>
    <row r="874" ht="15.75" customHeight="1">
      <c r="A874" s="7"/>
      <c r="B874" s="7"/>
      <c r="C874" s="7"/>
      <c r="D874" s="7"/>
      <c r="E874" s="7"/>
      <c r="F874" s="7"/>
    </row>
    <row r="875" ht="15.75" customHeight="1">
      <c r="A875" s="7"/>
      <c r="B875" s="7"/>
      <c r="C875" s="7"/>
      <c r="D875" s="7"/>
      <c r="E875" s="7"/>
      <c r="F875" s="7"/>
    </row>
    <row r="876" ht="15.75" customHeight="1">
      <c r="A876" s="7"/>
      <c r="B876" s="7"/>
      <c r="C876" s="7"/>
      <c r="D876" s="7"/>
      <c r="E876" s="7"/>
      <c r="F876" s="7"/>
    </row>
    <row r="877" ht="15.75" customHeight="1">
      <c r="A877" s="7"/>
      <c r="B877" s="7"/>
      <c r="C877" s="7"/>
      <c r="D877" s="7"/>
      <c r="E877" s="7"/>
      <c r="F877" s="7"/>
    </row>
    <row r="878" ht="15.75" customHeight="1">
      <c r="A878" s="7"/>
      <c r="B878" s="7"/>
      <c r="C878" s="7"/>
      <c r="D878" s="7"/>
      <c r="E878" s="7"/>
      <c r="F878" s="7"/>
    </row>
    <row r="879" ht="15.75" customHeight="1">
      <c r="A879" s="7"/>
      <c r="B879" s="7"/>
      <c r="C879" s="7"/>
      <c r="D879" s="7"/>
      <c r="E879" s="7"/>
      <c r="F879" s="7"/>
    </row>
    <row r="880" ht="15.75" customHeight="1">
      <c r="A880" s="7"/>
      <c r="B880" s="7"/>
      <c r="C880" s="7"/>
      <c r="D880" s="7"/>
      <c r="E880" s="7"/>
      <c r="F880" s="7"/>
    </row>
    <row r="881" ht="15.75" customHeight="1">
      <c r="A881" s="7"/>
      <c r="B881" s="7"/>
      <c r="C881" s="7"/>
      <c r="D881" s="7"/>
      <c r="E881" s="7"/>
      <c r="F881" s="7"/>
    </row>
    <row r="882" ht="15.75" customHeight="1">
      <c r="A882" s="7"/>
      <c r="B882" s="7"/>
      <c r="C882" s="7"/>
      <c r="D882" s="7"/>
      <c r="E882" s="7"/>
      <c r="F882" s="7"/>
    </row>
    <row r="883" ht="15.75" customHeight="1">
      <c r="A883" s="7"/>
      <c r="B883" s="7"/>
      <c r="C883" s="7"/>
      <c r="D883" s="7"/>
      <c r="E883" s="7"/>
      <c r="F883" s="7"/>
    </row>
    <row r="884" ht="15.75" customHeight="1">
      <c r="A884" s="7"/>
      <c r="B884" s="7"/>
      <c r="C884" s="7"/>
      <c r="D884" s="7"/>
      <c r="E884" s="7"/>
      <c r="F884" s="7"/>
    </row>
    <row r="885" ht="15.75" customHeight="1">
      <c r="A885" s="7"/>
      <c r="B885" s="7"/>
      <c r="C885" s="7"/>
      <c r="D885" s="7"/>
      <c r="E885" s="7"/>
      <c r="F885" s="7"/>
    </row>
    <row r="886" ht="15.75" customHeight="1">
      <c r="A886" s="7"/>
      <c r="B886" s="7"/>
      <c r="C886" s="7"/>
      <c r="D886" s="7"/>
      <c r="E886" s="7"/>
      <c r="F886" s="7"/>
    </row>
    <row r="887" ht="15.75" customHeight="1">
      <c r="A887" s="7"/>
      <c r="B887" s="7"/>
      <c r="C887" s="7"/>
      <c r="D887" s="7"/>
      <c r="E887" s="7"/>
      <c r="F887" s="7"/>
    </row>
    <row r="888" ht="15.75" customHeight="1">
      <c r="A888" s="7"/>
      <c r="B888" s="7"/>
      <c r="C888" s="7"/>
      <c r="D888" s="7"/>
      <c r="E888" s="7"/>
      <c r="F888" s="7"/>
    </row>
    <row r="889" ht="15.75" customHeight="1">
      <c r="A889" s="7"/>
      <c r="B889" s="7"/>
      <c r="C889" s="7"/>
      <c r="D889" s="7"/>
      <c r="E889" s="7"/>
      <c r="F889" s="7"/>
    </row>
    <row r="890" ht="15.75" customHeight="1">
      <c r="A890" s="7"/>
      <c r="B890" s="7"/>
      <c r="C890" s="7"/>
      <c r="D890" s="7"/>
      <c r="E890" s="7"/>
      <c r="F890" s="7"/>
    </row>
    <row r="891" ht="15.75" customHeight="1">
      <c r="A891" s="7"/>
      <c r="B891" s="7"/>
      <c r="C891" s="7"/>
      <c r="D891" s="7"/>
      <c r="E891" s="7"/>
      <c r="F891" s="7"/>
    </row>
    <row r="892" ht="15.75" customHeight="1">
      <c r="A892" s="7"/>
      <c r="B892" s="7"/>
      <c r="C892" s="7"/>
      <c r="D892" s="7"/>
      <c r="E892" s="7"/>
      <c r="F892" s="7"/>
    </row>
    <row r="893" ht="15.75" customHeight="1">
      <c r="A893" s="7"/>
      <c r="B893" s="7"/>
      <c r="C893" s="7"/>
      <c r="D893" s="7"/>
      <c r="E893" s="7"/>
      <c r="F893" s="7"/>
    </row>
    <row r="894" ht="15.75" customHeight="1">
      <c r="A894" s="7"/>
      <c r="B894" s="7"/>
      <c r="C894" s="7"/>
      <c r="D894" s="7"/>
      <c r="E894" s="7"/>
      <c r="F894" s="7"/>
    </row>
    <row r="895" ht="15.75" customHeight="1">
      <c r="A895" s="7"/>
      <c r="B895" s="7"/>
      <c r="C895" s="7"/>
      <c r="D895" s="7"/>
      <c r="E895" s="7"/>
      <c r="F895" s="7"/>
    </row>
    <row r="896" ht="15.75" customHeight="1">
      <c r="A896" s="7"/>
      <c r="B896" s="7"/>
      <c r="C896" s="7"/>
      <c r="D896" s="7"/>
      <c r="E896" s="7"/>
      <c r="F896" s="7"/>
    </row>
    <row r="897" ht="15.75" customHeight="1">
      <c r="A897" s="7"/>
      <c r="B897" s="7"/>
      <c r="C897" s="7"/>
      <c r="D897" s="7"/>
      <c r="E897" s="7"/>
      <c r="F897" s="7"/>
    </row>
    <row r="898" ht="15.75" customHeight="1">
      <c r="A898" s="7"/>
      <c r="B898" s="7"/>
      <c r="C898" s="7"/>
      <c r="D898" s="7"/>
      <c r="E898" s="7"/>
      <c r="F898" s="7"/>
    </row>
    <row r="899" ht="15.75" customHeight="1">
      <c r="A899" s="7"/>
      <c r="B899" s="7"/>
      <c r="C899" s="7"/>
      <c r="D899" s="7"/>
      <c r="E899" s="7"/>
      <c r="F899" s="7"/>
    </row>
    <row r="900" ht="15.75" customHeight="1">
      <c r="A900" s="7"/>
      <c r="B900" s="7"/>
      <c r="C900" s="7"/>
      <c r="D900" s="7"/>
      <c r="E900" s="7"/>
      <c r="F900" s="7"/>
    </row>
    <row r="901" ht="15.75" customHeight="1">
      <c r="A901" s="7"/>
      <c r="B901" s="7"/>
      <c r="C901" s="7"/>
      <c r="D901" s="7"/>
      <c r="E901" s="7"/>
      <c r="F901" s="7"/>
    </row>
    <row r="902" ht="15.75" customHeight="1">
      <c r="A902" s="7"/>
      <c r="B902" s="7"/>
      <c r="C902" s="7"/>
      <c r="D902" s="7"/>
      <c r="E902" s="7"/>
      <c r="F902" s="7"/>
    </row>
    <row r="903" ht="15.75" customHeight="1">
      <c r="A903" s="7"/>
      <c r="B903" s="7"/>
      <c r="C903" s="7"/>
      <c r="D903" s="7"/>
      <c r="E903" s="7"/>
      <c r="F903" s="7"/>
    </row>
    <row r="904" ht="15.75" customHeight="1">
      <c r="A904" s="7"/>
      <c r="B904" s="7"/>
      <c r="C904" s="7"/>
      <c r="D904" s="7"/>
      <c r="E904" s="7"/>
      <c r="F904" s="7"/>
    </row>
    <row r="905" ht="15.75" customHeight="1">
      <c r="A905" s="7"/>
      <c r="B905" s="7"/>
      <c r="C905" s="7"/>
      <c r="D905" s="7"/>
      <c r="E905" s="7"/>
      <c r="F905" s="7"/>
    </row>
    <row r="906" ht="15.75" customHeight="1">
      <c r="A906" s="7"/>
      <c r="B906" s="7"/>
      <c r="C906" s="7"/>
      <c r="D906" s="7"/>
      <c r="E906" s="7"/>
      <c r="F906" s="7"/>
    </row>
    <row r="907" ht="15.75" customHeight="1">
      <c r="A907" s="7"/>
      <c r="B907" s="7"/>
      <c r="C907" s="7"/>
      <c r="D907" s="7"/>
      <c r="E907" s="7"/>
      <c r="F907" s="7"/>
    </row>
    <row r="908" ht="15.75" customHeight="1">
      <c r="A908" s="7"/>
      <c r="B908" s="7"/>
      <c r="C908" s="7"/>
      <c r="D908" s="7"/>
      <c r="E908" s="7"/>
      <c r="F908" s="7"/>
    </row>
    <row r="909" ht="15.75" customHeight="1">
      <c r="A909" s="7"/>
      <c r="B909" s="7"/>
      <c r="C909" s="7"/>
      <c r="D909" s="7"/>
      <c r="E909" s="7"/>
      <c r="F909" s="7"/>
    </row>
    <row r="910" ht="15.75" customHeight="1">
      <c r="A910" s="7"/>
      <c r="B910" s="7"/>
      <c r="C910" s="7"/>
      <c r="D910" s="7"/>
      <c r="E910" s="7"/>
      <c r="F910" s="7"/>
    </row>
    <row r="911" ht="15.75" customHeight="1">
      <c r="A911" s="7"/>
      <c r="B911" s="7"/>
      <c r="C911" s="7"/>
      <c r="D911" s="7"/>
      <c r="E911" s="7"/>
      <c r="F911" s="7"/>
    </row>
    <row r="912" ht="15.75" customHeight="1">
      <c r="A912" s="7"/>
      <c r="B912" s="7"/>
      <c r="C912" s="7"/>
      <c r="D912" s="7"/>
      <c r="E912" s="7"/>
      <c r="F912" s="7"/>
    </row>
    <row r="913" ht="15.75" customHeight="1">
      <c r="A913" s="7"/>
      <c r="B913" s="7"/>
      <c r="C913" s="7"/>
      <c r="D913" s="7"/>
      <c r="E913" s="7"/>
      <c r="F913" s="7"/>
    </row>
    <row r="914" ht="15.75" customHeight="1">
      <c r="A914" s="7"/>
      <c r="B914" s="7"/>
      <c r="C914" s="7"/>
      <c r="D914" s="7"/>
      <c r="E914" s="7"/>
      <c r="F914" s="7"/>
    </row>
    <row r="915" ht="15.75" customHeight="1">
      <c r="A915" s="7"/>
      <c r="B915" s="7"/>
      <c r="C915" s="7"/>
      <c r="D915" s="7"/>
      <c r="E915" s="7"/>
      <c r="F915" s="7"/>
    </row>
    <row r="916" ht="15.75" customHeight="1">
      <c r="A916" s="7"/>
      <c r="B916" s="7"/>
      <c r="C916" s="7"/>
      <c r="D916" s="7"/>
      <c r="E916" s="7"/>
      <c r="F916" s="7"/>
    </row>
    <row r="917" ht="15.75" customHeight="1">
      <c r="A917" s="7"/>
      <c r="B917" s="7"/>
      <c r="C917" s="7"/>
      <c r="D917" s="7"/>
      <c r="E917" s="7"/>
      <c r="F917" s="7"/>
    </row>
    <row r="918" ht="15.75" customHeight="1">
      <c r="A918" s="7"/>
      <c r="B918" s="7"/>
      <c r="C918" s="7"/>
      <c r="D918" s="7"/>
      <c r="E918" s="7"/>
      <c r="F918" s="7"/>
    </row>
    <row r="919" ht="15.75" customHeight="1">
      <c r="A919" s="7"/>
      <c r="B919" s="7"/>
      <c r="C919" s="7"/>
      <c r="D919" s="7"/>
      <c r="E919" s="7"/>
      <c r="F919" s="7"/>
    </row>
    <row r="920" ht="15.75" customHeight="1">
      <c r="A920" s="7"/>
      <c r="B920" s="7"/>
      <c r="C920" s="7"/>
      <c r="D920" s="7"/>
      <c r="E920" s="7"/>
      <c r="F920" s="7"/>
    </row>
    <row r="921" ht="15.75" customHeight="1">
      <c r="A921" s="7"/>
      <c r="B921" s="7"/>
      <c r="C921" s="7"/>
      <c r="D921" s="7"/>
      <c r="E921" s="7"/>
      <c r="F921" s="7"/>
    </row>
    <row r="922" ht="15.75" customHeight="1">
      <c r="A922" s="7"/>
      <c r="B922" s="7"/>
      <c r="C922" s="7"/>
      <c r="D922" s="7"/>
      <c r="E922" s="7"/>
      <c r="F922" s="7"/>
    </row>
    <row r="923" ht="15.75" customHeight="1">
      <c r="A923" s="7"/>
      <c r="B923" s="7"/>
      <c r="C923" s="7"/>
      <c r="D923" s="7"/>
      <c r="E923" s="7"/>
      <c r="F923" s="7"/>
    </row>
    <row r="924" ht="15.75" customHeight="1">
      <c r="A924" s="7"/>
      <c r="B924" s="7"/>
      <c r="C924" s="7"/>
      <c r="D924" s="7"/>
      <c r="E924" s="7"/>
      <c r="F924" s="7"/>
    </row>
    <row r="925" ht="15.75" customHeight="1">
      <c r="A925" s="7"/>
      <c r="B925" s="7"/>
      <c r="C925" s="7"/>
      <c r="D925" s="7"/>
      <c r="E925" s="7"/>
      <c r="F925" s="7"/>
    </row>
    <row r="926" ht="15.75" customHeight="1">
      <c r="A926" s="7"/>
      <c r="B926" s="7"/>
      <c r="C926" s="7"/>
      <c r="D926" s="7"/>
      <c r="E926" s="7"/>
      <c r="F926" s="7"/>
    </row>
    <row r="927" ht="15.75" customHeight="1">
      <c r="A927" s="7"/>
      <c r="B927" s="7"/>
      <c r="C927" s="7"/>
      <c r="D927" s="7"/>
      <c r="E927" s="7"/>
      <c r="F927" s="7"/>
    </row>
    <row r="928" ht="15.75" customHeight="1">
      <c r="A928" s="7"/>
      <c r="B928" s="7"/>
      <c r="C928" s="7"/>
      <c r="D928" s="7"/>
      <c r="E928" s="7"/>
      <c r="F928" s="7"/>
    </row>
    <row r="929" ht="15.75" customHeight="1">
      <c r="A929" s="7"/>
      <c r="B929" s="7"/>
      <c r="C929" s="7"/>
      <c r="D929" s="7"/>
      <c r="E929" s="7"/>
      <c r="F929" s="7"/>
    </row>
    <row r="930" ht="15.75" customHeight="1">
      <c r="A930" s="7"/>
      <c r="B930" s="7"/>
      <c r="C930" s="7"/>
      <c r="D930" s="7"/>
      <c r="E930" s="7"/>
      <c r="F930" s="7"/>
    </row>
    <row r="931" ht="15.75" customHeight="1">
      <c r="A931" s="7"/>
      <c r="B931" s="7"/>
      <c r="C931" s="7"/>
      <c r="D931" s="7"/>
      <c r="E931" s="7"/>
      <c r="F931" s="7"/>
    </row>
    <row r="932" ht="15.75" customHeight="1">
      <c r="A932" s="7"/>
      <c r="B932" s="7"/>
      <c r="C932" s="7"/>
      <c r="D932" s="7"/>
      <c r="E932" s="7"/>
      <c r="F932" s="7"/>
    </row>
    <row r="933" ht="15.75" customHeight="1">
      <c r="A933" s="7"/>
      <c r="B933" s="7"/>
      <c r="C933" s="7"/>
      <c r="D933" s="7"/>
      <c r="E933" s="7"/>
      <c r="F933" s="7"/>
    </row>
    <row r="934" ht="15.75" customHeight="1">
      <c r="A934" s="7"/>
      <c r="B934" s="7"/>
      <c r="C934" s="7"/>
      <c r="D934" s="7"/>
      <c r="E934" s="7"/>
      <c r="F934" s="7"/>
    </row>
    <row r="935" ht="15.75" customHeight="1">
      <c r="A935" s="7"/>
      <c r="B935" s="7"/>
      <c r="C935" s="7"/>
      <c r="D935" s="7"/>
      <c r="E935" s="7"/>
      <c r="F935" s="7"/>
    </row>
    <row r="936" ht="15.75" customHeight="1">
      <c r="A936" s="7"/>
      <c r="B936" s="7"/>
      <c r="C936" s="7"/>
      <c r="D936" s="7"/>
      <c r="E936" s="7"/>
      <c r="F936" s="7"/>
    </row>
    <row r="937" ht="15.75" customHeight="1">
      <c r="A937" s="7"/>
      <c r="B937" s="7"/>
      <c r="C937" s="7"/>
      <c r="D937" s="7"/>
      <c r="E937" s="7"/>
      <c r="F937" s="7"/>
    </row>
    <row r="938" ht="15.75" customHeight="1">
      <c r="A938" s="7"/>
      <c r="B938" s="7"/>
      <c r="C938" s="7"/>
      <c r="D938" s="7"/>
      <c r="E938" s="7"/>
      <c r="F938" s="7"/>
    </row>
    <row r="939" ht="15.75" customHeight="1">
      <c r="A939" s="7"/>
      <c r="B939" s="7"/>
      <c r="C939" s="7"/>
      <c r="D939" s="7"/>
      <c r="E939" s="7"/>
      <c r="F939" s="7"/>
    </row>
    <row r="940" ht="15.75" customHeight="1">
      <c r="A940" s="7"/>
      <c r="B940" s="7"/>
      <c r="C940" s="7"/>
      <c r="D940" s="7"/>
      <c r="E940" s="7"/>
      <c r="F940" s="7"/>
    </row>
    <row r="941" ht="15.75" customHeight="1">
      <c r="A941" s="7"/>
      <c r="B941" s="7"/>
      <c r="C941" s="7"/>
      <c r="D941" s="7"/>
      <c r="E941" s="7"/>
      <c r="F941" s="7"/>
    </row>
    <row r="942" ht="15.75" customHeight="1">
      <c r="A942" s="7"/>
      <c r="B942" s="7"/>
      <c r="C942" s="7"/>
      <c r="D942" s="7"/>
      <c r="E942" s="7"/>
      <c r="F942" s="7"/>
    </row>
    <row r="943" ht="15.75" customHeight="1">
      <c r="A943" s="7"/>
      <c r="B943" s="7"/>
      <c r="C943" s="7"/>
      <c r="D943" s="7"/>
      <c r="E943" s="7"/>
      <c r="F943" s="7"/>
    </row>
    <row r="944" ht="15.75" customHeight="1">
      <c r="A944" s="7"/>
      <c r="B944" s="7"/>
      <c r="C944" s="7"/>
      <c r="D944" s="7"/>
      <c r="E944" s="7"/>
      <c r="F944" s="7"/>
    </row>
    <row r="945" ht="15.75" customHeight="1">
      <c r="A945" s="7"/>
      <c r="B945" s="7"/>
      <c r="C945" s="7"/>
      <c r="D945" s="7"/>
      <c r="E945" s="7"/>
      <c r="F945" s="7"/>
    </row>
    <row r="946" ht="15.75" customHeight="1">
      <c r="A946" s="7"/>
      <c r="B946" s="7"/>
      <c r="C946" s="7"/>
      <c r="D946" s="7"/>
      <c r="E946" s="7"/>
      <c r="F946" s="7"/>
    </row>
    <row r="947" ht="15.75" customHeight="1">
      <c r="A947" s="7"/>
      <c r="B947" s="7"/>
      <c r="C947" s="7"/>
      <c r="D947" s="7"/>
      <c r="E947" s="7"/>
      <c r="F947" s="7"/>
    </row>
    <row r="948" ht="15.75" customHeight="1">
      <c r="A948" s="7"/>
      <c r="B948" s="7"/>
      <c r="C948" s="7"/>
      <c r="D948" s="7"/>
      <c r="E948" s="7"/>
      <c r="F948" s="7"/>
    </row>
    <row r="949" ht="15.75" customHeight="1">
      <c r="A949" s="7"/>
      <c r="B949" s="7"/>
      <c r="C949" s="7"/>
      <c r="D949" s="7"/>
      <c r="E949" s="7"/>
      <c r="F949" s="7"/>
    </row>
    <row r="950" ht="15.75" customHeight="1">
      <c r="A950" s="7"/>
      <c r="B950" s="7"/>
      <c r="C950" s="7"/>
      <c r="D950" s="7"/>
      <c r="E950" s="7"/>
      <c r="F950" s="7"/>
    </row>
    <row r="951" ht="15.75" customHeight="1">
      <c r="A951" s="7"/>
      <c r="B951" s="7"/>
      <c r="C951" s="7"/>
      <c r="D951" s="7"/>
      <c r="E951" s="7"/>
      <c r="F951" s="7"/>
    </row>
    <row r="952" ht="15.75" customHeight="1">
      <c r="A952" s="7"/>
      <c r="B952" s="7"/>
      <c r="C952" s="7"/>
      <c r="D952" s="7"/>
      <c r="E952" s="7"/>
      <c r="F952" s="7"/>
    </row>
    <row r="953" ht="15.75" customHeight="1">
      <c r="A953" s="7"/>
      <c r="B953" s="7"/>
      <c r="C953" s="7"/>
      <c r="D953" s="7"/>
      <c r="E953" s="7"/>
      <c r="F953" s="7"/>
    </row>
    <row r="954" ht="15.75" customHeight="1">
      <c r="A954" s="7"/>
      <c r="B954" s="7"/>
      <c r="C954" s="7"/>
      <c r="D954" s="7"/>
      <c r="E954" s="7"/>
      <c r="F954" s="7"/>
    </row>
    <row r="955" ht="15.75" customHeight="1">
      <c r="A955" s="7"/>
      <c r="B955" s="7"/>
      <c r="C955" s="7"/>
      <c r="D955" s="7"/>
      <c r="E955" s="7"/>
      <c r="F955" s="7"/>
    </row>
    <row r="956" ht="15.75" customHeight="1">
      <c r="A956" s="7"/>
      <c r="B956" s="7"/>
      <c r="C956" s="7"/>
      <c r="D956" s="7"/>
      <c r="E956" s="7"/>
      <c r="F956" s="7"/>
    </row>
    <row r="957" ht="15.75" customHeight="1">
      <c r="A957" s="7"/>
      <c r="B957" s="7"/>
      <c r="C957" s="7"/>
      <c r="D957" s="7"/>
      <c r="E957" s="7"/>
      <c r="F957" s="7"/>
    </row>
    <row r="958" ht="15.75" customHeight="1">
      <c r="A958" s="7"/>
      <c r="B958" s="7"/>
      <c r="C958" s="7"/>
      <c r="D958" s="7"/>
      <c r="E958" s="7"/>
      <c r="F958" s="7"/>
    </row>
    <row r="959" ht="15.75" customHeight="1">
      <c r="A959" s="7"/>
      <c r="B959" s="7"/>
      <c r="C959" s="7"/>
      <c r="D959" s="7"/>
      <c r="E959" s="7"/>
      <c r="F959" s="7"/>
    </row>
    <row r="960" ht="15.75" customHeight="1">
      <c r="A960" s="7"/>
      <c r="B960" s="7"/>
      <c r="C960" s="7"/>
      <c r="D960" s="7"/>
      <c r="E960" s="7"/>
      <c r="F960" s="7"/>
    </row>
    <row r="961" ht="15.75" customHeight="1">
      <c r="A961" s="7"/>
      <c r="B961" s="7"/>
      <c r="C961" s="7"/>
      <c r="D961" s="7"/>
      <c r="E961" s="7"/>
      <c r="F961" s="7"/>
    </row>
    <row r="962" ht="15.75" customHeight="1">
      <c r="A962" s="7"/>
      <c r="B962" s="7"/>
      <c r="C962" s="7"/>
      <c r="D962" s="7"/>
      <c r="E962" s="7"/>
      <c r="F962" s="7"/>
    </row>
    <row r="963" ht="15.75" customHeight="1">
      <c r="A963" s="7"/>
      <c r="B963" s="7"/>
      <c r="C963" s="7"/>
      <c r="D963" s="7"/>
      <c r="E963" s="7"/>
      <c r="F963" s="7"/>
    </row>
    <row r="964" ht="15.75" customHeight="1">
      <c r="A964" s="7"/>
      <c r="B964" s="7"/>
      <c r="C964" s="7"/>
      <c r="D964" s="7"/>
      <c r="E964" s="7"/>
      <c r="F964" s="7"/>
    </row>
    <row r="965" ht="15.75" customHeight="1">
      <c r="A965" s="7"/>
      <c r="B965" s="7"/>
      <c r="C965" s="7"/>
      <c r="D965" s="7"/>
      <c r="E965" s="7"/>
      <c r="F965" s="7"/>
    </row>
    <row r="966" ht="15.75" customHeight="1">
      <c r="A966" s="7"/>
      <c r="B966" s="7"/>
      <c r="C966" s="7"/>
      <c r="D966" s="7"/>
      <c r="E966" s="7"/>
      <c r="F966" s="7"/>
    </row>
    <row r="967" ht="15.75" customHeight="1">
      <c r="A967" s="7"/>
      <c r="B967" s="7"/>
      <c r="C967" s="7"/>
      <c r="D967" s="7"/>
      <c r="E967" s="7"/>
      <c r="F967" s="7"/>
    </row>
    <row r="968" ht="15.75" customHeight="1">
      <c r="A968" s="7"/>
      <c r="B968" s="7"/>
      <c r="C968" s="7"/>
      <c r="D968" s="7"/>
      <c r="E968" s="7"/>
      <c r="F968" s="7"/>
    </row>
    <row r="969" ht="15.75" customHeight="1">
      <c r="A969" s="7"/>
      <c r="B969" s="7"/>
      <c r="C969" s="7"/>
      <c r="D969" s="7"/>
      <c r="E969" s="7"/>
      <c r="F969" s="7"/>
    </row>
    <row r="970" ht="15.75" customHeight="1">
      <c r="A970" s="7"/>
      <c r="B970" s="7"/>
      <c r="C970" s="7"/>
      <c r="D970" s="7"/>
      <c r="E970" s="7"/>
      <c r="F970" s="7"/>
    </row>
    <row r="971" ht="15.75" customHeight="1">
      <c r="A971" s="7"/>
      <c r="B971" s="7"/>
      <c r="C971" s="7"/>
      <c r="D971" s="7"/>
      <c r="E971" s="7"/>
      <c r="F971" s="7"/>
    </row>
    <row r="972" ht="15.75" customHeight="1">
      <c r="A972" s="7"/>
      <c r="B972" s="7"/>
      <c r="C972" s="7"/>
      <c r="D972" s="7"/>
      <c r="E972" s="7"/>
      <c r="F972" s="7"/>
    </row>
    <row r="973" ht="15.75" customHeight="1">
      <c r="A973" s="7"/>
      <c r="B973" s="7"/>
      <c r="C973" s="7"/>
      <c r="D973" s="7"/>
      <c r="E973" s="7"/>
      <c r="F973" s="7"/>
    </row>
    <row r="974" ht="15.75" customHeight="1">
      <c r="A974" s="7"/>
      <c r="B974" s="7"/>
      <c r="C974" s="7"/>
      <c r="D974" s="7"/>
      <c r="E974" s="7"/>
      <c r="F974" s="7"/>
    </row>
    <row r="975" ht="15.75" customHeight="1">
      <c r="A975" s="7"/>
      <c r="B975" s="7"/>
      <c r="C975" s="7"/>
      <c r="D975" s="7"/>
      <c r="E975" s="7"/>
      <c r="F975" s="7"/>
    </row>
    <row r="976" ht="15.75" customHeight="1">
      <c r="A976" s="7"/>
      <c r="B976" s="7"/>
      <c r="C976" s="7"/>
      <c r="D976" s="7"/>
      <c r="E976" s="7"/>
      <c r="F976" s="7"/>
    </row>
    <row r="977" ht="15.75" customHeight="1">
      <c r="A977" s="7"/>
      <c r="B977" s="7"/>
      <c r="C977" s="7"/>
      <c r="D977" s="7"/>
      <c r="E977" s="7"/>
      <c r="F977" s="7"/>
    </row>
    <row r="978" ht="15.75" customHeight="1">
      <c r="A978" s="7"/>
      <c r="B978" s="7"/>
      <c r="C978" s="7"/>
      <c r="D978" s="7"/>
      <c r="E978" s="7"/>
      <c r="F978" s="7"/>
    </row>
    <row r="979" ht="15.75" customHeight="1">
      <c r="A979" s="7"/>
      <c r="B979" s="7"/>
      <c r="C979" s="7"/>
      <c r="D979" s="7"/>
      <c r="E979" s="7"/>
      <c r="F979" s="7"/>
    </row>
    <row r="980" ht="15.75" customHeight="1">
      <c r="A980" s="7"/>
      <c r="B980" s="7"/>
      <c r="C980" s="7"/>
      <c r="D980" s="7"/>
      <c r="E980" s="7"/>
      <c r="F980" s="7"/>
    </row>
    <row r="981" ht="15.75" customHeight="1">
      <c r="A981" s="7"/>
      <c r="B981" s="7"/>
      <c r="C981" s="7"/>
      <c r="D981" s="7"/>
      <c r="E981" s="7"/>
      <c r="F981" s="7"/>
    </row>
    <row r="982" ht="15.75" customHeight="1">
      <c r="A982" s="7"/>
      <c r="B982" s="7"/>
      <c r="C982" s="7"/>
      <c r="D982" s="7"/>
      <c r="E982" s="7"/>
      <c r="F982" s="7"/>
    </row>
    <row r="983" ht="15.75" customHeight="1">
      <c r="A983" s="7"/>
      <c r="B983" s="7"/>
      <c r="C983" s="7"/>
      <c r="D983" s="7"/>
      <c r="E983" s="7"/>
      <c r="F983" s="7"/>
    </row>
    <row r="984" ht="15.75" customHeight="1">
      <c r="A984" s="7"/>
      <c r="B984" s="7"/>
      <c r="C984" s="7"/>
      <c r="D984" s="7"/>
      <c r="E984" s="7"/>
      <c r="F984" s="7"/>
    </row>
    <row r="985" ht="15.75" customHeight="1">
      <c r="A985" s="7"/>
      <c r="B985" s="7"/>
      <c r="C985" s="7"/>
      <c r="D985" s="7"/>
      <c r="E985" s="7"/>
      <c r="F985" s="7"/>
    </row>
    <row r="986" ht="15.75" customHeight="1">
      <c r="A986" s="7"/>
      <c r="B986" s="7"/>
      <c r="C986" s="7"/>
      <c r="D986" s="7"/>
      <c r="E986" s="7"/>
      <c r="F986" s="7"/>
    </row>
    <row r="987" ht="15.75" customHeight="1">
      <c r="A987" s="7"/>
      <c r="B987" s="7"/>
      <c r="C987" s="7"/>
      <c r="D987" s="7"/>
      <c r="E987" s="7"/>
      <c r="F987" s="7"/>
    </row>
    <row r="988" ht="15.75" customHeight="1">
      <c r="A988" s="7"/>
      <c r="B988" s="7"/>
      <c r="C988" s="7"/>
      <c r="D988" s="7"/>
      <c r="E988" s="7"/>
      <c r="F988" s="7"/>
    </row>
    <row r="989" ht="15.75" customHeight="1">
      <c r="A989" s="7"/>
      <c r="B989" s="7"/>
      <c r="C989" s="7"/>
      <c r="D989" s="7"/>
      <c r="E989" s="7"/>
      <c r="F989" s="7"/>
    </row>
    <row r="990" ht="15.75" customHeight="1">
      <c r="A990" s="7"/>
      <c r="B990" s="7"/>
      <c r="C990" s="7"/>
      <c r="D990" s="7"/>
      <c r="E990" s="7"/>
      <c r="F990" s="7"/>
    </row>
    <row r="991" ht="15.75" customHeight="1">
      <c r="A991" s="7"/>
      <c r="B991" s="7"/>
      <c r="C991" s="7"/>
      <c r="D991" s="7"/>
      <c r="E991" s="7"/>
      <c r="F991" s="7"/>
    </row>
    <row r="992" ht="15.75" customHeight="1">
      <c r="A992" s="7"/>
      <c r="B992" s="7"/>
      <c r="C992" s="7"/>
      <c r="D992" s="7"/>
      <c r="E992" s="7"/>
      <c r="F992" s="7"/>
    </row>
    <row r="993" ht="15.75" customHeight="1">
      <c r="A993" s="7"/>
      <c r="B993" s="7"/>
      <c r="C993" s="7"/>
      <c r="D993" s="7"/>
      <c r="E993" s="7"/>
      <c r="F993" s="7"/>
    </row>
    <row r="994" ht="15.75" customHeight="1">
      <c r="A994" s="7"/>
      <c r="B994" s="7"/>
      <c r="C994" s="7"/>
      <c r="D994" s="7"/>
      <c r="E994" s="7"/>
      <c r="F994" s="7"/>
    </row>
    <row r="995" ht="15.75" customHeight="1">
      <c r="A995" s="7"/>
      <c r="B995" s="7"/>
      <c r="C995" s="7"/>
      <c r="D995" s="7"/>
      <c r="E995" s="7"/>
      <c r="F995" s="7"/>
    </row>
    <row r="996" ht="15.75" customHeight="1">
      <c r="A996" s="7"/>
      <c r="B996" s="7"/>
      <c r="C996" s="7"/>
      <c r="D996" s="7"/>
      <c r="E996" s="7"/>
      <c r="F996" s="7"/>
    </row>
    <row r="997" ht="15.75" customHeight="1">
      <c r="A997" s="7"/>
      <c r="B997" s="7"/>
      <c r="C997" s="7"/>
      <c r="D997" s="7"/>
      <c r="E997" s="7"/>
      <c r="F997" s="7"/>
    </row>
    <row r="998" ht="15.75" customHeight="1">
      <c r="A998" s="7"/>
      <c r="B998" s="7"/>
      <c r="C998" s="7"/>
      <c r="D998" s="7"/>
      <c r="E998" s="7"/>
      <c r="F998" s="7"/>
    </row>
    <row r="999" ht="15.75" customHeight="1">
      <c r="A999" s="7"/>
      <c r="B999" s="7"/>
      <c r="C999" s="7"/>
      <c r="D999" s="7"/>
      <c r="E999" s="7"/>
      <c r="F999" s="7"/>
    </row>
    <row r="1000" ht="15.75" customHeight="1">
      <c r="A1000" s="7"/>
      <c r="B1000" s="7"/>
      <c r="C1000" s="7"/>
      <c r="D1000" s="7"/>
      <c r="E1000" s="7"/>
      <c r="F1000" s="7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