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ster" sheetId="1" state="visible" r:id="rId1"/>
    <sheet name="Events" sheetId="2" state="visible" r:id="rId2"/>
    <sheet name="Attendance" sheetId="3" state="visible" r:id="rId3"/>
    <sheet name="Transactions" sheetId="4" state="visible" r:id="rId4"/>
    <sheet name="Player Balances" sheetId="5" state="visible" r:id="rId5"/>
    <sheet name="Pending Approval" sheetId="6" state="visible" r:id="rId6"/>
    <sheet name="Dashboard" sheetId="7" state="visible" r:id="rId7"/>
    <sheet name="Key &amp; Instructions" sheetId="8" state="visible" r:id="rId8"/>
    <sheet name="Access Codes" sheetId="9" state="visible" r:id="rId9"/>
  </sheets>
  <definedNames/>
  <calcPr calcId="124519" fullCalcOnLoad="1"/>
</workbook>
</file>

<file path=xl/styles.xml><?xml version="1.0" encoding="utf-8"?>
<styleSheet xmlns="http://schemas.openxmlformats.org/spreadsheetml/2006/main">
  <numFmts count="2">
    <numFmt numFmtId="164" formatCode="$#,##0.00;($#,##0.00);&quot;-&quot;"/>
    <numFmt numFmtId="165" formatCode="MM/DD/YYYY"/>
  </numFmts>
  <fonts count="23">
    <font>
      <name val="Calibri"/>
      <family val="2"/>
      <color theme="1"/>
      <sz val="11"/>
      <scheme val="minor"/>
    </font>
    <font>
      <name val="Arial"/>
      <b val="1"/>
      <color rgb="00FFFFFF"/>
      <sz val="14"/>
    </font>
    <font>
      <name val="Arial"/>
      <b val="1"/>
      <color rgb="001A3A5C"/>
      <sz val="10"/>
    </font>
    <font>
      <name val="Arial"/>
      <color rgb="00000000"/>
      <sz val="10"/>
    </font>
    <font>
      <name val="Arial"/>
      <b val="1"/>
      <color rgb="00FFFFFF"/>
      <sz val="10"/>
    </font>
    <font>
      <name val="Arial"/>
      <color rgb="000000FF"/>
      <sz val="10"/>
    </font>
    <font>
      <name val="Arial"/>
      <color rgb="00888888"/>
      <sz val="10"/>
    </font>
    <font>
      <name val="Arial"/>
      <b val="1"/>
      <color rgb="00B8860B"/>
      <sz val="10"/>
    </font>
    <font>
      <name val="Arial"/>
      <color rgb="00666666"/>
      <sz val="9"/>
    </font>
    <font>
      <name val="Arial"/>
      <color rgb="00008000"/>
      <sz val="10"/>
    </font>
    <font>
      <name val="Arial"/>
      <color rgb="00CC0000"/>
      <sz val="10"/>
    </font>
    <font>
      <name val="Arial"/>
      <b val="1"/>
      <color rgb="00000000"/>
      <sz val="10"/>
    </font>
    <font>
      <name val="Arial"/>
      <b val="1"/>
      <color rgb="00FFFFFF"/>
      <sz val="12"/>
    </font>
    <font>
      <name val="Arial"/>
      <b val="1"/>
      <color rgb="00008000"/>
      <sz val="10"/>
    </font>
    <font>
      <name val="Arial"/>
      <sz val="10"/>
    </font>
    <font>
      <name val="Arial"/>
      <b val="1"/>
      <color rgb="000000FF"/>
      <sz val="10"/>
    </font>
    <font>
      <name val="Arial"/>
      <color rgb="00444444"/>
      <sz val="10"/>
    </font>
    <font>
      <name val="Arial"/>
      <b val="1"/>
      <color rgb="00888888"/>
      <sz val="9"/>
    </font>
    <font>
      <name val="Arial"/>
      <i val="1"/>
      <color rgb="00AAAAAA"/>
      <sz val="10"/>
    </font>
    <font>
      <name val="Arial"/>
      <b val="1"/>
      <color rgb="00FFFFFF"/>
      <sz val="13"/>
    </font>
    <font>
      <name val="Arial"/>
      <b val="1"/>
      <color rgb="007B0000"/>
      <sz val="11"/>
    </font>
    <font>
      <name val="Arial"/>
      <i val="1"/>
      <color rgb="00555555"/>
      <sz val="10"/>
    </font>
    <font>
      <name val="Arial"/>
      <i val="1"/>
      <color rgb="00555555"/>
      <sz val="9"/>
    </font>
  </fonts>
  <fills count="14">
    <fill>
      <patternFill/>
    </fill>
    <fill>
      <patternFill patternType="gray125"/>
    </fill>
    <fill>
      <patternFill patternType="solid">
        <fgColor rgb="001A3A5C"/>
      </patternFill>
    </fill>
    <fill>
      <patternFill patternType="solid">
        <fgColor rgb="00D6E4F0"/>
      </patternFill>
    </fill>
    <fill>
      <patternFill patternType="solid">
        <fgColor rgb="00F5F5F5"/>
      </patternFill>
    </fill>
    <fill>
      <patternFill patternType="solid">
        <fgColor rgb="00FFF8DC"/>
      </patternFill>
    </fill>
    <fill>
      <patternFill patternType="solid">
        <fgColor rgb="00EEEEEE"/>
      </patternFill>
    </fill>
    <fill>
      <patternFill patternType="solid">
        <fgColor rgb="00F0F0F0"/>
      </patternFill>
    </fill>
    <fill>
      <patternFill patternType="solid">
        <fgColor rgb="007B0000"/>
      </patternFill>
    </fill>
    <fill>
      <patternFill patternType="solid">
        <fgColor rgb="00FFE4E4"/>
      </patternFill>
    </fill>
    <fill>
      <patternFill patternType="solid">
        <fgColor rgb="00FFF8F8"/>
      </patternFill>
    </fill>
    <fill>
      <patternFill patternType="solid">
        <fgColor rgb="00FFE4B5"/>
      </patternFill>
    </fill>
    <fill>
      <patternFill patternType="solid">
        <fgColor rgb="00F9F9F9"/>
      </patternFill>
    </fill>
    <fill>
      <patternFill patternType="solid">
        <fgColor rgb="00FFFFFF"/>
      </patternFill>
    </fill>
  </fills>
  <borders count="1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
      <left style="thin"/>
      <right style="thin"/>
      <top style="thin"/>
      <bottom style="thin"/>
    </border>
    <border/>
    <border>
      <left style="thin"/>
      <right style="thin">
        <color rgb="00CCCCCC"/>
      </right>
      <top style="thin"/>
      <bottom style="thin">
        <color rgb="00CCCCCC"/>
      </bottom>
    </border>
    <border>
      <left/>
      <right/>
      <top style="thin"/>
      <bottom/>
      <diagonal/>
    </border>
    <border>
      <left/>
      <right style="thin">
        <color rgb="00CCCCCC"/>
      </right>
      <top style="thin"/>
      <bottom/>
      <diagonal/>
    </border>
    <border>
      <left/>
      <right/>
      <top style="thin"/>
      <bottom style="thin">
        <color rgb="00CCCCCC"/>
      </bottom>
      <diagonal/>
    </border>
    <border>
      <left/>
      <right style="thin">
        <color rgb="00CCCCCC"/>
      </right>
      <top style="thin"/>
      <bottom style="thin">
        <color rgb="00CCCCCC"/>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11">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1" fontId="3" fillId="0" borderId="1" applyAlignment="1" pivotButton="0" quotePrefix="0" xfId="0">
      <alignment horizontal="right" vertical="center"/>
    </xf>
    <xf numFmtId="164" fontId="3" fillId="0" borderId="1" applyAlignment="1" pivotButton="0" quotePrefix="0" xfId="0">
      <alignment horizontal="right" vertical="center"/>
    </xf>
    <xf numFmtId="0" fontId="4" fillId="2"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center" vertical="center"/>
    </xf>
    <xf numFmtId="165" fontId="5" fillId="0" borderId="1" applyAlignment="1" pivotButton="0" quotePrefix="0" xfId="0">
      <alignment horizontal="left" vertical="center"/>
    </xf>
    <xf numFmtId="164" fontId="5" fillId="0" borderId="1" applyAlignment="1" pivotButton="0" quotePrefix="0" xfId="0">
      <alignment horizontal="left" vertical="center"/>
    </xf>
    <xf numFmtId="0" fontId="3" fillId="4" borderId="1" pivotButton="0" quotePrefix="0" xfId="0"/>
    <xf numFmtId="0" fontId="5" fillId="4" borderId="1" pivotButton="0" quotePrefix="0" xfId="0"/>
    <xf numFmtId="165" fontId="3" fillId="4" borderId="1" pivotButton="0" quotePrefix="0" xfId="0"/>
    <xf numFmtId="164" fontId="5" fillId="4" borderId="1" pivotButton="0" quotePrefix="0" xfId="0"/>
    <xf numFmtId="0" fontId="3" fillId="0" borderId="1" pivotButton="0" quotePrefix="0" xfId="0"/>
    <xf numFmtId="0" fontId="5" fillId="0" borderId="1" pivotButton="0" quotePrefix="0" xfId="0"/>
    <xf numFmtId="165" fontId="3" fillId="0" borderId="1" pivotButton="0" quotePrefix="0" xfId="0"/>
    <xf numFmtId="164" fontId="5" fillId="0" borderId="1" pivotButton="0" quotePrefix="0" xfId="0"/>
    <xf numFmtId="165" fontId="3" fillId="0" borderId="1" applyAlignment="1" pivotButton="0" quotePrefix="0" xfId="0">
      <alignment horizontal="left" vertical="center"/>
    </xf>
    <xf numFmtId="1" fontId="5" fillId="0" borderId="1" applyAlignment="1" pivotButton="0" quotePrefix="0" xfId="0">
      <alignment horizontal="center" vertical="center"/>
    </xf>
    <xf numFmtId="1" fontId="5" fillId="4" borderId="1" pivotButton="0" quotePrefix="0" xfId="0"/>
    <xf numFmtId="1" fontId="5" fillId="0" borderId="1" pivotButton="0" quotePrefix="0" xfId="0"/>
    <xf numFmtId="0" fontId="2" fillId="3" borderId="1" applyAlignment="1" pivotButton="0" quotePrefix="0" xfId="0">
      <alignment horizontal="left" vertical="center"/>
    </xf>
    <xf numFmtId="0" fontId="6" fillId="3" borderId="1" applyAlignment="1" pivotButton="0" quotePrefix="0" xfId="0">
      <alignment horizontal="center" vertical="center"/>
    </xf>
    <xf numFmtId="0" fontId="7" fillId="5" borderId="1" applyAlignment="1" pivotButton="0" quotePrefix="0" xfId="0">
      <alignment horizontal="left" vertical="center"/>
    </xf>
    <xf numFmtId="0" fontId="3" fillId="5" borderId="1" applyAlignment="1" pivotButton="0" quotePrefix="0" xfId="0">
      <alignment horizontal="left" vertical="center"/>
    </xf>
    <xf numFmtId="165" fontId="5" fillId="5" borderId="1" applyAlignment="1" pivotButton="0" quotePrefix="0" xfId="0">
      <alignment horizontal="left" vertical="center"/>
    </xf>
    <xf numFmtId="0" fontId="5" fillId="5" borderId="1" applyAlignment="1" pivotButton="0" quotePrefix="0" xfId="0">
      <alignment horizontal="left" vertical="center"/>
    </xf>
    <xf numFmtId="164" fontId="5" fillId="5" borderId="1" applyAlignment="1" pivotButton="0" quotePrefix="0" xfId="0">
      <alignment horizontal="left" vertical="center"/>
    </xf>
    <xf numFmtId="0" fontId="3" fillId="3" borderId="1" applyAlignment="1" pivotButton="0" quotePrefix="0" xfId="0">
      <alignment horizontal="left" vertical="center"/>
    </xf>
    <xf numFmtId="1" fontId="3" fillId="3" borderId="1" applyAlignment="1" pivotButton="0" quotePrefix="0" xfId="0">
      <alignment horizontal="right" vertical="center"/>
    </xf>
    <xf numFmtId="164" fontId="3" fillId="3" borderId="1" applyAlignment="1" pivotButton="0" quotePrefix="0" xfId="0">
      <alignment horizontal="right" vertical="center"/>
    </xf>
    <xf numFmtId="0" fontId="5" fillId="4" borderId="1" applyAlignment="1" pivotButton="0" quotePrefix="0" xfId="0">
      <alignment horizontal="center" vertical="center"/>
    </xf>
    <xf numFmtId="0" fontId="3" fillId="4" borderId="1" applyAlignment="1" pivotButton="0" quotePrefix="0" xfId="0">
      <alignment horizontal="left" vertical="center"/>
    </xf>
    <xf numFmtId="0" fontId="8" fillId="0" borderId="1" applyAlignment="1" pivotButton="0" quotePrefix="0" xfId="0">
      <alignment horizontal="left" vertical="center"/>
    </xf>
    <xf numFmtId="164" fontId="9" fillId="0" borderId="1" applyAlignment="1" pivotButton="0" quotePrefix="0" xfId="0">
      <alignment horizontal="right" vertical="center"/>
    </xf>
    <xf numFmtId="164" fontId="10" fillId="0" borderId="1" applyAlignment="1" pivotButton="0" quotePrefix="0" xfId="0">
      <alignment horizontal="right" vertical="center"/>
    </xf>
    <xf numFmtId="164" fontId="11" fillId="0" borderId="1" applyAlignment="1" pivotButton="0" quotePrefix="0" xfId="0">
      <alignment horizontal="right" vertical="center"/>
    </xf>
    <xf numFmtId="0" fontId="3" fillId="0" borderId="1" applyAlignment="1" pivotButton="0" quotePrefix="0" xfId="0">
      <alignment horizontal="center" vertical="center"/>
    </xf>
    <xf numFmtId="164" fontId="11" fillId="4" borderId="1" pivotButton="0" quotePrefix="0" xfId="0"/>
    <xf numFmtId="164" fontId="11" fillId="0" borderId="1" pivotButton="0" quotePrefix="0" xfId="0"/>
    <xf numFmtId="0" fontId="12" fillId="2" borderId="1" applyAlignment="1" pivotButton="0" quotePrefix="0" xfId="0">
      <alignment horizontal="center" vertical="center"/>
    </xf>
    <xf numFmtId="0" fontId="2" fillId="3" borderId="1" applyAlignment="1" pivotButton="0" quotePrefix="0" xfId="0">
      <alignment horizontal="left" vertical="center"/>
    </xf>
    <xf numFmtId="1" fontId="13" fillId="0" borderId="1" applyAlignment="1" pivotButton="0" quotePrefix="0" xfId="0">
      <alignment horizontal="right" vertical="center"/>
    </xf>
    <xf numFmtId="164" fontId="13" fillId="0" borderId="1" applyAlignment="1" pivotButton="0" quotePrefix="0" xfId="0">
      <alignment horizontal="right" vertical="center"/>
    </xf>
    <xf numFmtId="0" fontId="2" fillId="3" borderId="1" pivotButton="0" quotePrefix="0" xfId="0"/>
    <xf numFmtId="0" fontId="14" fillId="3" borderId="1" applyAlignment="1" pivotButton="0" quotePrefix="0" xfId="0">
      <alignment horizontal="left" vertical="center" wrapText="1"/>
    </xf>
    <xf numFmtId="0" fontId="15" fillId="0" borderId="1" pivotButton="0" quotePrefix="0" xfId="0"/>
    <xf numFmtId="0" fontId="14" fillId="0" borderId="1" applyAlignment="1" pivotButton="0" quotePrefix="0" xfId="0">
      <alignment horizontal="left" vertical="center" wrapText="1"/>
    </xf>
    <xf numFmtId="0" fontId="11" fillId="0" borderId="1" pivotButton="0" quotePrefix="0" xfId="0"/>
    <xf numFmtId="0" fontId="13" fillId="0" borderId="1" pivotButton="0" quotePrefix="0" xfId="0"/>
    <xf numFmtId="0" fontId="0" fillId="0" borderId="1" pivotButton="0" quotePrefix="0" xfId="0"/>
    <xf numFmtId="0" fontId="16" fillId="0" borderId="1" pivotButton="0" quotePrefix="0" xfId="0"/>
    <xf numFmtId="0" fontId="0" fillId="0" borderId="4" pivotButton="0" quotePrefix="0" xfId="0"/>
    <xf numFmtId="0" fontId="0" fillId="0" borderId="5" pivotButton="0" quotePrefix="0" xfId="0"/>
    <xf numFmtId="0" fontId="17" fillId="6" borderId="1" applyAlignment="1" pivotButton="0" quotePrefix="0" xfId="0">
      <alignment horizontal="center" vertical="center" wrapText="1"/>
    </xf>
    <xf numFmtId="0" fontId="18" fillId="7" borderId="1" applyAlignment="1" pivotButton="0" quotePrefix="0" xfId="0">
      <alignment horizontal="center" vertical="center"/>
    </xf>
    <xf numFmtId="0" fontId="18" fillId="7" borderId="1" pivotButton="0" quotePrefix="0" xfId="0"/>
    <xf numFmtId="0" fontId="19" fillId="8" borderId="1" applyAlignment="1" pivotButton="0" quotePrefix="0" xfId="0">
      <alignment horizontal="center" vertical="center" wrapText="1"/>
    </xf>
    <xf numFmtId="0" fontId="20" fillId="9" borderId="1" applyAlignment="1" pivotButton="0" quotePrefix="0" xfId="0">
      <alignment horizontal="center" vertical="center"/>
    </xf>
    <xf numFmtId="0" fontId="21" fillId="10" borderId="1" applyAlignment="1" pivotButton="0" quotePrefix="0" xfId="0">
      <alignment horizontal="center" vertical="center"/>
    </xf>
    <xf numFmtId="0" fontId="4" fillId="2" borderId="1" applyAlignment="1" pivotButton="0" quotePrefix="0" xfId="0">
      <alignment horizontal="center" vertical="center" wrapText="1"/>
    </xf>
    <xf numFmtId="0" fontId="15" fillId="4" borderId="1" applyAlignment="1" pivotButton="0" quotePrefix="0" xfId="0">
      <alignment horizontal="center" vertical="center"/>
    </xf>
    <xf numFmtId="0" fontId="3" fillId="4" borderId="1" applyAlignment="1" pivotButton="0" quotePrefix="0" xfId="0">
      <alignment horizontal="center" vertical="center"/>
    </xf>
    <xf numFmtId="0" fontId="15" fillId="3" borderId="1" applyAlignment="1" pivotButton="0" quotePrefix="0" xfId="0">
      <alignment horizontal="center" vertical="center"/>
    </xf>
    <xf numFmtId="0" fontId="3" fillId="3" borderId="1" applyAlignment="1" pivotButton="0" quotePrefix="0" xfId="0">
      <alignment horizontal="center" vertical="center"/>
    </xf>
    <xf numFmtId="0" fontId="3" fillId="11" borderId="1" applyAlignment="1" pivotButton="0" quotePrefix="0" xfId="0">
      <alignment horizontal="left" vertical="center"/>
    </xf>
    <xf numFmtId="0" fontId="15" fillId="11"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left" vertical="center"/>
    </xf>
    <xf numFmtId="0" fontId="15" fillId="12"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left" vertical="center"/>
    </xf>
    <xf numFmtId="0" fontId="15" fillId="13" borderId="1" applyAlignment="1" pivotButton="0" quotePrefix="0" xfId="0">
      <alignment horizontal="center" vertical="center"/>
    </xf>
    <xf numFmtId="0" fontId="3" fillId="13" borderId="1" applyAlignment="1" pivotButton="0" quotePrefix="0" xfId="0">
      <alignment horizontal="center" vertical="center"/>
    </xf>
    <xf numFmtId="0" fontId="22" fillId="0" borderId="0" applyAlignment="1" pivotButton="0" quotePrefix="0" xfId="0">
      <alignment horizontal="left" vertical="center"/>
    </xf>
    <xf numFmtId="0" fontId="1" fillId="2" borderId="6" applyAlignment="1" pivotButton="0" quotePrefix="0" xfId="0">
      <alignment horizontal="center" vertical="center"/>
    </xf>
    <xf numFmtId="0" fontId="0" fillId="2" borderId="6" pivotButton="0" quotePrefix="0" xfId="0"/>
    <xf numFmtId="0" fontId="4" fillId="2" borderId="6" applyAlignment="1" pivotButton="0" quotePrefix="0" xfId="0">
      <alignment horizontal="center" vertical="center"/>
    </xf>
    <xf numFmtId="0" fontId="3" fillId="0" borderId="6" applyAlignment="1" pivotButton="0" quotePrefix="0" xfId="0">
      <alignment horizontal="left" vertical="center"/>
    </xf>
    <xf numFmtId="164" fontId="5" fillId="0" borderId="6" applyAlignment="1" pivotButton="0" quotePrefix="0" xfId="0">
      <alignment horizontal="left" vertical="center"/>
    </xf>
    <xf numFmtId="0" fontId="3" fillId="4" borderId="6" applyAlignment="1" pivotButton="0" quotePrefix="0" xfId="0">
      <alignment horizontal="left" vertical="center"/>
    </xf>
    <xf numFmtId="164" fontId="3" fillId="4" borderId="6" applyAlignment="1" pivotButton="0" quotePrefix="0" xfId="0">
      <alignment horizontal="left" vertical="center"/>
    </xf>
    <xf numFmtId="165" fontId="3" fillId="0" borderId="6" applyAlignment="1" pivotButton="0" quotePrefix="0" xfId="0">
      <alignment horizontal="left" vertical="center"/>
    </xf>
    <xf numFmtId="165" fontId="3" fillId="4" borderId="6" applyAlignment="1" pivotButton="0" quotePrefix="0" xfId="0">
      <alignment horizontal="left" vertical="center"/>
    </xf>
    <xf numFmtId="0" fontId="7" fillId="5" borderId="6" applyAlignment="1" pivotButton="0" quotePrefix="0" xfId="0">
      <alignment horizontal="left" vertical="center"/>
    </xf>
    <xf numFmtId="0" fontId="5" fillId="5" borderId="6" applyAlignment="1" pivotButton="0" quotePrefix="0" xfId="0">
      <alignment horizontal="left" vertical="center"/>
    </xf>
    <xf numFmtId="0" fontId="2" fillId="3" borderId="6" applyAlignment="1" pivotButton="0" quotePrefix="0" xfId="0">
      <alignment horizontal="left" vertical="center"/>
    </xf>
    <xf numFmtId="0" fontId="3" fillId="3" borderId="6" applyAlignment="1" pivotButton="0" quotePrefix="0" xfId="0">
      <alignment horizontal="right" vertical="center"/>
    </xf>
    <xf numFmtId="0" fontId="9" fillId="0" borderId="6" applyAlignment="1" pivotButton="0" quotePrefix="0" xfId="0">
      <alignment horizontal="left" vertical="center"/>
    </xf>
    <xf numFmtId="0" fontId="5" fillId="0" borderId="6" applyAlignment="1" pivotButton="0" quotePrefix="0" xfId="0">
      <alignment horizontal="center" vertical="center"/>
    </xf>
    <xf numFmtId="0" fontId="14" fillId="0" borderId="7" pivotButton="0" quotePrefix="0" xfId="0"/>
    <xf numFmtId="0" fontId="2" fillId="3" borderId="6" applyAlignment="1" pivotButton="0" quotePrefix="0" xfId="0">
      <alignment horizontal="center" vertical="center"/>
    </xf>
    <xf numFmtId="164" fontId="3" fillId="0" borderId="6" applyAlignment="1" pivotButton="0" quotePrefix="0" xfId="0">
      <alignment horizontal="right" vertical="center"/>
    </xf>
    <xf numFmtId="1" fontId="3" fillId="0" borderId="6" applyAlignment="1" pivotButton="0" quotePrefix="0" xfId="0">
      <alignment horizontal="right" vertical="center"/>
    </xf>
    <xf numFmtId="164" fontId="9" fillId="0" borderId="6" applyAlignment="1" pivotButton="0" quotePrefix="0" xfId="0">
      <alignment horizontal="left" vertical="center"/>
    </xf>
    <xf numFmtId="164" fontId="14" fillId="0" borderId="7" pivotButton="0" quotePrefix="0" xfId="0"/>
    <xf numFmtId="0" fontId="9" fillId="4" borderId="6" applyAlignment="1" pivotButton="0" quotePrefix="0" xfId="0">
      <alignment horizontal="left" vertical="center"/>
    </xf>
    <xf numFmtId="164" fontId="9" fillId="4" borderId="6" applyAlignment="1" pivotButton="0" quotePrefix="0" xfId="0">
      <alignment horizontal="left" vertical="center"/>
    </xf>
    <xf numFmtId="164" fontId="3" fillId="4" borderId="6" applyAlignment="1" pivotButton="0" quotePrefix="0" xfId="0">
      <alignment horizontal="right" vertical="center"/>
    </xf>
    <xf numFmtId="0" fontId="21" fillId="0" borderId="0" applyAlignment="1" pivotButton="0" quotePrefix="0" xfId="0">
      <alignment horizontal="left" vertical="center"/>
    </xf>
    <xf numFmtId="0" fontId="5" fillId="0" borderId="6" applyAlignment="1" pivotButton="0" quotePrefix="0" xfId="0">
      <alignment horizontal="left" vertical="center"/>
    </xf>
    <xf numFmtId="0" fontId="6" fillId="0" borderId="6" applyAlignment="1" pivotButton="0" quotePrefix="0" xfId="0">
      <alignment horizontal="center" vertical="center"/>
    </xf>
    <xf numFmtId="0" fontId="1" fillId="2" borderId="8" applyAlignment="1" pivotButton="0" quotePrefix="0" xfId="0">
      <alignment horizontal="center" vertical="center"/>
    </xf>
    <xf numFmtId="0" fontId="0" fillId="0" borderId="11" pivotButton="0" quotePrefix="0" xfId="0"/>
    <xf numFmtId="0" fontId="0" fillId="0" borderId="12" pivotButton="0" quotePrefix="0" xfId="0"/>
    <xf numFmtId="0" fontId="0" fillId="0" borderId="14" pivotButton="0" quotePrefix="0" xfId="0"/>
    <xf numFmtId="0" fontId="0" fillId="0" borderId="15" pivotButton="0" quotePrefix="0" xfId="0"/>
    <xf numFmtId="0" fontId="9" fillId="0" borderId="6" applyAlignment="1" pivotButton="0" quotePrefix="0" xfId="0">
      <alignment horizontal="right" vertical="center"/>
    </xf>
    <xf numFmtId="164" fontId="9" fillId="0" borderId="6" applyAlignment="1" pivotButton="0" quotePrefix="0" xfId="0">
      <alignment horizontal="right" vertical="center"/>
    </xf>
    <xf numFmtId="164" fontId="9" fillId="4" borderId="6"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04"/>
  <sheetViews>
    <sheetView showGridLines="0" workbookViewId="0">
      <pane ySplit="6" topLeftCell="A7"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20" customWidth="1" min="7" max="7"/>
    <col width="18" customWidth="1" min="8" max="8"/>
    <col width="18" customWidth="1" min="9" max="9"/>
  </cols>
  <sheetData>
    <row r="1" ht="38" customHeight="1">
      <c r="A1" s="103" t="inlineStr">
        <is>
          <t>ROSTER - Ultimate Frisbee Team</t>
        </is>
      </c>
      <c r="B1" s="104" t="n"/>
      <c r="C1" s="104" t="n"/>
      <c r="D1" s="104" t="n"/>
      <c r="E1" s="104" t="n"/>
      <c r="F1" s="104" t="n"/>
      <c r="G1" s="104" t="n"/>
      <c r="H1" s="104" t="n"/>
      <c r="I1" s="105" t="n"/>
    </row>
    <row r="2" ht="14" customHeight="1"/>
    <row r="3" ht="22" customHeight="1"/>
    <row r="4" ht="22" customHeight="1">
      <c r="A4" s="78" t="inlineStr">
        <is>
          <t>Full Name</t>
        </is>
      </c>
      <c r="B4" s="78" t="inlineStr">
        <is>
          <t>Dues Amount ($)</t>
        </is>
      </c>
      <c r="C4" s="78" t="inlineStr">
        <is>
          <t>Dues Paid?</t>
        </is>
      </c>
      <c r="D4" s="78" t="inlineStr">
        <is>
          <t>Role</t>
        </is>
      </c>
      <c r="E4" s="78" t="inlineStr">
        <is>
          <t>Status</t>
        </is>
      </c>
      <c r="F4" s="78" t="inlineStr">
        <is>
          <t>Notes</t>
        </is>
      </c>
    </row>
    <row r="5" ht="8" customHeight="1">
      <c r="A5" s="79" t="inlineStr">
        <is>
          <t>Alex Johnson</t>
        </is>
      </c>
      <c r="B5" s="80" t="n">
        <v>150</v>
      </c>
      <c r="C5" s="79" t="inlineStr">
        <is>
          <t>Paid</t>
        </is>
      </c>
      <c r="D5" s="79" t="inlineStr">
        <is>
          <t>Player</t>
        </is>
      </c>
      <c r="E5" s="79" t="inlineStr">
        <is>
          <t>Active</t>
        </is>
      </c>
      <c r="F5" s="79" t="n"/>
    </row>
    <row r="6" ht="22" customHeight="1">
      <c r="A6" s="79" t="inlineStr">
        <is>
          <t>Sam Rivera</t>
        </is>
      </c>
      <c r="B6" s="80" t="n">
        <v>150</v>
      </c>
      <c r="C6" s="79" t="inlineStr">
        <is>
          <t>Unpaid</t>
        </is>
      </c>
      <c r="D6" s="79" t="inlineStr">
        <is>
          <t>Player</t>
        </is>
      </c>
      <c r="E6" s="79" t="inlineStr">
        <is>
          <t>Active</t>
        </is>
      </c>
      <c r="F6" s="79" t="n"/>
    </row>
    <row r="7" ht="20" customHeight="1">
      <c r="A7" s="79" t="inlineStr">
        <is>
          <t>Jordan Lee</t>
        </is>
      </c>
      <c r="B7" s="80" t="n">
        <v>150</v>
      </c>
      <c r="C7" s="79" t="inlineStr">
        <is>
          <t>Partial</t>
        </is>
      </c>
      <c r="D7" s="79" t="inlineStr">
        <is>
          <t>Captain</t>
        </is>
      </c>
      <c r="E7" s="79" t="inlineStr">
        <is>
          <t>Active</t>
        </is>
      </c>
      <c r="F7" s="79" t="inlineStr">
        <is>
          <t>Paid $75</t>
        </is>
      </c>
    </row>
    <row r="8" ht="20" customHeight="1">
      <c r="A8" s="79" t="inlineStr">
        <is>
          <t>Coach Kim</t>
        </is>
      </c>
      <c r="B8" s="80" t="n">
        <v>0</v>
      </c>
      <c r="C8" s="79" t="inlineStr">
        <is>
          <t>Waived</t>
        </is>
      </c>
      <c r="D8" s="79" t="inlineStr">
        <is>
          <t>Coach</t>
        </is>
      </c>
      <c r="E8" s="79" t="inlineStr">
        <is>
          <t>Active</t>
        </is>
      </c>
      <c r="F8" s="79" t="n"/>
    </row>
    <row r="9" ht="20" customHeight="1">
      <c r="A9" s="79" t="inlineStr">
        <is>
          <t>Taylor Smith</t>
        </is>
      </c>
      <c r="B9" s="80" t="n">
        <v>150</v>
      </c>
      <c r="C9" s="79" t="inlineStr">
        <is>
          <t>Paid</t>
        </is>
      </c>
      <c r="D9" s="79" t="inlineStr">
        <is>
          <t>Player</t>
        </is>
      </c>
      <c r="E9" s="79" t="inlineStr">
        <is>
          <t>Active</t>
        </is>
      </c>
      <c r="F9" s="79" t="n"/>
    </row>
    <row r="10" ht="20" customHeight="1">
      <c r="A10" s="81" t="n"/>
      <c r="B10" s="82" t="n"/>
      <c r="C10" s="81" t="n"/>
      <c r="D10" s="81" t="n"/>
      <c r="E10" s="81" t="n"/>
      <c r="F10" s="81" t="n"/>
    </row>
    <row r="11" ht="20" customHeight="1">
      <c r="A11" s="81" t="n"/>
      <c r="B11" s="82" t="n"/>
      <c r="C11" s="81" t="n"/>
      <c r="D11" s="81" t="n"/>
      <c r="E11" s="81" t="n"/>
      <c r="F11" s="81" t="n"/>
    </row>
    <row r="12" ht="20" customHeight="1">
      <c r="A12" s="81" t="n"/>
      <c r="B12" s="82" t="n"/>
      <c r="C12" s="81" t="n"/>
      <c r="D12" s="81" t="n"/>
      <c r="E12" s="81" t="n"/>
      <c r="F12" s="81" t="n"/>
    </row>
    <row r="13" ht="20" customHeight="1">
      <c r="A13" s="81" t="n"/>
      <c r="B13" s="82" t="n"/>
      <c r="C13" s="81" t="n"/>
      <c r="D13" s="81" t="n"/>
      <c r="E13" s="81" t="n"/>
      <c r="F13" s="81" t="n"/>
    </row>
    <row r="14" ht="20" customHeight="1">
      <c r="A14" s="81" t="n"/>
      <c r="B14" s="82" t="n"/>
      <c r="C14" s="81" t="n"/>
      <c r="D14" s="81" t="n"/>
      <c r="E14" s="81" t="n"/>
      <c r="F14" s="81" t="n"/>
    </row>
    <row r="15" ht="20" customHeight="1">
      <c r="A15" s="81" t="n"/>
      <c r="B15" s="82" t="n"/>
      <c r="C15" s="81" t="n"/>
      <c r="D15" s="81" t="n"/>
      <c r="E15" s="81" t="n"/>
      <c r="F15" s="81" t="n"/>
    </row>
    <row r="16" ht="20" customHeight="1">
      <c r="A16" s="81" t="n"/>
      <c r="B16" s="82" t="n"/>
      <c r="C16" s="81" t="n"/>
      <c r="D16" s="81" t="n"/>
      <c r="E16" s="81" t="n"/>
      <c r="F16" s="81" t="n"/>
    </row>
    <row r="17" ht="20" customHeight="1">
      <c r="A17" s="81" t="n"/>
      <c r="B17" s="82" t="n"/>
      <c r="C17" s="81" t="n"/>
      <c r="D17" s="81" t="n"/>
      <c r="E17" s="81" t="n"/>
      <c r="F17" s="81" t="n"/>
    </row>
    <row r="18" ht="20" customHeight="1">
      <c r="A18" s="81" t="n"/>
      <c r="B18" s="82" t="n"/>
      <c r="C18" s="81" t="n"/>
      <c r="D18" s="81" t="n"/>
      <c r="E18" s="81" t="n"/>
      <c r="F18" s="81" t="n"/>
    </row>
    <row r="19" ht="20" customHeight="1">
      <c r="A19" s="81" t="n"/>
      <c r="B19" s="82" t="n"/>
      <c r="C19" s="81" t="n"/>
      <c r="D19" s="81" t="n"/>
      <c r="E19" s="81" t="n"/>
      <c r="F19" s="81" t="n"/>
    </row>
    <row r="20" ht="20" customHeight="1">
      <c r="A20" s="81" t="n"/>
      <c r="B20" s="82" t="n"/>
      <c r="C20" s="81" t="n"/>
      <c r="D20" s="81" t="n"/>
      <c r="E20" s="81" t="n"/>
      <c r="F20" s="81" t="n"/>
    </row>
    <row r="21" ht="20" customHeight="1">
      <c r="A21" s="81" t="n"/>
      <c r="B21" s="82" t="n"/>
      <c r="C21" s="81" t="n"/>
      <c r="D21" s="81" t="n"/>
      <c r="E21" s="81" t="n"/>
      <c r="F21" s="81" t="n"/>
    </row>
    <row r="22" ht="20" customHeight="1">
      <c r="A22" s="81" t="n"/>
      <c r="B22" s="82" t="n"/>
      <c r="C22" s="81" t="n"/>
      <c r="D22" s="81" t="n"/>
      <c r="E22" s="81" t="n"/>
      <c r="F22" s="81" t="n"/>
    </row>
    <row r="23" ht="20" customHeight="1">
      <c r="A23" s="81" t="n"/>
      <c r="B23" s="82" t="n"/>
      <c r="C23" s="81" t="n"/>
      <c r="D23" s="81" t="n"/>
      <c r="E23" s="81" t="n"/>
      <c r="F23" s="81" t="n"/>
    </row>
    <row r="24" ht="20" customHeight="1">
      <c r="A24" s="81" t="n"/>
      <c r="B24" s="82" t="n"/>
      <c r="C24" s="81" t="n"/>
      <c r="D24" s="81" t="n"/>
      <c r="E24" s="81" t="n"/>
      <c r="F24" s="81" t="n"/>
    </row>
    <row r="25" ht="20" customHeight="1">
      <c r="A25" s="81" t="n"/>
      <c r="B25" s="82" t="n"/>
      <c r="C25" s="81" t="n"/>
      <c r="D25" s="81" t="n"/>
      <c r="E25" s="81" t="n"/>
      <c r="F25" s="81" t="n"/>
    </row>
    <row r="26" ht="20" customHeight="1">
      <c r="A26" s="81" t="n"/>
      <c r="B26" s="82" t="n"/>
      <c r="C26" s="81" t="n"/>
      <c r="D26" s="81" t="n"/>
      <c r="E26" s="81" t="n"/>
      <c r="F26" s="81" t="n"/>
    </row>
    <row r="27" ht="20" customHeight="1">
      <c r="A27" s="81" t="n"/>
      <c r="B27" s="82" t="n"/>
      <c r="C27" s="81" t="n"/>
      <c r="D27" s="81" t="n"/>
      <c r="E27" s="81" t="n"/>
      <c r="F27" s="81" t="n"/>
    </row>
    <row r="28" ht="20" customHeight="1">
      <c r="A28" s="81" t="n"/>
      <c r="B28" s="82" t="n"/>
      <c r="C28" s="81" t="n"/>
      <c r="D28" s="81" t="n"/>
      <c r="E28" s="81" t="n"/>
      <c r="F28" s="81" t="n"/>
    </row>
    <row r="29" ht="20" customHeight="1">
      <c r="A29" s="81" t="n"/>
      <c r="B29" s="82" t="n"/>
      <c r="C29" s="81" t="n"/>
      <c r="D29" s="81" t="n"/>
      <c r="E29" s="81" t="n"/>
      <c r="F29" s="81" t="n"/>
    </row>
    <row r="30" ht="20" customHeight="1">
      <c r="A30" s="81" t="n"/>
      <c r="B30" s="82" t="n"/>
      <c r="C30" s="81" t="n"/>
      <c r="D30" s="81" t="n"/>
      <c r="E30" s="81" t="n"/>
      <c r="F30" s="81" t="n"/>
    </row>
    <row r="31" ht="20" customHeight="1">
      <c r="A31" s="81" t="n"/>
      <c r="B31" s="82" t="n"/>
      <c r="C31" s="81" t="n"/>
      <c r="D31" s="81" t="n"/>
      <c r="E31" s="81" t="n"/>
      <c r="F31" s="81" t="n"/>
    </row>
    <row r="32" ht="20" customHeight="1">
      <c r="A32" s="81" t="n"/>
      <c r="B32" s="82" t="n"/>
      <c r="C32" s="81" t="n"/>
      <c r="D32" s="81" t="n"/>
      <c r="E32" s="81" t="n"/>
      <c r="F32" s="81" t="n"/>
    </row>
    <row r="33" ht="20" customHeight="1">
      <c r="A33" s="81" t="n"/>
      <c r="B33" s="82" t="n"/>
      <c r="C33" s="81" t="n"/>
      <c r="D33" s="81" t="n"/>
      <c r="E33" s="81" t="n"/>
      <c r="F33" s="81" t="n"/>
    </row>
    <row r="34" ht="20" customHeight="1">
      <c r="A34" s="81" t="n"/>
      <c r="B34" s="82" t="n"/>
      <c r="C34" s="81" t="n"/>
      <c r="D34" s="81" t="n"/>
      <c r="E34" s="81" t="n"/>
      <c r="F34" s="81" t="n"/>
    </row>
    <row r="35" ht="20" customHeight="1">
      <c r="A35" s="81" t="n"/>
      <c r="B35" s="82" t="n"/>
      <c r="C35" s="81" t="n"/>
      <c r="D35" s="81" t="n"/>
      <c r="E35" s="81" t="n"/>
      <c r="F35" s="81" t="n"/>
    </row>
    <row r="36" ht="20" customHeight="1">
      <c r="A36" s="81" t="n"/>
      <c r="B36" s="82" t="n"/>
      <c r="C36" s="81" t="n"/>
      <c r="D36" s="81" t="n"/>
      <c r="E36" s="81" t="n"/>
      <c r="F36" s="81" t="n"/>
    </row>
    <row r="37" ht="20" customHeight="1">
      <c r="A37" s="81" t="n"/>
      <c r="B37" s="82" t="n"/>
      <c r="C37" s="81" t="n"/>
      <c r="D37" s="81" t="n"/>
      <c r="E37" s="81" t="n"/>
      <c r="F37" s="81" t="n"/>
    </row>
    <row r="38" ht="20" customHeight="1">
      <c r="A38" s="81" t="n"/>
      <c r="B38" s="82" t="n"/>
      <c r="C38" s="81" t="n"/>
      <c r="D38" s="81" t="n"/>
      <c r="E38" s="81" t="n"/>
      <c r="F38" s="81" t="n"/>
    </row>
    <row r="39" ht="20" customHeight="1">
      <c r="A39" s="81" t="n"/>
      <c r="B39" s="82" t="n"/>
      <c r="C39" s="81" t="n"/>
      <c r="D39" s="81" t="n"/>
      <c r="E39" s="81" t="n"/>
      <c r="F39" s="81" t="n"/>
    </row>
    <row r="40" ht="20" customHeight="1">
      <c r="A40" s="81" t="n"/>
      <c r="B40" s="82" t="n"/>
      <c r="C40" s="81" t="n"/>
      <c r="D40" s="81" t="n"/>
      <c r="E40" s="81" t="n"/>
      <c r="F40" s="81" t="n"/>
    </row>
    <row r="41" ht="20" customHeight="1">
      <c r="A41" s="81" t="n"/>
      <c r="B41" s="82" t="n"/>
      <c r="C41" s="81" t="n"/>
      <c r="D41" s="81" t="n"/>
      <c r="E41" s="81" t="n"/>
      <c r="F41" s="81" t="n"/>
    </row>
    <row r="42" ht="20" customHeight="1">
      <c r="A42" s="81" t="n"/>
      <c r="B42" s="82" t="n"/>
      <c r="C42" s="81" t="n"/>
      <c r="D42" s="81" t="n"/>
      <c r="E42" s="81" t="n"/>
      <c r="F42" s="81" t="n"/>
    </row>
    <row r="43" ht="20" customHeight="1">
      <c r="A43" s="81" t="n"/>
      <c r="B43" s="82" t="n"/>
      <c r="C43" s="81" t="n"/>
      <c r="D43" s="81" t="n"/>
      <c r="E43" s="81" t="n"/>
      <c r="F43" s="81" t="n"/>
    </row>
    <row r="44" ht="20" customHeight="1">
      <c r="A44" s="81" t="n"/>
      <c r="B44" s="82" t="n"/>
      <c r="C44" s="81" t="n"/>
      <c r="D44" s="81" t="n"/>
      <c r="E44" s="81" t="n"/>
      <c r="F44" s="81" t="n"/>
    </row>
    <row r="45" ht="20" customHeight="1">
      <c r="A45" s="81" t="n"/>
      <c r="B45" s="82" t="n"/>
      <c r="C45" s="81" t="n"/>
      <c r="D45" s="81" t="n"/>
      <c r="E45" s="81" t="n"/>
      <c r="F45" s="81" t="n"/>
    </row>
    <row r="46" ht="20" customHeight="1">
      <c r="A46" s="81" t="n"/>
      <c r="B46" s="82" t="n"/>
      <c r="C46" s="81" t="n"/>
      <c r="D46" s="81" t="n"/>
      <c r="E46" s="81" t="n"/>
      <c r="F46" s="81" t="n"/>
    </row>
    <row r="47" ht="20" customHeight="1">
      <c r="A47" s="81" t="n"/>
      <c r="B47" s="82" t="n"/>
      <c r="C47" s="81" t="n"/>
      <c r="D47" s="81" t="n"/>
      <c r="E47" s="81" t="n"/>
      <c r="F47" s="81" t="n"/>
    </row>
    <row r="48" ht="20" customHeight="1">
      <c r="A48" s="81" t="n"/>
      <c r="B48" s="82" t="n"/>
      <c r="C48" s="81" t="n"/>
      <c r="D48" s="81" t="n"/>
      <c r="E48" s="81" t="n"/>
      <c r="F48" s="81" t="n"/>
    </row>
    <row r="49" ht="20" customHeight="1">
      <c r="A49" s="81" t="n"/>
      <c r="B49" s="82" t="n"/>
      <c r="C49" s="81" t="n"/>
      <c r="D49" s="81" t="n"/>
      <c r="E49" s="81" t="n"/>
      <c r="F49" s="81" t="n"/>
    </row>
    <row r="50" ht="20" customHeight="1">
      <c r="A50" s="81" t="n"/>
      <c r="B50" s="82" t="n"/>
      <c r="C50" s="81" t="n"/>
      <c r="D50" s="81" t="n"/>
      <c r="E50" s="81" t="n"/>
      <c r="F50" s="81" t="n"/>
    </row>
    <row r="51" ht="20" customHeight="1">
      <c r="A51" s="81" t="n"/>
      <c r="B51" s="82" t="n"/>
      <c r="C51" s="81" t="n"/>
      <c r="D51" s="81" t="n"/>
      <c r="E51" s="81" t="n"/>
      <c r="F51" s="81" t="n"/>
    </row>
    <row r="52" ht="20" customHeight="1">
      <c r="A52" s="81" t="n"/>
      <c r="B52" s="82" t="n"/>
      <c r="C52" s="81" t="n"/>
      <c r="D52" s="81" t="n"/>
      <c r="E52" s="81" t="n"/>
      <c r="F52" s="81" t="n"/>
    </row>
    <row r="53" ht="20" customHeight="1">
      <c r="A53" s="81" t="n"/>
      <c r="B53" s="82" t="n"/>
      <c r="C53" s="81" t="n"/>
      <c r="D53" s="81" t="n"/>
      <c r="E53" s="81" t="n"/>
      <c r="F53" s="81" t="n"/>
    </row>
    <row r="54" ht="20" customHeight="1">
      <c r="A54" s="81" t="n"/>
      <c r="B54" s="82" t="n"/>
      <c r="C54" s="81" t="n"/>
      <c r="D54" s="81" t="n"/>
      <c r="E54" s="81" t="n"/>
      <c r="F54" s="81" t="n"/>
    </row>
    <row r="55" ht="20" customHeight="1">
      <c r="A55" s="81" t="n"/>
      <c r="B55" s="82" t="n"/>
      <c r="C55" s="81" t="n"/>
      <c r="D55" s="81" t="n"/>
      <c r="E55" s="81" t="n"/>
      <c r="F55" s="81" t="n"/>
    </row>
    <row r="56" ht="20" customHeight="1">
      <c r="A56" s="81" t="n"/>
      <c r="B56" s="82" t="n"/>
      <c r="C56" s="81" t="n"/>
      <c r="D56" s="81" t="n"/>
      <c r="E56" s="81" t="n"/>
      <c r="F56" s="81" t="n"/>
    </row>
    <row r="57" ht="20" customHeight="1">
      <c r="A57" s="81" t="n"/>
      <c r="B57" s="82" t="n"/>
      <c r="C57" s="81" t="n"/>
      <c r="D57" s="81" t="n"/>
      <c r="E57" s="81" t="n"/>
      <c r="F57" s="81" t="n"/>
    </row>
    <row r="58" ht="20" customHeight="1">
      <c r="A58" s="81" t="n"/>
      <c r="B58" s="82" t="n"/>
      <c r="C58" s="81" t="n"/>
      <c r="D58" s="81" t="n"/>
      <c r="E58" s="81" t="n"/>
      <c r="F58" s="81" t="n"/>
    </row>
    <row r="59" ht="20" customHeight="1">
      <c r="A59" s="81" t="n"/>
      <c r="B59" s="82" t="n"/>
      <c r="C59" s="81" t="n"/>
      <c r="D59" s="81" t="n"/>
      <c r="E59" s="81" t="n"/>
      <c r="F59" s="81" t="n"/>
    </row>
    <row r="60" ht="20" customHeight="1">
      <c r="A60" s="81" t="n"/>
      <c r="B60" s="82" t="n"/>
      <c r="C60" s="81" t="n"/>
      <c r="D60" s="81" t="n"/>
      <c r="E60" s="81" t="n"/>
      <c r="F60" s="81" t="n"/>
    </row>
    <row r="61" ht="20" customHeight="1">
      <c r="A61" s="81" t="n"/>
      <c r="B61" s="82" t="n"/>
      <c r="C61" s="81" t="n"/>
      <c r="D61" s="81" t="n"/>
      <c r="E61" s="81" t="n"/>
      <c r="F61" s="81" t="n"/>
    </row>
    <row r="62" ht="20" customHeight="1">
      <c r="A62" s="81" t="n"/>
      <c r="B62" s="82" t="n"/>
      <c r="C62" s="81" t="n"/>
      <c r="D62" s="81" t="n"/>
      <c r="E62" s="81" t="n"/>
      <c r="F62" s="81" t="n"/>
    </row>
    <row r="63" ht="20" customHeight="1">
      <c r="A63" s="81" t="n"/>
      <c r="B63" s="82" t="n"/>
      <c r="C63" s="81" t="n"/>
      <c r="D63" s="81" t="n"/>
      <c r="E63" s="81" t="n"/>
      <c r="F63" s="81" t="n"/>
    </row>
    <row r="64" ht="20" customHeight="1">
      <c r="A64" s="81" t="n"/>
      <c r="B64" s="82" t="n"/>
      <c r="C64" s="81" t="n"/>
      <c r="D64" s="81" t="n"/>
      <c r="E64" s="81" t="n"/>
      <c r="F64" s="81" t="n"/>
    </row>
    <row r="65" ht="20" customHeight="1">
      <c r="A65" s="81" t="n"/>
      <c r="B65" s="82" t="n"/>
      <c r="C65" s="81" t="n"/>
      <c r="D65" s="81" t="n"/>
      <c r="E65" s="81" t="n"/>
      <c r="F65" s="81" t="n"/>
    </row>
    <row r="66" ht="20" customHeight="1">
      <c r="A66" s="81" t="n"/>
      <c r="B66" s="82" t="n"/>
      <c r="C66" s="81" t="n"/>
      <c r="D66" s="81" t="n"/>
      <c r="E66" s="81" t="n"/>
      <c r="F66" s="81" t="n"/>
    </row>
    <row r="67" ht="20" customHeight="1">
      <c r="A67" s="81" t="n"/>
      <c r="B67" s="82" t="n"/>
      <c r="C67" s="81" t="n"/>
      <c r="D67" s="81" t="n"/>
      <c r="E67" s="81" t="n"/>
      <c r="F67" s="81" t="n"/>
    </row>
    <row r="68" ht="20" customHeight="1">
      <c r="A68" s="81" t="n"/>
      <c r="B68" s="82" t="n"/>
      <c r="C68" s="81" t="n"/>
      <c r="D68" s="81" t="n"/>
      <c r="E68" s="81" t="n"/>
      <c r="F68" s="81" t="n"/>
    </row>
    <row r="69" ht="20" customHeight="1">
      <c r="A69" s="81" t="n"/>
      <c r="B69" s="82" t="n"/>
      <c r="C69" s="81" t="n"/>
      <c r="D69" s="81" t="n"/>
      <c r="E69" s="81" t="n"/>
      <c r="F69" s="81" t="n"/>
    </row>
    <row r="70" ht="20" customHeight="1">
      <c r="A70" s="81" t="n"/>
      <c r="B70" s="82" t="n"/>
      <c r="C70" s="81" t="n"/>
      <c r="D70" s="81" t="n"/>
      <c r="E70" s="81" t="n"/>
      <c r="F70" s="81" t="n"/>
    </row>
    <row r="71" ht="20" customHeight="1">
      <c r="A71" s="81" t="n"/>
      <c r="B71" s="82" t="n"/>
      <c r="C71" s="81" t="n"/>
      <c r="D71" s="81" t="n"/>
      <c r="E71" s="81" t="n"/>
      <c r="F71" s="81" t="n"/>
    </row>
    <row r="72" ht="20" customHeight="1">
      <c r="A72" s="81" t="n"/>
      <c r="B72" s="82" t="n"/>
      <c r="C72" s="81" t="n"/>
      <c r="D72" s="81" t="n"/>
      <c r="E72" s="81" t="n"/>
      <c r="F72" s="81" t="n"/>
    </row>
    <row r="73" ht="20" customHeight="1">
      <c r="A73" s="81" t="n"/>
      <c r="B73" s="82" t="n"/>
      <c r="C73" s="81" t="n"/>
      <c r="D73" s="81" t="n"/>
      <c r="E73" s="81" t="n"/>
      <c r="F73" s="81" t="n"/>
    </row>
    <row r="74" ht="20" customHeight="1">
      <c r="A74" s="81" t="n"/>
      <c r="B74" s="82" t="n"/>
      <c r="C74" s="81" t="n"/>
      <c r="D74" s="81" t="n"/>
      <c r="E74" s="81" t="n"/>
      <c r="F74" s="81" t="n"/>
    </row>
    <row r="75" ht="20" customHeight="1">
      <c r="A75" s="81" t="n"/>
      <c r="B75" s="82" t="n"/>
      <c r="C75" s="81" t="n"/>
      <c r="D75" s="81" t="n"/>
      <c r="E75" s="81" t="n"/>
      <c r="F75" s="81" t="n"/>
    </row>
    <row r="76" ht="20" customHeight="1">
      <c r="A76" s="81" t="n"/>
      <c r="B76" s="82" t="n"/>
      <c r="C76" s="81" t="n"/>
      <c r="D76" s="81" t="n"/>
      <c r="E76" s="81" t="n"/>
      <c r="F76" s="81" t="n"/>
    </row>
    <row r="77" ht="20" customHeight="1">
      <c r="A77" s="81" t="n"/>
      <c r="B77" s="82" t="n"/>
      <c r="C77" s="81" t="n"/>
      <c r="D77" s="81" t="n"/>
      <c r="E77" s="81" t="n"/>
      <c r="F77" s="81" t="n"/>
    </row>
    <row r="78" ht="20" customHeight="1">
      <c r="A78" s="81" t="n"/>
      <c r="B78" s="82" t="n"/>
      <c r="C78" s="81" t="n"/>
      <c r="D78" s="81" t="n"/>
      <c r="E78" s="81" t="n"/>
      <c r="F78" s="81" t="n"/>
    </row>
    <row r="79" ht="20" customHeight="1">
      <c r="A79" s="81" t="n"/>
      <c r="B79" s="82" t="n"/>
      <c r="C79" s="81" t="n"/>
      <c r="D79" s="81" t="n"/>
      <c r="E79" s="81" t="n"/>
      <c r="F79" s="81" t="n"/>
    </row>
    <row r="80" ht="20" customHeight="1">
      <c r="A80" s="81" t="n"/>
      <c r="B80" s="82" t="n"/>
      <c r="C80" s="81" t="n"/>
      <c r="D80" s="81" t="n"/>
      <c r="E80" s="81" t="n"/>
      <c r="F80" s="81" t="n"/>
    </row>
    <row r="81" ht="20" customHeight="1">
      <c r="A81" s="81" t="n"/>
      <c r="B81" s="82" t="n"/>
      <c r="C81" s="81" t="n"/>
      <c r="D81" s="81" t="n"/>
      <c r="E81" s="81" t="n"/>
      <c r="F81" s="81" t="n"/>
    </row>
    <row r="82" ht="20" customHeight="1">
      <c r="A82" s="81" t="n"/>
      <c r="B82" s="82" t="n"/>
      <c r="C82" s="81" t="n"/>
      <c r="D82" s="81" t="n"/>
      <c r="E82" s="81" t="n"/>
      <c r="F82" s="81" t="n"/>
    </row>
    <row r="83" ht="20" customHeight="1">
      <c r="A83" s="81" t="n"/>
      <c r="B83" s="82" t="n"/>
      <c r="C83" s="81" t="n"/>
      <c r="D83" s="81" t="n"/>
      <c r="E83" s="81" t="n"/>
      <c r="F83" s="81" t="n"/>
    </row>
    <row r="84" ht="20" customHeight="1">
      <c r="A84" s="81" t="n"/>
      <c r="B84" s="82" t="n"/>
      <c r="C84" s="81" t="n"/>
      <c r="D84" s="81" t="n"/>
      <c r="E84" s="81" t="n"/>
      <c r="F84" s="81" t="n"/>
    </row>
    <row r="85" ht="20" customHeight="1">
      <c r="A85" s="81" t="n"/>
      <c r="B85" s="82" t="n"/>
      <c r="C85" s="81" t="n"/>
      <c r="D85" s="81" t="n"/>
      <c r="E85" s="81" t="n"/>
      <c r="F85" s="81" t="n"/>
    </row>
    <row r="86" ht="20" customHeight="1">
      <c r="A86" s="81" t="n"/>
      <c r="B86" s="82" t="n"/>
      <c r="C86" s="81" t="n"/>
      <c r="D86" s="81" t="n"/>
      <c r="E86" s="81" t="n"/>
      <c r="F86" s="81" t="n"/>
    </row>
    <row r="87" ht="20" customHeight="1">
      <c r="A87" s="81" t="n"/>
      <c r="B87" s="82" t="n"/>
      <c r="C87" s="81" t="n"/>
      <c r="D87" s="81" t="n"/>
      <c r="E87" s="81" t="n"/>
      <c r="F87" s="81" t="n"/>
    </row>
    <row r="88" ht="20" customHeight="1">
      <c r="A88" s="81" t="n"/>
      <c r="B88" s="82" t="n"/>
      <c r="C88" s="81" t="n"/>
      <c r="D88" s="81" t="n"/>
      <c r="E88" s="81" t="n"/>
      <c r="F88" s="81" t="n"/>
    </row>
    <row r="89" ht="20" customHeight="1">
      <c r="A89" s="81" t="n"/>
      <c r="B89" s="82" t="n"/>
      <c r="C89" s="81" t="n"/>
      <c r="D89" s="81" t="n"/>
      <c r="E89" s="81" t="n"/>
      <c r="F89" s="81" t="n"/>
    </row>
    <row r="90" ht="20" customHeight="1">
      <c r="A90" s="81" t="n"/>
      <c r="B90" s="82" t="n"/>
      <c r="C90" s="81" t="n"/>
      <c r="D90" s="81" t="n"/>
      <c r="E90" s="81" t="n"/>
      <c r="F90" s="81" t="n"/>
    </row>
    <row r="91" ht="20" customHeight="1">
      <c r="A91" s="81" t="n"/>
      <c r="B91" s="82" t="n"/>
      <c r="C91" s="81" t="n"/>
      <c r="D91" s="81" t="n"/>
      <c r="E91" s="81" t="n"/>
      <c r="F91" s="81" t="n"/>
    </row>
    <row r="92" ht="20" customHeight="1">
      <c r="A92" s="81" t="n"/>
      <c r="B92" s="82" t="n"/>
      <c r="C92" s="81" t="n"/>
      <c r="D92" s="81" t="n"/>
      <c r="E92" s="81" t="n"/>
      <c r="F92" s="81" t="n"/>
    </row>
    <row r="93" ht="20" customHeight="1">
      <c r="A93" s="81" t="n"/>
      <c r="B93" s="82" t="n"/>
      <c r="C93" s="81" t="n"/>
      <c r="D93" s="81" t="n"/>
      <c r="E93" s="81" t="n"/>
      <c r="F93" s="81" t="n"/>
    </row>
    <row r="94" ht="20" customHeight="1">
      <c r="A94" s="81" t="n"/>
      <c r="B94" s="82" t="n"/>
      <c r="C94" s="81" t="n"/>
      <c r="D94" s="81" t="n"/>
      <c r="E94" s="81" t="n"/>
      <c r="F94" s="81" t="n"/>
    </row>
    <row r="95" ht="20" customHeight="1">
      <c r="A95" s="81" t="n"/>
      <c r="B95" s="82" t="n"/>
      <c r="C95" s="81" t="n"/>
      <c r="D95" s="81" t="n"/>
      <c r="E95" s="81" t="n"/>
      <c r="F95" s="81" t="n"/>
    </row>
    <row r="96" ht="20" customHeight="1">
      <c r="A96" s="81" t="n"/>
      <c r="B96" s="82" t="n"/>
      <c r="C96" s="81" t="n"/>
      <c r="D96" s="81" t="n"/>
      <c r="E96" s="81" t="n"/>
      <c r="F96" s="81" t="n"/>
    </row>
    <row r="97" ht="20" customHeight="1">
      <c r="A97" s="81" t="n"/>
      <c r="B97" s="82" t="n"/>
      <c r="C97" s="81" t="n"/>
      <c r="D97" s="81" t="n"/>
      <c r="E97" s="81" t="n"/>
      <c r="F97" s="81" t="n"/>
    </row>
    <row r="98" ht="20" customHeight="1">
      <c r="A98" s="81" t="n"/>
      <c r="B98" s="82" t="n"/>
      <c r="C98" s="81" t="n"/>
      <c r="D98" s="81" t="n"/>
      <c r="E98" s="81" t="n"/>
      <c r="F98" s="81" t="n"/>
    </row>
    <row r="99" ht="20" customHeight="1">
      <c r="A99" s="81" t="n"/>
      <c r="B99" s="82" t="n"/>
      <c r="C99" s="81" t="n"/>
      <c r="D99" s="81" t="n"/>
      <c r="E99" s="81" t="n"/>
      <c r="F99" s="81" t="n"/>
    </row>
    <row r="100" ht="20" customHeight="1">
      <c r="A100" s="81" t="n"/>
      <c r="B100" s="82" t="n"/>
      <c r="C100" s="81" t="n"/>
      <c r="D100" s="81" t="n"/>
      <c r="E100" s="81" t="n"/>
      <c r="F100" s="81" t="n"/>
    </row>
    <row r="101" ht="20" customHeight="1">
      <c r="A101" s="81" t="n"/>
      <c r="B101" s="82" t="n"/>
      <c r="C101" s="81" t="n"/>
      <c r="D101" s="81" t="n"/>
      <c r="E101" s="81" t="n"/>
      <c r="F101" s="81" t="n"/>
    </row>
    <row r="102" ht="20" customHeight="1">
      <c r="A102" s="81" t="n"/>
      <c r="B102" s="82" t="n"/>
      <c r="C102" s="81" t="n"/>
      <c r="D102" s="81" t="n"/>
      <c r="E102" s="81" t="n"/>
      <c r="F102" s="81" t="n"/>
    </row>
    <row r="103" ht="20" customHeight="1">
      <c r="A103" s="81" t="n"/>
      <c r="B103" s="82" t="n"/>
      <c r="C103" s="81" t="n"/>
      <c r="D103" s="81" t="n"/>
      <c r="E103" s="81" t="n"/>
      <c r="F103" s="81" t="n"/>
    </row>
    <row r="104" ht="20" customHeight="1">
      <c r="A104" s="81" t="n"/>
      <c r="B104" s="82" t="n"/>
      <c r="C104" s="81" t="n"/>
      <c r="D104" s="81" t="n"/>
      <c r="E104" s="81" t="n"/>
      <c r="F104" s="81" t="n"/>
    </row>
    <row r="105" ht="20" customHeight="1">
      <c r="A105" s="81" t="n"/>
      <c r="B105" s="82" t="n"/>
      <c r="C105" s="81" t="n"/>
      <c r="D105" s="81" t="n"/>
      <c r="E105" s="81" t="n"/>
      <c r="F105" s="81" t="n"/>
    </row>
    <row r="106" ht="20" customHeight="1">
      <c r="A106" s="81" t="n"/>
      <c r="B106" s="82" t="n"/>
      <c r="C106" s="81" t="n"/>
      <c r="D106" s="81" t="n"/>
      <c r="E106" s="81" t="n"/>
      <c r="F106" s="81" t="n"/>
    </row>
    <row r="107" ht="20" customHeight="1">
      <c r="A107" s="81" t="n"/>
      <c r="B107" s="82" t="n"/>
      <c r="C107" s="81" t="n"/>
      <c r="D107" s="81" t="n"/>
      <c r="E107" s="81" t="n"/>
      <c r="F107" s="81" t="n"/>
    </row>
    <row r="108" ht="20" customHeight="1">
      <c r="A108" s="81" t="n"/>
      <c r="B108" s="82" t="n"/>
      <c r="C108" s="81" t="n"/>
      <c r="D108" s="81" t="n"/>
      <c r="E108" s="81" t="n"/>
      <c r="F108" s="81" t="n"/>
    </row>
    <row r="109" ht="20" customHeight="1">
      <c r="A109" s="81" t="n"/>
      <c r="B109" s="82" t="n"/>
      <c r="C109" s="81" t="n"/>
      <c r="D109" s="81" t="n"/>
      <c r="E109" s="81" t="n"/>
      <c r="F109" s="81" t="n"/>
    </row>
    <row r="110" ht="20" customHeight="1">
      <c r="A110" s="81" t="n"/>
      <c r="B110" s="82" t="n"/>
      <c r="C110" s="81" t="n"/>
      <c r="D110" s="81" t="n"/>
      <c r="E110" s="81" t="n"/>
      <c r="F110" s="81" t="n"/>
    </row>
    <row r="111" ht="20" customHeight="1">
      <c r="A111" s="81" t="n"/>
      <c r="B111" s="82" t="n"/>
      <c r="C111" s="81" t="n"/>
      <c r="D111" s="81" t="n"/>
      <c r="E111" s="81" t="n"/>
      <c r="F111" s="81" t="n"/>
    </row>
    <row r="112" ht="20" customHeight="1">
      <c r="A112" s="81" t="n"/>
      <c r="B112" s="82" t="n"/>
      <c r="C112" s="81" t="n"/>
      <c r="D112" s="81" t="n"/>
      <c r="E112" s="81" t="n"/>
      <c r="F112" s="81" t="n"/>
    </row>
    <row r="113" ht="20" customHeight="1">
      <c r="A113" s="81" t="n"/>
      <c r="B113" s="82" t="n"/>
      <c r="C113" s="81" t="n"/>
      <c r="D113" s="81" t="n"/>
      <c r="E113" s="81" t="n"/>
      <c r="F113" s="81" t="n"/>
    </row>
    <row r="114" ht="20" customHeight="1">
      <c r="A114" s="81" t="n"/>
      <c r="B114" s="82" t="n"/>
      <c r="C114" s="81" t="n"/>
      <c r="D114" s="81" t="n"/>
      <c r="E114" s="81" t="n"/>
      <c r="F114" s="81" t="n"/>
    </row>
    <row r="115" ht="20" customHeight="1">
      <c r="A115" s="81" t="n"/>
      <c r="B115" s="82" t="n"/>
      <c r="C115" s="81" t="n"/>
      <c r="D115" s="81" t="n"/>
      <c r="E115" s="81" t="n"/>
      <c r="F115" s="81" t="n"/>
    </row>
    <row r="116" ht="20" customHeight="1">
      <c r="A116" s="81" t="n"/>
      <c r="B116" s="82" t="n"/>
      <c r="C116" s="81" t="n"/>
      <c r="D116" s="81" t="n"/>
      <c r="E116" s="81" t="n"/>
      <c r="F116" s="81" t="n"/>
    </row>
    <row r="117" ht="20" customHeight="1">
      <c r="A117" s="81" t="n"/>
      <c r="B117" s="82" t="n"/>
      <c r="C117" s="81" t="n"/>
      <c r="D117" s="81" t="n"/>
      <c r="E117" s="81" t="n"/>
      <c r="F117" s="81" t="n"/>
    </row>
    <row r="118" ht="20" customHeight="1">
      <c r="A118" s="81" t="n"/>
      <c r="B118" s="82" t="n"/>
      <c r="C118" s="81" t="n"/>
      <c r="D118" s="81" t="n"/>
      <c r="E118" s="81" t="n"/>
      <c r="F118" s="81" t="n"/>
    </row>
    <row r="119" ht="20" customHeight="1">
      <c r="A119" s="81" t="n"/>
      <c r="B119" s="82" t="n"/>
      <c r="C119" s="81" t="n"/>
      <c r="D119" s="81" t="n"/>
      <c r="E119" s="81" t="n"/>
      <c r="F119" s="81" t="n"/>
    </row>
    <row r="120" ht="20" customHeight="1">
      <c r="A120" s="81" t="n"/>
      <c r="B120" s="82" t="n"/>
      <c r="C120" s="81" t="n"/>
      <c r="D120" s="81" t="n"/>
      <c r="E120" s="81" t="n"/>
      <c r="F120" s="81" t="n"/>
    </row>
    <row r="121" ht="20" customHeight="1">
      <c r="A121" s="81" t="n"/>
      <c r="B121" s="82" t="n"/>
      <c r="C121" s="81" t="n"/>
      <c r="D121" s="81" t="n"/>
      <c r="E121" s="81" t="n"/>
      <c r="F121" s="81" t="n"/>
    </row>
    <row r="122" ht="20" customHeight="1">
      <c r="A122" s="81" t="n"/>
      <c r="B122" s="82" t="n"/>
      <c r="C122" s="81" t="n"/>
      <c r="D122" s="81" t="n"/>
      <c r="E122" s="81" t="n"/>
      <c r="F122" s="81" t="n"/>
    </row>
    <row r="123" ht="20" customHeight="1">
      <c r="A123" s="81" t="n"/>
      <c r="B123" s="82" t="n"/>
      <c r="C123" s="81" t="n"/>
      <c r="D123" s="81" t="n"/>
      <c r="E123" s="81" t="n"/>
      <c r="F123" s="81" t="n"/>
    </row>
    <row r="124" ht="20" customHeight="1">
      <c r="A124" s="81" t="n"/>
      <c r="B124" s="82" t="n"/>
      <c r="C124" s="81" t="n"/>
      <c r="D124" s="81" t="n"/>
      <c r="E124" s="81" t="n"/>
      <c r="F124" s="81" t="n"/>
    </row>
    <row r="125" ht="20" customHeight="1">
      <c r="A125" s="81" t="n"/>
      <c r="B125" s="82" t="n"/>
      <c r="C125" s="81" t="n"/>
      <c r="D125" s="81" t="n"/>
      <c r="E125" s="81" t="n"/>
      <c r="F125" s="81" t="n"/>
    </row>
    <row r="126" ht="20" customHeight="1">
      <c r="A126" s="81" t="n"/>
      <c r="B126" s="82" t="n"/>
      <c r="C126" s="81" t="n"/>
      <c r="D126" s="81" t="n"/>
      <c r="E126" s="81" t="n"/>
      <c r="F126" s="81" t="n"/>
    </row>
    <row r="127" ht="20" customHeight="1">
      <c r="A127" s="81" t="n"/>
      <c r="B127" s="82" t="n"/>
      <c r="C127" s="81" t="n"/>
      <c r="D127" s="81" t="n"/>
      <c r="E127" s="81" t="n"/>
      <c r="F127" s="81" t="n"/>
    </row>
    <row r="128" ht="20" customHeight="1">
      <c r="A128" s="81" t="n"/>
      <c r="B128" s="82" t="n"/>
      <c r="C128" s="81" t="n"/>
      <c r="D128" s="81" t="n"/>
      <c r="E128" s="81" t="n"/>
      <c r="F128" s="81" t="n"/>
    </row>
    <row r="129" ht="20" customHeight="1">
      <c r="A129" s="81" t="n"/>
      <c r="B129" s="82" t="n"/>
      <c r="C129" s="81" t="n"/>
      <c r="D129" s="81" t="n"/>
      <c r="E129" s="81" t="n"/>
      <c r="F129" s="81" t="n"/>
    </row>
    <row r="130" ht="20" customHeight="1">
      <c r="A130" s="81" t="n"/>
      <c r="B130" s="82" t="n"/>
      <c r="C130" s="81" t="n"/>
      <c r="D130" s="81" t="n"/>
      <c r="E130" s="81" t="n"/>
      <c r="F130" s="81" t="n"/>
    </row>
    <row r="131" ht="20" customHeight="1">
      <c r="A131" s="81" t="n"/>
      <c r="B131" s="82" t="n"/>
      <c r="C131" s="81" t="n"/>
      <c r="D131" s="81" t="n"/>
      <c r="E131" s="81" t="n"/>
      <c r="F131" s="81" t="n"/>
    </row>
    <row r="132" ht="20" customHeight="1">
      <c r="A132" s="81" t="n"/>
      <c r="B132" s="82" t="n"/>
      <c r="C132" s="81" t="n"/>
      <c r="D132" s="81" t="n"/>
      <c r="E132" s="81" t="n"/>
      <c r="F132" s="81" t="n"/>
    </row>
    <row r="133" ht="20" customHeight="1">
      <c r="A133" s="81" t="n"/>
      <c r="B133" s="82" t="n"/>
      <c r="C133" s="81" t="n"/>
      <c r="D133" s="81" t="n"/>
      <c r="E133" s="81" t="n"/>
      <c r="F133" s="81" t="n"/>
    </row>
    <row r="134" ht="20" customHeight="1">
      <c r="A134" s="81" t="n"/>
      <c r="B134" s="82" t="n"/>
      <c r="C134" s="81" t="n"/>
      <c r="D134" s="81" t="n"/>
      <c r="E134" s="81" t="n"/>
      <c r="F134" s="81" t="n"/>
    </row>
    <row r="135" ht="20" customHeight="1">
      <c r="A135" s="81" t="n"/>
      <c r="B135" s="82" t="n"/>
      <c r="C135" s="81" t="n"/>
      <c r="D135" s="81" t="n"/>
      <c r="E135" s="81" t="n"/>
      <c r="F135" s="81" t="n"/>
    </row>
    <row r="136" ht="20" customHeight="1">
      <c r="A136" s="81" t="n"/>
      <c r="B136" s="82" t="n"/>
      <c r="C136" s="81" t="n"/>
      <c r="D136" s="81" t="n"/>
      <c r="E136" s="81" t="n"/>
      <c r="F136" s="81" t="n"/>
    </row>
    <row r="137" ht="20" customHeight="1">
      <c r="A137" s="81" t="n"/>
      <c r="B137" s="82" t="n"/>
      <c r="C137" s="81" t="n"/>
      <c r="D137" s="81" t="n"/>
      <c r="E137" s="81" t="n"/>
      <c r="F137" s="81" t="n"/>
    </row>
    <row r="138" ht="20" customHeight="1">
      <c r="A138" s="81" t="n"/>
      <c r="B138" s="82" t="n"/>
      <c r="C138" s="81" t="n"/>
      <c r="D138" s="81" t="n"/>
      <c r="E138" s="81" t="n"/>
      <c r="F138" s="81" t="n"/>
    </row>
    <row r="139" ht="20" customHeight="1">
      <c r="A139" s="81" t="n"/>
      <c r="B139" s="82" t="n"/>
      <c r="C139" s="81" t="n"/>
      <c r="D139" s="81" t="n"/>
      <c r="E139" s="81" t="n"/>
      <c r="F139" s="81" t="n"/>
    </row>
    <row r="140" ht="20" customHeight="1">
      <c r="A140" s="81" t="n"/>
      <c r="B140" s="82" t="n"/>
      <c r="C140" s="81" t="n"/>
      <c r="D140" s="81" t="n"/>
      <c r="E140" s="81" t="n"/>
      <c r="F140" s="81" t="n"/>
    </row>
    <row r="141" ht="20" customHeight="1">
      <c r="A141" s="81" t="n"/>
      <c r="B141" s="82" t="n"/>
      <c r="C141" s="81" t="n"/>
      <c r="D141" s="81" t="n"/>
      <c r="E141" s="81" t="n"/>
      <c r="F141" s="81" t="n"/>
    </row>
    <row r="142" ht="20" customHeight="1">
      <c r="A142" s="81" t="n"/>
      <c r="B142" s="82" t="n"/>
      <c r="C142" s="81" t="n"/>
      <c r="D142" s="81" t="n"/>
      <c r="E142" s="81" t="n"/>
      <c r="F142" s="81" t="n"/>
    </row>
    <row r="143" ht="20" customHeight="1">
      <c r="A143" s="81" t="n"/>
      <c r="B143" s="82" t="n"/>
      <c r="C143" s="81" t="n"/>
      <c r="D143" s="81" t="n"/>
      <c r="E143" s="81" t="n"/>
      <c r="F143" s="81" t="n"/>
    </row>
    <row r="144" ht="20" customHeight="1">
      <c r="A144" s="81" t="n"/>
      <c r="B144" s="82" t="n"/>
      <c r="C144" s="81" t="n"/>
      <c r="D144" s="81" t="n"/>
      <c r="E144" s="81" t="n"/>
      <c r="F144" s="81" t="n"/>
    </row>
    <row r="145" ht="20" customHeight="1">
      <c r="A145" s="81" t="n"/>
      <c r="B145" s="82" t="n"/>
      <c r="C145" s="81" t="n"/>
      <c r="D145" s="81" t="n"/>
      <c r="E145" s="81" t="n"/>
      <c r="F145" s="81" t="n"/>
    </row>
    <row r="146" ht="20" customHeight="1">
      <c r="A146" s="81" t="n"/>
      <c r="B146" s="82" t="n"/>
      <c r="C146" s="81" t="n"/>
      <c r="D146" s="81" t="n"/>
      <c r="E146" s="81" t="n"/>
      <c r="F146" s="81" t="n"/>
    </row>
    <row r="147" ht="20" customHeight="1">
      <c r="A147" s="81" t="n"/>
      <c r="B147" s="82" t="n"/>
      <c r="C147" s="81" t="n"/>
      <c r="D147" s="81" t="n"/>
      <c r="E147" s="81" t="n"/>
      <c r="F147" s="81" t="n"/>
    </row>
    <row r="148" ht="20" customHeight="1">
      <c r="A148" s="81" t="n"/>
      <c r="B148" s="82" t="n"/>
      <c r="C148" s="81" t="n"/>
      <c r="D148" s="81" t="n"/>
      <c r="E148" s="81" t="n"/>
      <c r="F148" s="81" t="n"/>
    </row>
    <row r="149" ht="20" customHeight="1">
      <c r="A149" s="81" t="n"/>
      <c r="B149" s="82" t="n"/>
      <c r="C149" s="81" t="n"/>
      <c r="D149" s="81" t="n"/>
      <c r="E149" s="81" t="n"/>
      <c r="F149" s="81" t="n"/>
    </row>
    <row r="150" ht="20" customHeight="1">
      <c r="A150" s="81" t="n"/>
      <c r="B150" s="82" t="n"/>
      <c r="C150" s="81" t="n"/>
      <c r="D150" s="81" t="n"/>
      <c r="E150" s="81" t="n"/>
      <c r="F150" s="81" t="n"/>
    </row>
    <row r="151" ht="20" customHeight="1">
      <c r="A151" s="81" t="n"/>
      <c r="B151" s="82" t="n"/>
      <c r="C151" s="81" t="n"/>
      <c r="D151" s="81" t="n"/>
      <c r="E151" s="81" t="n"/>
      <c r="F151" s="81" t="n"/>
    </row>
    <row r="152" ht="20" customHeight="1">
      <c r="A152" s="81" t="n"/>
      <c r="B152" s="82" t="n"/>
      <c r="C152" s="81" t="n"/>
      <c r="D152" s="81" t="n"/>
      <c r="E152" s="81" t="n"/>
      <c r="F152" s="81" t="n"/>
    </row>
    <row r="153" ht="20" customHeight="1">
      <c r="A153" s="81" t="n"/>
      <c r="B153" s="82" t="n"/>
      <c r="C153" s="81" t="n"/>
      <c r="D153" s="81" t="n"/>
      <c r="E153" s="81" t="n"/>
      <c r="F153" s="81" t="n"/>
    </row>
    <row r="154" ht="20" customHeight="1">
      <c r="A154" s="81" t="n"/>
      <c r="B154" s="82" t="n"/>
      <c r="C154" s="81" t="n"/>
      <c r="D154" s="81" t="n"/>
      <c r="E154" s="81" t="n"/>
      <c r="F154" s="81" t="n"/>
    </row>
    <row r="155" ht="20" customHeight="1">
      <c r="A155" s="81" t="n"/>
      <c r="B155" s="82" t="n"/>
      <c r="C155" s="81" t="n"/>
      <c r="D155" s="81" t="n"/>
      <c r="E155" s="81" t="n"/>
      <c r="F155" s="81" t="n"/>
    </row>
    <row r="156" ht="20" customHeight="1">
      <c r="A156" s="81" t="n"/>
      <c r="B156" s="82" t="n"/>
      <c r="C156" s="81" t="n"/>
      <c r="D156" s="81" t="n"/>
      <c r="E156" s="81" t="n"/>
      <c r="F156" s="81" t="n"/>
    </row>
    <row r="157" ht="20" customHeight="1">
      <c r="A157" s="81" t="n"/>
      <c r="B157" s="82" t="n"/>
      <c r="C157" s="81" t="n"/>
      <c r="D157" s="81" t="n"/>
      <c r="E157" s="81" t="n"/>
      <c r="F157" s="81" t="n"/>
    </row>
    <row r="158" ht="20" customHeight="1">
      <c r="A158" s="81" t="n"/>
      <c r="B158" s="82" t="n"/>
      <c r="C158" s="81" t="n"/>
      <c r="D158" s="81" t="n"/>
      <c r="E158" s="81" t="n"/>
      <c r="F158" s="81" t="n"/>
    </row>
    <row r="159" ht="20" customHeight="1">
      <c r="A159" s="81" t="n"/>
      <c r="B159" s="82" t="n"/>
      <c r="C159" s="81" t="n"/>
      <c r="D159" s="81" t="n"/>
      <c r="E159" s="81" t="n"/>
      <c r="F159" s="81" t="n"/>
    </row>
    <row r="160" ht="20" customHeight="1">
      <c r="A160" s="81" t="n"/>
      <c r="B160" s="82" t="n"/>
      <c r="C160" s="81" t="n"/>
      <c r="D160" s="81" t="n"/>
      <c r="E160" s="81" t="n"/>
      <c r="F160" s="81" t="n"/>
    </row>
    <row r="161" ht="20" customHeight="1">
      <c r="A161" s="81" t="n"/>
      <c r="B161" s="82" t="n"/>
      <c r="C161" s="81" t="n"/>
      <c r="D161" s="81" t="n"/>
      <c r="E161" s="81" t="n"/>
      <c r="F161" s="81" t="n"/>
    </row>
    <row r="162" ht="20" customHeight="1">
      <c r="A162" s="81" t="n"/>
      <c r="B162" s="82" t="n"/>
      <c r="C162" s="81" t="n"/>
      <c r="D162" s="81" t="n"/>
      <c r="E162" s="81" t="n"/>
      <c r="F162" s="81" t="n"/>
    </row>
    <row r="163" ht="20" customHeight="1">
      <c r="A163" s="81" t="n"/>
      <c r="B163" s="82" t="n"/>
      <c r="C163" s="81" t="n"/>
      <c r="D163" s="81" t="n"/>
      <c r="E163" s="81" t="n"/>
      <c r="F163" s="81" t="n"/>
    </row>
    <row r="164" ht="20" customHeight="1">
      <c r="A164" s="81" t="n"/>
      <c r="B164" s="82" t="n"/>
      <c r="C164" s="81" t="n"/>
      <c r="D164" s="81" t="n"/>
      <c r="E164" s="81" t="n"/>
      <c r="F164" s="81" t="n"/>
    </row>
    <row r="165" ht="20" customHeight="1">
      <c r="A165" s="81" t="n"/>
      <c r="B165" s="82" t="n"/>
      <c r="C165" s="81" t="n"/>
      <c r="D165" s="81" t="n"/>
      <c r="E165" s="81" t="n"/>
      <c r="F165" s="81" t="n"/>
    </row>
    <row r="166" ht="20" customHeight="1">
      <c r="A166" s="81" t="n"/>
      <c r="B166" s="82" t="n"/>
      <c r="C166" s="81" t="n"/>
      <c r="D166" s="81" t="n"/>
      <c r="E166" s="81" t="n"/>
      <c r="F166" s="81" t="n"/>
    </row>
    <row r="167" ht="20" customHeight="1">
      <c r="A167" s="81" t="n"/>
      <c r="B167" s="82" t="n"/>
      <c r="C167" s="81" t="n"/>
      <c r="D167" s="81" t="n"/>
      <c r="E167" s="81" t="n"/>
      <c r="F167" s="81" t="n"/>
    </row>
    <row r="168" ht="20" customHeight="1">
      <c r="A168" s="81" t="n"/>
      <c r="B168" s="82" t="n"/>
      <c r="C168" s="81" t="n"/>
      <c r="D168" s="81" t="n"/>
      <c r="E168" s="81" t="n"/>
      <c r="F168" s="81" t="n"/>
    </row>
    <row r="169" ht="20" customHeight="1">
      <c r="A169" s="81" t="n"/>
      <c r="B169" s="82" t="n"/>
      <c r="C169" s="81" t="n"/>
      <c r="D169" s="81" t="n"/>
      <c r="E169" s="81" t="n"/>
      <c r="F169" s="81" t="n"/>
    </row>
    <row r="170" ht="20" customHeight="1">
      <c r="A170" s="81" t="n"/>
      <c r="B170" s="82" t="n"/>
      <c r="C170" s="81" t="n"/>
      <c r="D170" s="81" t="n"/>
      <c r="E170" s="81" t="n"/>
      <c r="F170" s="81" t="n"/>
    </row>
    <row r="171" ht="20" customHeight="1">
      <c r="A171" s="81" t="n"/>
      <c r="B171" s="82" t="n"/>
      <c r="C171" s="81" t="n"/>
      <c r="D171" s="81" t="n"/>
      <c r="E171" s="81" t="n"/>
      <c r="F171" s="81" t="n"/>
    </row>
    <row r="172" ht="20" customHeight="1">
      <c r="A172" s="81" t="n"/>
      <c r="B172" s="82" t="n"/>
      <c r="C172" s="81" t="n"/>
      <c r="D172" s="81" t="n"/>
      <c r="E172" s="81" t="n"/>
      <c r="F172" s="81" t="n"/>
    </row>
    <row r="173" ht="20" customHeight="1">
      <c r="A173" s="81" t="n"/>
      <c r="B173" s="82" t="n"/>
      <c r="C173" s="81" t="n"/>
      <c r="D173" s="81" t="n"/>
      <c r="E173" s="81" t="n"/>
      <c r="F173" s="81" t="n"/>
    </row>
    <row r="174" ht="20" customHeight="1">
      <c r="A174" s="81" t="n"/>
      <c r="B174" s="82" t="n"/>
      <c r="C174" s="81" t="n"/>
      <c r="D174" s="81" t="n"/>
      <c r="E174" s="81" t="n"/>
      <c r="F174" s="81" t="n"/>
    </row>
    <row r="175" ht="20" customHeight="1">
      <c r="A175" s="81" t="n"/>
      <c r="B175" s="82" t="n"/>
      <c r="C175" s="81" t="n"/>
      <c r="D175" s="81" t="n"/>
      <c r="E175" s="81" t="n"/>
      <c r="F175" s="81" t="n"/>
    </row>
    <row r="176" ht="20" customHeight="1">
      <c r="A176" s="81" t="n"/>
      <c r="B176" s="82" t="n"/>
      <c r="C176" s="81" t="n"/>
      <c r="D176" s="81" t="n"/>
      <c r="E176" s="81" t="n"/>
      <c r="F176" s="81" t="n"/>
    </row>
    <row r="177" ht="20" customHeight="1">
      <c r="A177" s="81" t="n"/>
      <c r="B177" s="82" t="n"/>
      <c r="C177" s="81" t="n"/>
      <c r="D177" s="81" t="n"/>
      <c r="E177" s="81" t="n"/>
      <c r="F177" s="81" t="n"/>
    </row>
    <row r="178" ht="20" customHeight="1">
      <c r="A178" s="81" t="n"/>
      <c r="B178" s="82" t="n"/>
      <c r="C178" s="81" t="n"/>
      <c r="D178" s="81" t="n"/>
      <c r="E178" s="81" t="n"/>
      <c r="F178" s="81" t="n"/>
    </row>
    <row r="179" ht="20" customHeight="1">
      <c r="A179" s="81" t="n"/>
      <c r="B179" s="82" t="n"/>
      <c r="C179" s="81" t="n"/>
      <c r="D179" s="81" t="n"/>
      <c r="E179" s="81" t="n"/>
      <c r="F179" s="81" t="n"/>
    </row>
    <row r="180" ht="20" customHeight="1">
      <c r="A180" s="81" t="n"/>
      <c r="B180" s="82" t="n"/>
      <c r="C180" s="81" t="n"/>
      <c r="D180" s="81" t="n"/>
      <c r="E180" s="81" t="n"/>
      <c r="F180" s="81" t="n"/>
    </row>
    <row r="181" ht="20" customHeight="1">
      <c r="A181" s="81" t="n"/>
      <c r="B181" s="82" t="n"/>
      <c r="C181" s="81" t="n"/>
      <c r="D181" s="81" t="n"/>
      <c r="E181" s="81" t="n"/>
      <c r="F181" s="81" t="n"/>
    </row>
    <row r="182" ht="20" customHeight="1">
      <c r="A182" s="81" t="n"/>
      <c r="B182" s="82" t="n"/>
      <c r="C182" s="81" t="n"/>
      <c r="D182" s="81" t="n"/>
      <c r="E182" s="81" t="n"/>
      <c r="F182" s="81" t="n"/>
    </row>
    <row r="183" ht="20" customHeight="1">
      <c r="A183" s="81" t="n"/>
      <c r="B183" s="82" t="n"/>
      <c r="C183" s="81" t="n"/>
      <c r="D183" s="81" t="n"/>
      <c r="E183" s="81" t="n"/>
      <c r="F183" s="81" t="n"/>
    </row>
    <row r="184" ht="20" customHeight="1">
      <c r="A184" s="81" t="n"/>
      <c r="B184" s="82" t="n"/>
      <c r="C184" s="81" t="n"/>
      <c r="D184" s="81" t="n"/>
      <c r="E184" s="81" t="n"/>
      <c r="F184" s="81" t="n"/>
    </row>
    <row r="185" ht="20" customHeight="1">
      <c r="A185" s="81" t="n"/>
      <c r="B185" s="82" t="n"/>
      <c r="C185" s="81" t="n"/>
      <c r="D185" s="81" t="n"/>
      <c r="E185" s="81" t="n"/>
      <c r="F185" s="81" t="n"/>
    </row>
    <row r="186" ht="20" customHeight="1">
      <c r="A186" s="81" t="n"/>
      <c r="B186" s="82" t="n"/>
      <c r="C186" s="81" t="n"/>
      <c r="D186" s="81" t="n"/>
      <c r="E186" s="81" t="n"/>
      <c r="F186" s="81" t="n"/>
    </row>
    <row r="187" ht="20" customHeight="1">
      <c r="A187" s="81" t="n"/>
      <c r="B187" s="82" t="n"/>
      <c r="C187" s="81" t="n"/>
      <c r="D187" s="81" t="n"/>
      <c r="E187" s="81" t="n"/>
      <c r="F187" s="81" t="n"/>
    </row>
    <row r="188" ht="20" customHeight="1">
      <c r="A188" s="81" t="n"/>
      <c r="B188" s="82" t="n"/>
      <c r="C188" s="81" t="n"/>
      <c r="D188" s="81" t="n"/>
      <c r="E188" s="81" t="n"/>
      <c r="F188" s="81" t="n"/>
    </row>
    <row r="189" ht="20" customHeight="1">
      <c r="A189" s="81" t="n"/>
      <c r="B189" s="82" t="n"/>
      <c r="C189" s="81" t="n"/>
      <c r="D189" s="81" t="n"/>
      <c r="E189" s="81" t="n"/>
      <c r="F189" s="81" t="n"/>
    </row>
    <row r="190" ht="20" customHeight="1">
      <c r="A190" s="81" t="n"/>
      <c r="B190" s="82" t="n"/>
      <c r="C190" s="81" t="n"/>
      <c r="D190" s="81" t="n"/>
      <c r="E190" s="81" t="n"/>
      <c r="F190" s="81" t="n"/>
    </row>
    <row r="191" ht="20" customHeight="1">
      <c r="A191" s="81" t="n"/>
      <c r="B191" s="82" t="n"/>
      <c r="C191" s="81" t="n"/>
      <c r="D191" s="81" t="n"/>
      <c r="E191" s="81" t="n"/>
      <c r="F191" s="81" t="n"/>
    </row>
    <row r="192" ht="20" customHeight="1">
      <c r="A192" s="81" t="n"/>
      <c r="B192" s="82" t="n"/>
      <c r="C192" s="81" t="n"/>
      <c r="D192" s="81" t="n"/>
      <c r="E192" s="81" t="n"/>
      <c r="F192" s="81" t="n"/>
    </row>
    <row r="193" ht="20" customHeight="1">
      <c r="A193" s="81" t="n"/>
      <c r="B193" s="82" t="n"/>
      <c r="C193" s="81" t="n"/>
      <c r="D193" s="81" t="n"/>
      <c r="E193" s="81" t="n"/>
      <c r="F193" s="81" t="n"/>
    </row>
    <row r="194" ht="20" customHeight="1">
      <c r="A194" s="81" t="n"/>
      <c r="B194" s="82" t="n"/>
      <c r="C194" s="81" t="n"/>
      <c r="D194" s="81" t="n"/>
      <c r="E194" s="81" t="n"/>
      <c r="F194" s="81" t="n"/>
    </row>
    <row r="195" ht="20" customHeight="1">
      <c r="A195" s="81" t="n"/>
      <c r="B195" s="82" t="n"/>
      <c r="C195" s="81" t="n"/>
      <c r="D195" s="81" t="n"/>
      <c r="E195" s="81" t="n"/>
      <c r="F195" s="81" t="n"/>
    </row>
    <row r="196" ht="20" customHeight="1">
      <c r="A196" s="81" t="n"/>
      <c r="B196" s="82" t="n"/>
      <c r="C196" s="81" t="n"/>
      <c r="D196" s="81" t="n"/>
      <c r="E196" s="81" t="n"/>
      <c r="F196" s="81" t="n"/>
    </row>
    <row r="197" ht="20" customHeight="1">
      <c r="A197" s="81" t="n"/>
      <c r="B197" s="82" t="n"/>
      <c r="C197" s="81" t="n"/>
      <c r="D197" s="81" t="n"/>
      <c r="E197" s="81" t="n"/>
      <c r="F197" s="81" t="n"/>
    </row>
    <row r="198" ht="20" customHeight="1">
      <c r="A198" s="81" t="n"/>
      <c r="B198" s="82" t="n"/>
      <c r="C198" s="81" t="n"/>
      <c r="D198" s="81" t="n"/>
      <c r="E198" s="81" t="n"/>
      <c r="F198" s="81" t="n"/>
    </row>
    <row r="199" ht="20" customHeight="1">
      <c r="A199" s="81" t="n"/>
      <c r="B199" s="82" t="n"/>
      <c r="C199" s="81" t="n"/>
      <c r="D199" s="81" t="n"/>
      <c r="E199" s="81" t="n"/>
      <c r="F199" s="81" t="n"/>
    </row>
    <row r="200" ht="20" customHeight="1">
      <c r="A200" s="81" t="n"/>
      <c r="B200" s="82" t="n"/>
      <c r="C200" s="81" t="n"/>
      <c r="D200" s="81" t="n"/>
      <c r="E200" s="81" t="n"/>
      <c r="F200" s="81" t="n"/>
    </row>
    <row r="201" ht="20" customHeight="1">
      <c r="A201" s="81" t="n"/>
      <c r="B201" s="82" t="n"/>
      <c r="C201" s="81" t="n"/>
      <c r="D201" s="81" t="n"/>
      <c r="E201" s="81" t="n"/>
      <c r="F201" s="81" t="n"/>
    </row>
    <row r="202" ht="20" customHeight="1">
      <c r="A202" s="81" t="n"/>
      <c r="B202" s="82" t="n"/>
      <c r="C202" s="81" t="n"/>
      <c r="D202" s="81" t="n"/>
      <c r="E202" s="81" t="n"/>
      <c r="F202" s="81" t="n"/>
    </row>
    <row r="203" ht="20" customHeight="1">
      <c r="A203" s="81" t="n"/>
      <c r="B203" s="82" t="n"/>
      <c r="C203" s="81" t="n"/>
      <c r="D203" s="81" t="n"/>
      <c r="E203" s="81" t="n"/>
      <c r="F203" s="81" t="n"/>
    </row>
    <row r="204" ht="20" customHeight="1">
      <c r="A204" s="81" t="n"/>
      <c r="B204" s="82" t="n"/>
      <c r="C204" s="81" t="n"/>
      <c r="D204" s="81" t="n"/>
      <c r="E204" s="81" t="n"/>
      <c r="F204" s="81" t="n"/>
    </row>
    <row r="205" ht="20" customHeight="1"/>
    <row r="206" ht="20" customHeight="1"/>
  </sheetData>
  <mergeCells count="1">
    <mergeCell ref="A1:I1"/>
  </mergeCells>
  <dataValidations count="3">
    <dataValidation sqref="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showDropDown="0" showInputMessage="0" showErrorMessage="0" allowBlank="1" type="list">
      <formula1>"Player,Captain,Coach,Treasurer,Manager"</formula1>
    </dataValidation>
    <dataValidation sqref="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showDropDown="0" showInputMessage="0" showErrorMessage="0" allowBlank="1" type="list">
      <formula1>"Active,Inactive,Alumni"</formula1>
    </dataValidation>
    <dataValidation sqref="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showDropDown="0" showInputMessage="0" showErrorMessage="0" allowBlank="1" type="list">
      <formula1>"Paid,Unpaid,Partial,Waived"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04"/>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14" customWidth="1" min="3" max="3"/>
    <col width="16" customWidth="1" min="4" max="4"/>
    <col width="16" customWidth="1" min="5" max="5"/>
    <col width="16" customWidth="1" min="6" max="6"/>
    <col width="16" customWidth="1" min="7" max="7"/>
    <col width="20" customWidth="1" min="8" max="8"/>
    <col width="20" customWidth="1" min="9" max="9"/>
    <col width="20" customWidth="1" min="10" max="10"/>
  </cols>
  <sheetData>
    <row r="1" ht="38" customHeight="1">
      <c r="A1" s="76" t="inlineStr">
        <is>
          <t>EVENTS MASTER - All Team Events &amp; Costs</t>
        </is>
      </c>
      <c r="B1" s="106" t="n"/>
      <c r="C1" s="106" t="n"/>
      <c r="D1" s="106" t="n"/>
      <c r="E1" s="106" t="n"/>
      <c r="F1" s="106" t="n"/>
      <c r="G1" s="106" t="n"/>
      <c r="H1" s="106" t="n"/>
      <c r="I1" s="106" t="n"/>
      <c r="J1" s="107" t="n"/>
    </row>
    <row r="2" ht="14" customHeight="1"/>
    <row r="3" ht="22" customHeight="1"/>
    <row r="4" ht="22" customHeight="1">
      <c r="A4" s="78" t="inlineStr">
        <is>
          <t>Event Name</t>
        </is>
      </c>
      <c r="B4" s="78" t="inlineStr">
        <is>
          <t>Start Date</t>
        </is>
      </c>
      <c r="C4" s="78" t="inlineStr">
        <is>
          <t>End Date</t>
        </is>
      </c>
      <c r="D4" s="78" t="inlineStr">
        <is>
          <t>Category</t>
        </is>
      </c>
      <c r="E4" s="78" t="inlineStr">
        <is>
          <t>Location</t>
        </is>
      </c>
      <c r="F4" s="78" t="inlineStr">
        <is>
          <t>Budgeted Cost ($)</t>
        </is>
      </c>
      <c r="G4" s="78" t="inlineStr">
        <is>
          <t>Actual Cost ($)</t>
        </is>
      </c>
      <c r="H4" s="78" t="inlineStr">
        <is>
          <t>Who Paid Upfront</t>
        </is>
      </c>
      <c r="I4" s="78" t="inlineStr">
        <is>
          <t>Split Method</t>
        </is>
      </c>
      <c r="J4" s="78" t="inlineStr">
        <is>
          <t>Notes</t>
        </is>
      </c>
    </row>
    <row r="5" ht="8" customHeight="1">
      <c r="A5" s="79" t="inlineStr">
        <is>
          <t>Spring Kickoff Tournament</t>
        </is>
      </c>
      <c r="B5" s="83" t="inlineStr">
        <is>
          <t>03/15/2025</t>
        </is>
      </c>
      <c r="C5" s="79" t="n"/>
      <c r="D5" s="79" t="inlineStr">
        <is>
          <t>Tournament</t>
        </is>
      </c>
      <c r="E5" s="79" t="inlineStr">
        <is>
          <t>City Sports Complex</t>
        </is>
      </c>
      <c r="F5" s="80" t="n">
        <v>850</v>
      </c>
      <c r="G5" s="109">
        <f>IFERROR(SUMIFS(Transactions!$F$7:$F$1000,Transactions!$G$7:$G$1000,A5,Transactions!$D$7:$D$1000,"Expense"),0)</f>
        <v/>
      </c>
      <c r="H5" s="79" t="inlineStr">
        <is>
          <t>Coach Kim</t>
        </is>
      </c>
      <c r="I5" s="79" t="inlineStr">
        <is>
          <t>Equal Split</t>
        </is>
      </c>
      <c r="J5" s="79" t="inlineStr">
        <is>
          <t>Entry fee + field</t>
        </is>
      </c>
    </row>
    <row r="6" ht="22" customHeight="1">
      <c r="A6" s="79" t="inlineStr">
        <is>
          <t>Weekly Practice - Field Fee</t>
        </is>
      </c>
      <c r="B6" s="83" t="inlineStr">
        <is>
          <t>03/18/2025</t>
        </is>
      </c>
      <c r="C6" s="79" t="n"/>
      <c r="D6" s="79" t="inlineStr">
        <is>
          <t>Practice</t>
        </is>
      </c>
      <c r="E6" s="79" t="inlineStr">
        <is>
          <t>Riverside Park</t>
        </is>
      </c>
      <c r="F6" s="80" t="n">
        <v>60</v>
      </c>
      <c r="G6" s="109">
        <f>IFERROR(SUMIFS(Transactions!$F$7:$F$1000,Transactions!$G$7:$G$1000,A6,Transactions!$D$7:$D$1000,"Expense"),0)</f>
        <v/>
      </c>
      <c r="H6" s="79" t="inlineStr">
        <is>
          <t>Alex Johnson</t>
        </is>
      </c>
      <c r="I6" s="79" t="inlineStr">
        <is>
          <t>Equal Split</t>
        </is>
      </c>
      <c r="J6" s="79" t="inlineStr">
        <is>
          <t>$2/person</t>
        </is>
      </c>
    </row>
    <row r="7" ht="20" customHeight="1">
      <c r="A7" s="79" t="inlineStr">
        <is>
          <t>Hotel - Spring Tournament</t>
        </is>
      </c>
      <c r="B7" s="83" t="inlineStr">
        <is>
          <t>03/14/2025</t>
        </is>
      </c>
      <c r="C7" s="79" t="n"/>
      <c r="D7" s="79" t="inlineStr">
        <is>
          <t>Hotel</t>
        </is>
      </c>
      <c r="E7" s="79" t="inlineStr">
        <is>
          <t>Holiday Inn Downtown</t>
        </is>
      </c>
      <c r="F7" s="80" t="n">
        <v>1200</v>
      </c>
      <c r="G7" s="109">
        <f>IFERROR(SUMIFS(Transactions!$F$7:$F$1000,Transactions!$G$7:$G$1000,A7,Transactions!$D$7:$D$1000,"Expense"),0)</f>
        <v/>
      </c>
      <c r="H7" s="79" t="inlineStr">
        <is>
          <t>Sam Rivera</t>
        </is>
      </c>
      <c r="I7" s="79" t="inlineStr">
        <is>
          <t>Attendance</t>
        </is>
      </c>
      <c r="J7" s="79" t="inlineStr">
        <is>
          <t>2 nights</t>
        </is>
      </c>
    </row>
    <row r="8" ht="20" customHeight="1">
      <c r="A8" s="79" t="inlineStr">
        <is>
          <t>Travel - Spring Tournament</t>
        </is>
      </c>
      <c r="B8" s="83" t="inlineStr">
        <is>
          <t>03/14/2025</t>
        </is>
      </c>
      <c r="C8" s="79" t="n"/>
      <c r="D8" s="79" t="inlineStr">
        <is>
          <t>Travel</t>
        </is>
      </c>
      <c r="E8" s="79" t="n"/>
      <c r="F8" s="80" t="n">
        <v>300</v>
      </c>
      <c r="G8" s="109">
        <f>IFERROR(SUMIFS(Transactions!$F$7:$F$1000,Transactions!$G$7:$G$1000,A8,Transactions!$D$7:$D$1000,"Expense"),0)</f>
        <v/>
      </c>
      <c r="H8" s="79" t="inlineStr">
        <is>
          <t>Jordan Lee</t>
        </is>
      </c>
      <c r="I8" s="79" t="inlineStr">
        <is>
          <t>Equal Split</t>
        </is>
      </c>
      <c r="J8" s="79" t="inlineStr">
        <is>
          <t>Gas reimbursement</t>
        </is>
      </c>
    </row>
    <row r="9" ht="20" customHeight="1">
      <c r="A9" s="79" t="inlineStr">
        <is>
          <t>Car Wash Fundraiser</t>
        </is>
      </c>
      <c r="B9" s="83" t="inlineStr">
        <is>
          <t>03/22/2025</t>
        </is>
      </c>
      <c r="C9" s="79" t="n"/>
      <c r="D9" s="79" t="inlineStr">
        <is>
          <t>Fundraiser</t>
        </is>
      </c>
      <c r="E9" s="79" t="inlineStr">
        <is>
          <t>School Parking Lot</t>
        </is>
      </c>
      <c r="F9" s="80" t="n">
        <v>0</v>
      </c>
      <c r="G9" s="109">
        <f>IFERROR(SUMIFS(Transactions!$F$7:$F$1000,Transactions!$G$7:$G$1000,A9,Transactions!$D$7:$D$1000,"Expense"),0)</f>
        <v/>
      </c>
      <c r="H9" s="79" t="inlineStr">
        <is>
          <t>Team</t>
        </is>
      </c>
      <c r="I9" s="79" t="n"/>
      <c r="J9" s="79" t="inlineStr">
        <is>
          <t>Income event</t>
        </is>
      </c>
    </row>
    <row r="10" ht="20" customHeight="1">
      <c r="A10" s="79" t="inlineStr">
        <is>
          <t>Summer League Entry</t>
        </is>
      </c>
      <c r="B10" s="83" t="inlineStr">
        <is>
          <t>04/01/2025</t>
        </is>
      </c>
      <c r="C10" s="79" t="n"/>
      <c r="D10" s="79" t="inlineStr">
        <is>
          <t>Tournament</t>
        </is>
      </c>
      <c r="E10" s="79" t="n"/>
      <c r="F10" s="80" t="n">
        <v>600</v>
      </c>
      <c r="G10" s="109">
        <f>IFERROR(SUMIFS(Transactions!$F$7:$F$1000,Transactions!$G$7:$G$1000,A10,Transactions!$D$7:$D$1000,"Expense"),0)</f>
        <v/>
      </c>
      <c r="H10" s="79" t="inlineStr">
        <is>
          <t>Coach Kim</t>
        </is>
      </c>
      <c r="I10" s="79" t="inlineStr">
        <is>
          <t>Equal Split</t>
        </is>
      </c>
      <c r="J10" s="79" t="n"/>
    </row>
    <row r="11" ht="20" customHeight="1">
      <c r="A11" s="79" t="inlineStr">
        <is>
          <t>Practice Field - April</t>
        </is>
      </c>
      <c r="B11" s="83" t="inlineStr">
        <is>
          <t>04/05/2025</t>
        </is>
      </c>
      <c r="C11" s="79" t="n"/>
      <c r="D11" s="79" t="inlineStr">
        <is>
          <t>Practice</t>
        </is>
      </c>
      <c r="E11" s="79" t="inlineStr">
        <is>
          <t>Riverside Park</t>
        </is>
      </c>
      <c r="F11" s="80" t="n">
        <v>60</v>
      </c>
      <c r="G11" s="109">
        <f>IFERROR(SUMIFS(Transactions!$F$7:$F$1000,Transactions!$G$7:$G$1000,A11,Transactions!$D$7:$D$1000,"Expense"),0)</f>
        <v/>
      </c>
      <c r="H11" s="79" t="inlineStr">
        <is>
          <t>Taylor Smith</t>
        </is>
      </c>
      <c r="I11" s="79" t="inlineStr">
        <is>
          <t>Equal Split</t>
        </is>
      </c>
      <c r="J11" s="79" t="n"/>
    </row>
    <row r="12" ht="20" customHeight="1">
      <c r="A12" s="81" t="n"/>
      <c r="B12" s="84" t="n"/>
      <c r="C12" s="81" t="n"/>
      <c r="D12" s="81" t="n"/>
      <c r="E12" s="81" t="n"/>
      <c r="F12" s="82" t="n"/>
      <c r="G12" s="110">
        <f>IFERROR(SUMIFS(Transactions!$F$7:$F$1000,Transactions!$G$7:$G$1000,A12,Transactions!$D$7:$D$1000,"Expense"),0)</f>
        <v/>
      </c>
      <c r="H12" s="81" t="n"/>
      <c r="I12" s="81" t="n"/>
      <c r="J12" s="81" t="n"/>
    </row>
    <row r="13" ht="20" customHeight="1">
      <c r="A13" s="81" t="n"/>
      <c r="B13" s="84" t="n"/>
      <c r="C13" s="81" t="n"/>
      <c r="D13" s="81" t="n"/>
      <c r="E13" s="81" t="n"/>
      <c r="F13" s="82" t="n"/>
      <c r="G13" s="110">
        <f>IFERROR(SUMIFS(Transactions!$F$7:$F$1000,Transactions!$G$7:$G$1000,A13,Transactions!$D$7:$D$1000,"Expense"),0)</f>
        <v/>
      </c>
      <c r="H13" s="81" t="n"/>
      <c r="I13" s="81" t="n"/>
      <c r="J13" s="81" t="n"/>
    </row>
    <row r="14" ht="20" customHeight="1">
      <c r="A14" s="81" t="n"/>
      <c r="B14" s="84" t="n"/>
      <c r="C14" s="81" t="n"/>
      <c r="D14" s="81" t="n"/>
      <c r="E14" s="81" t="n"/>
      <c r="F14" s="82" t="n"/>
      <c r="G14" s="110">
        <f>IFERROR(SUMIFS(Transactions!$F$7:$F$1000,Transactions!$G$7:$G$1000,A14,Transactions!$D$7:$D$1000,"Expense"),0)</f>
        <v/>
      </c>
      <c r="H14" s="81" t="n"/>
      <c r="I14" s="81" t="n"/>
      <c r="J14" s="81" t="n"/>
    </row>
    <row r="15" ht="20" customHeight="1">
      <c r="A15" s="81" t="n"/>
      <c r="B15" s="84" t="n"/>
      <c r="C15" s="81" t="n"/>
      <c r="D15" s="81" t="n"/>
      <c r="E15" s="81" t="n"/>
      <c r="F15" s="82" t="n"/>
      <c r="G15" s="110">
        <f>IFERROR(SUMIFS(Transactions!$F$7:$F$1000,Transactions!$G$7:$G$1000,A15,Transactions!$D$7:$D$1000,"Expense"),0)</f>
        <v/>
      </c>
      <c r="H15" s="81" t="n"/>
      <c r="I15" s="81" t="n"/>
      <c r="J15" s="81" t="n"/>
    </row>
    <row r="16" ht="20" customHeight="1">
      <c r="A16" s="81" t="n"/>
      <c r="B16" s="84" t="n"/>
      <c r="C16" s="81" t="n"/>
      <c r="D16" s="81" t="n"/>
      <c r="E16" s="81" t="n"/>
      <c r="F16" s="82" t="n"/>
      <c r="G16" s="110">
        <f>IFERROR(SUMIFS(Transactions!$F$7:$F$1000,Transactions!$G$7:$G$1000,A16,Transactions!$D$7:$D$1000,"Expense"),0)</f>
        <v/>
      </c>
      <c r="H16" s="81" t="n"/>
      <c r="I16" s="81" t="n"/>
      <c r="J16" s="81" t="n"/>
    </row>
    <row r="17" ht="20" customHeight="1">
      <c r="A17" s="81" t="n"/>
      <c r="B17" s="84" t="n"/>
      <c r="C17" s="81" t="n"/>
      <c r="D17" s="81" t="n"/>
      <c r="E17" s="81" t="n"/>
      <c r="F17" s="82" t="n"/>
      <c r="G17" s="110">
        <f>IFERROR(SUMIFS(Transactions!$F$7:$F$1000,Transactions!$G$7:$G$1000,A17,Transactions!$D$7:$D$1000,"Expense"),0)</f>
        <v/>
      </c>
      <c r="H17" s="81" t="n"/>
      <c r="I17" s="81" t="n"/>
      <c r="J17" s="81" t="n"/>
    </row>
    <row r="18" ht="20" customHeight="1">
      <c r="A18" s="81" t="n"/>
      <c r="B18" s="84" t="n"/>
      <c r="C18" s="81" t="n"/>
      <c r="D18" s="81" t="n"/>
      <c r="E18" s="81" t="n"/>
      <c r="F18" s="82" t="n"/>
      <c r="G18" s="110">
        <f>IFERROR(SUMIFS(Transactions!$F$7:$F$1000,Transactions!$G$7:$G$1000,A18,Transactions!$D$7:$D$1000,"Expense"),0)</f>
        <v/>
      </c>
      <c r="H18" s="81" t="n"/>
      <c r="I18" s="81" t="n"/>
      <c r="J18" s="81" t="n"/>
    </row>
    <row r="19" ht="20" customHeight="1">
      <c r="A19" s="81" t="n"/>
      <c r="B19" s="84" t="n"/>
      <c r="C19" s="81" t="n"/>
      <c r="D19" s="81" t="n"/>
      <c r="E19" s="81" t="n"/>
      <c r="F19" s="82" t="n"/>
      <c r="G19" s="110">
        <f>IFERROR(SUMIFS(Transactions!$F$7:$F$1000,Transactions!$G$7:$G$1000,A19,Transactions!$D$7:$D$1000,"Expense"),0)</f>
        <v/>
      </c>
      <c r="H19" s="81" t="n"/>
      <c r="I19" s="81" t="n"/>
      <c r="J19" s="81" t="n"/>
    </row>
    <row r="20" ht="20" customHeight="1">
      <c r="A20" s="81" t="n"/>
      <c r="B20" s="84" t="n"/>
      <c r="C20" s="81" t="n"/>
      <c r="D20" s="81" t="n"/>
      <c r="E20" s="81" t="n"/>
      <c r="F20" s="82" t="n"/>
      <c r="G20" s="110">
        <f>IFERROR(SUMIFS(Transactions!$F$7:$F$1000,Transactions!$G$7:$G$1000,A20,Transactions!$D$7:$D$1000,"Expense"),0)</f>
        <v/>
      </c>
      <c r="H20" s="81" t="n"/>
      <c r="I20" s="81" t="n"/>
      <c r="J20" s="81" t="n"/>
    </row>
    <row r="21" ht="20" customHeight="1">
      <c r="A21" s="81" t="n"/>
      <c r="B21" s="84" t="n"/>
      <c r="C21" s="81" t="n"/>
      <c r="D21" s="81" t="n"/>
      <c r="E21" s="81" t="n"/>
      <c r="F21" s="82" t="n"/>
      <c r="G21" s="110">
        <f>IFERROR(SUMIFS(Transactions!$F$7:$F$1000,Transactions!$G$7:$G$1000,A21,Transactions!$D$7:$D$1000,"Expense"),0)</f>
        <v/>
      </c>
      <c r="H21" s="81" t="n"/>
      <c r="I21" s="81" t="n"/>
      <c r="J21" s="81" t="n"/>
    </row>
    <row r="22" ht="20" customHeight="1">
      <c r="A22" s="81" t="n"/>
      <c r="B22" s="84" t="n"/>
      <c r="C22" s="81" t="n"/>
      <c r="D22" s="81" t="n"/>
      <c r="E22" s="81" t="n"/>
      <c r="F22" s="82" t="n"/>
      <c r="G22" s="110">
        <f>IFERROR(SUMIFS(Transactions!$F$7:$F$1000,Transactions!$G$7:$G$1000,A22,Transactions!$D$7:$D$1000,"Expense"),0)</f>
        <v/>
      </c>
      <c r="H22" s="81" t="n"/>
      <c r="I22" s="81" t="n"/>
      <c r="J22" s="81" t="n"/>
    </row>
    <row r="23" ht="20" customHeight="1">
      <c r="A23" s="81" t="n"/>
      <c r="B23" s="84" t="n"/>
      <c r="C23" s="81" t="n"/>
      <c r="D23" s="81" t="n"/>
      <c r="E23" s="81" t="n"/>
      <c r="F23" s="82" t="n"/>
      <c r="G23" s="110">
        <f>IFERROR(SUMIFS(Transactions!$F$7:$F$1000,Transactions!$G$7:$G$1000,A23,Transactions!$D$7:$D$1000,"Expense"),0)</f>
        <v/>
      </c>
      <c r="H23" s="81" t="n"/>
      <c r="I23" s="81" t="n"/>
      <c r="J23" s="81" t="n"/>
    </row>
    <row r="24" ht="20" customHeight="1">
      <c r="A24" s="81" t="n"/>
      <c r="B24" s="84" t="n"/>
      <c r="C24" s="81" t="n"/>
      <c r="D24" s="81" t="n"/>
      <c r="E24" s="81" t="n"/>
      <c r="F24" s="82" t="n"/>
      <c r="G24" s="110">
        <f>IFERROR(SUMIFS(Transactions!$F$7:$F$1000,Transactions!$G$7:$G$1000,A24,Transactions!$D$7:$D$1000,"Expense"),0)</f>
        <v/>
      </c>
      <c r="H24" s="81" t="n"/>
      <c r="I24" s="81" t="n"/>
      <c r="J24" s="81" t="n"/>
    </row>
    <row r="25" ht="20" customHeight="1">
      <c r="A25" s="81" t="n"/>
      <c r="B25" s="84" t="n"/>
      <c r="C25" s="81" t="n"/>
      <c r="D25" s="81" t="n"/>
      <c r="E25" s="81" t="n"/>
      <c r="F25" s="82" t="n"/>
      <c r="G25" s="110">
        <f>IFERROR(SUMIFS(Transactions!$F$7:$F$1000,Transactions!$G$7:$G$1000,A25,Transactions!$D$7:$D$1000,"Expense"),0)</f>
        <v/>
      </c>
      <c r="H25" s="81" t="n"/>
      <c r="I25" s="81" t="n"/>
      <c r="J25" s="81" t="n"/>
    </row>
    <row r="26" ht="20" customHeight="1">
      <c r="A26" s="81" t="n"/>
      <c r="B26" s="84" t="n"/>
      <c r="C26" s="81" t="n"/>
      <c r="D26" s="81" t="n"/>
      <c r="E26" s="81" t="n"/>
      <c r="F26" s="82" t="n"/>
      <c r="G26" s="110">
        <f>IFERROR(SUMIFS(Transactions!$F$7:$F$1000,Transactions!$G$7:$G$1000,A26,Transactions!$D$7:$D$1000,"Expense"),0)</f>
        <v/>
      </c>
      <c r="H26" s="81" t="n"/>
      <c r="I26" s="81" t="n"/>
      <c r="J26" s="81" t="n"/>
    </row>
    <row r="27" ht="20" customHeight="1">
      <c r="A27" s="81" t="n"/>
      <c r="B27" s="84" t="n"/>
      <c r="C27" s="81" t="n"/>
      <c r="D27" s="81" t="n"/>
      <c r="E27" s="81" t="n"/>
      <c r="F27" s="82" t="n"/>
      <c r="G27" s="110">
        <f>IFERROR(SUMIFS(Transactions!$F$7:$F$1000,Transactions!$G$7:$G$1000,A27,Transactions!$D$7:$D$1000,"Expense"),0)</f>
        <v/>
      </c>
      <c r="H27" s="81" t="n"/>
      <c r="I27" s="81" t="n"/>
      <c r="J27" s="81" t="n"/>
    </row>
    <row r="28" ht="20" customHeight="1">
      <c r="A28" s="81" t="n"/>
      <c r="B28" s="84" t="n"/>
      <c r="C28" s="81" t="n"/>
      <c r="D28" s="81" t="n"/>
      <c r="E28" s="81" t="n"/>
      <c r="F28" s="82" t="n"/>
      <c r="G28" s="110">
        <f>IFERROR(SUMIFS(Transactions!$F$7:$F$1000,Transactions!$G$7:$G$1000,A28,Transactions!$D$7:$D$1000,"Expense"),0)</f>
        <v/>
      </c>
      <c r="H28" s="81" t="n"/>
      <c r="I28" s="81" t="n"/>
      <c r="J28" s="81" t="n"/>
    </row>
    <row r="29" ht="20" customHeight="1">
      <c r="A29" s="81" t="n"/>
      <c r="B29" s="84" t="n"/>
      <c r="C29" s="81" t="n"/>
      <c r="D29" s="81" t="n"/>
      <c r="E29" s="81" t="n"/>
      <c r="F29" s="82" t="n"/>
      <c r="G29" s="110">
        <f>IFERROR(SUMIFS(Transactions!$F$7:$F$1000,Transactions!$G$7:$G$1000,A29,Transactions!$D$7:$D$1000,"Expense"),0)</f>
        <v/>
      </c>
      <c r="H29" s="81" t="n"/>
      <c r="I29" s="81" t="n"/>
      <c r="J29" s="81" t="n"/>
    </row>
    <row r="30" ht="20" customHeight="1">
      <c r="A30" s="81" t="n"/>
      <c r="B30" s="84" t="n"/>
      <c r="C30" s="81" t="n"/>
      <c r="D30" s="81" t="n"/>
      <c r="E30" s="81" t="n"/>
      <c r="F30" s="82" t="n"/>
      <c r="G30" s="110">
        <f>IFERROR(SUMIFS(Transactions!$F$7:$F$1000,Transactions!$G$7:$G$1000,A30,Transactions!$D$7:$D$1000,"Expense"),0)</f>
        <v/>
      </c>
      <c r="H30" s="81" t="n"/>
      <c r="I30" s="81" t="n"/>
      <c r="J30" s="81" t="n"/>
    </row>
    <row r="31" ht="20" customHeight="1">
      <c r="A31" s="81" t="n"/>
      <c r="B31" s="84" t="n"/>
      <c r="C31" s="81" t="n"/>
      <c r="D31" s="81" t="n"/>
      <c r="E31" s="81" t="n"/>
      <c r="F31" s="82" t="n"/>
      <c r="G31" s="110">
        <f>IFERROR(SUMIFS(Transactions!$F$7:$F$1000,Transactions!$G$7:$G$1000,A31,Transactions!$D$7:$D$1000,"Expense"),0)</f>
        <v/>
      </c>
      <c r="H31" s="81" t="n"/>
      <c r="I31" s="81" t="n"/>
      <c r="J31" s="81" t="n"/>
    </row>
    <row r="32" ht="20" customHeight="1">
      <c r="A32" s="81" t="n"/>
      <c r="B32" s="84" t="n"/>
      <c r="C32" s="81" t="n"/>
      <c r="D32" s="81" t="n"/>
      <c r="E32" s="81" t="n"/>
      <c r="F32" s="82" t="n"/>
      <c r="G32" s="110">
        <f>IFERROR(SUMIFS(Transactions!$F$7:$F$1000,Transactions!$G$7:$G$1000,A32,Transactions!$D$7:$D$1000,"Expense"),0)</f>
        <v/>
      </c>
      <c r="H32" s="81" t="n"/>
      <c r="I32" s="81" t="n"/>
      <c r="J32" s="81" t="n"/>
    </row>
    <row r="33" ht="20" customHeight="1">
      <c r="A33" s="81" t="n"/>
      <c r="B33" s="84" t="n"/>
      <c r="C33" s="81" t="n"/>
      <c r="D33" s="81" t="n"/>
      <c r="E33" s="81" t="n"/>
      <c r="F33" s="82" t="n"/>
      <c r="G33" s="110">
        <f>IFERROR(SUMIFS(Transactions!$F$7:$F$1000,Transactions!$G$7:$G$1000,A33,Transactions!$D$7:$D$1000,"Expense"),0)</f>
        <v/>
      </c>
      <c r="H33" s="81" t="n"/>
      <c r="I33" s="81" t="n"/>
      <c r="J33" s="81" t="n"/>
    </row>
    <row r="34" ht="20" customHeight="1">
      <c r="A34" s="81" t="n"/>
      <c r="B34" s="84" t="n"/>
      <c r="C34" s="81" t="n"/>
      <c r="D34" s="81" t="n"/>
      <c r="E34" s="81" t="n"/>
      <c r="F34" s="82" t="n"/>
      <c r="G34" s="110">
        <f>IFERROR(SUMIFS(Transactions!$F$7:$F$1000,Transactions!$G$7:$G$1000,A34,Transactions!$D$7:$D$1000,"Expense"),0)</f>
        <v/>
      </c>
      <c r="H34" s="81" t="n"/>
      <c r="I34" s="81" t="n"/>
      <c r="J34" s="81" t="n"/>
    </row>
    <row r="35" ht="20" customHeight="1">
      <c r="A35" s="81" t="n"/>
      <c r="B35" s="84" t="n"/>
      <c r="C35" s="81" t="n"/>
      <c r="D35" s="81" t="n"/>
      <c r="E35" s="81" t="n"/>
      <c r="F35" s="82" t="n"/>
      <c r="G35" s="110">
        <f>IFERROR(SUMIFS(Transactions!$F$7:$F$1000,Transactions!$G$7:$G$1000,A35,Transactions!$D$7:$D$1000,"Expense"),0)</f>
        <v/>
      </c>
      <c r="H35" s="81" t="n"/>
      <c r="I35" s="81" t="n"/>
      <c r="J35" s="81" t="n"/>
    </row>
    <row r="36" ht="20" customHeight="1">
      <c r="A36" s="81" t="n"/>
      <c r="B36" s="84" t="n"/>
      <c r="C36" s="81" t="n"/>
      <c r="D36" s="81" t="n"/>
      <c r="E36" s="81" t="n"/>
      <c r="F36" s="82" t="n"/>
      <c r="G36" s="110">
        <f>IFERROR(SUMIFS(Transactions!$F$7:$F$1000,Transactions!$G$7:$G$1000,A36,Transactions!$D$7:$D$1000,"Expense"),0)</f>
        <v/>
      </c>
      <c r="H36" s="81" t="n"/>
      <c r="I36" s="81" t="n"/>
      <c r="J36" s="81" t="n"/>
    </row>
    <row r="37" ht="20" customHeight="1">
      <c r="A37" s="81" t="n"/>
      <c r="B37" s="84" t="n"/>
      <c r="C37" s="81" t="n"/>
      <c r="D37" s="81" t="n"/>
      <c r="E37" s="81" t="n"/>
      <c r="F37" s="82" t="n"/>
      <c r="G37" s="110">
        <f>IFERROR(SUMIFS(Transactions!$F$7:$F$1000,Transactions!$G$7:$G$1000,A37,Transactions!$D$7:$D$1000,"Expense"),0)</f>
        <v/>
      </c>
      <c r="H37" s="81" t="n"/>
      <c r="I37" s="81" t="n"/>
      <c r="J37" s="81" t="n"/>
    </row>
    <row r="38" ht="20" customHeight="1">
      <c r="A38" s="81" t="n"/>
      <c r="B38" s="84" t="n"/>
      <c r="C38" s="81" t="n"/>
      <c r="D38" s="81" t="n"/>
      <c r="E38" s="81" t="n"/>
      <c r="F38" s="82" t="n"/>
      <c r="G38" s="110">
        <f>IFERROR(SUMIFS(Transactions!$F$7:$F$1000,Transactions!$G$7:$G$1000,A38,Transactions!$D$7:$D$1000,"Expense"),0)</f>
        <v/>
      </c>
      <c r="H38" s="81" t="n"/>
      <c r="I38" s="81" t="n"/>
      <c r="J38" s="81" t="n"/>
    </row>
    <row r="39" ht="20" customHeight="1">
      <c r="A39" s="81" t="n"/>
      <c r="B39" s="84" t="n"/>
      <c r="C39" s="81" t="n"/>
      <c r="D39" s="81" t="n"/>
      <c r="E39" s="81" t="n"/>
      <c r="F39" s="82" t="n"/>
      <c r="G39" s="110">
        <f>IFERROR(SUMIFS(Transactions!$F$7:$F$1000,Transactions!$G$7:$G$1000,A39,Transactions!$D$7:$D$1000,"Expense"),0)</f>
        <v/>
      </c>
      <c r="H39" s="81" t="n"/>
      <c r="I39" s="81" t="n"/>
      <c r="J39" s="81" t="n"/>
    </row>
    <row r="40" ht="20" customHeight="1">
      <c r="A40" s="81" t="n"/>
      <c r="B40" s="84" t="n"/>
      <c r="C40" s="81" t="n"/>
      <c r="D40" s="81" t="n"/>
      <c r="E40" s="81" t="n"/>
      <c r="F40" s="82" t="n"/>
      <c r="G40" s="110">
        <f>IFERROR(SUMIFS(Transactions!$F$7:$F$1000,Transactions!$G$7:$G$1000,A40,Transactions!$D$7:$D$1000,"Expense"),0)</f>
        <v/>
      </c>
      <c r="H40" s="81" t="n"/>
      <c r="I40" s="81" t="n"/>
      <c r="J40" s="81" t="n"/>
    </row>
    <row r="41" ht="20" customHeight="1">
      <c r="A41" s="81" t="n"/>
      <c r="B41" s="84" t="n"/>
      <c r="C41" s="81" t="n"/>
      <c r="D41" s="81" t="n"/>
      <c r="E41" s="81" t="n"/>
      <c r="F41" s="82" t="n"/>
      <c r="G41" s="110">
        <f>IFERROR(SUMIFS(Transactions!$F$7:$F$1000,Transactions!$G$7:$G$1000,A41,Transactions!$D$7:$D$1000,"Expense"),0)</f>
        <v/>
      </c>
      <c r="H41" s="81" t="n"/>
      <c r="I41" s="81" t="n"/>
      <c r="J41" s="81" t="n"/>
    </row>
    <row r="42" ht="20" customHeight="1">
      <c r="A42" s="81" t="n"/>
      <c r="B42" s="84" t="n"/>
      <c r="C42" s="81" t="n"/>
      <c r="D42" s="81" t="n"/>
      <c r="E42" s="81" t="n"/>
      <c r="F42" s="82" t="n"/>
      <c r="G42" s="110">
        <f>IFERROR(SUMIFS(Transactions!$F$7:$F$1000,Transactions!$G$7:$G$1000,A42,Transactions!$D$7:$D$1000,"Expense"),0)</f>
        <v/>
      </c>
      <c r="H42" s="81" t="n"/>
      <c r="I42" s="81" t="n"/>
      <c r="J42" s="81" t="n"/>
    </row>
    <row r="43" ht="20" customHeight="1">
      <c r="A43" s="81" t="n"/>
      <c r="B43" s="84" t="n"/>
      <c r="C43" s="81" t="n"/>
      <c r="D43" s="81" t="n"/>
      <c r="E43" s="81" t="n"/>
      <c r="F43" s="82" t="n"/>
      <c r="G43" s="110">
        <f>IFERROR(SUMIFS(Transactions!$F$7:$F$1000,Transactions!$G$7:$G$1000,A43,Transactions!$D$7:$D$1000,"Expense"),0)</f>
        <v/>
      </c>
      <c r="H43" s="81" t="n"/>
      <c r="I43" s="81" t="n"/>
      <c r="J43" s="81" t="n"/>
    </row>
    <row r="44" ht="20" customHeight="1">
      <c r="A44" s="81" t="n"/>
      <c r="B44" s="84" t="n"/>
      <c r="C44" s="81" t="n"/>
      <c r="D44" s="81" t="n"/>
      <c r="E44" s="81" t="n"/>
      <c r="F44" s="82" t="n"/>
      <c r="G44" s="110">
        <f>IFERROR(SUMIFS(Transactions!$F$7:$F$1000,Transactions!$G$7:$G$1000,A44,Transactions!$D$7:$D$1000,"Expense"),0)</f>
        <v/>
      </c>
      <c r="H44" s="81" t="n"/>
      <c r="I44" s="81" t="n"/>
      <c r="J44" s="81" t="n"/>
    </row>
    <row r="45" ht="20" customHeight="1">
      <c r="A45" s="81" t="n"/>
      <c r="B45" s="84" t="n"/>
      <c r="C45" s="81" t="n"/>
      <c r="D45" s="81" t="n"/>
      <c r="E45" s="81" t="n"/>
      <c r="F45" s="82" t="n"/>
      <c r="G45" s="110">
        <f>IFERROR(SUMIFS(Transactions!$F$7:$F$1000,Transactions!$G$7:$G$1000,A45,Transactions!$D$7:$D$1000,"Expense"),0)</f>
        <v/>
      </c>
      <c r="H45" s="81" t="n"/>
      <c r="I45" s="81" t="n"/>
      <c r="J45" s="81" t="n"/>
    </row>
    <row r="46" ht="20" customHeight="1">
      <c r="A46" s="81" t="n"/>
      <c r="B46" s="84" t="n"/>
      <c r="C46" s="81" t="n"/>
      <c r="D46" s="81" t="n"/>
      <c r="E46" s="81" t="n"/>
      <c r="F46" s="82" t="n"/>
      <c r="G46" s="110">
        <f>IFERROR(SUMIFS(Transactions!$F$7:$F$1000,Transactions!$G$7:$G$1000,A46,Transactions!$D$7:$D$1000,"Expense"),0)</f>
        <v/>
      </c>
      <c r="H46" s="81" t="n"/>
      <c r="I46" s="81" t="n"/>
      <c r="J46" s="81" t="n"/>
    </row>
    <row r="47" ht="20" customHeight="1">
      <c r="A47" s="81" t="n"/>
      <c r="B47" s="84" t="n"/>
      <c r="C47" s="81" t="n"/>
      <c r="D47" s="81" t="n"/>
      <c r="E47" s="81" t="n"/>
      <c r="F47" s="82" t="n"/>
      <c r="G47" s="110">
        <f>IFERROR(SUMIFS(Transactions!$F$7:$F$1000,Transactions!$G$7:$G$1000,A47,Transactions!$D$7:$D$1000,"Expense"),0)</f>
        <v/>
      </c>
      <c r="H47" s="81" t="n"/>
      <c r="I47" s="81" t="n"/>
      <c r="J47" s="81" t="n"/>
    </row>
    <row r="48" ht="20" customHeight="1">
      <c r="A48" s="81" t="n"/>
      <c r="B48" s="84" t="n"/>
      <c r="C48" s="81" t="n"/>
      <c r="D48" s="81" t="n"/>
      <c r="E48" s="81" t="n"/>
      <c r="F48" s="82" t="n"/>
      <c r="G48" s="110">
        <f>IFERROR(SUMIFS(Transactions!$F$7:$F$1000,Transactions!$G$7:$G$1000,A48,Transactions!$D$7:$D$1000,"Expense"),0)</f>
        <v/>
      </c>
      <c r="H48" s="81" t="n"/>
      <c r="I48" s="81" t="n"/>
      <c r="J48" s="81" t="n"/>
    </row>
    <row r="49" ht="20" customHeight="1">
      <c r="A49" s="81" t="n"/>
      <c r="B49" s="84" t="n"/>
      <c r="C49" s="81" t="n"/>
      <c r="D49" s="81" t="n"/>
      <c r="E49" s="81" t="n"/>
      <c r="F49" s="82" t="n"/>
      <c r="G49" s="110">
        <f>IFERROR(SUMIFS(Transactions!$F$7:$F$1000,Transactions!$G$7:$G$1000,A49,Transactions!$D$7:$D$1000,"Expense"),0)</f>
        <v/>
      </c>
      <c r="H49" s="81" t="n"/>
      <c r="I49" s="81" t="n"/>
      <c r="J49" s="81" t="n"/>
    </row>
    <row r="50" ht="20" customHeight="1">
      <c r="A50" s="81" t="n"/>
      <c r="B50" s="84" t="n"/>
      <c r="C50" s="81" t="n"/>
      <c r="D50" s="81" t="n"/>
      <c r="E50" s="81" t="n"/>
      <c r="F50" s="82" t="n"/>
      <c r="G50" s="110">
        <f>IFERROR(SUMIFS(Transactions!$F$7:$F$1000,Transactions!$G$7:$G$1000,A50,Transactions!$D$7:$D$1000,"Expense"),0)</f>
        <v/>
      </c>
      <c r="H50" s="81" t="n"/>
      <c r="I50" s="81" t="n"/>
      <c r="J50" s="81" t="n"/>
    </row>
    <row r="51" ht="20" customHeight="1">
      <c r="A51" s="81" t="n"/>
      <c r="B51" s="84" t="n"/>
      <c r="C51" s="81" t="n"/>
      <c r="D51" s="81" t="n"/>
      <c r="E51" s="81" t="n"/>
      <c r="F51" s="82" t="n"/>
      <c r="G51" s="110">
        <f>IFERROR(SUMIFS(Transactions!$F$7:$F$1000,Transactions!$G$7:$G$1000,A51,Transactions!$D$7:$D$1000,"Expense"),0)</f>
        <v/>
      </c>
      <c r="H51" s="81" t="n"/>
      <c r="I51" s="81" t="n"/>
      <c r="J51" s="81" t="n"/>
    </row>
    <row r="52" ht="20" customHeight="1">
      <c r="A52" s="81" t="n"/>
      <c r="B52" s="84" t="n"/>
      <c r="C52" s="81" t="n"/>
      <c r="D52" s="81" t="n"/>
      <c r="E52" s="81" t="n"/>
      <c r="F52" s="82" t="n"/>
      <c r="G52" s="110">
        <f>IFERROR(SUMIFS(Transactions!$F$7:$F$1000,Transactions!$G$7:$G$1000,A52,Transactions!$D$7:$D$1000,"Expense"),0)</f>
        <v/>
      </c>
      <c r="H52" s="81" t="n"/>
      <c r="I52" s="81" t="n"/>
      <c r="J52" s="81" t="n"/>
    </row>
    <row r="53" ht="20" customHeight="1">
      <c r="A53" s="81" t="n"/>
      <c r="B53" s="84" t="n"/>
      <c r="C53" s="81" t="n"/>
      <c r="D53" s="81" t="n"/>
      <c r="E53" s="81" t="n"/>
      <c r="F53" s="82" t="n"/>
      <c r="G53" s="110">
        <f>IFERROR(SUMIFS(Transactions!$F$7:$F$1000,Transactions!$G$7:$G$1000,A53,Transactions!$D$7:$D$1000,"Expense"),0)</f>
        <v/>
      </c>
      <c r="H53" s="81" t="n"/>
      <c r="I53" s="81" t="n"/>
      <c r="J53" s="81" t="n"/>
    </row>
    <row r="54" ht="20" customHeight="1">
      <c r="A54" s="81" t="n"/>
      <c r="B54" s="84" t="n"/>
      <c r="C54" s="81" t="n"/>
      <c r="D54" s="81" t="n"/>
      <c r="E54" s="81" t="n"/>
      <c r="F54" s="82" t="n"/>
      <c r="G54" s="110">
        <f>IFERROR(SUMIFS(Transactions!$F$7:$F$1000,Transactions!$G$7:$G$1000,A54,Transactions!$D$7:$D$1000,"Expense"),0)</f>
        <v/>
      </c>
      <c r="H54" s="81" t="n"/>
      <c r="I54" s="81" t="n"/>
      <c r="J54" s="81" t="n"/>
    </row>
    <row r="55" ht="20" customHeight="1">
      <c r="A55" s="81" t="n"/>
      <c r="B55" s="84" t="n"/>
      <c r="C55" s="81" t="n"/>
      <c r="D55" s="81" t="n"/>
      <c r="E55" s="81" t="n"/>
      <c r="F55" s="82" t="n"/>
      <c r="G55" s="110">
        <f>IFERROR(SUMIFS(Transactions!$F$7:$F$1000,Transactions!$G$7:$G$1000,A55,Transactions!$D$7:$D$1000,"Expense"),0)</f>
        <v/>
      </c>
      <c r="H55" s="81" t="n"/>
      <c r="I55" s="81" t="n"/>
      <c r="J55" s="81" t="n"/>
    </row>
    <row r="56" ht="20" customHeight="1">
      <c r="A56" s="81" t="n"/>
      <c r="B56" s="84" t="n"/>
      <c r="C56" s="81" t="n"/>
      <c r="D56" s="81" t="n"/>
      <c r="E56" s="81" t="n"/>
      <c r="F56" s="82" t="n"/>
      <c r="G56" s="110">
        <f>IFERROR(SUMIFS(Transactions!$F$7:$F$1000,Transactions!$G$7:$G$1000,A56,Transactions!$D$7:$D$1000,"Expense"),0)</f>
        <v/>
      </c>
      <c r="H56" s="81" t="n"/>
      <c r="I56" s="81" t="n"/>
      <c r="J56" s="81" t="n"/>
    </row>
    <row r="57" ht="20" customHeight="1">
      <c r="A57" s="81" t="n"/>
      <c r="B57" s="84" t="n"/>
      <c r="C57" s="81" t="n"/>
      <c r="D57" s="81" t="n"/>
      <c r="E57" s="81" t="n"/>
      <c r="F57" s="82" t="n"/>
      <c r="G57" s="110">
        <f>IFERROR(SUMIFS(Transactions!$F$7:$F$1000,Transactions!$G$7:$G$1000,A57,Transactions!$D$7:$D$1000,"Expense"),0)</f>
        <v/>
      </c>
      <c r="H57" s="81" t="n"/>
      <c r="I57" s="81" t="n"/>
      <c r="J57" s="81" t="n"/>
    </row>
    <row r="58" ht="20" customHeight="1">
      <c r="A58" s="81" t="n"/>
      <c r="B58" s="84" t="n"/>
      <c r="C58" s="81" t="n"/>
      <c r="D58" s="81" t="n"/>
      <c r="E58" s="81" t="n"/>
      <c r="F58" s="82" t="n"/>
      <c r="G58" s="110">
        <f>IFERROR(SUMIFS(Transactions!$F$7:$F$1000,Transactions!$G$7:$G$1000,A58,Transactions!$D$7:$D$1000,"Expense"),0)</f>
        <v/>
      </c>
      <c r="H58" s="81" t="n"/>
      <c r="I58" s="81" t="n"/>
      <c r="J58" s="81" t="n"/>
    </row>
    <row r="59" ht="20" customHeight="1">
      <c r="A59" s="81" t="n"/>
      <c r="B59" s="84" t="n"/>
      <c r="C59" s="81" t="n"/>
      <c r="D59" s="81" t="n"/>
      <c r="E59" s="81" t="n"/>
      <c r="F59" s="82" t="n"/>
      <c r="G59" s="110">
        <f>IFERROR(SUMIFS(Transactions!$F$7:$F$1000,Transactions!$G$7:$G$1000,A59,Transactions!$D$7:$D$1000,"Expense"),0)</f>
        <v/>
      </c>
      <c r="H59" s="81" t="n"/>
      <c r="I59" s="81" t="n"/>
      <c r="J59" s="81" t="n"/>
    </row>
    <row r="60" ht="20" customHeight="1">
      <c r="A60" s="81" t="n"/>
      <c r="B60" s="84" t="n"/>
      <c r="C60" s="81" t="n"/>
      <c r="D60" s="81" t="n"/>
      <c r="E60" s="81" t="n"/>
      <c r="F60" s="82" t="n"/>
      <c r="G60" s="110">
        <f>IFERROR(SUMIFS(Transactions!$F$7:$F$1000,Transactions!$G$7:$G$1000,A60,Transactions!$D$7:$D$1000,"Expense"),0)</f>
        <v/>
      </c>
      <c r="H60" s="81" t="n"/>
      <c r="I60" s="81" t="n"/>
      <c r="J60" s="81" t="n"/>
    </row>
    <row r="61" ht="20" customHeight="1">
      <c r="A61" s="81" t="n"/>
      <c r="B61" s="84" t="n"/>
      <c r="C61" s="81" t="n"/>
      <c r="D61" s="81" t="n"/>
      <c r="E61" s="81" t="n"/>
      <c r="F61" s="82" t="n"/>
      <c r="G61" s="110">
        <f>IFERROR(SUMIFS(Transactions!$F$7:$F$1000,Transactions!$G$7:$G$1000,A61,Transactions!$D$7:$D$1000,"Expense"),0)</f>
        <v/>
      </c>
      <c r="H61" s="81" t="n"/>
      <c r="I61" s="81" t="n"/>
      <c r="J61" s="81" t="n"/>
    </row>
    <row r="62" ht="20" customHeight="1">
      <c r="A62" s="81" t="n"/>
      <c r="B62" s="84" t="n"/>
      <c r="C62" s="81" t="n"/>
      <c r="D62" s="81" t="n"/>
      <c r="E62" s="81" t="n"/>
      <c r="F62" s="82" t="n"/>
      <c r="G62" s="110">
        <f>IFERROR(SUMIFS(Transactions!$F$7:$F$1000,Transactions!$G$7:$G$1000,A62,Transactions!$D$7:$D$1000,"Expense"),0)</f>
        <v/>
      </c>
      <c r="H62" s="81" t="n"/>
      <c r="I62" s="81" t="n"/>
      <c r="J62" s="81" t="n"/>
    </row>
    <row r="63" ht="20" customHeight="1">
      <c r="A63" s="81" t="n"/>
      <c r="B63" s="84" t="n"/>
      <c r="C63" s="81" t="n"/>
      <c r="D63" s="81" t="n"/>
      <c r="E63" s="81" t="n"/>
      <c r="F63" s="82" t="n"/>
      <c r="G63" s="110">
        <f>IFERROR(SUMIFS(Transactions!$F$7:$F$1000,Transactions!$G$7:$G$1000,A63,Transactions!$D$7:$D$1000,"Expense"),0)</f>
        <v/>
      </c>
      <c r="H63" s="81" t="n"/>
      <c r="I63" s="81" t="n"/>
      <c r="J63" s="81" t="n"/>
    </row>
    <row r="64" ht="20" customHeight="1">
      <c r="A64" s="81" t="n"/>
      <c r="B64" s="84" t="n"/>
      <c r="C64" s="81" t="n"/>
      <c r="D64" s="81" t="n"/>
      <c r="E64" s="81" t="n"/>
      <c r="F64" s="82" t="n"/>
      <c r="G64" s="110">
        <f>IFERROR(SUMIFS(Transactions!$F$7:$F$1000,Transactions!$G$7:$G$1000,A64,Transactions!$D$7:$D$1000,"Expense"),0)</f>
        <v/>
      </c>
      <c r="H64" s="81" t="n"/>
      <c r="I64" s="81" t="n"/>
      <c r="J64" s="81" t="n"/>
    </row>
    <row r="65" ht="20" customHeight="1">
      <c r="A65" s="81" t="n"/>
      <c r="B65" s="84" t="n"/>
      <c r="C65" s="81" t="n"/>
      <c r="D65" s="81" t="n"/>
      <c r="E65" s="81" t="n"/>
      <c r="F65" s="82" t="n"/>
      <c r="G65" s="110">
        <f>IFERROR(SUMIFS(Transactions!$F$7:$F$1000,Transactions!$G$7:$G$1000,A65,Transactions!$D$7:$D$1000,"Expense"),0)</f>
        <v/>
      </c>
      <c r="H65" s="81" t="n"/>
      <c r="I65" s="81" t="n"/>
      <c r="J65" s="81" t="n"/>
    </row>
    <row r="66" ht="20" customHeight="1">
      <c r="A66" s="81" t="n"/>
      <c r="B66" s="84" t="n"/>
      <c r="C66" s="81" t="n"/>
      <c r="D66" s="81" t="n"/>
      <c r="E66" s="81" t="n"/>
      <c r="F66" s="82" t="n"/>
      <c r="G66" s="110">
        <f>IFERROR(SUMIFS(Transactions!$F$7:$F$1000,Transactions!$G$7:$G$1000,A66,Transactions!$D$7:$D$1000,"Expense"),0)</f>
        <v/>
      </c>
      <c r="H66" s="81" t="n"/>
      <c r="I66" s="81" t="n"/>
      <c r="J66" s="81" t="n"/>
    </row>
    <row r="67" ht="20" customHeight="1">
      <c r="A67" s="81" t="n"/>
      <c r="B67" s="84" t="n"/>
      <c r="C67" s="81" t="n"/>
      <c r="D67" s="81" t="n"/>
      <c r="E67" s="81" t="n"/>
      <c r="F67" s="82" t="n"/>
      <c r="G67" s="110">
        <f>IFERROR(SUMIFS(Transactions!$F$7:$F$1000,Transactions!$G$7:$G$1000,A67,Transactions!$D$7:$D$1000,"Expense"),0)</f>
        <v/>
      </c>
      <c r="H67" s="81" t="n"/>
      <c r="I67" s="81" t="n"/>
      <c r="J67" s="81" t="n"/>
    </row>
    <row r="68" ht="20" customHeight="1">
      <c r="A68" s="81" t="n"/>
      <c r="B68" s="84" t="n"/>
      <c r="C68" s="81" t="n"/>
      <c r="D68" s="81" t="n"/>
      <c r="E68" s="81" t="n"/>
      <c r="F68" s="82" t="n"/>
      <c r="G68" s="110">
        <f>IFERROR(SUMIFS(Transactions!$F$7:$F$1000,Transactions!$G$7:$G$1000,A68,Transactions!$D$7:$D$1000,"Expense"),0)</f>
        <v/>
      </c>
      <c r="H68" s="81" t="n"/>
      <c r="I68" s="81" t="n"/>
      <c r="J68" s="81" t="n"/>
    </row>
    <row r="69" ht="20" customHeight="1">
      <c r="A69" s="81" t="n"/>
      <c r="B69" s="84" t="n"/>
      <c r="C69" s="81" t="n"/>
      <c r="D69" s="81" t="n"/>
      <c r="E69" s="81" t="n"/>
      <c r="F69" s="82" t="n"/>
      <c r="G69" s="110">
        <f>IFERROR(SUMIFS(Transactions!$F$7:$F$1000,Transactions!$G$7:$G$1000,A69,Transactions!$D$7:$D$1000,"Expense"),0)</f>
        <v/>
      </c>
      <c r="H69" s="81" t="n"/>
      <c r="I69" s="81" t="n"/>
      <c r="J69" s="81" t="n"/>
    </row>
    <row r="70" ht="20" customHeight="1">
      <c r="A70" s="81" t="n"/>
      <c r="B70" s="84" t="n"/>
      <c r="C70" s="81" t="n"/>
      <c r="D70" s="81" t="n"/>
      <c r="E70" s="81" t="n"/>
      <c r="F70" s="82" t="n"/>
      <c r="G70" s="110">
        <f>IFERROR(SUMIFS(Transactions!$F$7:$F$1000,Transactions!$G$7:$G$1000,A70,Transactions!$D$7:$D$1000,"Expense"),0)</f>
        <v/>
      </c>
      <c r="H70" s="81" t="n"/>
      <c r="I70" s="81" t="n"/>
      <c r="J70" s="81" t="n"/>
    </row>
    <row r="71" ht="20" customHeight="1">
      <c r="A71" s="81" t="n"/>
      <c r="B71" s="84" t="n"/>
      <c r="C71" s="81" t="n"/>
      <c r="D71" s="81" t="n"/>
      <c r="E71" s="81" t="n"/>
      <c r="F71" s="82" t="n"/>
      <c r="G71" s="110">
        <f>IFERROR(SUMIFS(Transactions!$F$7:$F$1000,Transactions!$G$7:$G$1000,A71,Transactions!$D$7:$D$1000,"Expense"),0)</f>
        <v/>
      </c>
      <c r="H71" s="81" t="n"/>
      <c r="I71" s="81" t="n"/>
      <c r="J71" s="81" t="n"/>
    </row>
    <row r="72" ht="20" customHeight="1">
      <c r="A72" s="81" t="n"/>
      <c r="B72" s="84" t="n"/>
      <c r="C72" s="81" t="n"/>
      <c r="D72" s="81" t="n"/>
      <c r="E72" s="81" t="n"/>
      <c r="F72" s="82" t="n"/>
      <c r="G72" s="110">
        <f>IFERROR(SUMIFS(Transactions!$F$7:$F$1000,Transactions!$G$7:$G$1000,A72,Transactions!$D$7:$D$1000,"Expense"),0)</f>
        <v/>
      </c>
      <c r="H72" s="81" t="n"/>
      <c r="I72" s="81" t="n"/>
      <c r="J72" s="81" t="n"/>
    </row>
    <row r="73" ht="20" customHeight="1">
      <c r="A73" s="81" t="n"/>
      <c r="B73" s="84" t="n"/>
      <c r="C73" s="81" t="n"/>
      <c r="D73" s="81" t="n"/>
      <c r="E73" s="81" t="n"/>
      <c r="F73" s="82" t="n"/>
      <c r="G73" s="110">
        <f>IFERROR(SUMIFS(Transactions!$F$7:$F$1000,Transactions!$G$7:$G$1000,A73,Transactions!$D$7:$D$1000,"Expense"),0)</f>
        <v/>
      </c>
      <c r="H73" s="81" t="n"/>
      <c r="I73" s="81" t="n"/>
      <c r="J73" s="81" t="n"/>
    </row>
    <row r="74" ht="20" customHeight="1">
      <c r="A74" s="81" t="n"/>
      <c r="B74" s="84" t="n"/>
      <c r="C74" s="81" t="n"/>
      <c r="D74" s="81" t="n"/>
      <c r="E74" s="81" t="n"/>
      <c r="F74" s="82" t="n"/>
      <c r="G74" s="110">
        <f>IFERROR(SUMIFS(Transactions!$F$7:$F$1000,Transactions!$G$7:$G$1000,A74,Transactions!$D$7:$D$1000,"Expense"),0)</f>
        <v/>
      </c>
      <c r="H74" s="81" t="n"/>
      <c r="I74" s="81" t="n"/>
      <c r="J74" s="81" t="n"/>
    </row>
    <row r="75" ht="20" customHeight="1">
      <c r="A75" s="81" t="n"/>
      <c r="B75" s="84" t="n"/>
      <c r="C75" s="81" t="n"/>
      <c r="D75" s="81" t="n"/>
      <c r="E75" s="81" t="n"/>
      <c r="F75" s="82" t="n"/>
      <c r="G75" s="110">
        <f>IFERROR(SUMIFS(Transactions!$F$7:$F$1000,Transactions!$G$7:$G$1000,A75,Transactions!$D$7:$D$1000,"Expense"),0)</f>
        <v/>
      </c>
      <c r="H75" s="81" t="n"/>
      <c r="I75" s="81" t="n"/>
      <c r="J75" s="81" t="n"/>
    </row>
    <row r="76" ht="20" customHeight="1">
      <c r="A76" s="81" t="n"/>
      <c r="B76" s="84" t="n"/>
      <c r="C76" s="81" t="n"/>
      <c r="D76" s="81" t="n"/>
      <c r="E76" s="81" t="n"/>
      <c r="F76" s="82" t="n"/>
      <c r="G76" s="110">
        <f>IFERROR(SUMIFS(Transactions!$F$7:$F$1000,Transactions!$G$7:$G$1000,A76,Transactions!$D$7:$D$1000,"Expense"),0)</f>
        <v/>
      </c>
      <c r="H76" s="81" t="n"/>
      <c r="I76" s="81" t="n"/>
      <c r="J76" s="81" t="n"/>
    </row>
    <row r="77" ht="20" customHeight="1">
      <c r="A77" s="81" t="n"/>
      <c r="B77" s="84" t="n"/>
      <c r="C77" s="81" t="n"/>
      <c r="D77" s="81" t="n"/>
      <c r="E77" s="81" t="n"/>
      <c r="F77" s="82" t="n"/>
      <c r="G77" s="110">
        <f>IFERROR(SUMIFS(Transactions!$F$7:$F$1000,Transactions!$G$7:$G$1000,A77,Transactions!$D$7:$D$1000,"Expense"),0)</f>
        <v/>
      </c>
      <c r="H77" s="81" t="n"/>
      <c r="I77" s="81" t="n"/>
      <c r="J77" s="81" t="n"/>
    </row>
    <row r="78" ht="20" customHeight="1">
      <c r="A78" s="81" t="n"/>
      <c r="B78" s="84" t="n"/>
      <c r="C78" s="81" t="n"/>
      <c r="D78" s="81" t="n"/>
      <c r="E78" s="81" t="n"/>
      <c r="F78" s="82" t="n"/>
      <c r="G78" s="110">
        <f>IFERROR(SUMIFS(Transactions!$F$7:$F$1000,Transactions!$G$7:$G$1000,A78,Transactions!$D$7:$D$1000,"Expense"),0)</f>
        <v/>
      </c>
      <c r="H78" s="81" t="n"/>
      <c r="I78" s="81" t="n"/>
      <c r="J78" s="81" t="n"/>
    </row>
    <row r="79" ht="20" customHeight="1">
      <c r="A79" s="81" t="n"/>
      <c r="B79" s="84" t="n"/>
      <c r="C79" s="81" t="n"/>
      <c r="D79" s="81" t="n"/>
      <c r="E79" s="81" t="n"/>
      <c r="F79" s="82" t="n"/>
      <c r="G79" s="110">
        <f>IFERROR(SUMIFS(Transactions!$F$7:$F$1000,Transactions!$G$7:$G$1000,A79,Transactions!$D$7:$D$1000,"Expense"),0)</f>
        <v/>
      </c>
      <c r="H79" s="81" t="n"/>
      <c r="I79" s="81" t="n"/>
      <c r="J79" s="81" t="n"/>
    </row>
    <row r="80" ht="20" customHeight="1">
      <c r="A80" s="81" t="n"/>
      <c r="B80" s="84" t="n"/>
      <c r="C80" s="81" t="n"/>
      <c r="D80" s="81" t="n"/>
      <c r="E80" s="81" t="n"/>
      <c r="F80" s="82" t="n"/>
      <c r="G80" s="110">
        <f>IFERROR(SUMIFS(Transactions!$F$7:$F$1000,Transactions!$G$7:$G$1000,A80,Transactions!$D$7:$D$1000,"Expense"),0)</f>
        <v/>
      </c>
      <c r="H80" s="81" t="n"/>
      <c r="I80" s="81" t="n"/>
      <c r="J80" s="81" t="n"/>
    </row>
    <row r="81" ht="20" customHeight="1">
      <c r="A81" s="81" t="n"/>
      <c r="B81" s="84" t="n"/>
      <c r="C81" s="81" t="n"/>
      <c r="D81" s="81" t="n"/>
      <c r="E81" s="81" t="n"/>
      <c r="F81" s="82" t="n"/>
      <c r="G81" s="110">
        <f>IFERROR(SUMIFS(Transactions!$F$7:$F$1000,Transactions!$G$7:$G$1000,A81,Transactions!$D$7:$D$1000,"Expense"),0)</f>
        <v/>
      </c>
      <c r="H81" s="81" t="n"/>
      <c r="I81" s="81" t="n"/>
      <c r="J81" s="81" t="n"/>
    </row>
    <row r="82" ht="20" customHeight="1">
      <c r="A82" s="81" t="n"/>
      <c r="B82" s="84" t="n"/>
      <c r="C82" s="81" t="n"/>
      <c r="D82" s="81" t="n"/>
      <c r="E82" s="81" t="n"/>
      <c r="F82" s="82" t="n"/>
      <c r="G82" s="110">
        <f>IFERROR(SUMIFS(Transactions!$F$7:$F$1000,Transactions!$G$7:$G$1000,A82,Transactions!$D$7:$D$1000,"Expense"),0)</f>
        <v/>
      </c>
      <c r="H82" s="81" t="n"/>
      <c r="I82" s="81" t="n"/>
      <c r="J82" s="81" t="n"/>
    </row>
    <row r="83" ht="20" customHeight="1">
      <c r="A83" s="81" t="n"/>
      <c r="B83" s="84" t="n"/>
      <c r="C83" s="81" t="n"/>
      <c r="D83" s="81" t="n"/>
      <c r="E83" s="81" t="n"/>
      <c r="F83" s="82" t="n"/>
      <c r="G83" s="110">
        <f>IFERROR(SUMIFS(Transactions!$F$7:$F$1000,Transactions!$G$7:$G$1000,A83,Transactions!$D$7:$D$1000,"Expense"),0)</f>
        <v/>
      </c>
      <c r="H83" s="81" t="n"/>
      <c r="I83" s="81" t="n"/>
      <c r="J83" s="81" t="n"/>
    </row>
    <row r="84" ht="20" customHeight="1">
      <c r="A84" s="81" t="n"/>
      <c r="B84" s="84" t="n"/>
      <c r="C84" s="81" t="n"/>
      <c r="D84" s="81" t="n"/>
      <c r="E84" s="81" t="n"/>
      <c r="F84" s="82" t="n"/>
      <c r="G84" s="110">
        <f>IFERROR(SUMIFS(Transactions!$F$7:$F$1000,Transactions!$G$7:$G$1000,A84,Transactions!$D$7:$D$1000,"Expense"),0)</f>
        <v/>
      </c>
      <c r="H84" s="81" t="n"/>
      <c r="I84" s="81" t="n"/>
      <c r="J84" s="81" t="n"/>
    </row>
    <row r="85" ht="20" customHeight="1">
      <c r="A85" s="81" t="n"/>
      <c r="B85" s="84" t="n"/>
      <c r="C85" s="81" t="n"/>
      <c r="D85" s="81" t="n"/>
      <c r="E85" s="81" t="n"/>
      <c r="F85" s="82" t="n"/>
      <c r="G85" s="110">
        <f>IFERROR(SUMIFS(Transactions!$F$7:$F$1000,Transactions!$G$7:$G$1000,A85,Transactions!$D$7:$D$1000,"Expense"),0)</f>
        <v/>
      </c>
      <c r="H85" s="81" t="n"/>
      <c r="I85" s="81" t="n"/>
      <c r="J85" s="81" t="n"/>
    </row>
    <row r="86" ht="20" customHeight="1">
      <c r="A86" s="81" t="n"/>
      <c r="B86" s="84" t="n"/>
      <c r="C86" s="81" t="n"/>
      <c r="D86" s="81" t="n"/>
      <c r="E86" s="81" t="n"/>
      <c r="F86" s="82" t="n"/>
      <c r="G86" s="110">
        <f>IFERROR(SUMIFS(Transactions!$F$7:$F$1000,Transactions!$G$7:$G$1000,A86,Transactions!$D$7:$D$1000,"Expense"),0)</f>
        <v/>
      </c>
      <c r="H86" s="81" t="n"/>
      <c r="I86" s="81" t="n"/>
      <c r="J86" s="81" t="n"/>
    </row>
    <row r="87" ht="20" customHeight="1">
      <c r="A87" s="81" t="n"/>
      <c r="B87" s="84" t="n"/>
      <c r="C87" s="81" t="n"/>
      <c r="D87" s="81" t="n"/>
      <c r="E87" s="81" t="n"/>
      <c r="F87" s="82" t="n"/>
      <c r="G87" s="110">
        <f>IFERROR(SUMIFS(Transactions!$F$7:$F$1000,Transactions!$G$7:$G$1000,A87,Transactions!$D$7:$D$1000,"Expense"),0)</f>
        <v/>
      </c>
      <c r="H87" s="81" t="n"/>
      <c r="I87" s="81" t="n"/>
      <c r="J87" s="81" t="n"/>
    </row>
    <row r="88" ht="20" customHeight="1">
      <c r="A88" s="81" t="n"/>
      <c r="B88" s="84" t="n"/>
      <c r="C88" s="81" t="n"/>
      <c r="D88" s="81" t="n"/>
      <c r="E88" s="81" t="n"/>
      <c r="F88" s="82" t="n"/>
      <c r="G88" s="110">
        <f>IFERROR(SUMIFS(Transactions!$F$7:$F$1000,Transactions!$G$7:$G$1000,A88,Transactions!$D$7:$D$1000,"Expense"),0)</f>
        <v/>
      </c>
      <c r="H88" s="81" t="n"/>
      <c r="I88" s="81" t="n"/>
      <c r="J88" s="81" t="n"/>
    </row>
    <row r="89" ht="20" customHeight="1">
      <c r="A89" s="81" t="n"/>
      <c r="B89" s="84" t="n"/>
      <c r="C89" s="81" t="n"/>
      <c r="D89" s="81" t="n"/>
      <c r="E89" s="81" t="n"/>
      <c r="F89" s="82" t="n"/>
      <c r="G89" s="110">
        <f>IFERROR(SUMIFS(Transactions!$F$7:$F$1000,Transactions!$G$7:$G$1000,A89,Transactions!$D$7:$D$1000,"Expense"),0)</f>
        <v/>
      </c>
      <c r="H89" s="81" t="n"/>
      <c r="I89" s="81" t="n"/>
      <c r="J89" s="81" t="n"/>
    </row>
    <row r="90" ht="20" customHeight="1">
      <c r="A90" s="81" t="n"/>
      <c r="B90" s="84" t="n"/>
      <c r="C90" s="81" t="n"/>
      <c r="D90" s="81" t="n"/>
      <c r="E90" s="81" t="n"/>
      <c r="F90" s="82" t="n"/>
      <c r="G90" s="110">
        <f>IFERROR(SUMIFS(Transactions!$F$7:$F$1000,Transactions!$G$7:$G$1000,A90,Transactions!$D$7:$D$1000,"Expense"),0)</f>
        <v/>
      </c>
      <c r="H90" s="81" t="n"/>
      <c r="I90" s="81" t="n"/>
      <c r="J90" s="81" t="n"/>
    </row>
    <row r="91" ht="20" customHeight="1">
      <c r="A91" s="81" t="n"/>
      <c r="B91" s="84" t="n"/>
      <c r="C91" s="81" t="n"/>
      <c r="D91" s="81" t="n"/>
      <c r="E91" s="81" t="n"/>
      <c r="F91" s="82" t="n"/>
      <c r="G91" s="110">
        <f>IFERROR(SUMIFS(Transactions!$F$7:$F$1000,Transactions!$G$7:$G$1000,A91,Transactions!$D$7:$D$1000,"Expense"),0)</f>
        <v/>
      </c>
      <c r="H91" s="81" t="n"/>
      <c r="I91" s="81" t="n"/>
      <c r="J91" s="81" t="n"/>
    </row>
    <row r="92" ht="20" customHeight="1">
      <c r="A92" s="81" t="n"/>
      <c r="B92" s="84" t="n"/>
      <c r="C92" s="81" t="n"/>
      <c r="D92" s="81" t="n"/>
      <c r="E92" s="81" t="n"/>
      <c r="F92" s="82" t="n"/>
      <c r="G92" s="110">
        <f>IFERROR(SUMIFS(Transactions!$F$7:$F$1000,Transactions!$G$7:$G$1000,A92,Transactions!$D$7:$D$1000,"Expense"),0)</f>
        <v/>
      </c>
      <c r="H92" s="81" t="n"/>
      <c r="I92" s="81" t="n"/>
      <c r="J92" s="81" t="n"/>
    </row>
    <row r="93" ht="20" customHeight="1">
      <c r="A93" s="81" t="n"/>
      <c r="B93" s="84" t="n"/>
      <c r="C93" s="81" t="n"/>
      <c r="D93" s="81" t="n"/>
      <c r="E93" s="81" t="n"/>
      <c r="F93" s="82" t="n"/>
      <c r="G93" s="110">
        <f>IFERROR(SUMIFS(Transactions!$F$7:$F$1000,Transactions!$G$7:$G$1000,A93,Transactions!$D$7:$D$1000,"Expense"),0)</f>
        <v/>
      </c>
      <c r="H93" s="81" t="n"/>
      <c r="I93" s="81" t="n"/>
      <c r="J93" s="81" t="n"/>
    </row>
    <row r="94" ht="20" customHeight="1">
      <c r="A94" s="81" t="n"/>
      <c r="B94" s="84" t="n"/>
      <c r="C94" s="81" t="n"/>
      <c r="D94" s="81" t="n"/>
      <c r="E94" s="81" t="n"/>
      <c r="F94" s="82" t="n"/>
      <c r="G94" s="110">
        <f>IFERROR(SUMIFS(Transactions!$F$7:$F$1000,Transactions!$G$7:$G$1000,A94,Transactions!$D$7:$D$1000,"Expense"),0)</f>
        <v/>
      </c>
      <c r="H94" s="81" t="n"/>
      <c r="I94" s="81" t="n"/>
      <c r="J94" s="81" t="n"/>
    </row>
    <row r="95" ht="20" customHeight="1">
      <c r="A95" s="81" t="n"/>
      <c r="B95" s="84" t="n"/>
      <c r="C95" s="81" t="n"/>
      <c r="D95" s="81" t="n"/>
      <c r="E95" s="81" t="n"/>
      <c r="F95" s="82" t="n"/>
      <c r="G95" s="110">
        <f>IFERROR(SUMIFS(Transactions!$F$7:$F$1000,Transactions!$G$7:$G$1000,A95,Transactions!$D$7:$D$1000,"Expense"),0)</f>
        <v/>
      </c>
      <c r="H95" s="81" t="n"/>
      <c r="I95" s="81" t="n"/>
      <c r="J95" s="81" t="n"/>
    </row>
    <row r="96" ht="20" customHeight="1">
      <c r="A96" s="81" t="n"/>
      <c r="B96" s="84" t="n"/>
      <c r="C96" s="81" t="n"/>
      <c r="D96" s="81" t="n"/>
      <c r="E96" s="81" t="n"/>
      <c r="F96" s="82" t="n"/>
      <c r="G96" s="110">
        <f>IFERROR(SUMIFS(Transactions!$F$7:$F$1000,Transactions!$G$7:$G$1000,A96,Transactions!$D$7:$D$1000,"Expense"),0)</f>
        <v/>
      </c>
      <c r="H96" s="81" t="n"/>
      <c r="I96" s="81" t="n"/>
      <c r="J96" s="81" t="n"/>
    </row>
    <row r="97" ht="20" customHeight="1">
      <c r="A97" s="81" t="n"/>
      <c r="B97" s="84" t="n"/>
      <c r="C97" s="81" t="n"/>
      <c r="D97" s="81" t="n"/>
      <c r="E97" s="81" t="n"/>
      <c r="F97" s="82" t="n"/>
      <c r="G97" s="110">
        <f>IFERROR(SUMIFS(Transactions!$F$7:$F$1000,Transactions!$G$7:$G$1000,A97,Transactions!$D$7:$D$1000,"Expense"),0)</f>
        <v/>
      </c>
      <c r="H97" s="81" t="n"/>
      <c r="I97" s="81" t="n"/>
      <c r="J97" s="81" t="n"/>
    </row>
    <row r="98" ht="20" customHeight="1">
      <c r="A98" s="81" t="n"/>
      <c r="B98" s="84" t="n"/>
      <c r="C98" s="81" t="n"/>
      <c r="D98" s="81" t="n"/>
      <c r="E98" s="81" t="n"/>
      <c r="F98" s="82" t="n"/>
      <c r="G98" s="110">
        <f>IFERROR(SUMIFS(Transactions!$F$7:$F$1000,Transactions!$G$7:$G$1000,A98,Transactions!$D$7:$D$1000,"Expense"),0)</f>
        <v/>
      </c>
      <c r="H98" s="81" t="n"/>
      <c r="I98" s="81" t="n"/>
      <c r="J98" s="81" t="n"/>
    </row>
    <row r="99" ht="20" customHeight="1">
      <c r="A99" s="81" t="n"/>
      <c r="B99" s="84" t="n"/>
      <c r="C99" s="81" t="n"/>
      <c r="D99" s="81" t="n"/>
      <c r="E99" s="81" t="n"/>
      <c r="F99" s="82" t="n"/>
      <c r="G99" s="110">
        <f>IFERROR(SUMIFS(Transactions!$F$7:$F$1000,Transactions!$G$7:$G$1000,A99,Transactions!$D$7:$D$1000,"Expense"),0)</f>
        <v/>
      </c>
      <c r="H99" s="81" t="n"/>
      <c r="I99" s="81" t="n"/>
      <c r="J99" s="81" t="n"/>
    </row>
    <row r="100" ht="20" customHeight="1">
      <c r="A100" s="81" t="n"/>
      <c r="B100" s="84" t="n"/>
      <c r="C100" s="81" t="n"/>
      <c r="D100" s="81" t="n"/>
      <c r="E100" s="81" t="n"/>
      <c r="F100" s="82" t="n"/>
      <c r="G100" s="110">
        <f>IFERROR(SUMIFS(Transactions!$F$7:$F$1000,Transactions!$G$7:$G$1000,A100,Transactions!$D$7:$D$1000,"Expense"),0)</f>
        <v/>
      </c>
      <c r="H100" s="81" t="n"/>
      <c r="I100" s="81" t="n"/>
      <c r="J100" s="81" t="n"/>
    </row>
    <row r="101" ht="20" customHeight="1">
      <c r="A101" s="81" t="n"/>
      <c r="B101" s="84" t="n"/>
      <c r="C101" s="81" t="n"/>
      <c r="D101" s="81" t="n"/>
      <c r="E101" s="81" t="n"/>
      <c r="F101" s="82" t="n"/>
      <c r="G101" s="110">
        <f>IFERROR(SUMIFS(Transactions!$F$7:$F$1000,Transactions!$G$7:$G$1000,A101,Transactions!$D$7:$D$1000,"Expense"),0)</f>
        <v/>
      </c>
      <c r="H101" s="81" t="n"/>
      <c r="I101" s="81" t="n"/>
      <c r="J101" s="81" t="n"/>
    </row>
    <row r="102" ht="20" customHeight="1">
      <c r="A102" s="81" t="n"/>
      <c r="B102" s="84" t="n"/>
      <c r="C102" s="81" t="n"/>
      <c r="D102" s="81" t="n"/>
      <c r="E102" s="81" t="n"/>
      <c r="F102" s="82" t="n"/>
      <c r="G102" s="110">
        <f>IFERROR(SUMIFS(Transactions!$F$7:$F$1000,Transactions!$G$7:$G$1000,A102,Transactions!$D$7:$D$1000,"Expense"),0)</f>
        <v/>
      </c>
      <c r="H102" s="81" t="n"/>
      <c r="I102" s="81" t="n"/>
      <c r="J102" s="81" t="n"/>
    </row>
    <row r="103" ht="20" customHeight="1">
      <c r="A103" s="81" t="n"/>
      <c r="B103" s="84" t="n"/>
      <c r="C103" s="81" t="n"/>
      <c r="D103" s="81" t="n"/>
      <c r="E103" s="81" t="n"/>
      <c r="F103" s="82" t="n"/>
      <c r="G103" s="110">
        <f>IFERROR(SUMIFS(Transactions!$F$7:$F$1000,Transactions!$G$7:$G$1000,A103,Transactions!$D$7:$D$1000,"Expense"),0)</f>
        <v/>
      </c>
      <c r="H103" s="81" t="n"/>
      <c r="I103" s="81" t="n"/>
      <c r="J103" s="81" t="n"/>
    </row>
    <row r="104" ht="20" customHeight="1">
      <c r="A104" s="81" t="n"/>
      <c r="B104" s="84" t="n"/>
      <c r="C104" s="81" t="n"/>
      <c r="D104" s="81" t="n"/>
      <c r="E104" s="81" t="n"/>
      <c r="F104" s="82" t="n"/>
      <c r="G104" s="110">
        <f>IFERROR(SUMIFS(Transactions!$F$7:$F$1000,Transactions!$G$7:$G$1000,A104,Transactions!$D$7:$D$1000,"Expense"),0)</f>
        <v/>
      </c>
      <c r="H104" s="81" t="n"/>
      <c r="I104" s="81" t="n"/>
      <c r="J104" s="81" t="n"/>
    </row>
    <row r="105" ht="20" customHeight="1">
      <c r="A105" s="81" t="n"/>
      <c r="B105" s="84" t="n"/>
      <c r="C105" s="81" t="n"/>
      <c r="D105" s="81" t="n"/>
      <c r="E105" s="81" t="n"/>
      <c r="F105" s="82" t="n"/>
      <c r="G105" s="110">
        <f>IFERROR(SUMIFS(Transactions!$F$7:$F$1000,Transactions!$G$7:$G$1000,A105,Transactions!$D$7:$D$1000,"Expense"),0)</f>
        <v/>
      </c>
      <c r="H105" s="81" t="n"/>
      <c r="I105" s="81" t="n"/>
      <c r="J105" s="81" t="n"/>
    </row>
    <row r="106" ht="20" customHeight="1">
      <c r="A106" s="81" t="n"/>
      <c r="B106" s="84" t="n"/>
      <c r="C106" s="81" t="n"/>
      <c r="D106" s="81" t="n"/>
      <c r="E106" s="81" t="n"/>
      <c r="F106" s="82" t="n"/>
      <c r="G106" s="110">
        <f>IFERROR(SUMIFS(Transactions!$F$7:$F$1000,Transactions!$G$7:$G$1000,A106,Transactions!$D$7:$D$1000,"Expense"),0)</f>
        <v/>
      </c>
      <c r="H106" s="81" t="n"/>
      <c r="I106" s="81" t="n"/>
      <c r="J106" s="81" t="n"/>
    </row>
    <row r="107" ht="20" customHeight="1">
      <c r="A107" s="81" t="n"/>
      <c r="B107" s="84" t="n"/>
      <c r="C107" s="81" t="n"/>
      <c r="D107" s="81" t="n"/>
      <c r="E107" s="81" t="n"/>
      <c r="F107" s="82" t="n"/>
      <c r="G107" s="110">
        <f>IFERROR(SUMIFS(Transactions!$F$7:$F$1000,Transactions!$G$7:$G$1000,A107,Transactions!$D$7:$D$1000,"Expense"),0)</f>
        <v/>
      </c>
      <c r="H107" s="81" t="n"/>
      <c r="I107" s="81" t="n"/>
      <c r="J107" s="81" t="n"/>
    </row>
    <row r="108" ht="20" customHeight="1">
      <c r="A108" s="81" t="n"/>
      <c r="B108" s="84" t="n"/>
      <c r="C108" s="81" t="n"/>
      <c r="D108" s="81" t="n"/>
      <c r="E108" s="81" t="n"/>
      <c r="F108" s="82" t="n"/>
      <c r="G108" s="110">
        <f>IFERROR(SUMIFS(Transactions!$F$7:$F$1000,Transactions!$G$7:$G$1000,A108,Transactions!$D$7:$D$1000,"Expense"),0)</f>
        <v/>
      </c>
      <c r="H108" s="81" t="n"/>
      <c r="I108" s="81" t="n"/>
      <c r="J108" s="81" t="n"/>
    </row>
    <row r="109" ht="20" customHeight="1">
      <c r="A109" s="81" t="n"/>
      <c r="B109" s="84" t="n"/>
      <c r="C109" s="81" t="n"/>
      <c r="D109" s="81" t="n"/>
      <c r="E109" s="81" t="n"/>
      <c r="F109" s="82" t="n"/>
      <c r="G109" s="110">
        <f>IFERROR(SUMIFS(Transactions!$F$7:$F$1000,Transactions!$G$7:$G$1000,A109,Transactions!$D$7:$D$1000,"Expense"),0)</f>
        <v/>
      </c>
      <c r="H109" s="81" t="n"/>
      <c r="I109" s="81" t="n"/>
      <c r="J109" s="81" t="n"/>
    </row>
    <row r="110" ht="20" customHeight="1">
      <c r="A110" s="81" t="n"/>
      <c r="B110" s="84" t="n"/>
      <c r="C110" s="81" t="n"/>
      <c r="D110" s="81" t="n"/>
      <c r="E110" s="81" t="n"/>
      <c r="F110" s="82" t="n"/>
      <c r="G110" s="110">
        <f>IFERROR(SUMIFS(Transactions!$F$7:$F$1000,Transactions!$G$7:$G$1000,A110,Transactions!$D$7:$D$1000,"Expense"),0)</f>
        <v/>
      </c>
      <c r="H110" s="81" t="n"/>
      <c r="I110" s="81" t="n"/>
      <c r="J110" s="81" t="n"/>
    </row>
    <row r="111" ht="20" customHeight="1">
      <c r="A111" s="81" t="n"/>
      <c r="B111" s="84" t="n"/>
      <c r="C111" s="81" t="n"/>
      <c r="D111" s="81" t="n"/>
      <c r="E111" s="81" t="n"/>
      <c r="F111" s="82" t="n"/>
      <c r="G111" s="110">
        <f>IFERROR(SUMIFS(Transactions!$F$7:$F$1000,Transactions!$G$7:$G$1000,A111,Transactions!$D$7:$D$1000,"Expense"),0)</f>
        <v/>
      </c>
      <c r="H111" s="81" t="n"/>
      <c r="I111" s="81" t="n"/>
      <c r="J111" s="81" t="n"/>
    </row>
    <row r="112" ht="20" customHeight="1">
      <c r="A112" s="81" t="n"/>
      <c r="B112" s="84" t="n"/>
      <c r="C112" s="81" t="n"/>
      <c r="D112" s="81" t="n"/>
      <c r="E112" s="81" t="n"/>
      <c r="F112" s="82" t="n"/>
      <c r="G112" s="110">
        <f>IFERROR(SUMIFS(Transactions!$F$7:$F$1000,Transactions!$G$7:$G$1000,A112,Transactions!$D$7:$D$1000,"Expense"),0)</f>
        <v/>
      </c>
      <c r="H112" s="81" t="n"/>
      <c r="I112" s="81" t="n"/>
      <c r="J112" s="81" t="n"/>
    </row>
    <row r="113" ht="20" customHeight="1">
      <c r="A113" s="81" t="n"/>
      <c r="B113" s="84" t="n"/>
      <c r="C113" s="81" t="n"/>
      <c r="D113" s="81" t="n"/>
      <c r="E113" s="81" t="n"/>
      <c r="F113" s="82" t="n"/>
      <c r="G113" s="110">
        <f>IFERROR(SUMIFS(Transactions!$F$7:$F$1000,Transactions!$G$7:$G$1000,A113,Transactions!$D$7:$D$1000,"Expense"),0)</f>
        <v/>
      </c>
      <c r="H113" s="81" t="n"/>
      <c r="I113" s="81" t="n"/>
      <c r="J113" s="81" t="n"/>
    </row>
    <row r="114" ht="20" customHeight="1">
      <c r="A114" s="81" t="n"/>
      <c r="B114" s="84" t="n"/>
      <c r="C114" s="81" t="n"/>
      <c r="D114" s="81" t="n"/>
      <c r="E114" s="81" t="n"/>
      <c r="F114" s="82" t="n"/>
      <c r="G114" s="110">
        <f>IFERROR(SUMIFS(Transactions!$F$7:$F$1000,Transactions!$G$7:$G$1000,A114,Transactions!$D$7:$D$1000,"Expense"),0)</f>
        <v/>
      </c>
      <c r="H114" s="81" t="n"/>
      <c r="I114" s="81" t="n"/>
      <c r="J114" s="81" t="n"/>
    </row>
    <row r="115" ht="20" customHeight="1">
      <c r="A115" s="81" t="n"/>
      <c r="B115" s="84" t="n"/>
      <c r="C115" s="81" t="n"/>
      <c r="D115" s="81" t="n"/>
      <c r="E115" s="81" t="n"/>
      <c r="F115" s="82" t="n"/>
      <c r="G115" s="110">
        <f>IFERROR(SUMIFS(Transactions!$F$7:$F$1000,Transactions!$G$7:$G$1000,A115,Transactions!$D$7:$D$1000,"Expense"),0)</f>
        <v/>
      </c>
      <c r="H115" s="81" t="n"/>
      <c r="I115" s="81" t="n"/>
      <c r="J115" s="81" t="n"/>
    </row>
    <row r="116" ht="20" customHeight="1">
      <c r="A116" s="81" t="n"/>
      <c r="B116" s="84" t="n"/>
      <c r="C116" s="81" t="n"/>
      <c r="D116" s="81" t="n"/>
      <c r="E116" s="81" t="n"/>
      <c r="F116" s="82" t="n"/>
      <c r="G116" s="110">
        <f>IFERROR(SUMIFS(Transactions!$F$7:$F$1000,Transactions!$G$7:$G$1000,A116,Transactions!$D$7:$D$1000,"Expense"),0)</f>
        <v/>
      </c>
      <c r="H116" s="81" t="n"/>
      <c r="I116" s="81" t="n"/>
      <c r="J116" s="81" t="n"/>
    </row>
    <row r="117" ht="20" customHeight="1">
      <c r="A117" s="81" t="n"/>
      <c r="B117" s="84" t="n"/>
      <c r="C117" s="81" t="n"/>
      <c r="D117" s="81" t="n"/>
      <c r="E117" s="81" t="n"/>
      <c r="F117" s="82" t="n"/>
      <c r="G117" s="110">
        <f>IFERROR(SUMIFS(Transactions!$F$7:$F$1000,Transactions!$G$7:$G$1000,A117,Transactions!$D$7:$D$1000,"Expense"),0)</f>
        <v/>
      </c>
      <c r="H117" s="81" t="n"/>
      <c r="I117" s="81" t="n"/>
      <c r="J117" s="81" t="n"/>
    </row>
    <row r="118" ht="20" customHeight="1">
      <c r="A118" s="81" t="n"/>
      <c r="B118" s="84" t="n"/>
      <c r="C118" s="81" t="n"/>
      <c r="D118" s="81" t="n"/>
      <c r="E118" s="81" t="n"/>
      <c r="F118" s="82" t="n"/>
      <c r="G118" s="110">
        <f>IFERROR(SUMIFS(Transactions!$F$7:$F$1000,Transactions!$G$7:$G$1000,A118,Transactions!$D$7:$D$1000,"Expense"),0)</f>
        <v/>
      </c>
      <c r="H118" s="81" t="n"/>
      <c r="I118" s="81" t="n"/>
      <c r="J118" s="81" t="n"/>
    </row>
    <row r="119" ht="20" customHeight="1">
      <c r="A119" s="81" t="n"/>
      <c r="B119" s="84" t="n"/>
      <c r="C119" s="81" t="n"/>
      <c r="D119" s="81" t="n"/>
      <c r="E119" s="81" t="n"/>
      <c r="F119" s="82" t="n"/>
      <c r="G119" s="110">
        <f>IFERROR(SUMIFS(Transactions!$F$7:$F$1000,Transactions!$G$7:$G$1000,A119,Transactions!$D$7:$D$1000,"Expense"),0)</f>
        <v/>
      </c>
      <c r="H119" s="81" t="n"/>
      <c r="I119" s="81" t="n"/>
      <c r="J119" s="81" t="n"/>
    </row>
    <row r="120" ht="20" customHeight="1">
      <c r="A120" s="81" t="n"/>
      <c r="B120" s="84" t="n"/>
      <c r="C120" s="81" t="n"/>
      <c r="D120" s="81" t="n"/>
      <c r="E120" s="81" t="n"/>
      <c r="F120" s="82" t="n"/>
      <c r="G120" s="110">
        <f>IFERROR(SUMIFS(Transactions!$F$7:$F$1000,Transactions!$G$7:$G$1000,A120,Transactions!$D$7:$D$1000,"Expense"),0)</f>
        <v/>
      </c>
      <c r="H120" s="81" t="n"/>
      <c r="I120" s="81" t="n"/>
      <c r="J120" s="81" t="n"/>
    </row>
    <row r="121" ht="20" customHeight="1">
      <c r="A121" s="81" t="n"/>
      <c r="B121" s="84" t="n"/>
      <c r="C121" s="81" t="n"/>
      <c r="D121" s="81" t="n"/>
      <c r="E121" s="81" t="n"/>
      <c r="F121" s="82" t="n"/>
      <c r="G121" s="110">
        <f>IFERROR(SUMIFS(Transactions!$F$7:$F$1000,Transactions!$G$7:$G$1000,A121,Transactions!$D$7:$D$1000,"Expense"),0)</f>
        <v/>
      </c>
      <c r="H121" s="81" t="n"/>
      <c r="I121" s="81" t="n"/>
      <c r="J121" s="81" t="n"/>
    </row>
    <row r="122" ht="20" customHeight="1">
      <c r="A122" s="81" t="n"/>
      <c r="B122" s="84" t="n"/>
      <c r="C122" s="81" t="n"/>
      <c r="D122" s="81" t="n"/>
      <c r="E122" s="81" t="n"/>
      <c r="F122" s="82" t="n"/>
      <c r="G122" s="110">
        <f>IFERROR(SUMIFS(Transactions!$F$7:$F$1000,Transactions!$G$7:$G$1000,A122,Transactions!$D$7:$D$1000,"Expense"),0)</f>
        <v/>
      </c>
      <c r="H122" s="81" t="n"/>
      <c r="I122" s="81" t="n"/>
      <c r="J122" s="81" t="n"/>
    </row>
    <row r="123" ht="20" customHeight="1">
      <c r="A123" s="81" t="n"/>
      <c r="B123" s="84" t="n"/>
      <c r="C123" s="81" t="n"/>
      <c r="D123" s="81" t="n"/>
      <c r="E123" s="81" t="n"/>
      <c r="F123" s="82" t="n"/>
      <c r="G123" s="110">
        <f>IFERROR(SUMIFS(Transactions!$F$7:$F$1000,Transactions!$G$7:$G$1000,A123,Transactions!$D$7:$D$1000,"Expense"),0)</f>
        <v/>
      </c>
      <c r="H123" s="81" t="n"/>
      <c r="I123" s="81" t="n"/>
      <c r="J123" s="81" t="n"/>
    </row>
    <row r="124" ht="20" customHeight="1">
      <c r="A124" s="81" t="n"/>
      <c r="B124" s="84" t="n"/>
      <c r="C124" s="81" t="n"/>
      <c r="D124" s="81" t="n"/>
      <c r="E124" s="81" t="n"/>
      <c r="F124" s="82" t="n"/>
      <c r="G124" s="110">
        <f>IFERROR(SUMIFS(Transactions!$F$7:$F$1000,Transactions!$G$7:$G$1000,A124,Transactions!$D$7:$D$1000,"Expense"),0)</f>
        <v/>
      </c>
      <c r="H124" s="81" t="n"/>
      <c r="I124" s="81" t="n"/>
      <c r="J124" s="81" t="n"/>
    </row>
    <row r="125" ht="20" customHeight="1">
      <c r="A125" s="81" t="n"/>
      <c r="B125" s="84" t="n"/>
      <c r="C125" s="81" t="n"/>
      <c r="D125" s="81" t="n"/>
      <c r="E125" s="81" t="n"/>
      <c r="F125" s="82" t="n"/>
      <c r="G125" s="110">
        <f>IFERROR(SUMIFS(Transactions!$F$7:$F$1000,Transactions!$G$7:$G$1000,A125,Transactions!$D$7:$D$1000,"Expense"),0)</f>
        <v/>
      </c>
      <c r="H125" s="81" t="n"/>
      <c r="I125" s="81" t="n"/>
      <c r="J125" s="81" t="n"/>
    </row>
    <row r="126" ht="20" customHeight="1">
      <c r="A126" s="81" t="n"/>
      <c r="B126" s="84" t="n"/>
      <c r="C126" s="81" t="n"/>
      <c r="D126" s="81" t="n"/>
      <c r="E126" s="81" t="n"/>
      <c r="F126" s="82" t="n"/>
      <c r="G126" s="110">
        <f>IFERROR(SUMIFS(Transactions!$F$7:$F$1000,Transactions!$G$7:$G$1000,A126,Transactions!$D$7:$D$1000,"Expense"),0)</f>
        <v/>
      </c>
      <c r="H126" s="81" t="n"/>
      <c r="I126" s="81" t="n"/>
      <c r="J126" s="81" t="n"/>
    </row>
    <row r="127" ht="20" customHeight="1">
      <c r="A127" s="81" t="n"/>
      <c r="B127" s="84" t="n"/>
      <c r="C127" s="81" t="n"/>
      <c r="D127" s="81" t="n"/>
      <c r="E127" s="81" t="n"/>
      <c r="F127" s="82" t="n"/>
      <c r="G127" s="110">
        <f>IFERROR(SUMIFS(Transactions!$F$7:$F$1000,Transactions!$G$7:$G$1000,A127,Transactions!$D$7:$D$1000,"Expense"),0)</f>
        <v/>
      </c>
      <c r="H127" s="81" t="n"/>
      <c r="I127" s="81" t="n"/>
      <c r="J127" s="81" t="n"/>
    </row>
    <row r="128" ht="20" customHeight="1">
      <c r="A128" s="81" t="n"/>
      <c r="B128" s="84" t="n"/>
      <c r="C128" s="81" t="n"/>
      <c r="D128" s="81" t="n"/>
      <c r="E128" s="81" t="n"/>
      <c r="F128" s="82" t="n"/>
      <c r="G128" s="110">
        <f>IFERROR(SUMIFS(Transactions!$F$7:$F$1000,Transactions!$G$7:$G$1000,A128,Transactions!$D$7:$D$1000,"Expense"),0)</f>
        <v/>
      </c>
      <c r="H128" s="81" t="n"/>
      <c r="I128" s="81" t="n"/>
      <c r="J128" s="81" t="n"/>
    </row>
    <row r="129" ht="20" customHeight="1">
      <c r="A129" s="81" t="n"/>
      <c r="B129" s="84" t="n"/>
      <c r="C129" s="81" t="n"/>
      <c r="D129" s="81" t="n"/>
      <c r="E129" s="81" t="n"/>
      <c r="F129" s="82" t="n"/>
      <c r="G129" s="110">
        <f>IFERROR(SUMIFS(Transactions!$F$7:$F$1000,Transactions!$G$7:$G$1000,A129,Transactions!$D$7:$D$1000,"Expense"),0)</f>
        <v/>
      </c>
      <c r="H129" s="81" t="n"/>
      <c r="I129" s="81" t="n"/>
      <c r="J129" s="81" t="n"/>
    </row>
    <row r="130" ht="20" customHeight="1">
      <c r="A130" s="81" t="n"/>
      <c r="B130" s="84" t="n"/>
      <c r="C130" s="81" t="n"/>
      <c r="D130" s="81" t="n"/>
      <c r="E130" s="81" t="n"/>
      <c r="F130" s="82" t="n"/>
      <c r="G130" s="110">
        <f>IFERROR(SUMIFS(Transactions!$F$7:$F$1000,Transactions!$G$7:$G$1000,A130,Transactions!$D$7:$D$1000,"Expense"),0)</f>
        <v/>
      </c>
      <c r="H130" s="81" t="n"/>
      <c r="I130" s="81" t="n"/>
      <c r="J130" s="81" t="n"/>
    </row>
    <row r="131" ht="20" customHeight="1">
      <c r="A131" s="81" t="n"/>
      <c r="B131" s="84" t="n"/>
      <c r="C131" s="81" t="n"/>
      <c r="D131" s="81" t="n"/>
      <c r="E131" s="81" t="n"/>
      <c r="F131" s="82" t="n"/>
      <c r="G131" s="110">
        <f>IFERROR(SUMIFS(Transactions!$F$7:$F$1000,Transactions!$G$7:$G$1000,A131,Transactions!$D$7:$D$1000,"Expense"),0)</f>
        <v/>
      </c>
      <c r="H131" s="81" t="n"/>
      <c r="I131" s="81" t="n"/>
      <c r="J131" s="81" t="n"/>
    </row>
    <row r="132" ht="20" customHeight="1">
      <c r="A132" s="81" t="n"/>
      <c r="B132" s="84" t="n"/>
      <c r="C132" s="81" t="n"/>
      <c r="D132" s="81" t="n"/>
      <c r="E132" s="81" t="n"/>
      <c r="F132" s="82" t="n"/>
      <c r="G132" s="110">
        <f>IFERROR(SUMIFS(Transactions!$F$7:$F$1000,Transactions!$G$7:$G$1000,A132,Transactions!$D$7:$D$1000,"Expense"),0)</f>
        <v/>
      </c>
      <c r="H132" s="81" t="n"/>
      <c r="I132" s="81" t="n"/>
      <c r="J132" s="81" t="n"/>
    </row>
    <row r="133" ht="20" customHeight="1">
      <c r="A133" s="81" t="n"/>
      <c r="B133" s="84" t="n"/>
      <c r="C133" s="81" t="n"/>
      <c r="D133" s="81" t="n"/>
      <c r="E133" s="81" t="n"/>
      <c r="F133" s="82" t="n"/>
      <c r="G133" s="110">
        <f>IFERROR(SUMIFS(Transactions!$F$7:$F$1000,Transactions!$G$7:$G$1000,A133,Transactions!$D$7:$D$1000,"Expense"),0)</f>
        <v/>
      </c>
      <c r="H133" s="81" t="n"/>
      <c r="I133" s="81" t="n"/>
      <c r="J133" s="81" t="n"/>
    </row>
    <row r="134" ht="20" customHeight="1">
      <c r="A134" s="81" t="n"/>
      <c r="B134" s="84" t="n"/>
      <c r="C134" s="81" t="n"/>
      <c r="D134" s="81" t="n"/>
      <c r="E134" s="81" t="n"/>
      <c r="F134" s="82" t="n"/>
      <c r="G134" s="110">
        <f>IFERROR(SUMIFS(Transactions!$F$7:$F$1000,Transactions!$G$7:$G$1000,A134,Transactions!$D$7:$D$1000,"Expense"),0)</f>
        <v/>
      </c>
      <c r="H134" s="81" t="n"/>
      <c r="I134" s="81" t="n"/>
      <c r="J134" s="81" t="n"/>
    </row>
    <row r="135" ht="20" customHeight="1">
      <c r="A135" s="81" t="n"/>
      <c r="B135" s="84" t="n"/>
      <c r="C135" s="81" t="n"/>
      <c r="D135" s="81" t="n"/>
      <c r="E135" s="81" t="n"/>
      <c r="F135" s="82" t="n"/>
      <c r="G135" s="110">
        <f>IFERROR(SUMIFS(Transactions!$F$7:$F$1000,Transactions!$G$7:$G$1000,A135,Transactions!$D$7:$D$1000,"Expense"),0)</f>
        <v/>
      </c>
      <c r="H135" s="81" t="n"/>
      <c r="I135" s="81" t="n"/>
      <c r="J135" s="81" t="n"/>
    </row>
    <row r="136" ht="20" customHeight="1">
      <c r="A136" s="81" t="n"/>
      <c r="B136" s="84" t="n"/>
      <c r="C136" s="81" t="n"/>
      <c r="D136" s="81" t="n"/>
      <c r="E136" s="81" t="n"/>
      <c r="F136" s="82" t="n"/>
      <c r="G136" s="110">
        <f>IFERROR(SUMIFS(Transactions!$F$7:$F$1000,Transactions!$G$7:$G$1000,A136,Transactions!$D$7:$D$1000,"Expense"),0)</f>
        <v/>
      </c>
      <c r="H136" s="81" t="n"/>
      <c r="I136" s="81" t="n"/>
      <c r="J136" s="81" t="n"/>
    </row>
    <row r="137" ht="20" customHeight="1">
      <c r="A137" s="81" t="n"/>
      <c r="B137" s="84" t="n"/>
      <c r="C137" s="81" t="n"/>
      <c r="D137" s="81" t="n"/>
      <c r="E137" s="81" t="n"/>
      <c r="F137" s="82" t="n"/>
      <c r="G137" s="110">
        <f>IFERROR(SUMIFS(Transactions!$F$7:$F$1000,Transactions!$G$7:$G$1000,A137,Transactions!$D$7:$D$1000,"Expense"),0)</f>
        <v/>
      </c>
      <c r="H137" s="81" t="n"/>
      <c r="I137" s="81" t="n"/>
      <c r="J137" s="81" t="n"/>
    </row>
    <row r="138" ht="20" customHeight="1">
      <c r="A138" s="81" t="n"/>
      <c r="B138" s="84" t="n"/>
      <c r="C138" s="81" t="n"/>
      <c r="D138" s="81" t="n"/>
      <c r="E138" s="81" t="n"/>
      <c r="F138" s="82" t="n"/>
      <c r="G138" s="110">
        <f>IFERROR(SUMIFS(Transactions!$F$7:$F$1000,Transactions!$G$7:$G$1000,A138,Transactions!$D$7:$D$1000,"Expense"),0)</f>
        <v/>
      </c>
      <c r="H138" s="81" t="n"/>
      <c r="I138" s="81" t="n"/>
      <c r="J138" s="81" t="n"/>
    </row>
    <row r="139" ht="20" customHeight="1">
      <c r="A139" s="81" t="n"/>
      <c r="B139" s="84" t="n"/>
      <c r="C139" s="81" t="n"/>
      <c r="D139" s="81" t="n"/>
      <c r="E139" s="81" t="n"/>
      <c r="F139" s="82" t="n"/>
      <c r="G139" s="110">
        <f>IFERROR(SUMIFS(Transactions!$F$7:$F$1000,Transactions!$G$7:$G$1000,A139,Transactions!$D$7:$D$1000,"Expense"),0)</f>
        <v/>
      </c>
      <c r="H139" s="81" t="n"/>
      <c r="I139" s="81" t="n"/>
      <c r="J139" s="81" t="n"/>
    </row>
    <row r="140" ht="20" customHeight="1">
      <c r="A140" s="81" t="n"/>
      <c r="B140" s="84" t="n"/>
      <c r="C140" s="81" t="n"/>
      <c r="D140" s="81" t="n"/>
      <c r="E140" s="81" t="n"/>
      <c r="F140" s="82" t="n"/>
      <c r="G140" s="110">
        <f>IFERROR(SUMIFS(Transactions!$F$7:$F$1000,Transactions!$G$7:$G$1000,A140,Transactions!$D$7:$D$1000,"Expense"),0)</f>
        <v/>
      </c>
      <c r="H140" s="81" t="n"/>
      <c r="I140" s="81" t="n"/>
      <c r="J140" s="81" t="n"/>
    </row>
    <row r="141" ht="20" customHeight="1">
      <c r="A141" s="81" t="n"/>
      <c r="B141" s="84" t="n"/>
      <c r="C141" s="81" t="n"/>
      <c r="D141" s="81" t="n"/>
      <c r="E141" s="81" t="n"/>
      <c r="F141" s="82" t="n"/>
      <c r="G141" s="110">
        <f>IFERROR(SUMIFS(Transactions!$F$7:$F$1000,Transactions!$G$7:$G$1000,A141,Transactions!$D$7:$D$1000,"Expense"),0)</f>
        <v/>
      </c>
      <c r="H141" s="81" t="n"/>
      <c r="I141" s="81" t="n"/>
      <c r="J141" s="81" t="n"/>
    </row>
    <row r="142" ht="20" customHeight="1">
      <c r="A142" s="81" t="n"/>
      <c r="B142" s="84" t="n"/>
      <c r="C142" s="81" t="n"/>
      <c r="D142" s="81" t="n"/>
      <c r="E142" s="81" t="n"/>
      <c r="F142" s="82" t="n"/>
      <c r="G142" s="110">
        <f>IFERROR(SUMIFS(Transactions!$F$7:$F$1000,Transactions!$G$7:$G$1000,A142,Transactions!$D$7:$D$1000,"Expense"),0)</f>
        <v/>
      </c>
      <c r="H142" s="81" t="n"/>
      <c r="I142" s="81" t="n"/>
      <c r="J142" s="81" t="n"/>
    </row>
    <row r="143" ht="20" customHeight="1">
      <c r="A143" s="81" t="n"/>
      <c r="B143" s="84" t="n"/>
      <c r="C143" s="81" t="n"/>
      <c r="D143" s="81" t="n"/>
      <c r="E143" s="81" t="n"/>
      <c r="F143" s="82" t="n"/>
      <c r="G143" s="110">
        <f>IFERROR(SUMIFS(Transactions!$F$7:$F$1000,Transactions!$G$7:$G$1000,A143,Transactions!$D$7:$D$1000,"Expense"),0)</f>
        <v/>
      </c>
      <c r="H143" s="81" t="n"/>
      <c r="I143" s="81" t="n"/>
      <c r="J143" s="81" t="n"/>
    </row>
    <row r="144" ht="20" customHeight="1">
      <c r="A144" s="81" t="n"/>
      <c r="B144" s="84" t="n"/>
      <c r="C144" s="81" t="n"/>
      <c r="D144" s="81" t="n"/>
      <c r="E144" s="81" t="n"/>
      <c r="F144" s="82" t="n"/>
      <c r="G144" s="110">
        <f>IFERROR(SUMIFS(Transactions!$F$7:$F$1000,Transactions!$G$7:$G$1000,A144,Transactions!$D$7:$D$1000,"Expense"),0)</f>
        <v/>
      </c>
      <c r="H144" s="81" t="n"/>
      <c r="I144" s="81" t="n"/>
      <c r="J144" s="81" t="n"/>
    </row>
    <row r="145" ht="20" customHeight="1">
      <c r="A145" s="81" t="n"/>
      <c r="B145" s="84" t="n"/>
      <c r="C145" s="81" t="n"/>
      <c r="D145" s="81" t="n"/>
      <c r="E145" s="81" t="n"/>
      <c r="F145" s="82" t="n"/>
      <c r="G145" s="110">
        <f>IFERROR(SUMIFS(Transactions!$F$7:$F$1000,Transactions!$G$7:$G$1000,A145,Transactions!$D$7:$D$1000,"Expense"),0)</f>
        <v/>
      </c>
      <c r="H145" s="81" t="n"/>
      <c r="I145" s="81" t="n"/>
      <c r="J145" s="81" t="n"/>
    </row>
    <row r="146" ht="20" customHeight="1">
      <c r="A146" s="81" t="n"/>
      <c r="B146" s="84" t="n"/>
      <c r="C146" s="81" t="n"/>
      <c r="D146" s="81" t="n"/>
      <c r="E146" s="81" t="n"/>
      <c r="F146" s="82" t="n"/>
      <c r="G146" s="110">
        <f>IFERROR(SUMIFS(Transactions!$F$7:$F$1000,Transactions!$G$7:$G$1000,A146,Transactions!$D$7:$D$1000,"Expense"),0)</f>
        <v/>
      </c>
      <c r="H146" s="81" t="n"/>
      <c r="I146" s="81" t="n"/>
      <c r="J146" s="81" t="n"/>
    </row>
    <row r="147" ht="20" customHeight="1">
      <c r="A147" s="81" t="n"/>
      <c r="B147" s="84" t="n"/>
      <c r="C147" s="81" t="n"/>
      <c r="D147" s="81" t="n"/>
      <c r="E147" s="81" t="n"/>
      <c r="F147" s="82" t="n"/>
      <c r="G147" s="110">
        <f>IFERROR(SUMIFS(Transactions!$F$7:$F$1000,Transactions!$G$7:$G$1000,A147,Transactions!$D$7:$D$1000,"Expense"),0)</f>
        <v/>
      </c>
      <c r="H147" s="81" t="n"/>
      <c r="I147" s="81" t="n"/>
      <c r="J147" s="81" t="n"/>
    </row>
    <row r="148" ht="20" customHeight="1">
      <c r="A148" s="81" t="n"/>
      <c r="B148" s="84" t="n"/>
      <c r="C148" s="81" t="n"/>
      <c r="D148" s="81" t="n"/>
      <c r="E148" s="81" t="n"/>
      <c r="F148" s="82" t="n"/>
      <c r="G148" s="110">
        <f>IFERROR(SUMIFS(Transactions!$F$7:$F$1000,Transactions!$G$7:$G$1000,A148,Transactions!$D$7:$D$1000,"Expense"),0)</f>
        <v/>
      </c>
      <c r="H148" s="81" t="n"/>
      <c r="I148" s="81" t="n"/>
      <c r="J148" s="81" t="n"/>
    </row>
    <row r="149" ht="20" customHeight="1">
      <c r="A149" s="81" t="n"/>
      <c r="B149" s="84" t="n"/>
      <c r="C149" s="81" t="n"/>
      <c r="D149" s="81" t="n"/>
      <c r="E149" s="81" t="n"/>
      <c r="F149" s="82" t="n"/>
      <c r="G149" s="110">
        <f>IFERROR(SUMIFS(Transactions!$F$7:$F$1000,Transactions!$G$7:$G$1000,A149,Transactions!$D$7:$D$1000,"Expense"),0)</f>
        <v/>
      </c>
      <c r="H149" s="81" t="n"/>
      <c r="I149" s="81" t="n"/>
      <c r="J149" s="81" t="n"/>
    </row>
    <row r="150" ht="20" customHeight="1">
      <c r="A150" s="81" t="n"/>
      <c r="B150" s="84" t="n"/>
      <c r="C150" s="81" t="n"/>
      <c r="D150" s="81" t="n"/>
      <c r="E150" s="81" t="n"/>
      <c r="F150" s="82" t="n"/>
      <c r="G150" s="110">
        <f>IFERROR(SUMIFS(Transactions!$F$7:$F$1000,Transactions!$G$7:$G$1000,A150,Transactions!$D$7:$D$1000,"Expense"),0)</f>
        <v/>
      </c>
      <c r="H150" s="81" t="n"/>
      <c r="I150" s="81" t="n"/>
      <c r="J150" s="81" t="n"/>
    </row>
    <row r="151" ht="20" customHeight="1">
      <c r="A151" s="81" t="n"/>
      <c r="B151" s="84" t="n"/>
      <c r="C151" s="81" t="n"/>
      <c r="D151" s="81" t="n"/>
      <c r="E151" s="81" t="n"/>
      <c r="F151" s="82" t="n"/>
      <c r="G151" s="110">
        <f>IFERROR(SUMIFS(Transactions!$F$7:$F$1000,Transactions!$G$7:$G$1000,A151,Transactions!$D$7:$D$1000,"Expense"),0)</f>
        <v/>
      </c>
      <c r="H151" s="81" t="n"/>
      <c r="I151" s="81" t="n"/>
      <c r="J151" s="81" t="n"/>
    </row>
    <row r="152" ht="20" customHeight="1">
      <c r="A152" s="81" t="n"/>
      <c r="B152" s="84" t="n"/>
      <c r="C152" s="81" t="n"/>
      <c r="D152" s="81" t="n"/>
      <c r="E152" s="81" t="n"/>
      <c r="F152" s="82" t="n"/>
      <c r="G152" s="110">
        <f>IFERROR(SUMIFS(Transactions!$F$7:$F$1000,Transactions!$G$7:$G$1000,A152,Transactions!$D$7:$D$1000,"Expense"),0)</f>
        <v/>
      </c>
      <c r="H152" s="81" t="n"/>
      <c r="I152" s="81" t="n"/>
      <c r="J152" s="81" t="n"/>
    </row>
    <row r="153" ht="20" customHeight="1">
      <c r="A153" s="81" t="n"/>
      <c r="B153" s="84" t="n"/>
      <c r="C153" s="81" t="n"/>
      <c r="D153" s="81" t="n"/>
      <c r="E153" s="81" t="n"/>
      <c r="F153" s="82" t="n"/>
      <c r="G153" s="110">
        <f>IFERROR(SUMIFS(Transactions!$F$7:$F$1000,Transactions!$G$7:$G$1000,A153,Transactions!$D$7:$D$1000,"Expense"),0)</f>
        <v/>
      </c>
      <c r="H153" s="81" t="n"/>
      <c r="I153" s="81" t="n"/>
      <c r="J153" s="81" t="n"/>
    </row>
    <row r="154" ht="20" customHeight="1">
      <c r="A154" s="81" t="n"/>
      <c r="B154" s="84" t="n"/>
      <c r="C154" s="81" t="n"/>
      <c r="D154" s="81" t="n"/>
      <c r="E154" s="81" t="n"/>
      <c r="F154" s="82" t="n"/>
      <c r="G154" s="110">
        <f>IFERROR(SUMIFS(Transactions!$F$7:$F$1000,Transactions!$G$7:$G$1000,A154,Transactions!$D$7:$D$1000,"Expense"),0)</f>
        <v/>
      </c>
      <c r="H154" s="81" t="n"/>
      <c r="I154" s="81" t="n"/>
      <c r="J154" s="81" t="n"/>
    </row>
    <row r="155" ht="20" customHeight="1">
      <c r="A155" s="81" t="n"/>
      <c r="B155" s="84" t="n"/>
      <c r="C155" s="81" t="n"/>
      <c r="D155" s="81" t="n"/>
      <c r="E155" s="81" t="n"/>
      <c r="F155" s="82" t="n"/>
      <c r="G155" s="110">
        <f>IFERROR(SUMIFS(Transactions!$F$7:$F$1000,Transactions!$G$7:$G$1000,A155,Transactions!$D$7:$D$1000,"Expense"),0)</f>
        <v/>
      </c>
      <c r="H155" s="81" t="n"/>
      <c r="I155" s="81" t="n"/>
      <c r="J155" s="81" t="n"/>
    </row>
    <row r="156" ht="20" customHeight="1">
      <c r="A156" s="81" t="n"/>
      <c r="B156" s="84" t="n"/>
      <c r="C156" s="81" t="n"/>
      <c r="D156" s="81" t="n"/>
      <c r="E156" s="81" t="n"/>
      <c r="F156" s="82" t="n"/>
      <c r="G156" s="110">
        <f>IFERROR(SUMIFS(Transactions!$F$7:$F$1000,Transactions!$G$7:$G$1000,A156,Transactions!$D$7:$D$1000,"Expense"),0)</f>
        <v/>
      </c>
      <c r="H156" s="81" t="n"/>
      <c r="I156" s="81" t="n"/>
      <c r="J156" s="81" t="n"/>
    </row>
    <row r="157" ht="20" customHeight="1">
      <c r="A157" s="81" t="n"/>
      <c r="B157" s="84" t="n"/>
      <c r="C157" s="81" t="n"/>
      <c r="D157" s="81" t="n"/>
      <c r="E157" s="81" t="n"/>
      <c r="F157" s="82" t="n"/>
      <c r="G157" s="110">
        <f>IFERROR(SUMIFS(Transactions!$F$7:$F$1000,Transactions!$G$7:$G$1000,A157,Transactions!$D$7:$D$1000,"Expense"),0)</f>
        <v/>
      </c>
      <c r="H157" s="81" t="n"/>
      <c r="I157" s="81" t="n"/>
      <c r="J157" s="81" t="n"/>
    </row>
    <row r="158" ht="20" customHeight="1">
      <c r="A158" s="81" t="n"/>
      <c r="B158" s="84" t="n"/>
      <c r="C158" s="81" t="n"/>
      <c r="D158" s="81" t="n"/>
      <c r="E158" s="81" t="n"/>
      <c r="F158" s="82" t="n"/>
      <c r="G158" s="110">
        <f>IFERROR(SUMIFS(Transactions!$F$7:$F$1000,Transactions!$G$7:$G$1000,A158,Transactions!$D$7:$D$1000,"Expense"),0)</f>
        <v/>
      </c>
      <c r="H158" s="81" t="n"/>
      <c r="I158" s="81" t="n"/>
      <c r="J158" s="81" t="n"/>
    </row>
    <row r="159" ht="20" customHeight="1">
      <c r="A159" s="81" t="n"/>
      <c r="B159" s="84" t="n"/>
      <c r="C159" s="81" t="n"/>
      <c r="D159" s="81" t="n"/>
      <c r="E159" s="81" t="n"/>
      <c r="F159" s="82" t="n"/>
      <c r="G159" s="110">
        <f>IFERROR(SUMIFS(Transactions!$F$7:$F$1000,Transactions!$G$7:$G$1000,A159,Transactions!$D$7:$D$1000,"Expense"),0)</f>
        <v/>
      </c>
      <c r="H159" s="81" t="n"/>
      <c r="I159" s="81" t="n"/>
      <c r="J159" s="81" t="n"/>
    </row>
    <row r="160" ht="20" customHeight="1">
      <c r="A160" s="81" t="n"/>
      <c r="B160" s="84" t="n"/>
      <c r="C160" s="81" t="n"/>
      <c r="D160" s="81" t="n"/>
      <c r="E160" s="81" t="n"/>
      <c r="F160" s="82" t="n"/>
      <c r="G160" s="110">
        <f>IFERROR(SUMIFS(Transactions!$F$7:$F$1000,Transactions!$G$7:$G$1000,A160,Transactions!$D$7:$D$1000,"Expense"),0)</f>
        <v/>
      </c>
      <c r="H160" s="81" t="n"/>
      <c r="I160" s="81" t="n"/>
      <c r="J160" s="81" t="n"/>
    </row>
    <row r="161" ht="20" customHeight="1">
      <c r="A161" s="81" t="n"/>
      <c r="B161" s="84" t="n"/>
      <c r="C161" s="81" t="n"/>
      <c r="D161" s="81" t="n"/>
      <c r="E161" s="81" t="n"/>
      <c r="F161" s="82" t="n"/>
      <c r="G161" s="110">
        <f>IFERROR(SUMIFS(Transactions!$F$7:$F$1000,Transactions!$G$7:$G$1000,A161,Transactions!$D$7:$D$1000,"Expense"),0)</f>
        <v/>
      </c>
      <c r="H161" s="81" t="n"/>
      <c r="I161" s="81" t="n"/>
      <c r="J161" s="81" t="n"/>
    </row>
    <row r="162" ht="20" customHeight="1">
      <c r="A162" s="81" t="n"/>
      <c r="B162" s="84" t="n"/>
      <c r="C162" s="81" t="n"/>
      <c r="D162" s="81" t="n"/>
      <c r="E162" s="81" t="n"/>
      <c r="F162" s="82" t="n"/>
      <c r="G162" s="110">
        <f>IFERROR(SUMIFS(Transactions!$F$7:$F$1000,Transactions!$G$7:$G$1000,A162,Transactions!$D$7:$D$1000,"Expense"),0)</f>
        <v/>
      </c>
      <c r="H162" s="81" t="n"/>
      <c r="I162" s="81" t="n"/>
      <c r="J162" s="81" t="n"/>
    </row>
    <row r="163" ht="20" customHeight="1">
      <c r="A163" s="81" t="n"/>
      <c r="B163" s="84" t="n"/>
      <c r="C163" s="81" t="n"/>
      <c r="D163" s="81" t="n"/>
      <c r="E163" s="81" t="n"/>
      <c r="F163" s="82" t="n"/>
      <c r="G163" s="110">
        <f>IFERROR(SUMIFS(Transactions!$F$7:$F$1000,Transactions!$G$7:$G$1000,A163,Transactions!$D$7:$D$1000,"Expense"),0)</f>
        <v/>
      </c>
      <c r="H163" s="81" t="n"/>
      <c r="I163" s="81" t="n"/>
      <c r="J163" s="81" t="n"/>
    </row>
    <row r="164" ht="20" customHeight="1">
      <c r="A164" s="81" t="n"/>
      <c r="B164" s="84" t="n"/>
      <c r="C164" s="81" t="n"/>
      <c r="D164" s="81" t="n"/>
      <c r="E164" s="81" t="n"/>
      <c r="F164" s="82" t="n"/>
      <c r="G164" s="110">
        <f>IFERROR(SUMIFS(Transactions!$F$7:$F$1000,Transactions!$G$7:$G$1000,A164,Transactions!$D$7:$D$1000,"Expense"),0)</f>
        <v/>
      </c>
      <c r="H164" s="81" t="n"/>
      <c r="I164" s="81" t="n"/>
      <c r="J164" s="81" t="n"/>
    </row>
    <row r="165" ht="20" customHeight="1">
      <c r="A165" s="81" t="n"/>
      <c r="B165" s="84" t="n"/>
      <c r="C165" s="81" t="n"/>
      <c r="D165" s="81" t="n"/>
      <c r="E165" s="81" t="n"/>
      <c r="F165" s="82" t="n"/>
      <c r="G165" s="110">
        <f>IFERROR(SUMIFS(Transactions!$F$7:$F$1000,Transactions!$G$7:$G$1000,A165,Transactions!$D$7:$D$1000,"Expense"),0)</f>
        <v/>
      </c>
      <c r="H165" s="81" t="n"/>
      <c r="I165" s="81" t="n"/>
      <c r="J165" s="81" t="n"/>
    </row>
    <row r="166" ht="20" customHeight="1">
      <c r="A166" s="81" t="n"/>
      <c r="B166" s="84" t="n"/>
      <c r="C166" s="81" t="n"/>
      <c r="D166" s="81" t="n"/>
      <c r="E166" s="81" t="n"/>
      <c r="F166" s="82" t="n"/>
      <c r="G166" s="110">
        <f>IFERROR(SUMIFS(Transactions!$F$7:$F$1000,Transactions!$G$7:$G$1000,A166,Transactions!$D$7:$D$1000,"Expense"),0)</f>
        <v/>
      </c>
      <c r="H166" s="81" t="n"/>
      <c r="I166" s="81" t="n"/>
      <c r="J166" s="81" t="n"/>
    </row>
    <row r="167" ht="20" customHeight="1">
      <c r="A167" s="81" t="n"/>
      <c r="B167" s="84" t="n"/>
      <c r="C167" s="81" t="n"/>
      <c r="D167" s="81" t="n"/>
      <c r="E167" s="81" t="n"/>
      <c r="F167" s="82" t="n"/>
      <c r="G167" s="110">
        <f>IFERROR(SUMIFS(Transactions!$F$7:$F$1000,Transactions!$G$7:$G$1000,A167,Transactions!$D$7:$D$1000,"Expense"),0)</f>
        <v/>
      </c>
      <c r="H167" s="81" t="n"/>
      <c r="I167" s="81" t="n"/>
      <c r="J167" s="81" t="n"/>
    </row>
    <row r="168" ht="20" customHeight="1">
      <c r="A168" s="81" t="n"/>
      <c r="B168" s="84" t="n"/>
      <c r="C168" s="81" t="n"/>
      <c r="D168" s="81" t="n"/>
      <c r="E168" s="81" t="n"/>
      <c r="F168" s="82" t="n"/>
      <c r="G168" s="110">
        <f>IFERROR(SUMIFS(Transactions!$F$7:$F$1000,Transactions!$G$7:$G$1000,A168,Transactions!$D$7:$D$1000,"Expense"),0)</f>
        <v/>
      </c>
      <c r="H168" s="81" t="n"/>
      <c r="I168" s="81" t="n"/>
      <c r="J168" s="81" t="n"/>
    </row>
    <row r="169" ht="20" customHeight="1">
      <c r="A169" s="81" t="n"/>
      <c r="B169" s="84" t="n"/>
      <c r="C169" s="81" t="n"/>
      <c r="D169" s="81" t="n"/>
      <c r="E169" s="81" t="n"/>
      <c r="F169" s="82" t="n"/>
      <c r="G169" s="110">
        <f>IFERROR(SUMIFS(Transactions!$F$7:$F$1000,Transactions!$G$7:$G$1000,A169,Transactions!$D$7:$D$1000,"Expense"),0)</f>
        <v/>
      </c>
      <c r="H169" s="81" t="n"/>
      <c r="I169" s="81" t="n"/>
      <c r="J169" s="81" t="n"/>
    </row>
    <row r="170" ht="20" customHeight="1">
      <c r="A170" s="81" t="n"/>
      <c r="B170" s="84" t="n"/>
      <c r="C170" s="81" t="n"/>
      <c r="D170" s="81" t="n"/>
      <c r="E170" s="81" t="n"/>
      <c r="F170" s="82" t="n"/>
      <c r="G170" s="110">
        <f>IFERROR(SUMIFS(Transactions!$F$7:$F$1000,Transactions!$G$7:$G$1000,A170,Transactions!$D$7:$D$1000,"Expense"),0)</f>
        <v/>
      </c>
      <c r="H170" s="81" t="n"/>
      <c r="I170" s="81" t="n"/>
      <c r="J170" s="81" t="n"/>
    </row>
    <row r="171" ht="20" customHeight="1">
      <c r="A171" s="81" t="n"/>
      <c r="B171" s="84" t="n"/>
      <c r="C171" s="81" t="n"/>
      <c r="D171" s="81" t="n"/>
      <c r="E171" s="81" t="n"/>
      <c r="F171" s="82" t="n"/>
      <c r="G171" s="110">
        <f>IFERROR(SUMIFS(Transactions!$F$7:$F$1000,Transactions!$G$7:$G$1000,A171,Transactions!$D$7:$D$1000,"Expense"),0)</f>
        <v/>
      </c>
      <c r="H171" s="81" t="n"/>
      <c r="I171" s="81" t="n"/>
      <c r="J171" s="81" t="n"/>
    </row>
    <row r="172" ht="20" customHeight="1">
      <c r="A172" s="81" t="n"/>
      <c r="B172" s="84" t="n"/>
      <c r="C172" s="81" t="n"/>
      <c r="D172" s="81" t="n"/>
      <c r="E172" s="81" t="n"/>
      <c r="F172" s="82" t="n"/>
      <c r="G172" s="110">
        <f>IFERROR(SUMIFS(Transactions!$F$7:$F$1000,Transactions!$G$7:$G$1000,A172,Transactions!$D$7:$D$1000,"Expense"),0)</f>
        <v/>
      </c>
      <c r="H172" s="81" t="n"/>
      <c r="I172" s="81" t="n"/>
      <c r="J172" s="81" t="n"/>
    </row>
    <row r="173" ht="20" customHeight="1">
      <c r="A173" s="81" t="n"/>
      <c r="B173" s="84" t="n"/>
      <c r="C173" s="81" t="n"/>
      <c r="D173" s="81" t="n"/>
      <c r="E173" s="81" t="n"/>
      <c r="F173" s="82" t="n"/>
      <c r="G173" s="110">
        <f>IFERROR(SUMIFS(Transactions!$F$7:$F$1000,Transactions!$G$7:$G$1000,A173,Transactions!$D$7:$D$1000,"Expense"),0)</f>
        <v/>
      </c>
      <c r="H173" s="81" t="n"/>
      <c r="I173" s="81" t="n"/>
      <c r="J173" s="81" t="n"/>
    </row>
    <row r="174" ht="20" customHeight="1">
      <c r="A174" s="81" t="n"/>
      <c r="B174" s="84" t="n"/>
      <c r="C174" s="81" t="n"/>
      <c r="D174" s="81" t="n"/>
      <c r="E174" s="81" t="n"/>
      <c r="F174" s="82" t="n"/>
      <c r="G174" s="110">
        <f>IFERROR(SUMIFS(Transactions!$F$7:$F$1000,Transactions!$G$7:$G$1000,A174,Transactions!$D$7:$D$1000,"Expense"),0)</f>
        <v/>
      </c>
      <c r="H174" s="81" t="n"/>
      <c r="I174" s="81" t="n"/>
      <c r="J174" s="81" t="n"/>
    </row>
    <row r="175" ht="20" customHeight="1">
      <c r="A175" s="81" t="n"/>
      <c r="B175" s="84" t="n"/>
      <c r="C175" s="81" t="n"/>
      <c r="D175" s="81" t="n"/>
      <c r="E175" s="81" t="n"/>
      <c r="F175" s="82" t="n"/>
      <c r="G175" s="110">
        <f>IFERROR(SUMIFS(Transactions!$F$7:$F$1000,Transactions!$G$7:$G$1000,A175,Transactions!$D$7:$D$1000,"Expense"),0)</f>
        <v/>
      </c>
      <c r="H175" s="81" t="n"/>
      <c r="I175" s="81" t="n"/>
      <c r="J175" s="81" t="n"/>
    </row>
    <row r="176" ht="20" customHeight="1">
      <c r="A176" s="81" t="n"/>
      <c r="B176" s="84" t="n"/>
      <c r="C176" s="81" t="n"/>
      <c r="D176" s="81" t="n"/>
      <c r="E176" s="81" t="n"/>
      <c r="F176" s="82" t="n"/>
      <c r="G176" s="110">
        <f>IFERROR(SUMIFS(Transactions!$F$7:$F$1000,Transactions!$G$7:$G$1000,A176,Transactions!$D$7:$D$1000,"Expense"),0)</f>
        <v/>
      </c>
      <c r="H176" s="81" t="n"/>
      <c r="I176" s="81" t="n"/>
      <c r="J176" s="81" t="n"/>
    </row>
    <row r="177" ht="20" customHeight="1">
      <c r="A177" s="81" t="n"/>
      <c r="B177" s="84" t="n"/>
      <c r="C177" s="81" t="n"/>
      <c r="D177" s="81" t="n"/>
      <c r="E177" s="81" t="n"/>
      <c r="F177" s="82" t="n"/>
      <c r="G177" s="110">
        <f>IFERROR(SUMIFS(Transactions!$F$7:$F$1000,Transactions!$G$7:$G$1000,A177,Transactions!$D$7:$D$1000,"Expense"),0)</f>
        <v/>
      </c>
      <c r="H177" s="81" t="n"/>
      <c r="I177" s="81" t="n"/>
      <c r="J177" s="81" t="n"/>
    </row>
    <row r="178" ht="20" customHeight="1">
      <c r="A178" s="81" t="n"/>
      <c r="B178" s="84" t="n"/>
      <c r="C178" s="81" t="n"/>
      <c r="D178" s="81" t="n"/>
      <c r="E178" s="81" t="n"/>
      <c r="F178" s="82" t="n"/>
      <c r="G178" s="110">
        <f>IFERROR(SUMIFS(Transactions!$F$7:$F$1000,Transactions!$G$7:$G$1000,A178,Transactions!$D$7:$D$1000,"Expense"),0)</f>
        <v/>
      </c>
      <c r="H178" s="81" t="n"/>
      <c r="I178" s="81" t="n"/>
      <c r="J178" s="81" t="n"/>
    </row>
    <row r="179" ht="20" customHeight="1">
      <c r="A179" s="81" t="n"/>
      <c r="B179" s="84" t="n"/>
      <c r="C179" s="81" t="n"/>
      <c r="D179" s="81" t="n"/>
      <c r="E179" s="81" t="n"/>
      <c r="F179" s="82" t="n"/>
      <c r="G179" s="110">
        <f>IFERROR(SUMIFS(Transactions!$F$7:$F$1000,Transactions!$G$7:$G$1000,A179,Transactions!$D$7:$D$1000,"Expense"),0)</f>
        <v/>
      </c>
      <c r="H179" s="81" t="n"/>
      <c r="I179" s="81" t="n"/>
      <c r="J179" s="81" t="n"/>
    </row>
    <row r="180" ht="20" customHeight="1">
      <c r="A180" s="81" t="n"/>
      <c r="B180" s="84" t="n"/>
      <c r="C180" s="81" t="n"/>
      <c r="D180" s="81" t="n"/>
      <c r="E180" s="81" t="n"/>
      <c r="F180" s="82" t="n"/>
      <c r="G180" s="110">
        <f>IFERROR(SUMIFS(Transactions!$F$7:$F$1000,Transactions!$G$7:$G$1000,A180,Transactions!$D$7:$D$1000,"Expense"),0)</f>
        <v/>
      </c>
      <c r="H180" s="81" t="n"/>
      <c r="I180" s="81" t="n"/>
      <c r="J180" s="81" t="n"/>
    </row>
    <row r="181" ht="20" customHeight="1">
      <c r="A181" s="81" t="n"/>
      <c r="B181" s="84" t="n"/>
      <c r="C181" s="81" t="n"/>
      <c r="D181" s="81" t="n"/>
      <c r="E181" s="81" t="n"/>
      <c r="F181" s="82" t="n"/>
      <c r="G181" s="110">
        <f>IFERROR(SUMIFS(Transactions!$F$7:$F$1000,Transactions!$G$7:$G$1000,A181,Transactions!$D$7:$D$1000,"Expense"),0)</f>
        <v/>
      </c>
      <c r="H181" s="81" t="n"/>
      <c r="I181" s="81" t="n"/>
      <c r="J181" s="81" t="n"/>
    </row>
    <row r="182" ht="20" customHeight="1">
      <c r="A182" s="81" t="n"/>
      <c r="B182" s="84" t="n"/>
      <c r="C182" s="81" t="n"/>
      <c r="D182" s="81" t="n"/>
      <c r="E182" s="81" t="n"/>
      <c r="F182" s="82" t="n"/>
      <c r="G182" s="110">
        <f>IFERROR(SUMIFS(Transactions!$F$7:$F$1000,Transactions!$G$7:$G$1000,A182,Transactions!$D$7:$D$1000,"Expense"),0)</f>
        <v/>
      </c>
      <c r="H182" s="81" t="n"/>
      <c r="I182" s="81" t="n"/>
      <c r="J182" s="81" t="n"/>
    </row>
    <row r="183" ht="20" customHeight="1">
      <c r="A183" s="81" t="n"/>
      <c r="B183" s="84" t="n"/>
      <c r="C183" s="81" t="n"/>
      <c r="D183" s="81" t="n"/>
      <c r="E183" s="81" t="n"/>
      <c r="F183" s="82" t="n"/>
      <c r="G183" s="110">
        <f>IFERROR(SUMIFS(Transactions!$F$7:$F$1000,Transactions!$G$7:$G$1000,A183,Transactions!$D$7:$D$1000,"Expense"),0)</f>
        <v/>
      </c>
      <c r="H183" s="81" t="n"/>
      <c r="I183" s="81" t="n"/>
      <c r="J183" s="81" t="n"/>
    </row>
    <row r="184" ht="20" customHeight="1">
      <c r="A184" s="81" t="n"/>
      <c r="B184" s="84" t="n"/>
      <c r="C184" s="81" t="n"/>
      <c r="D184" s="81" t="n"/>
      <c r="E184" s="81" t="n"/>
      <c r="F184" s="82" t="n"/>
      <c r="G184" s="110">
        <f>IFERROR(SUMIFS(Transactions!$F$7:$F$1000,Transactions!$G$7:$G$1000,A184,Transactions!$D$7:$D$1000,"Expense"),0)</f>
        <v/>
      </c>
      <c r="H184" s="81" t="n"/>
      <c r="I184" s="81" t="n"/>
      <c r="J184" s="81" t="n"/>
    </row>
    <row r="185" ht="20" customHeight="1">
      <c r="A185" s="81" t="n"/>
      <c r="B185" s="84" t="n"/>
      <c r="C185" s="81" t="n"/>
      <c r="D185" s="81" t="n"/>
      <c r="E185" s="81" t="n"/>
      <c r="F185" s="82" t="n"/>
      <c r="G185" s="110">
        <f>IFERROR(SUMIFS(Transactions!$F$7:$F$1000,Transactions!$G$7:$G$1000,A185,Transactions!$D$7:$D$1000,"Expense"),0)</f>
        <v/>
      </c>
      <c r="H185" s="81" t="n"/>
      <c r="I185" s="81" t="n"/>
      <c r="J185" s="81" t="n"/>
    </row>
    <row r="186" ht="20" customHeight="1">
      <c r="A186" s="81" t="n"/>
      <c r="B186" s="84" t="n"/>
      <c r="C186" s="81" t="n"/>
      <c r="D186" s="81" t="n"/>
      <c r="E186" s="81" t="n"/>
      <c r="F186" s="82" t="n"/>
      <c r="G186" s="110">
        <f>IFERROR(SUMIFS(Transactions!$F$7:$F$1000,Transactions!$G$7:$G$1000,A186,Transactions!$D$7:$D$1000,"Expense"),0)</f>
        <v/>
      </c>
      <c r="H186" s="81" t="n"/>
      <c r="I186" s="81" t="n"/>
      <c r="J186" s="81" t="n"/>
    </row>
    <row r="187" ht="20" customHeight="1">
      <c r="A187" s="81" t="n"/>
      <c r="B187" s="84" t="n"/>
      <c r="C187" s="81" t="n"/>
      <c r="D187" s="81" t="n"/>
      <c r="E187" s="81" t="n"/>
      <c r="F187" s="82" t="n"/>
      <c r="G187" s="110">
        <f>IFERROR(SUMIFS(Transactions!$F$7:$F$1000,Transactions!$G$7:$G$1000,A187,Transactions!$D$7:$D$1000,"Expense"),0)</f>
        <v/>
      </c>
      <c r="H187" s="81" t="n"/>
      <c r="I187" s="81" t="n"/>
      <c r="J187" s="81" t="n"/>
    </row>
    <row r="188" ht="20" customHeight="1">
      <c r="A188" s="81" t="n"/>
      <c r="B188" s="84" t="n"/>
      <c r="C188" s="81" t="n"/>
      <c r="D188" s="81" t="n"/>
      <c r="E188" s="81" t="n"/>
      <c r="F188" s="82" t="n"/>
      <c r="G188" s="110">
        <f>IFERROR(SUMIFS(Transactions!$F$7:$F$1000,Transactions!$G$7:$G$1000,A188,Transactions!$D$7:$D$1000,"Expense"),0)</f>
        <v/>
      </c>
      <c r="H188" s="81" t="n"/>
      <c r="I188" s="81" t="n"/>
      <c r="J188" s="81" t="n"/>
    </row>
    <row r="189" ht="20" customHeight="1">
      <c r="A189" s="81" t="n"/>
      <c r="B189" s="84" t="n"/>
      <c r="C189" s="81" t="n"/>
      <c r="D189" s="81" t="n"/>
      <c r="E189" s="81" t="n"/>
      <c r="F189" s="82" t="n"/>
      <c r="G189" s="110">
        <f>IFERROR(SUMIFS(Transactions!$F$7:$F$1000,Transactions!$G$7:$G$1000,A189,Transactions!$D$7:$D$1000,"Expense"),0)</f>
        <v/>
      </c>
      <c r="H189" s="81" t="n"/>
      <c r="I189" s="81" t="n"/>
      <c r="J189" s="81" t="n"/>
    </row>
    <row r="190" ht="20" customHeight="1">
      <c r="A190" s="81" t="n"/>
      <c r="B190" s="84" t="n"/>
      <c r="C190" s="81" t="n"/>
      <c r="D190" s="81" t="n"/>
      <c r="E190" s="81" t="n"/>
      <c r="F190" s="82" t="n"/>
      <c r="G190" s="110">
        <f>IFERROR(SUMIFS(Transactions!$F$7:$F$1000,Transactions!$G$7:$G$1000,A190,Transactions!$D$7:$D$1000,"Expense"),0)</f>
        <v/>
      </c>
      <c r="H190" s="81" t="n"/>
      <c r="I190" s="81" t="n"/>
      <c r="J190" s="81" t="n"/>
    </row>
    <row r="191" ht="20" customHeight="1">
      <c r="A191" s="81" t="n"/>
      <c r="B191" s="84" t="n"/>
      <c r="C191" s="81" t="n"/>
      <c r="D191" s="81" t="n"/>
      <c r="E191" s="81" t="n"/>
      <c r="F191" s="82" t="n"/>
      <c r="G191" s="110">
        <f>IFERROR(SUMIFS(Transactions!$F$7:$F$1000,Transactions!$G$7:$G$1000,A191,Transactions!$D$7:$D$1000,"Expense"),0)</f>
        <v/>
      </c>
      <c r="H191" s="81" t="n"/>
      <c r="I191" s="81" t="n"/>
      <c r="J191" s="81" t="n"/>
    </row>
    <row r="192" ht="20" customHeight="1">
      <c r="A192" s="81" t="n"/>
      <c r="B192" s="84" t="n"/>
      <c r="C192" s="81" t="n"/>
      <c r="D192" s="81" t="n"/>
      <c r="E192" s="81" t="n"/>
      <c r="F192" s="82" t="n"/>
      <c r="G192" s="110">
        <f>IFERROR(SUMIFS(Transactions!$F$7:$F$1000,Transactions!$G$7:$G$1000,A192,Transactions!$D$7:$D$1000,"Expense"),0)</f>
        <v/>
      </c>
      <c r="H192" s="81" t="n"/>
      <c r="I192" s="81" t="n"/>
      <c r="J192" s="81" t="n"/>
    </row>
    <row r="193" ht="20" customHeight="1">
      <c r="A193" s="81" t="n"/>
      <c r="B193" s="84" t="n"/>
      <c r="C193" s="81" t="n"/>
      <c r="D193" s="81" t="n"/>
      <c r="E193" s="81" t="n"/>
      <c r="F193" s="82" t="n"/>
      <c r="G193" s="110">
        <f>IFERROR(SUMIFS(Transactions!$F$7:$F$1000,Transactions!$G$7:$G$1000,A193,Transactions!$D$7:$D$1000,"Expense"),0)</f>
        <v/>
      </c>
      <c r="H193" s="81" t="n"/>
      <c r="I193" s="81" t="n"/>
      <c r="J193" s="81" t="n"/>
    </row>
    <row r="194" ht="20" customHeight="1">
      <c r="A194" s="81" t="n"/>
      <c r="B194" s="84" t="n"/>
      <c r="C194" s="81" t="n"/>
      <c r="D194" s="81" t="n"/>
      <c r="E194" s="81" t="n"/>
      <c r="F194" s="82" t="n"/>
      <c r="G194" s="110">
        <f>IFERROR(SUMIFS(Transactions!$F$7:$F$1000,Transactions!$G$7:$G$1000,A194,Transactions!$D$7:$D$1000,"Expense"),0)</f>
        <v/>
      </c>
      <c r="H194" s="81" t="n"/>
      <c r="I194" s="81" t="n"/>
      <c r="J194" s="81" t="n"/>
    </row>
    <row r="195" ht="20" customHeight="1">
      <c r="A195" s="81" t="n"/>
      <c r="B195" s="84" t="n"/>
      <c r="C195" s="81" t="n"/>
      <c r="D195" s="81" t="n"/>
      <c r="E195" s="81" t="n"/>
      <c r="F195" s="82" t="n"/>
      <c r="G195" s="110">
        <f>IFERROR(SUMIFS(Transactions!$F$7:$F$1000,Transactions!$G$7:$G$1000,A195,Transactions!$D$7:$D$1000,"Expense"),0)</f>
        <v/>
      </c>
      <c r="H195" s="81" t="n"/>
      <c r="I195" s="81" t="n"/>
      <c r="J195" s="81" t="n"/>
    </row>
    <row r="196" ht="20" customHeight="1">
      <c r="A196" s="81" t="n"/>
      <c r="B196" s="84" t="n"/>
      <c r="C196" s="81" t="n"/>
      <c r="D196" s="81" t="n"/>
      <c r="E196" s="81" t="n"/>
      <c r="F196" s="82" t="n"/>
      <c r="G196" s="110">
        <f>IFERROR(SUMIFS(Transactions!$F$7:$F$1000,Transactions!$G$7:$G$1000,A196,Transactions!$D$7:$D$1000,"Expense"),0)</f>
        <v/>
      </c>
      <c r="H196" s="81" t="n"/>
      <c r="I196" s="81" t="n"/>
      <c r="J196" s="81" t="n"/>
    </row>
    <row r="197" ht="20" customHeight="1">
      <c r="A197" s="81" t="n"/>
      <c r="B197" s="84" t="n"/>
      <c r="C197" s="81" t="n"/>
      <c r="D197" s="81" t="n"/>
      <c r="E197" s="81" t="n"/>
      <c r="F197" s="82" t="n"/>
      <c r="G197" s="110">
        <f>IFERROR(SUMIFS(Transactions!$F$7:$F$1000,Transactions!$G$7:$G$1000,A197,Transactions!$D$7:$D$1000,"Expense"),0)</f>
        <v/>
      </c>
      <c r="H197" s="81" t="n"/>
      <c r="I197" s="81" t="n"/>
      <c r="J197" s="81" t="n"/>
    </row>
    <row r="198" ht="20" customHeight="1">
      <c r="A198" s="81" t="n"/>
      <c r="B198" s="84" t="n"/>
      <c r="C198" s="81" t="n"/>
      <c r="D198" s="81" t="n"/>
      <c r="E198" s="81" t="n"/>
      <c r="F198" s="82" t="n"/>
      <c r="G198" s="110">
        <f>IFERROR(SUMIFS(Transactions!$F$7:$F$1000,Transactions!$G$7:$G$1000,A198,Transactions!$D$7:$D$1000,"Expense"),0)</f>
        <v/>
      </c>
      <c r="H198" s="81" t="n"/>
      <c r="I198" s="81" t="n"/>
      <c r="J198" s="81" t="n"/>
    </row>
    <row r="199" ht="20" customHeight="1">
      <c r="A199" s="81" t="n"/>
      <c r="B199" s="84" t="n"/>
      <c r="C199" s="81" t="n"/>
      <c r="D199" s="81" t="n"/>
      <c r="E199" s="81" t="n"/>
      <c r="F199" s="82" t="n"/>
      <c r="G199" s="110">
        <f>IFERROR(SUMIFS(Transactions!$F$7:$F$1000,Transactions!$G$7:$G$1000,A199,Transactions!$D$7:$D$1000,"Expense"),0)</f>
        <v/>
      </c>
      <c r="H199" s="81" t="n"/>
      <c r="I199" s="81" t="n"/>
      <c r="J199" s="81" t="n"/>
    </row>
    <row r="200" ht="20" customHeight="1">
      <c r="A200" s="81" t="n"/>
      <c r="B200" s="84" t="n"/>
      <c r="C200" s="81" t="n"/>
      <c r="D200" s="81" t="n"/>
      <c r="E200" s="81" t="n"/>
      <c r="F200" s="82" t="n"/>
      <c r="G200" s="110">
        <f>IFERROR(SUMIFS(Transactions!$F$7:$F$1000,Transactions!$G$7:$G$1000,A200,Transactions!$D$7:$D$1000,"Expense"),0)</f>
        <v/>
      </c>
      <c r="H200" s="81" t="n"/>
      <c r="I200" s="81" t="n"/>
      <c r="J200" s="81" t="n"/>
    </row>
    <row r="201" ht="20" customHeight="1">
      <c r="A201" s="81" t="n"/>
      <c r="B201" s="84" t="n"/>
      <c r="C201" s="81" t="n"/>
      <c r="D201" s="81" t="n"/>
      <c r="E201" s="81" t="n"/>
      <c r="F201" s="82" t="n"/>
      <c r="G201" s="110">
        <f>IFERROR(SUMIFS(Transactions!$F$7:$F$1000,Transactions!$G$7:$G$1000,A201,Transactions!$D$7:$D$1000,"Expense"),0)</f>
        <v/>
      </c>
      <c r="H201" s="81" t="n"/>
      <c r="I201" s="81" t="n"/>
      <c r="J201" s="81" t="n"/>
    </row>
    <row r="202" ht="20" customHeight="1">
      <c r="A202" s="81" t="n"/>
      <c r="B202" s="84" t="n"/>
      <c r="C202" s="81" t="n"/>
      <c r="D202" s="81" t="n"/>
      <c r="E202" s="81" t="n"/>
      <c r="F202" s="82" t="n"/>
      <c r="G202" s="110">
        <f>IFERROR(SUMIFS(Transactions!$F$7:$F$1000,Transactions!$G$7:$G$1000,A202,Transactions!$D$7:$D$1000,"Expense"),0)</f>
        <v/>
      </c>
      <c r="H202" s="81" t="n"/>
      <c r="I202" s="81" t="n"/>
      <c r="J202" s="81" t="n"/>
    </row>
    <row r="203" ht="20" customHeight="1">
      <c r="A203" s="81" t="n"/>
      <c r="B203" s="84" t="n"/>
      <c r="C203" s="81" t="n"/>
      <c r="D203" s="81" t="n"/>
      <c r="E203" s="81" t="n"/>
      <c r="F203" s="82" t="n"/>
      <c r="G203" s="110">
        <f>IFERROR(SUMIFS(Transactions!$F$7:$F$1000,Transactions!$G$7:$G$1000,A203,Transactions!$D$7:$D$1000,"Expense"),0)</f>
        <v/>
      </c>
      <c r="H203" s="81" t="n"/>
      <c r="I203" s="81" t="n"/>
      <c r="J203" s="81" t="n"/>
    </row>
    <row r="204" ht="20" customHeight="1">
      <c r="A204" s="81" t="n"/>
      <c r="B204" s="84" t="n"/>
      <c r="C204" s="81" t="n"/>
      <c r="D204" s="81" t="n"/>
      <c r="E204" s="81" t="n"/>
      <c r="F204" s="82" t="n"/>
      <c r="G204" s="110">
        <f>IFERROR(SUMIFS(Transactions!$F$7:$F$1000,Transactions!$G$7:$G$1000,A204,Transactions!$D$7:$D$1000,"Expense"),0)</f>
        <v/>
      </c>
      <c r="H204" s="81" t="n"/>
      <c r="I204" s="81" t="n"/>
      <c r="J204" s="81" t="n"/>
    </row>
    <row r="205" ht="20" customHeight="1">
      <c r="A205" s="81" t="n"/>
      <c r="B205" s="84" t="n"/>
      <c r="C205" s="81" t="n"/>
      <c r="D205" s="81" t="n"/>
      <c r="E205" s="81" t="n"/>
      <c r="F205" s="82" t="n"/>
      <c r="G205" s="110">
        <f>IFERROR(SUMIFS(Transactions!$F$7:$F$1000,Transactions!$G$7:$G$1000,A205,Transactions!$D$7:$D$1000,"Expense"),0)</f>
        <v/>
      </c>
      <c r="H205" s="81" t="n"/>
      <c r="I205" s="81" t="n"/>
      <c r="J205" s="81" t="n"/>
    </row>
    <row r="206" ht="20" customHeight="1">
      <c r="A206" s="81" t="n"/>
      <c r="B206" s="84" t="n"/>
      <c r="C206" s="81" t="n"/>
      <c r="D206" s="81" t="n"/>
      <c r="E206" s="81" t="n"/>
      <c r="F206" s="82" t="n"/>
      <c r="G206" s="110">
        <f>IFERROR(SUMIFS(Transactions!$F$7:$F$1000,Transactions!$G$7:$G$1000,A206,Transactions!$D$7:$D$1000,"Expense"),0)</f>
        <v/>
      </c>
      <c r="H206" s="81" t="n"/>
      <c r="I206" s="81" t="n"/>
      <c r="J206" s="81" t="n"/>
    </row>
    <row r="207" ht="20" customHeight="1">
      <c r="A207" s="81" t="n"/>
      <c r="B207" s="84" t="n"/>
      <c r="C207" s="81" t="n"/>
      <c r="D207" s="81" t="n"/>
      <c r="E207" s="81" t="n"/>
      <c r="F207" s="82" t="n"/>
      <c r="G207" s="110">
        <f>IFERROR(SUMIFS(Transactions!$F$7:$F$1000,Transactions!$G$7:$G$1000,A207,Transactions!$D$7:$D$1000,"Expense"),0)</f>
        <v/>
      </c>
      <c r="H207" s="81" t="n"/>
      <c r="I207" s="81" t="n"/>
      <c r="J207" s="81" t="n"/>
    </row>
    <row r="208" ht="20" customHeight="1">
      <c r="A208" s="81" t="n"/>
      <c r="B208" s="84" t="n"/>
      <c r="C208" s="81" t="n"/>
      <c r="D208" s="81" t="n"/>
      <c r="E208" s="81" t="n"/>
      <c r="F208" s="82" t="n"/>
      <c r="G208" s="110">
        <f>IFERROR(SUMIFS(Transactions!$F$7:$F$1000,Transactions!$G$7:$G$1000,A208,Transactions!$D$7:$D$1000,"Expense"),0)</f>
        <v/>
      </c>
      <c r="H208" s="81" t="n"/>
      <c r="I208" s="81" t="n"/>
      <c r="J208" s="81" t="n"/>
    </row>
    <row r="209" ht="20" customHeight="1">
      <c r="A209" s="81" t="n"/>
      <c r="B209" s="84" t="n"/>
      <c r="C209" s="81" t="n"/>
      <c r="D209" s="81" t="n"/>
      <c r="E209" s="81" t="n"/>
      <c r="F209" s="82" t="n"/>
      <c r="G209" s="110">
        <f>IFERROR(SUMIFS(Transactions!$F$7:$F$1000,Transactions!$G$7:$G$1000,A209,Transactions!$D$7:$D$1000,"Expense"),0)</f>
        <v/>
      </c>
      <c r="H209" s="81" t="n"/>
      <c r="I209" s="81" t="n"/>
      <c r="J209" s="81" t="n"/>
    </row>
    <row r="210" ht="20" customHeight="1">
      <c r="A210" s="81" t="n"/>
      <c r="B210" s="84" t="n"/>
      <c r="C210" s="81" t="n"/>
      <c r="D210" s="81" t="n"/>
      <c r="E210" s="81" t="n"/>
      <c r="F210" s="82" t="n"/>
      <c r="G210" s="110">
        <f>IFERROR(SUMIFS(Transactions!$F$7:$F$1000,Transactions!$G$7:$G$1000,A210,Transactions!$D$7:$D$1000,"Expense"),0)</f>
        <v/>
      </c>
      <c r="H210" s="81" t="n"/>
      <c r="I210" s="81" t="n"/>
      <c r="J210" s="81" t="n"/>
    </row>
    <row r="211" ht="20" customHeight="1">
      <c r="A211" s="81" t="n"/>
      <c r="B211" s="84" t="n"/>
      <c r="C211" s="81" t="n"/>
      <c r="D211" s="81" t="n"/>
      <c r="E211" s="81" t="n"/>
      <c r="F211" s="82" t="n"/>
      <c r="G211" s="110">
        <f>IFERROR(SUMIFS(Transactions!$F$7:$F$1000,Transactions!$G$7:$G$1000,A211,Transactions!$D$7:$D$1000,"Expense"),0)</f>
        <v/>
      </c>
      <c r="H211" s="81" t="n"/>
      <c r="I211" s="81" t="n"/>
      <c r="J211" s="81" t="n"/>
    </row>
    <row r="212" ht="20" customHeight="1">
      <c r="A212" s="81" t="n"/>
      <c r="B212" s="84" t="n"/>
      <c r="C212" s="81" t="n"/>
      <c r="D212" s="81" t="n"/>
      <c r="E212" s="81" t="n"/>
      <c r="F212" s="82" t="n"/>
      <c r="G212" s="110">
        <f>IFERROR(SUMIFS(Transactions!$F$7:$F$1000,Transactions!$G$7:$G$1000,A212,Transactions!$D$7:$D$1000,"Expense"),0)</f>
        <v/>
      </c>
      <c r="H212" s="81" t="n"/>
      <c r="I212" s="81" t="n"/>
      <c r="J212" s="81" t="n"/>
    </row>
    <row r="213" ht="20" customHeight="1">
      <c r="A213" s="81" t="n"/>
      <c r="B213" s="84" t="n"/>
      <c r="C213" s="81" t="n"/>
      <c r="D213" s="81" t="n"/>
      <c r="E213" s="81" t="n"/>
      <c r="F213" s="82" t="n"/>
      <c r="G213" s="110">
        <f>IFERROR(SUMIFS(Transactions!$F$7:$F$1000,Transactions!$G$7:$G$1000,A213,Transactions!$D$7:$D$1000,"Expense"),0)</f>
        <v/>
      </c>
      <c r="H213" s="81" t="n"/>
      <c r="I213" s="81" t="n"/>
      <c r="J213" s="81" t="n"/>
    </row>
    <row r="214" ht="20" customHeight="1">
      <c r="A214" s="81" t="n"/>
      <c r="B214" s="84" t="n"/>
      <c r="C214" s="81" t="n"/>
      <c r="D214" s="81" t="n"/>
      <c r="E214" s="81" t="n"/>
      <c r="F214" s="82" t="n"/>
      <c r="G214" s="110">
        <f>IFERROR(SUMIFS(Transactions!$F$7:$F$1000,Transactions!$G$7:$G$1000,A214,Transactions!$D$7:$D$1000,"Expense"),0)</f>
        <v/>
      </c>
      <c r="H214" s="81" t="n"/>
      <c r="I214" s="81" t="n"/>
      <c r="J214" s="81" t="n"/>
    </row>
    <row r="215" ht="20" customHeight="1">
      <c r="A215" s="81" t="n"/>
      <c r="B215" s="84" t="n"/>
      <c r="C215" s="81" t="n"/>
      <c r="D215" s="81" t="n"/>
      <c r="E215" s="81" t="n"/>
      <c r="F215" s="82" t="n"/>
      <c r="G215" s="110">
        <f>IFERROR(SUMIFS(Transactions!$F$7:$F$1000,Transactions!$G$7:$G$1000,A215,Transactions!$D$7:$D$1000,"Expense"),0)</f>
        <v/>
      </c>
      <c r="H215" s="81" t="n"/>
      <c r="I215" s="81" t="n"/>
      <c r="J215" s="81" t="n"/>
    </row>
    <row r="216" ht="20" customHeight="1">
      <c r="A216" s="81" t="n"/>
      <c r="B216" s="84" t="n"/>
      <c r="C216" s="81" t="n"/>
      <c r="D216" s="81" t="n"/>
      <c r="E216" s="81" t="n"/>
      <c r="F216" s="82" t="n"/>
      <c r="G216" s="110">
        <f>IFERROR(SUMIFS(Transactions!$F$7:$F$1000,Transactions!$G$7:$G$1000,A216,Transactions!$D$7:$D$1000,"Expense"),0)</f>
        <v/>
      </c>
      <c r="H216" s="81" t="n"/>
      <c r="I216" s="81" t="n"/>
      <c r="J216" s="81" t="n"/>
    </row>
    <row r="217" ht="20" customHeight="1">
      <c r="A217" s="81" t="n"/>
      <c r="B217" s="84" t="n"/>
      <c r="C217" s="81" t="n"/>
      <c r="D217" s="81" t="n"/>
      <c r="E217" s="81" t="n"/>
      <c r="F217" s="82" t="n"/>
      <c r="G217" s="110">
        <f>IFERROR(SUMIFS(Transactions!$F$7:$F$1000,Transactions!$G$7:$G$1000,A217,Transactions!$D$7:$D$1000,"Expense"),0)</f>
        <v/>
      </c>
      <c r="H217" s="81" t="n"/>
      <c r="I217" s="81" t="n"/>
      <c r="J217" s="81" t="n"/>
    </row>
    <row r="218" ht="20" customHeight="1">
      <c r="A218" s="81" t="n"/>
      <c r="B218" s="84" t="n"/>
      <c r="C218" s="81" t="n"/>
      <c r="D218" s="81" t="n"/>
      <c r="E218" s="81" t="n"/>
      <c r="F218" s="82" t="n"/>
      <c r="G218" s="110">
        <f>IFERROR(SUMIFS(Transactions!$F$7:$F$1000,Transactions!$G$7:$G$1000,A218,Transactions!$D$7:$D$1000,"Expense"),0)</f>
        <v/>
      </c>
      <c r="H218" s="81" t="n"/>
      <c r="I218" s="81" t="n"/>
      <c r="J218" s="81" t="n"/>
    </row>
    <row r="219" ht="20" customHeight="1">
      <c r="A219" s="81" t="n"/>
      <c r="B219" s="84" t="n"/>
      <c r="C219" s="81" t="n"/>
      <c r="D219" s="81" t="n"/>
      <c r="E219" s="81" t="n"/>
      <c r="F219" s="82" t="n"/>
      <c r="G219" s="110">
        <f>IFERROR(SUMIFS(Transactions!$F$7:$F$1000,Transactions!$G$7:$G$1000,A219,Transactions!$D$7:$D$1000,"Expense"),0)</f>
        <v/>
      </c>
      <c r="H219" s="81" t="n"/>
      <c r="I219" s="81" t="n"/>
      <c r="J219" s="81" t="n"/>
    </row>
    <row r="220" ht="20" customHeight="1">
      <c r="A220" s="81" t="n"/>
      <c r="B220" s="84" t="n"/>
      <c r="C220" s="81" t="n"/>
      <c r="D220" s="81" t="n"/>
      <c r="E220" s="81" t="n"/>
      <c r="F220" s="82" t="n"/>
      <c r="G220" s="110">
        <f>IFERROR(SUMIFS(Transactions!$F$7:$F$1000,Transactions!$G$7:$G$1000,A220,Transactions!$D$7:$D$1000,"Expense"),0)</f>
        <v/>
      </c>
      <c r="H220" s="81" t="n"/>
      <c r="I220" s="81" t="n"/>
      <c r="J220" s="81" t="n"/>
    </row>
    <row r="221" ht="20" customHeight="1">
      <c r="A221" s="81" t="n"/>
      <c r="B221" s="84" t="n"/>
      <c r="C221" s="81" t="n"/>
      <c r="D221" s="81" t="n"/>
      <c r="E221" s="81" t="n"/>
      <c r="F221" s="82" t="n"/>
      <c r="G221" s="110">
        <f>IFERROR(SUMIFS(Transactions!$F$7:$F$1000,Transactions!$G$7:$G$1000,A221,Transactions!$D$7:$D$1000,"Expense"),0)</f>
        <v/>
      </c>
      <c r="H221" s="81" t="n"/>
      <c r="I221" s="81" t="n"/>
      <c r="J221" s="81" t="n"/>
    </row>
    <row r="222" ht="20" customHeight="1">
      <c r="A222" s="81" t="n"/>
      <c r="B222" s="84" t="n"/>
      <c r="C222" s="81" t="n"/>
      <c r="D222" s="81" t="n"/>
      <c r="E222" s="81" t="n"/>
      <c r="F222" s="82" t="n"/>
      <c r="G222" s="110">
        <f>IFERROR(SUMIFS(Transactions!$F$7:$F$1000,Transactions!$G$7:$G$1000,A222,Transactions!$D$7:$D$1000,"Expense"),0)</f>
        <v/>
      </c>
      <c r="H222" s="81" t="n"/>
      <c r="I222" s="81" t="n"/>
      <c r="J222" s="81" t="n"/>
    </row>
    <row r="223" ht="20" customHeight="1">
      <c r="A223" s="81" t="n"/>
      <c r="B223" s="84" t="n"/>
      <c r="C223" s="81" t="n"/>
      <c r="D223" s="81" t="n"/>
      <c r="E223" s="81" t="n"/>
      <c r="F223" s="82" t="n"/>
      <c r="G223" s="110">
        <f>IFERROR(SUMIFS(Transactions!$F$7:$F$1000,Transactions!$G$7:$G$1000,A223,Transactions!$D$7:$D$1000,"Expense"),0)</f>
        <v/>
      </c>
      <c r="H223" s="81" t="n"/>
      <c r="I223" s="81" t="n"/>
      <c r="J223" s="81" t="n"/>
    </row>
    <row r="224" ht="20" customHeight="1">
      <c r="A224" s="81" t="n"/>
      <c r="B224" s="84" t="n"/>
      <c r="C224" s="81" t="n"/>
      <c r="D224" s="81" t="n"/>
      <c r="E224" s="81" t="n"/>
      <c r="F224" s="82" t="n"/>
      <c r="G224" s="110">
        <f>IFERROR(SUMIFS(Transactions!$F$7:$F$1000,Transactions!$G$7:$G$1000,A224,Transactions!$D$7:$D$1000,"Expense"),0)</f>
        <v/>
      </c>
      <c r="H224" s="81" t="n"/>
      <c r="I224" s="81" t="n"/>
      <c r="J224" s="81" t="n"/>
    </row>
    <row r="225" ht="20" customHeight="1">
      <c r="A225" s="81" t="n"/>
      <c r="B225" s="84" t="n"/>
      <c r="C225" s="81" t="n"/>
      <c r="D225" s="81" t="n"/>
      <c r="E225" s="81" t="n"/>
      <c r="F225" s="82" t="n"/>
      <c r="G225" s="110">
        <f>IFERROR(SUMIFS(Transactions!$F$7:$F$1000,Transactions!$G$7:$G$1000,A225,Transactions!$D$7:$D$1000,"Expense"),0)</f>
        <v/>
      </c>
      <c r="H225" s="81" t="n"/>
      <c r="I225" s="81" t="n"/>
      <c r="J225" s="81" t="n"/>
    </row>
    <row r="226" ht="20" customHeight="1">
      <c r="A226" s="81" t="n"/>
      <c r="B226" s="84" t="n"/>
      <c r="C226" s="81" t="n"/>
      <c r="D226" s="81" t="n"/>
      <c r="E226" s="81" t="n"/>
      <c r="F226" s="82" t="n"/>
      <c r="G226" s="110">
        <f>IFERROR(SUMIFS(Transactions!$F$7:$F$1000,Transactions!$G$7:$G$1000,A226,Transactions!$D$7:$D$1000,"Expense"),0)</f>
        <v/>
      </c>
      <c r="H226" s="81" t="n"/>
      <c r="I226" s="81" t="n"/>
      <c r="J226" s="81" t="n"/>
    </row>
    <row r="227" ht="20" customHeight="1">
      <c r="A227" s="81" t="n"/>
      <c r="B227" s="84" t="n"/>
      <c r="C227" s="81" t="n"/>
      <c r="D227" s="81" t="n"/>
      <c r="E227" s="81" t="n"/>
      <c r="F227" s="82" t="n"/>
      <c r="G227" s="110">
        <f>IFERROR(SUMIFS(Transactions!$F$7:$F$1000,Transactions!$G$7:$G$1000,A227,Transactions!$D$7:$D$1000,"Expense"),0)</f>
        <v/>
      </c>
      <c r="H227" s="81" t="n"/>
      <c r="I227" s="81" t="n"/>
      <c r="J227" s="81" t="n"/>
    </row>
    <row r="228" ht="20" customHeight="1">
      <c r="A228" s="81" t="n"/>
      <c r="B228" s="84" t="n"/>
      <c r="C228" s="81" t="n"/>
      <c r="D228" s="81" t="n"/>
      <c r="E228" s="81" t="n"/>
      <c r="F228" s="82" t="n"/>
      <c r="G228" s="110">
        <f>IFERROR(SUMIFS(Transactions!$F$7:$F$1000,Transactions!$G$7:$G$1000,A228,Transactions!$D$7:$D$1000,"Expense"),0)</f>
        <v/>
      </c>
      <c r="H228" s="81" t="n"/>
      <c r="I228" s="81" t="n"/>
      <c r="J228" s="81" t="n"/>
    </row>
    <row r="229" ht="20" customHeight="1">
      <c r="A229" s="81" t="n"/>
      <c r="B229" s="84" t="n"/>
      <c r="C229" s="81" t="n"/>
      <c r="D229" s="81" t="n"/>
      <c r="E229" s="81" t="n"/>
      <c r="F229" s="82" t="n"/>
      <c r="G229" s="110">
        <f>IFERROR(SUMIFS(Transactions!$F$7:$F$1000,Transactions!$G$7:$G$1000,A229,Transactions!$D$7:$D$1000,"Expense"),0)</f>
        <v/>
      </c>
      <c r="H229" s="81" t="n"/>
      <c r="I229" s="81" t="n"/>
      <c r="J229" s="81" t="n"/>
    </row>
    <row r="230" ht="20" customHeight="1">
      <c r="A230" s="81" t="n"/>
      <c r="B230" s="84" t="n"/>
      <c r="C230" s="81" t="n"/>
      <c r="D230" s="81" t="n"/>
      <c r="E230" s="81" t="n"/>
      <c r="F230" s="82" t="n"/>
      <c r="G230" s="110">
        <f>IFERROR(SUMIFS(Transactions!$F$7:$F$1000,Transactions!$G$7:$G$1000,A230,Transactions!$D$7:$D$1000,"Expense"),0)</f>
        <v/>
      </c>
      <c r="H230" s="81" t="n"/>
      <c r="I230" s="81" t="n"/>
      <c r="J230" s="81" t="n"/>
    </row>
    <row r="231" ht="20" customHeight="1">
      <c r="A231" s="81" t="n"/>
      <c r="B231" s="84" t="n"/>
      <c r="C231" s="81" t="n"/>
      <c r="D231" s="81" t="n"/>
      <c r="E231" s="81" t="n"/>
      <c r="F231" s="82" t="n"/>
      <c r="G231" s="110">
        <f>IFERROR(SUMIFS(Transactions!$F$7:$F$1000,Transactions!$G$7:$G$1000,A231,Transactions!$D$7:$D$1000,"Expense"),0)</f>
        <v/>
      </c>
      <c r="H231" s="81" t="n"/>
      <c r="I231" s="81" t="n"/>
      <c r="J231" s="81" t="n"/>
    </row>
    <row r="232" ht="20" customHeight="1">
      <c r="A232" s="81" t="n"/>
      <c r="B232" s="84" t="n"/>
      <c r="C232" s="81" t="n"/>
      <c r="D232" s="81" t="n"/>
      <c r="E232" s="81" t="n"/>
      <c r="F232" s="82" t="n"/>
      <c r="G232" s="110">
        <f>IFERROR(SUMIFS(Transactions!$F$7:$F$1000,Transactions!$G$7:$G$1000,A232,Transactions!$D$7:$D$1000,"Expense"),0)</f>
        <v/>
      </c>
      <c r="H232" s="81" t="n"/>
      <c r="I232" s="81" t="n"/>
      <c r="J232" s="81" t="n"/>
    </row>
    <row r="233" ht="20" customHeight="1">
      <c r="A233" s="81" t="n"/>
      <c r="B233" s="84" t="n"/>
      <c r="C233" s="81" t="n"/>
      <c r="D233" s="81" t="n"/>
      <c r="E233" s="81" t="n"/>
      <c r="F233" s="82" t="n"/>
      <c r="G233" s="110">
        <f>IFERROR(SUMIFS(Transactions!$F$7:$F$1000,Transactions!$G$7:$G$1000,A233,Transactions!$D$7:$D$1000,"Expense"),0)</f>
        <v/>
      </c>
      <c r="H233" s="81" t="n"/>
      <c r="I233" s="81" t="n"/>
      <c r="J233" s="81" t="n"/>
    </row>
    <row r="234" ht="20" customHeight="1">
      <c r="A234" s="81" t="n"/>
      <c r="B234" s="84" t="n"/>
      <c r="C234" s="81" t="n"/>
      <c r="D234" s="81" t="n"/>
      <c r="E234" s="81" t="n"/>
      <c r="F234" s="82" t="n"/>
      <c r="G234" s="110">
        <f>IFERROR(SUMIFS(Transactions!$F$7:$F$1000,Transactions!$G$7:$G$1000,A234,Transactions!$D$7:$D$1000,"Expense"),0)</f>
        <v/>
      </c>
      <c r="H234" s="81" t="n"/>
      <c r="I234" s="81" t="n"/>
      <c r="J234" s="81" t="n"/>
    </row>
    <row r="235" ht="20" customHeight="1">
      <c r="A235" s="81" t="n"/>
      <c r="B235" s="84" t="n"/>
      <c r="C235" s="81" t="n"/>
      <c r="D235" s="81" t="n"/>
      <c r="E235" s="81" t="n"/>
      <c r="F235" s="82" t="n"/>
      <c r="G235" s="110">
        <f>IFERROR(SUMIFS(Transactions!$F$7:$F$1000,Transactions!$G$7:$G$1000,A235,Transactions!$D$7:$D$1000,"Expense"),0)</f>
        <v/>
      </c>
      <c r="H235" s="81" t="n"/>
      <c r="I235" s="81" t="n"/>
      <c r="J235" s="81" t="n"/>
    </row>
    <row r="236" ht="20" customHeight="1">
      <c r="A236" s="81" t="n"/>
      <c r="B236" s="84" t="n"/>
      <c r="C236" s="81" t="n"/>
      <c r="D236" s="81" t="n"/>
      <c r="E236" s="81" t="n"/>
      <c r="F236" s="82" t="n"/>
      <c r="G236" s="110">
        <f>IFERROR(SUMIFS(Transactions!$F$7:$F$1000,Transactions!$G$7:$G$1000,A236,Transactions!$D$7:$D$1000,"Expense"),0)</f>
        <v/>
      </c>
      <c r="H236" s="81" t="n"/>
      <c r="I236" s="81" t="n"/>
      <c r="J236" s="81" t="n"/>
    </row>
    <row r="237" ht="20" customHeight="1">
      <c r="A237" s="81" t="n"/>
      <c r="B237" s="84" t="n"/>
      <c r="C237" s="81" t="n"/>
      <c r="D237" s="81" t="n"/>
      <c r="E237" s="81" t="n"/>
      <c r="F237" s="82" t="n"/>
      <c r="G237" s="110">
        <f>IFERROR(SUMIFS(Transactions!$F$7:$F$1000,Transactions!$G$7:$G$1000,A237,Transactions!$D$7:$D$1000,"Expense"),0)</f>
        <v/>
      </c>
      <c r="H237" s="81" t="n"/>
      <c r="I237" s="81" t="n"/>
      <c r="J237" s="81" t="n"/>
    </row>
    <row r="238" ht="20" customHeight="1">
      <c r="A238" s="81" t="n"/>
      <c r="B238" s="84" t="n"/>
      <c r="C238" s="81" t="n"/>
      <c r="D238" s="81" t="n"/>
      <c r="E238" s="81" t="n"/>
      <c r="F238" s="82" t="n"/>
      <c r="G238" s="110">
        <f>IFERROR(SUMIFS(Transactions!$F$7:$F$1000,Transactions!$G$7:$G$1000,A238,Transactions!$D$7:$D$1000,"Expense"),0)</f>
        <v/>
      </c>
      <c r="H238" s="81" t="n"/>
      <c r="I238" s="81" t="n"/>
      <c r="J238" s="81" t="n"/>
    </row>
    <row r="239" ht="20" customHeight="1">
      <c r="A239" s="81" t="n"/>
      <c r="B239" s="84" t="n"/>
      <c r="C239" s="81" t="n"/>
      <c r="D239" s="81" t="n"/>
      <c r="E239" s="81" t="n"/>
      <c r="F239" s="82" t="n"/>
      <c r="G239" s="110">
        <f>IFERROR(SUMIFS(Transactions!$F$7:$F$1000,Transactions!$G$7:$G$1000,A239,Transactions!$D$7:$D$1000,"Expense"),0)</f>
        <v/>
      </c>
      <c r="H239" s="81" t="n"/>
      <c r="I239" s="81" t="n"/>
      <c r="J239" s="81" t="n"/>
    </row>
    <row r="240" ht="20" customHeight="1">
      <c r="A240" s="81" t="n"/>
      <c r="B240" s="84" t="n"/>
      <c r="C240" s="81" t="n"/>
      <c r="D240" s="81" t="n"/>
      <c r="E240" s="81" t="n"/>
      <c r="F240" s="82" t="n"/>
      <c r="G240" s="110">
        <f>IFERROR(SUMIFS(Transactions!$F$7:$F$1000,Transactions!$G$7:$G$1000,A240,Transactions!$D$7:$D$1000,"Expense"),0)</f>
        <v/>
      </c>
      <c r="H240" s="81" t="n"/>
      <c r="I240" s="81" t="n"/>
      <c r="J240" s="81" t="n"/>
    </row>
    <row r="241" ht="20" customHeight="1">
      <c r="A241" s="81" t="n"/>
      <c r="B241" s="84" t="n"/>
      <c r="C241" s="81" t="n"/>
      <c r="D241" s="81" t="n"/>
      <c r="E241" s="81" t="n"/>
      <c r="F241" s="82" t="n"/>
      <c r="G241" s="110">
        <f>IFERROR(SUMIFS(Transactions!$F$7:$F$1000,Transactions!$G$7:$G$1000,A241,Transactions!$D$7:$D$1000,"Expense"),0)</f>
        <v/>
      </c>
      <c r="H241" s="81" t="n"/>
      <c r="I241" s="81" t="n"/>
      <c r="J241" s="81" t="n"/>
    </row>
    <row r="242" ht="20" customHeight="1">
      <c r="A242" s="81" t="n"/>
      <c r="B242" s="84" t="n"/>
      <c r="C242" s="81" t="n"/>
      <c r="D242" s="81" t="n"/>
      <c r="E242" s="81" t="n"/>
      <c r="F242" s="82" t="n"/>
      <c r="G242" s="110">
        <f>IFERROR(SUMIFS(Transactions!$F$7:$F$1000,Transactions!$G$7:$G$1000,A242,Transactions!$D$7:$D$1000,"Expense"),0)</f>
        <v/>
      </c>
      <c r="H242" s="81" t="n"/>
      <c r="I242" s="81" t="n"/>
      <c r="J242" s="81" t="n"/>
    </row>
    <row r="243" ht="20" customHeight="1">
      <c r="A243" s="81" t="n"/>
      <c r="B243" s="84" t="n"/>
      <c r="C243" s="81" t="n"/>
      <c r="D243" s="81" t="n"/>
      <c r="E243" s="81" t="n"/>
      <c r="F243" s="82" t="n"/>
      <c r="G243" s="110">
        <f>IFERROR(SUMIFS(Transactions!$F$7:$F$1000,Transactions!$G$7:$G$1000,A243,Transactions!$D$7:$D$1000,"Expense"),0)</f>
        <v/>
      </c>
      <c r="H243" s="81" t="n"/>
      <c r="I243" s="81" t="n"/>
      <c r="J243" s="81" t="n"/>
    </row>
    <row r="244" ht="20" customHeight="1">
      <c r="A244" s="81" t="n"/>
      <c r="B244" s="84" t="n"/>
      <c r="C244" s="81" t="n"/>
      <c r="D244" s="81" t="n"/>
      <c r="E244" s="81" t="n"/>
      <c r="F244" s="82" t="n"/>
      <c r="G244" s="110">
        <f>IFERROR(SUMIFS(Transactions!$F$7:$F$1000,Transactions!$G$7:$G$1000,A244,Transactions!$D$7:$D$1000,"Expense"),0)</f>
        <v/>
      </c>
      <c r="H244" s="81" t="n"/>
      <c r="I244" s="81" t="n"/>
      <c r="J244" s="81" t="n"/>
    </row>
    <row r="245" ht="20" customHeight="1">
      <c r="A245" s="81" t="n"/>
      <c r="B245" s="84" t="n"/>
      <c r="C245" s="81" t="n"/>
      <c r="D245" s="81" t="n"/>
      <c r="E245" s="81" t="n"/>
      <c r="F245" s="82" t="n"/>
      <c r="G245" s="110">
        <f>IFERROR(SUMIFS(Transactions!$F$7:$F$1000,Transactions!$G$7:$G$1000,A245,Transactions!$D$7:$D$1000,"Expense"),0)</f>
        <v/>
      </c>
      <c r="H245" s="81" t="n"/>
      <c r="I245" s="81" t="n"/>
      <c r="J245" s="81" t="n"/>
    </row>
    <row r="246" ht="20" customHeight="1">
      <c r="A246" s="81" t="n"/>
      <c r="B246" s="84" t="n"/>
      <c r="C246" s="81" t="n"/>
      <c r="D246" s="81" t="n"/>
      <c r="E246" s="81" t="n"/>
      <c r="F246" s="82" t="n"/>
      <c r="G246" s="110">
        <f>IFERROR(SUMIFS(Transactions!$F$7:$F$1000,Transactions!$G$7:$G$1000,A246,Transactions!$D$7:$D$1000,"Expense"),0)</f>
        <v/>
      </c>
      <c r="H246" s="81" t="n"/>
      <c r="I246" s="81" t="n"/>
      <c r="J246" s="81" t="n"/>
    </row>
    <row r="247" ht="20" customHeight="1">
      <c r="A247" s="81" t="n"/>
      <c r="B247" s="84" t="n"/>
      <c r="C247" s="81" t="n"/>
      <c r="D247" s="81" t="n"/>
      <c r="E247" s="81" t="n"/>
      <c r="F247" s="82" t="n"/>
      <c r="G247" s="110">
        <f>IFERROR(SUMIFS(Transactions!$F$7:$F$1000,Transactions!$G$7:$G$1000,A247,Transactions!$D$7:$D$1000,"Expense"),0)</f>
        <v/>
      </c>
      <c r="H247" s="81" t="n"/>
      <c r="I247" s="81" t="n"/>
      <c r="J247" s="81" t="n"/>
    </row>
    <row r="248" ht="20" customHeight="1">
      <c r="A248" s="81" t="n"/>
      <c r="B248" s="84" t="n"/>
      <c r="C248" s="81" t="n"/>
      <c r="D248" s="81" t="n"/>
      <c r="E248" s="81" t="n"/>
      <c r="F248" s="82" t="n"/>
      <c r="G248" s="110">
        <f>IFERROR(SUMIFS(Transactions!$F$7:$F$1000,Transactions!$G$7:$G$1000,A248,Transactions!$D$7:$D$1000,"Expense"),0)</f>
        <v/>
      </c>
      <c r="H248" s="81" t="n"/>
      <c r="I248" s="81" t="n"/>
      <c r="J248" s="81" t="n"/>
    </row>
    <row r="249" ht="20" customHeight="1">
      <c r="A249" s="81" t="n"/>
      <c r="B249" s="84" t="n"/>
      <c r="C249" s="81" t="n"/>
      <c r="D249" s="81" t="n"/>
      <c r="E249" s="81" t="n"/>
      <c r="F249" s="82" t="n"/>
      <c r="G249" s="110">
        <f>IFERROR(SUMIFS(Transactions!$F$7:$F$1000,Transactions!$G$7:$G$1000,A249,Transactions!$D$7:$D$1000,"Expense"),0)</f>
        <v/>
      </c>
      <c r="H249" s="81" t="n"/>
      <c r="I249" s="81" t="n"/>
      <c r="J249" s="81" t="n"/>
    </row>
    <row r="250" ht="20" customHeight="1">
      <c r="A250" s="81" t="n"/>
      <c r="B250" s="84" t="n"/>
      <c r="C250" s="81" t="n"/>
      <c r="D250" s="81" t="n"/>
      <c r="E250" s="81" t="n"/>
      <c r="F250" s="82" t="n"/>
      <c r="G250" s="110">
        <f>IFERROR(SUMIFS(Transactions!$F$7:$F$1000,Transactions!$G$7:$G$1000,A250,Transactions!$D$7:$D$1000,"Expense"),0)</f>
        <v/>
      </c>
      <c r="H250" s="81" t="n"/>
      <c r="I250" s="81" t="n"/>
      <c r="J250" s="81" t="n"/>
    </row>
    <row r="251" ht="20" customHeight="1">
      <c r="A251" s="81" t="n"/>
      <c r="B251" s="84" t="n"/>
      <c r="C251" s="81" t="n"/>
      <c r="D251" s="81" t="n"/>
      <c r="E251" s="81" t="n"/>
      <c r="F251" s="82" t="n"/>
      <c r="G251" s="110">
        <f>IFERROR(SUMIFS(Transactions!$F$7:$F$1000,Transactions!$G$7:$G$1000,A251,Transactions!$D$7:$D$1000,"Expense"),0)</f>
        <v/>
      </c>
      <c r="H251" s="81" t="n"/>
      <c r="I251" s="81" t="n"/>
      <c r="J251" s="81" t="n"/>
    </row>
    <row r="252" ht="20" customHeight="1">
      <c r="A252" s="81" t="n"/>
      <c r="B252" s="84" t="n"/>
      <c r="C252" s="81" t="n"/>
      <c r="D252" s="81" t="n"/>
      <c r="E252" s="81" t="n"/>
      <c r="F252" s="82" t="n"/>
      <c r="G252" s="110">
        <f>IFERROR(SUMIFS(Transactions!$F$7:$F$1000,Transactions!$G$7:$G$1000,A252,Transactions!$D$7:$D$1000,"Expense"),0)</f>
        <v/>
      </c>
      <c r="H252" s="81" t="n"/>
      <c r="I252" s="81" t="n"/>
      <c r="J252" s="81" t="n"/>
    </row>
    <row r="253" ht="20" customHeight="1">
      <c r="A253" s="81" t="n"/>
      <c r="B253" s="84" t="n"/>
      <c r="C253" s="81" t="n"/>
      <c r="D253" s="81" t="n"/>
      <c r="E253" s="81" t="n"/>
      <c r="F253" s="82" t="n"/>
      <c r="G253" s="110">
        <f>IFERROR(SUMIFS(Transactions!$F$7:$F$1000,Transactions!$G$7:$G$1000,A253,Transactions!$D$7:$D$1000,"Expense"),0)</f>
        <v/>
      </c>
      <c r="H253" s="81" t="n"/>
      <c r="I253" s="81" t="n"/>
      <c r="J253" s="81" t="n"/>
    </row>
    <row r="254" ht="20" customHeight="1">
      <c r="A254" s="81" t="n"/>
      <c r="B254" s="84" t="n"/>
      <c r="C254" s="81" t="n"/>
      <c r="D254" s="81" t="n"/>
      <c r="E254" s="81" t="n"/>
      <c r="F254" s="82" t="n"/>
      <c r="G254" s="110">
        <f>IFERROR(SUMIFS(Transactions!$F$7:$F$1000,Transactions!$G$7:$G$1000,A254,Transactions!$D$7:$D$1000,"Expense"),0)</f>
        <v/>
      </c>
      <c r="H254" s="81" t="n"/>
      <c r="I254" s="81" t="n"/>
      <c r="J254" s="81" t="n"/>
    </row>
    <row r="255" ht="20" customHeight="1">
      <c r="A255" s="81" t="n"/>
      <c r="B255" s="84" t="n"/>
      <c r="C255" s="81" t="n"/>
      <c r="D255" s="81" t="n"/>
      <c r="E255" s="81" t="n"/>
      <c r="F255" s="82" t="n"/>
      <c r="G255" s="110">
        <f>IFERROR(SUMIFS(Transactions!$F$7:$F$1000,Transactions!$G$7:$G$1000,A255,Transactions!$D$7:$D$1000,"Expense"),0)</f>
        <v/>
      </c>
      <c r="H255" s="81" t="n"/>
      <c r="I255" s="81" t="n"/>
      <c r="J255" s="81" t="n"/>
    </row>
    <row r="256" ht="20" customHeight="1">
      <c r="A256" s="81" t="n"/>
      <c r="B256" s="84" t="n"/>
      <c r="C256" s="81" t="n"/>
      <c r="D256" s="81" t="n"/>
      <c r="E256" s="81" t="n"/>
      <c r="F256" s="82" t="n"/>
      <c r="G256" s="110">
        <f>IFERROR(SUMIFS(Transactions!$F$7:$F$1000,Transactions!$G$7:$G$1000,A256,Transactions!$D$7:$D$1000,"Expense"),0)</f>
        <v/>
      </c>
      <c r="H256" s="81" t="n"/>
      <c r="I256" s="81" t="n"/>
      <c r="J256" s="81" t="n"/>
    </row>
    <row r="257" ht="20" customHeight="1">
      <c r="A257" s="81" t="n"/>
      <c r="B257" s="84" t="n"/>
      <c r="C257" s="81" t="n"/>
      <c r="D257" s="81" t="n"/>
      <c r="E257" s="81" t="n"/>
      <c r="F257" s="82" t="n"/>
      <c r="G257" s="110">
        <f>IFERROR(SUMIFS(Transactions!$F$7:$F$1000,Transactions!$G$7:$G$1000,A257,Transactions!$D$7:$D$1000,"Expense"),0)</f>
        <v/>
      </c>
      <c r="H257" s="81" t="n"/>
      <c r="I257" s="81" t="n"/>
      <c r="J257" s="81" t="n"/>
    </row>
    <row r="258" ht="20" customHeight="1">
      <c r="A258" s="81" t="n"/>
      <c r="B258" s="84" t="n"/>
      <c r="C258" s="81" t="n"/>
      <c r="D258" s="81" t="n"/>
      <c r="E258" s="81" t="n"/>
      <c r="F258" s="82" t="n"/>
      <c r="G258" s="110">
        <f>IFERROR(SUMIFS(Transactions!$F$7:$F$1000,Transactions!$G$7:$G$1000,A258,Transactions!$D$7:$D$1000,"Expense"),0)</f>
        <v/>
      </c>
      <c r="H258" s="81" t="n"/>
      <c r="I258" s="81" t="n"/>
      <c r="J258" s="81" t="n"/>
    </row>
    <row r="259" ht="20" customHeight="1">
      <c r="A259" s="81" t="n"/>
      <c r="B259" s="84" t="n"/>
      <c r="C259" s="81" t="n"/>
      <c r="D259" s="81" t="n"/>
      <c r="E259" s="81" t="n"/>
      <c r="F259" s="82" t="n"/>
      <c r="G259" s="110">
        <f>IFERROR(SUMIFS(Transactions!$F$7:$F$1000,Transactions!$G$7:$G$1000,A259,Transactions!$D$7:$D$1000,"Expense"),0)</f>
        <v/>
      </c>
      <c r="H259" s="81" t="n"/>
      <c r="I259" s="81" t="n"/>
      <c r="J259" s="81" t="n"/>
    </row>
    <row r="260" ht="20" customHeight="1">
      <c r="A260" s="81" t="n"/>
      <c r="B260" s="84" t="n"/>
      <c r="C260" s="81" t="n"/>
      <c r="D260" s="81" t="n"/>
      <c r="E260" s="81" t="n"/>
      <c r="F260" s="82" t="n"/>
      <c r="G260" s="110">
        <f>IFERROR(SUMIFS(Transactions!$F$7:$F$1000,Transactions!$G$7:$G$1000,A260,Transactions!$D$7:$D$1000,"Expense"),0)</f>
        <v/>
      </c>
      <c r="H260" s="81" t="n"/>
      <c r="I260" s="81" t="n"/>
      <c r="J260" s="81" t="n"/>
    </row>
    <row r="261" ht="20" customHeight="1">
      <c r="A261" s="81" t="n"/>
      <c r="B261" s="84" t="n"/>
      <c r="C261" s="81" t="n"/>
      <c r="D261" s="81" t="n"/>
      <c r="E261" s="81" t="n"/>
      <c r="F261" s="82" t="n"/>
      <c r="G261" s="110">
        <f>IFERROR(SUMIFS(Transactions!$F$7:$F$1000,Transactions!$G$7:$G$1000,A261,Transactions!$D$7:$D$1000,"Expense"),0)</f>
        <v/>
      </c>
      <c r="H261" s="81" t="n"/>
      <c r="I261" s="81" t="n"/>
      <c r="J261" s="81" t="n"/>
    </row>
    <row r="262" ht="20" customHeight="1">
      <c r="A262" s="81" t="n"/>
      <c r="B262" s="84" t="n"/>
      <c r="C262" s="81" t="n"/>
      <c r="D262" s="81" t="n"/>
      <c r="E262" s="81" t="n"/>
      <c r="F262" s="82" t="n"/>
      <c r="G262" s="110">
        <f>IFERROR(SUMIFS(Transactions!$F$7:$F$1000,Transactions!$G$7:$G$1000,A262,Transactions!$D$7:$D$1000,"Expense"),0)</f>
        <v/>
      </c>
      <c r="H262" s="81" t="n"/>
      <c r="I262" s="81" t="n"/>
      <c r="J262" s="81" t="n"/>
    </row>
    <row r="263" ht="20" customHeight="1">
      <c r="A263" s="81" t="n"/>
      <c r="B263" s="84" t="n"/>
      <c r="C263" s="81" t="n"/>
      <c r="D263" s="81" t="n"/>
      <c r="E263" s="81" t="n"/>
      <c r="F263" s="82" t="n"/>
      <c r="G263" s="110">
        <f>IFERROR(SUMIFS(Transactions!$F$7:$F$1000,Transactions!$G$7:$G$1000,A263,Transactions!$D$7:$D$1000,"Expense"),0)</f>
        <v/>
      </c>
      <c r="H263" s="81" t="n"/>
      <c r="I263" s="81" t="n"/>
      <c r="J263" s="81" t="n"/>
    </row>
    <row r="264" ht="20" customHeight="1">
      <c r="A264" s="81" t="n"/>
      <c r="B264" s="84" t="n"/>
      <c r="C264" s="81" t="n"/>
      <c r="D264" s="81" t="n"/>
      <c r="E264" s="81" t="n"/>
      <c r="F264" s="82" t="n"/>
      <c r="G264" s="110">
        <f>IFERROR(SUMIFS(Transactions!$F$7:$F$1000,Transactions!$G$7:$G$1000,A264,Transactions!$D$7:$D$1000,"Expense"),0)</f>
        <v/>
      </c>
      <c r="H264" s="81" t="n"/>
      <c r="I264" s="81" t="n"/>
      <c r="J264" s="81" t="n"/>
    </row>
    <row r="265" ht="20" customHeight="1">
      <c r="A265" s="81" t="n"/>
      <c r="B265" s="84" t="n"/>
      <c r="C265" s="81" t="n"/>
      <c r="D265" s="81" t="n"/>
      <c r="E265" s="81" t="n"/>
      <c r="F265" s="82" t="n"/>
      <c r="G265" s="110">
        <f>IFERROR(SUMIFS(Transactions!$F$7:$F$1000,Transactions!$G$7:$G$1000,A265,Transactions!$D$7:$D$1000,"Expense"),0)</f>
        <v/>
      </c>
      <c r="H265" s="81" t="n"/>
      <c r="I265" s="81" t="n"/>
      <c r="J265" s="81" t="n"/>
    </row>
    <row r="266" ht="20" customHeight="1">
      <c r="A266" s="81" t="n"/>
      <c r="B266" s="84" t="n"/>
      <c r="C266" s="81" t="n"/>
      <c r="D266" s="81" t="n"/>
      <c r="E266" s="81" t="n"/>
      <c r="F266" s="82" t="n"/>
      <c r="G266" s="110">
        <f>IFERROR(SUMIFS(Transactions!$F$7:$F$1000,Transactions!$G$7:$G$1000,A266,Transactions!$D$7:$D$1000,"Expense"),0)</f>
        <v/>
      </c>
      <c r="H266" s="81" t="n"/>
      <c r="I266" s="81" t="n"/>
      <c r="J266" s="81" t="n"/>
    </row>
    <row r="267" ht="20" customHeight="1">
      <c r="A267" s="81" t="n"/>
      <c r="B267" s="84" t="n"/>
      <c r="C267" s="81" t="n"/>
      <c r="D267" s="81" t="n"/>
      <c r="E267" s="81" t="n"/>
      <c r="F267" s="82" t="n"/>
      <c r="G267" s="110">
        <f>IFERROR(SUMIFS(Transactions!$F$7:$F$1000,Transactions!$G$7:$G$1000,A267,Transactions!$D$7:$D$1000,"Expense"),0)</f>
        <v/>
      </c>
      <c r="H267" s="81" t="n"/>
      <c r="I267" s="81" t="n"/>
      <c r="J267" s="81" t="n"/>
    </row>
    <row r="268" ht="20" customHeight="1">
      <c r="A268" s="81" t="n"/>
      <c r="B268" s="84" t="n"/>
      <c r="C268" s="81" t="n"/>
      <c r="D268" s="81" t="n"/>
      <c r="E268" s="81" t="n"/>
      <c r="F268" s="82" t="n"/>
      <c r="G268" s="110">
        <f>IFERROR(SUMIFS(Transactions!$F$7:$F$1000,Transactions!$G$7:$G$1000,A268,Transactions!$D$7:$D$1000,"Expense"),0)</f>
        <v/>
      </c>
      <c r="H268" s="81" t="n"/>
      <c r="I268" s="81" t="n"/>
      <c r="J268" s="81" t="n"/>
    </row>
    <row r="269" ht="20" customHeight="1">
      <c r="A269" s="81" t="n"/>
      <c r="B269" s="84" t="n"/>
      <c r="C269" s="81" t="n"/>
      <c r="D269" s="81" t="n"/>
      <c r="E269" s="81" t="n"/>
      <c r="F269" s="82" t="n"/>
      <c r="G269" s="110">
        <f>IFERROR(SUMIFS(Transactions!$F$7:$F$1000,Transactions!$G$7:$G$1000,A269,Transactions!$D$7:$D$1000,"Expense"),0)</f>
        <v/>
      </c>
      <c r="H269" s="81" t="n"/>
      <c r="I269" s="81" t="n"/>
      <c r="J269" s="81" t="n"/>
    </row>
    <row r="270" ht="20" customHeight="1">
      <c r="A270" s="81" t="n"/>
      <c r="B270" s="84" t="n"/>
      <c r="C270" s="81" t="n"/>
      <c r="D270" s="81" t="n"/>
      <c r="E270" s="81" t="n"/>
      <c r="F270" s="82" t="n"/>
      <c r="G270" s="110">
        <f>IFERROR(SUMIFS(Transactions!$F$7:$F$1000,Transactions!$G$7:$G$1000,A270,Transactions!$D$7:$D$1000,"Expense"),0)</f>
        <v/>
      </c>
      <c r="H270" s="81" t="n"/>
      <c r="I270" s="81" t="n"/>
      <c r="J270" s="81" t="n"/>
    </row>
    <row r="271" ht="20" customHeight="1">
      <c r="A271" s="81" t="n"/>
      <c r="B271" s="84" t="n"/>
      <c r="C271" s="81" t="n"/>
      <c r="D271" s="81" t="n"/>
      <c r="E271" s="81" t="n"/>
      <c r="F271" s="82" t="n"/>
      <c r="G271" s="110">
        <f>IFERROR(SUMIFS(Transactions!$F$7:$F$1000,Transactions!$G$7:$G$1000,A271,Transactions!$D$7:$D$1000,"Expense"),0)</f>
        <v/>
      </c>
      <c r="H271" s="81" t="n"/>
      <c r="I271" s="81" t="n"/>
      <c r="J271" s="81" t="n"/>
    </row>
    <row r="272" ht="20" customHeight="1">
      <c r="A272" s="81" t="n"/>
      <c r="B272" s="84" t="n"/>
      <c r="C272" s="81" t="n"/>
      <c r="D272" s="81" t="n"/>
      <c r="E272" s="81" t="n"/>
      <c r="F272" s="82" t="n"/>
      <c r="G272" s="110">
        <f>IFERROR(SUMIFS(Transactions!$F$7:$F$1000,Transactions!$G$7:$G$1000,A272,Transactions!$D$7:$D$1000,"Expense"),0)</f>
        <v/>
      </c>
      <c r="H272" s="81" t="n"/>
      <c r="I272" s="81" t="n"/>
      <c r="J272" s="81" t="n"/>
    </row>
    <row r="273" ht="20" customHeight="1">
      <c r="A273" s="81" t="n"/>
      <c r="B273" s="84" t="n"/>
      <c r="C273" s="81" t="n"/>
      <c r="D273" s="81" t="n"/>
      <c r="E273" s="81" t="n"/>
      <c r="F273" s="82" t="n"/>
      <c r="G273" s="110">
        <f>IFERROR(SUMIFS(Transactions!$F$7:$F$1000,Transactions!$G$7:$G$1000,A273,Transactions!$D$7:$D$1000,"Expense"),0)</f>
        <v/>
      </c>
      <c r="H273" s="81" t="n"/>
      <c r="I273" s="81" t="n"/>
      <c r="J273" s="81" t="n"/>
    </row>
    <row r="274" ht="20" customHeight="1">
      <c r="A274" s="81" t="n"/>
      <c r="B274" s="84" t="n"/>
      <c r="C274" s="81" t="n"/>
      <c r="D274" s="81" t="n"/>
      <c r="E274" s="81" t="n"/>
      <c r="F274" s="82" t="n"/>
      <c r="G274" s="110">
        <f>IFERROR(SUMIFS(Transactions!$F$7:$F$1000,Transactions!$G$7:$G$1000,A274,Transactions!$D$7:$D$1000,"Expense"),0)</f>
        <v/>
      </c>
      <c r="H274" s="81" t="n"/>
      <c r="I274" s="81" t="n"/>
      <c r="J274" s="81" t="n"/>
    </row>
    <row r="275" ht="20" customHeight="1">
      <c r="A275" s="81" t="n"/>
      <c r="B275" s="84" t="n"/>
      <c r="C275" s="81" t="n"/>
      <c r="D275" s="81" t="n"/>
      <c r="E275" s="81" t="n"/>
      <c r="F275" s="82" t="n"/>
      <c r="G275" s="110">
        <f>IFERROR(SUMIFS(Transactions!$F$7:$F$1000,Transactions!$G$7:$G$1000,A275,Transactions!$D$7:$D$1000,"Expense"),0)</f>
        <v/>
      </c>
      <c r="H275" s="81" t="n"/>
      <c r="I275" s="81" t="n"/>
      <c r="J275" s="81" t="n"/>
    </row>
    <row r="276" ht="20" customHeight="1">
      <c r="A276" s="81" t="n"/>
      <c r="B276" s="84" t="n"/>
      <c r="C276" s="81" t="n"/>
      <c r="D276" s="81" t="n"/>
      <c r="E276" s="81" t="n"/>
      <c r="F276" s="82" t="n"/>
      <c r="G276" s="110">
        <f>IFERROR(SUMIFS(Transactions!$F$7:$F$1000,Transactions!$G$7:$G$1000,A276,Transactions!$D$7:$D$1000,"Expense"),0)</f>
        <v/>
      </c>
      <c r="H276" s="81" t="n"/>
      <c r="I276" s="81" t="n"/>
      <c r="J276" s="81" t="n"/>
    </row>
    <row r="277" ht="20" customHeight="1">
      <c r="A277" s="81" t="n"/>
      <c r="B277" s="84" t="n"/>
      <c r="C277" s="81" t="n"/>
      <c r="D277" s="81" t="n"/>
      <c r="E277" s="81" t="n"/>
      <c r="F277" s="82" t="n"/>
      <c r="G277" s="110">
        <f>IFERROR(SUMIFS(Transactions!$F$7:$F$1000,Transactions!$G$7:$G$1000,A277,Transactions!$D$7:$D$1000,"Expense"),0)</f>
        <v/>
      </c>
      <c r="H277" s="81" t="n"/>
      <c r="I277" s="81" t="n"/>
      <c r="J277" s="81" t="n"/>
    </row>
    <row r="278" ht="20" customHeight="1">
      <c r="A278" s="81" t="n"/>
      <c r="B278" s="84" t="n"/>
      <c r="C278" s="81" t="n"/>
      <c r="D278" s="81" t="n"/>
      <c r="E278" s="81" t="n"/>
      <c r="F278" s="82" t="n"/>
      <c r="G278" s="110">
        <f>IFERROR(SUMIFS(Transactions!$F$7:$F$1000,Transactions!$G$7:$G$1000,A278,Transactions!$D$7:$D$1000,"Expense"),0)</f>
        <v/>
      </c>
      <c r="H278" s="81" t="n"/>
      <c r="I278" s="81" t="n"/>
      <c r="J278" s="81" t="n"/>
    </row>
    <row r="279" ht="20" customHeight="1">
      <c r="A279" s="81" t="n"/>
      <c r="B279" s="84" t="n"/>
      <c r="C279" s="81" t="n"/>
      <c r="D279" s="81" t="n"/>
      <c r="E279" s="81" t="n"/>
      <c r="F279" s="82" t="n"/>
      <c r="G279" s="110">
        <f>IFERROR(SUMIFS(Transactions!$F$7:$F$1000,Transactions!$G$7:$G$1000,A279,Transactions!$D$7:$D$1000,"Expense"),0)</f>
        <v/>
      </c>
      <c r="H279" s="81" t="n"/>
      <c r="I279" s="81" t="n"/>
      <c r="J279" s="81" t="n"/>
    </row>
    <row r="280" ht="20" customHeight="1">
      <c r="A280" s="81" t="n"/>
      <c r="B280" s="84" t="n"/>
      <c r="C280" s="81" t="n"/>
      <c r="D280" s="81" t="n"/>
      <c r="E280" s="81" t="n"/>
      <c r="F280" s="82" t="n"/>
      <c r="G280" s="110">
        <f>IFERROR(SUMIFS(Transactions!$F$7:$F$1000,Transactions!$G$7:$G$1000,A280,Transactions!$D$7:$D$1000,"Expense"),0)</f>
        <v/>
      </c>
      <c r="H280" s="81" t="n"/>
      <c r="I280" s="81" t="n"/>
      <c r="J280" s="81" t="n"/>
    </row>
    <row r="281" ht="20" customHeight="1">
      <c r="A281" s="81" t="n"/>
      <c r="B281" s="84" t="n"/>
      <c r="C281" s="81" t="n"/>
      <c r="D281" s="81" t="n"/>
      <c r="E281" s="81" t="n"/>
      <c r="F281" s="82" t="n"/>
      <c r="G281" s="110">
        <f>IFERROR(SUMIFS(Transactions!$F$7:$F$1000,Transactions!$G$7:$G$1000,A281,Transactions!$D$7:$D$1000,"Expense"),0)</f>
        <v/>
      </c>
      <c r="H281" s="81" t="n"/>
      <c r="I281" s="81" t="n"/>
      <c r="J281" s="81" t="n"/>
    </row>
    <row r="282" ht="20" customHeight="1">
      <c r="A282" s="81" t="n"/>
      <c r="B282" s="84" t="n"/>
      <c r="C282" s="81" t="n"/>
      <c r="D282" s="81" t="n"/>
      <c r="E282" s="81" t="n"/>
      <c r="F282" s="82" t="n"/>
      <c r="G282" s="110">
        <f>IFERROR(SUMIFS(Transactions!$F$7:$F$1000,Transactions!$G$7:$G$1000,A282,Transactions!$D$7:$D$1000,"Expense"),0)</f>
        <v/>
      </c>
      <c r="H282" s="81" t="n"/>
      <c r="I282" s="81" t="n"/>
      <c r="J282" s="81" t="n"/>
    </row>
    <row r="283" ht="20" customHeight="1">
      <c r="A283" s="81" t="n"/>
      <c r="B283" s="84" t="n"/>
      <c r="C283" s="81" t="n"/>
      <c r="D283" s="81" t="n"/>
      <c r="E283" s="81" t="n"/>
      <c r="F283" s="82" t="n"/>
      <c r="G283" s="110">
        <f>IFERROR(SUMIFS(Transactions!$F$7:$F$1000,Transactions!$G$7:$G$1000,A283,Transactions!$D$7:$D$1000,"Expense"),0)</f>
        <v/>
      </c>
      <c r="H283" s="81" t="n"/>
      <c r="I283" s="81" t="n"/>
      <c r="J283" s="81" t="n"/>
    </row>
    <row r="284" ht="20" customHeight="1">
      <c r="A284" s="81" t="n"/>
      <c r="B284" s="84" t="n"/>
      <c r="C284" s="81" t="n"/>
      <c r="D284" s="81" t="n"/>
      <c r="E284" s="81" t="n"/>
      <c r="F284" s="82" t="n"/>
      <c r="G284" s="110">
        <f>IFERROR(SUMIFS(Transactions!$F$7:$F$1000,Transactions!$G$7:$G$1000,A284,Transactions!$D$7:$D$1000,"Expense"),0)</f>
        <v/>
      </c>
      <c r="H284" s="81" t="n"/>
      <c r="I284" s="81" t="n"/>
      <c r="J284" s="81" t="n"/>
    </row>
    <row r="285" ht="20" customHeight="1">
      <c r="A285" s="81" t="n"/>
      <c r="B285" s="84" t="n"/>
      <c r="C285" s="81" t="n"/>
      <c r="D285" s="81" t="n"/>
      <c r="E285" s="81" t="n"/>
      <c r="F285" s="82" t="n"/>
      <c r="G285" s="110">
        <f>IFERROR(SUMIFS(Transactions!$F$7:$F$1000,Transactions!$G$7:$G$1000,A285,Transactions!$D$7:$D$1000,"Expense"),0)</f>
        <v/>
      </c>
      <c r="H285" s="81" t="n"/>
      <c r="I285" s="81" t="n"/>
      <c r="J285" s="81" t="n"/>
    </row>
    <row r="286" ht="20" customHeight="1">
      <c r="A286" s="81" t="n"/>
      <c r="B286" s="84" t="n"/>
      <c r="C286" s="81" t="n"/>
      <c r="D286" s="81" t="n"/>
      <c r="E286" s="81" t="n"/>
      <c r="F286" s="82" t="n"/>
      <c r="G286" s="110">
        <f>IFERROR(SUMIFS(Transactions!$F$7:$F$1000,Transactions!$G$7:$G$1000,A286,Transactions!$D$7:$D$1000,"Expense"),0)</f>
        <v/>
      </c>
      <c r="H286" s="81" t="n"/>
      <c r="I286" s="81" t="n"/>
      <c r="J286" s="81" t="n"/>
    </row>
    <row r="287" ht="20" customHeight="1">
      <c r="A287" s="81" t="n"/>
      <c r="B287" s="84" t="n"/>
      <c r="C287" s="81" t="n"/>
      <c r="D287" s="81" t="n"/>
      <c r="E287" s="81" t="n"/>
      <c r="F287" s="82" t="n"/>
      <c r="G287" s="110">
        <f>IFERROR(SUMIFS(Transactions!$F$7:$F$1000,Transactions!$G$7:$G$1000,A287,Transactions!$D$7:$D$1000,"Expense"),0)</f>
        <v/>
      </c>
      <c r="H287" s="81" t="n"/>
      <c r="I287" s="81" t="n"/>
      <c r="J287" s="81" t="n"/>
    </row>
    <row r="288" ht="20" customHeight="1">
      <c r="A288" s="81" t="n"/>
      <c r="B288" s="84" t="n"/>
      <c r="C288" s="81" t="n"/>
      <c r="D288" s="81" t="n"/>
      <c r="E288" s="81" t="n"/>
      <c r="F288" s="82" t="n"/>
      <c r="G288" s="110">
        <f>IFERROR(SUMIFS(Transactions!$F$7:$F$1000,Transactions!$G$7:$G$1000,A288,Transactions!$D$7:$D$1000,"Expense"),0)</f>
        <v/>
      </c>
      <c r="H288" s="81" t="n"/>
      <c r="I288" s="81" t="n"/>
      <c r="J288" s="81" t="n"/>
    </row>
    <row r="289" ht="20" customHeight="1">
      <c r="A289" s="81" t="n"/>
      <c r="B289" s="84" t="n"/>
      <c r="C289" s="81" t="n"/>
      <c r="D289" s="81" t="n"/>
      <c r="E289" s="81" t="n"/>
      <c r="F289" s="82" t="n"/>
      <c r="G289" s="110">
        <f>IFERROR(SUMIFS(Transactions!$F$7:$F$1000,Transactions!$G$7:$G$1000,A289,Transactions!$D$7:$D$1000,"Expense"),0)</f>
        <v/>
      </c>
      <c r="H289" s="81" t="n"/>
      <c r="I289" s="81" t="n"/>
      <c r="J289" s="81" t="n"/>
    </row>
    <row r="290" ht="20" customHeight="1">
      <c r="A290" s="81" t="n"/>
      <c r="B290" s="84" t="n"/>
      <c r="C290" s="81" t="n"/>
      <c r="D290" s="81" t="n"/>
      <c r="E290" s="81" t="n"/>
      <c r="F290" s="82" t="n"/>
      <c r="G290" s="110">
        <f>IFERROR(SUMIFS(Transactions!$F$7:$F$1000,Transactions!$G$7:$G$1000,A290,Transactions!$D$7:$D$1000,"Expense"),0)</f>
        <v/>
      </c>
      <c r="H290" s="81" t="n"/>
      <c r="I290" s="81" t="n"/>
      <c r="J290" s="81" t="n"/>
    </row>
    <row r="291" ht="20" customHeight="1">
      <c r="A291" s="81" t="n"/>
      <c r="B291" s="84" t="n"/>
      <c r="C291" s="81" t="n"/>
      <c r="D291" s="81" t="n"/>
      <c r="E291" s="81" t="n"/>
      <c r="F291" s="82" t="n"/>
      <c r="G291" s="110">
        <f>IFERROR(SUMIFS(Transactions!$F$7:$F$1000,Transactions!$G$7:$G$1000,A291,Transactions!$D$7:$D$1000,"Expense"),0)</f>
        <v/>
      </c>
      <c r="H291" s="81" t="n"/>
      <c r="I291" s="81" t="n"/>
      <c r="J291" s="81" t="n"/>
    </row>
    <row r="292" ht="20" customHeight="1">
      <c r="A292" s="81" t="n"/>
      <c r="B292" s="84" t="n"/>
      <c r="C292" s="81" t="n"/>
      <c r="D292" s="81" t="n"/>
      <c r="E292" s="81" t="n"/>
      <c r="F292" s="82" t="n"/>
      <c r="G292" s="110">
        <f>IFERROR(SUMIFS(Transactions!$F$7:$F$1000,Transactions!$G$7:$G$1000,A292,Transactions!$D$7:$D$1000,"Expense"),0)</f>
        <v/>
      </c>
      <c r="H292" s="81" t="n"/>
      <c r="I292" s="81" t="n"/>
      <c r="J292" s="81" t="n"/>
    </row>
    <row r="293" ht="20" customHeight="1">
      <c r="A293" s="81" t="n"/>
      <c r="B293" s="84" t="n"/>
      <c r="C293" s="81" t="n"/>
      <c r="D293" s="81" t="n"/>
      <c r="E293" s="81" t="n"/>
      <c r="F293" s="82" t="n"/>
      <c r="G293" s="110">
        <f>IFERROR(SUMIFS(Transactions!$F$7:$F$1000,Transactions!$G$7:$G$1000,A293,Transactions!$D$7:$D$1000,"Expense"),0)</f>
        <v/>
      </c>
      <c r="H293" s="81" t="n"/>
      <c r="I293" s="81" t="n"/>
      <c r="J293" s="81" t="n"/>
    </row>
    <row r="294" ht="20" customHeight="1">
      <c r="A294" s="81" t="n"/>
      <c r="B294" s="84" t="n"/>
      <c r="C294" s="81" t="n"/>
      <c r="D294" s="81" t="n"/>
      <c r="E294" s="81" t="n"/>
      <c r="F294" s="82" t="n"/>
      <c r="G294" s="110">
        <f>IFERROR(SUMIFS(Transactions!$F$7:$F$1000,Transactions!$G$7:$G$1000,A294,Transactions!$D$7:$D$1000,"Expense"),0)</f>
        <v/>
      </c>
      <c r="H294" s="81" t="n"/>
      <c r="I294" s="81" t="n"/>
      <c r="J294" s="81" t="n"/>
    </row>
    <row r="295" ht="20" customHeight="1">
      <c r="A295" s="81" t="n"/>
      <c r="B295" s="84" t="n"/>
      <c r="C295" s="81" t="n"/>
      <c r="D295" s="81" t="n"/>
      <c r="E295" s="81" t="n"/>
      <c r="F295" s="82" t="n"/>
      <c r="G295" s="110">
        <f>IFERROR(SUMIFS(Transactions!$F$7:$F$1000,Transactions!$G$7:$G$1000,A295,Transactions!$D$7:$D$1000,"Expense"),0)</f>
        <v/>
      </c>
      <c r="H295" s="81" t="n"/>
      <c r="I295" s="81" t="n"/>
      <c r="J295" s="81" t="n"/>
    </row>
    <row r="296" ht="20" customHeight="1">
      <c r="A296" s="81" t="n"/>
      <c r="B296" s="84" t="n"/>
      <c r="C296" s="81" t="n"/>
      <c r="D296" s="81" t="n"/>
      <c r="E296" s="81" t="n"/>
      <c r="F296" s="82" t="n"/>
      <c r="G296" s="110">
        <f>IFERROR(SUMIFS(Transactions!$F$7:$F$1000,Transactions!$G$7:$G$1000,A296,Transactions!$D$7:$D$1000,"Expense"),0)</f>
        <v/>
      </c>
      <c r="H296" s="81" t="n"/>
      <c r="I296" s="81" t="n"/>
      <c r="J296" s="81" t="n"/>
    </row>
    <row r="297" ht="20" customHeight="1">
      <c r="A297" s="81" t="n"/>
      <c r="B297" s="84" t="n"/>
      <c r="C297" s="81" t="n"/>
      <c r="D297" s="81" t="n"/>
      <c r="E297" s="81" t="n"/>
      <c r="F297" s="82" t="n"/>
      <c r="G297" s="110">
        <f>IFERROR(SUMIFS(Transactions!$F$7:$F$1000,Transactions!$G$7:$G$1000,A297,Transactions!$D$7:$D$1000,"Expense"),0)</f>
        <v/>
      </c>
      <c r="H297" s="81" t="n"/>
      <c r="I297" s="81" t="n"/>
      <c r="J297" s="81" t="n"/>
    </row>
    <row r="298" ht="20" customHeight="1">
      <c r="A298" s="81" t="n"/>
      <c r="B298" s="84" t="n"/>
      <c r="C298" s="81" t="n"/>
      <c r="D298" s="81" t="n"/>
      <c r="E298" s="81" t="n"/>
      <c r="F298" s="82" t="n"/>
      <c r="G298" s="110">
        <f>IFERROR(SUMIFS(Transactions!$F$7:$F$1000,Transactions!$G$7:$G$1000,A298,Transactions!$D$7:$D$1000,"Expense"),0)</f>
        <v/>
      </c>
      <c r="H298" s="81" t="n"/>
      <c r="I298" s="81" t="n"/>
      <c r="J298" s="81" t="n"/>
    </row>
    <row r="299" ht="20" customHeight="1">
      <c r="A299" s="81" t="n"/>
      <c r="B299" s="84" t="n"/>
      <c r="C299" s="81" t="n"/>
      <c r="D299" s="81" t="n"/>
      <c r="E299" s="81" t="n"/>
      <c r="F299" s="82" t="n"/>
      <c r="G299" s="110">
        <f>IFERROR(SUMIFS(Transactions!$F$7:$F$1000,Transactions!$G$7:$G$1000,A299,Transactions!$D$7:$D$1000,"Expense"),0)</f>
        <v/>
      </c>
      <c r="H299" s="81" t="n"/>
      <c r="I299" s="81" t="n"/>
      <c r="J299" s="81" t="n"/>
    </row>
    <row r="300" ht="20" customHeight="1">
      <c r="A300" s="81" t="n"/>
      <c r="B300" s="84" t="n"/>
      <c r="C300" s="81" t="n"/>
      <c r="D300" s="81" t="n"/>
      <c r="E300" s="81" t="n"/>
      <c r="F300" s="82" t="n"/>
      <c r="G300" s="110">
        <f>IFERROR(SUMIFS(Transactions!$F$7:$F$1000,Transactions!$G$7:$G$1000,A300,Transactions!$D$7:$D$1000,"Expense"),0)</f>
        <v/>
      </c>
      <c r="H300" s="81" t="n"/>
      <c r="I300" s="81" t="n"/>
      <c r="J300" s="81" t="n"/>
    </row>
    <row r="301" ht="20" customHeight="1">
      <c r="A301" s="81" t="n"/>
      <c r="B301" s="84" t="n"/>
      <c r="C301" s="81" t="n"/>
      <c r="D301" s="81" t="n"/>
      <c r="E301" s="81" t="n"/>
      <c r="F301" s="82" t="n"/>
      <c r="G301" s="110">
        <f>IFERROR(SUMIFS(Transactions!$F$7:$F$1000,Transactions!$G$7:$G$1000,A301,Transactions!$D$7:$D$1000,"Expense"),0)</f>
        <v/>
      </c>
      <c r="H301" s="81" t="n"/>
      <c r="I301" s="81" t="n"/>
      <c r="J301" s="81" t="n"/>
    </row>
    <row r="302" ht="20" customHeight="1">
      <c r="A302" s="81" t="n"/>
      <c r="B302" s="84" t="n"/>
      <c r="C302" s="81" t="n"/>
      <c r="D302" s="81" t="n"/>
      <c r="E302" s="81" t="n"/>
      <c r="F302" s="82" t="n"/>
      <c r="G302" s="110">
        <f>IFERROR(SUMIFS(Transactions!$F$7:$F$1000,Transactions!$G$7:$G$1000,A302,Transactions!$D$7:$D$1000,"Expense"),0)</f>
        <v/>
      </c>
      <c r="H302" s="81" t="n"/>
      <c r="I302" s="81" t="n"/>
      <c r="J302" s="81" t="n"/>
    </row>
    <row r="303" ht="20" customHeight="1">
      <c r="A303" s="81" t="n"/>
      <c r="B303" s="84" t="n"/>
      <c r="C303" s="81" t="n"/>
      <c r="D303" s="81" t="n"/>
      <c r="E303" s="81" t="n"/>
      <c r="F303" s="82" t="n"/>
      <c r="G303" s="110">
        <f>IFERROR(SUMIFS(Transactions!$F$7:$F$1000,Transactions!$G$7:$G$1000,A303,Transactions!$D$7:$D$1000,"Expense"),0)</f>
        <v/>
      </c>
      <c r="H303" s="81" t="n"/>
      <c r="I303" s="81" t="n"/>
      <c r="J303" s="81" t="n"/>
    </row>
    <row r="304" ht="20" customHeight="1">
      <c r="A304" s="81" t="n"/>
      <c r="B304" s="84" t="n"/>
      <c r="C304" s="81" t="n"/>
      <c r="D304" s="81" t="n"/>
      <c r="E304" s="81" t="n"/>
      <c r="F304" s="82" t="n"/>
      <c r="G304" s="110">
        <f>IFERROR(SUMIFS(Transactions!$F$7:$F$1000,Transactions!$G$7:$G$1000,A304,Transactions!$D$7:$D$1000,"Expense"),0)</f>
        <v/>
      </c>
      <c r="H304" s="81" t="n"/>
      <c r="I304" s="81" t="n"/>
      <c r="J304" s="81" t="n"/>
    </row>
    <row r="305" ht="20" customHeight="1">
      <c r="A305" s="81" t="n"/>
      <c r="B305" s="84" t="n"/>
      <c r="C305" s="81" t="n"/>
      <c r="D305" s="81" t="n"/>
      <c r="E305" s="81" t="n"/>
      <c r="F305" s="82" t="n"/>
      <c r="G305" s="110">
        <f>IFERROR(SUMIFS(Transactions!$F$7:$F$1000,Transactions!$G$7:$G$1000,A305,Transactions!$D$7:$D$1000,"Expense"),0)</f>
        <v/>
      </c>
      <c r="H305" s="81" t="n"/>
      <c r="I305" s="81" t="n"/>
      <c r="J305" s="81" t="n"/>
    </row>
    <row r="306" ht="20" customHeight="1">
      <c r="A306" s="81" t="n"/>
      <c r="B306" s="84" t="n"/>
      <c r="C306" s="81" t="n"/>
      <c r="D306" s="81" t="n"/>
      <c r="E306" s="81" t="n"/>
      <c r="F306" s="82" t="n"/>
      <c r="G306" s="110">
        <f>IFERROR(SUMIFS(Transactions!$F$7:$F$1000,Transactions!$G$7:$G$1000,A306,Transactions!$D$7:$D$1000,"Expense"),0)</f>
        <v/>
      </c>
      <c r="H306" s="81" t="n"/>
      <c r="I306" s="81" t="n"/>
      <c r="J306" s="81" t="n"/>
    </row>
    <row r="307" ht="20" customHeight="1">
      <c r="A307" s="81" t="n"/>
      <c r="B307" s="84" t="n"/>
      <c r="C307" s="81" t="n"/>
      <c r="D307" s="81" t="n"/>
      <c r="E307" s="81" t="n"/>
      <c r="F307" s="82" t="n"/>
      <c r="G307" s="110">
        <f>IFERROR(SUMIFS(Transactions!$F$7:$F$1000,Transactions!$G$7:$G$1000,A307,Transactions!$D$7:$D$1000,"Expense"),0)</f>
        <v/>
      </c>
      <c r="H307" s="81" t="n"/>
      <c r="I307" s="81" t="n"/>
      <c r="J307" s="81" t="n"/>
    </row>
    <row r="308" ht="20" customHeight="1">
      <c r="A308" s="81" t="n"/>
      <c r="B308" s="84" t="n"/>
      <c r="C308" s="81" t="n"/>
      <c r="D308" s="81" t="n"/>
      <c r="E308" s="81" t="n"/>
      <c r="F308" s="82" t="n"/>
      <c r="G308" s="110">
        <f>IFERROR(SUMIFS(Transactions!$F$7:$F$1000,Transactions!$G$7:$G$1000,A308,Transactions!$D$7:$D$1000,"Expense"),0)</f>
        <v/>
      </c>
      <c r="H308" s="81" t="n"/>
      <c r="I308" s="81" t="n"/>
      <c r="J308" s="81" t="n"/>
    </row>
    <row r="309" ht="20" customHeight="1">
      <c r="A309" s="81" t="n"/>
      <c r="B309" s="84" t="n"/>
      <c r="C309" s="81" t="n"/>
      <c r="D309" s="81" t="n"/>
      <c r="E309" s="81" t="n"/>
      <c r="F309" s="82" t="n"/>
      <c r="G309" s="110">
        <f>IFERROR(SUMIFS(Transactions!$F$7:$F$1000,Transactions!$G$7:$G$1000,A309,Transactions!$D$7:$D$1000,"Expense"),0)</f>
        <v/>
      </c>
      <c r="H309" s="81" t="n"/>
      <c r="I309" s="81" t="n"/>
      <c r="J309" s="81" t="n"/>
    </row>
    <row r="310" ht="20" customHeight="1">
      <c r="A310" s="81" t="n"/>
      <c r="B310" s="84" t="n"/>
      <c r="C310" s="81" t="n"/>
      <c r="D310" s="81" t="n"/>
      <c r="E310" s="81" t="n"/>
      <c r="F310" s="82" t="n"/>
      <c r="G310" s="110">
        <f>IFERROR(SUMIFS(Transactions!$F$7:$F$1000,Transactions!$G$7:$G$1000,A310,Transactions!$D$7:$D$1000,"Expense"),0)</f>
        <v/>
      </c>
      <c r="H310" s="81" t="n"/>
      <c r="I310" s="81" t="n"/>
      <c r="J310" s="81" t="n"/>
    </row>
    <row r="311" ht="20" customHeight="1">
      <c r="A311" s="81" t="n"/>
      <c r="B311" s="84" t="n"/>
      <c r="C311" s="81" t="n"/>
      <c r="D311" s="81" t="n"/>
      <c r="E311" s="81" t="n"/>
      <c r="F311" s="82" t="n"/>
      <c r="G311" s="110">
        <f>IFERROR(SUMIFS(Transactions!$F$7:$F$1000,Transactions!$G$7:$G$1000,A311,Transactions!$D$7:$D$1000,"Expense"),0)</f>
        <v/>
      </c>
      <c r="H311" s="81" t="n"/>
      <c r="I311" s="81" t="n"/>
      <c r="J311" s="81" t="n"/>
    </row>
    <row r="312" ht="20" customHeight="1">
      <c r="A312" s="81" t="n"/>
      <c r="B312" s="84" t="n"/>
      <c r="C312" s="81" t="n"/>
      <c r="D312" s="81" t="n"/>
      <c r="E312" s="81" t="n"/>
      <c r="F312" s="82" t="n"/>
      <c r="G312" s="110">
        <f>IFERROR(SUMIFS(Transactions!$F$7:$F$1000,Transactions!$G$7:$G$1000,A312,Transactions!$D$7:$D$1000,"Expense"),0)</f>
        <v/>
      </c>
      <c r="H312" s="81" t="n"/>
      <c r="I312" s="81" t="n"/>
      <c r="J312" s="81" t="n"/>
    </row>
    <row r="313" ht="20" customHeight="1">
      <c r="A313" s="81" t="n"/>
      <c r="B313" s="84" t="n"/>
      <c r="C313" s="81" t="n"/>
      <c r="D313" s="81" t="n"/>
      <c r="E313" s="81" t="n"/>
      <c r="F313" s="82" t="n"/>
      <c r="G313" s="110">
        <f>IFERROR(SUMIFS(Transactions!$F$7:$F$1000,Transactions!$G$7:$G$1000,A313,Transactions!$D$7:$D$1000,"Expense"),0)</f>
        <v/>
      </c>
      <c r="H313" s="81" t="n"/>
      <c r="I313" s="81" t="n"/>
      <c r="J313" s="81" t="n"/>
    </row>
    <row r="314" ht="20" customHeight="1">
      <c r="A314" s="81" t="n"/>
      <c r="B314" s="84" t="n"/>
      <c r="C314" s="81" t="n"/>
      <c r="D314" s="81" t="n"/>
      <c r="E314" s="81" t="n"/>
      <c r="F314" s="82" t="n"/>
      <c r="G314" s="110">
        <f>IFERROR(SUMIFS(Transactions!$F$7:$F$1000,Transactions!$G$7:$G$1000,A314,Transactions!$D$7:$D$1000,"Expense"),0)</f>
        <v/>
      </c>
      <c r="H314" s="81" t="n"/>
      <c r="I314" s="81" t="n"/>
      <c r="J314" s="81" t="n"/>
    </row>
    <row r="315" ht="20" customHeight="1">
      <c r="A315" s="81" t="n"/>
      <c r="B315" s="84" t="n"/>
      <c r="C315" s="81" t="n"/>
      <c r="D315" s="81" t="n"/>
      <c r="E315" s="81" t="n"/>
      <c r="F315" s="82" t="n"/>
      <c r="G315" s="110">
        <f>IFERROR(SUMIFS(Transactions!$F$7:$F$1000,Transactions!$G$7:$G$1000,A315,Transactions!$D$7:$D$1000,"Expense"),0)</f>
        <v/>
      </c>
      <c r="H315" s="81" t="n"/>
      <c r="I315" s="81" t="n"/>
      <c r="J315" s="81" t="n"/>
    </row>
    <row r="316" ht="20" customHeight="1">
      <c r="A316" s="81" t="n"/>
      <c r="B316" s="84" t="n"/>
      <c r="C316" s="81" t="n"/>
      <c r="D316" s="81" t="n"/>
      <c r="E316" s="81" t="n"/>
      <c r="F316" s="82" t="n"/>
      <c r="G316" s="110">
        <f>IFERROR(SUMIFS(Transactions!$F$7:$F$1000,Transactions!$G$7:$G$1000,A316,Transactions!$D$7:$D$1000,"Expense"),0)</f>
        <v/>
      </c>
      <c r="H316" s="81" t="n"/>
      <c r="I316" s="81" t="n"/>
      <c r="J316" s="81" t="n"/>
    </row>
    <row r="317" ht="20" customHeight="1">
      <c r="A317" s="81" t="n"/>
      <c r="B317" s="84" t="n"/>
      <c r="C317" s="81" t="n"/>
      <c r="D317" s="81" t="n"/>
      <c r="E317" s="81" t="n"/>
      <c r="F317" s="82" t="n"/>
      <c r="G317" s="110">
        <f>IFERROR(SUMIFS(Transactions!$F$7:$F$1000,Transactions!$G$7:$G$1000,A317,Transactions!$D$7:$D$1000,"Expense"),0)</f>
        <v/>
      </c>
      <c r="H317" s="81" t="n"/>
      <c r="I317" s="81" t="n"/>
      <c r="J317" s="81" t="n"/>
    </row>
    <row r="318" ht="20" customHeight="1">
      <c r="A318" s="81" t="n"/>
      <c r="B318" s="84" t="n"/>
      <c r="C318" s="81" t="n"/>
      <c r="D318" s="81" t="n"/>
      <c r="E318" s="81" t="n"/>
      <c r="F318" s="82" t="n"/>
      <c r="G318" s="110">
        <f>IFERROR(SUMIFS(Transactions!$F$7:$F$1000,Transactions!$G$7:$G$1000,A318,Transactions!$D$7:$D$1000,"Expense"),0)</f>
        <v/>
      </c>
      <c r="H318" s="81" t="n"/>
      <c r="I318" s="81" t="n"/>
      <c r="J318" s="81" t="n"/>
    </row>
    <row r="319" ht="20" customHeight="1">
      <c r="A319" s="81" t="n"/>
      <c r="B319" s="84" t="n"/>
      <c r="C319" s="81" t="n"/>
      <c r="D319" s="81" t="n"/>
      <c r="E319" s="81" t="n"/>
      <c r="F319" s="82" t="n"/>
      <c r="G319" s="110">
        <f>IFERROR(SUMIFS(Transactions!$F$7:$F$1000,Transactions!$G$7:$G$1000,A319,Transactions!$D$7:$D$1000,"Expense"),0)</f>
        <v/>
      </c>
      <c r="H319" s="81" t="n"/>
      <c r="I319" s="81" t="n"/>
      <c r="J319" s="81" t="n"/>
    </row>
    <row r="320" ht="20" customHeight="1">
      <c r="A320" s="81" t="n"/>
      <c r="B320" s="84" t="n"/>
      <c r="C320" s="81" t="n"/>
      <c r="D320" s="81" t="n"/>
      <c r="E320" s="81" t="n"/>
      <c r="F320" s="82" t="n"/>
      <c r="G320" s="110">
        <f>IFERROR(SUMIFS(Transactions!$F$7:$F$1000,Transactions!$G$7:$G$1000,A320,Transactions!$D$7:$D$1000,"Expense"),0)</f>
        <v/>
      </c>
      <c r="H320" s="81" t="n"/>
      <c r="I320" s="81" t="n"/>
      <c r="J320" s="81" t="n"/>
    </row>
    <row r="321" ht="20" customHeight="1">
      <c r="A321" s="81" t="n"/>
      <c r="B321" s="84" t="n"/>
      <c r="C321" s="81" t="n"/>
      <c r="D321" s="81" t="n"/>
      <c r="E321" s="81" t="n"/>
      <c r="F321" s="82" t="n"/>
      <c r="G321" s="110">
        <f>IFERROR(SUMIFS(Transactions!$F$7:$F$1000,Transactions!$G$7:$G$1000,A321,Transactions!$D$7:$D$1000,"Expense"),0)</f>
        <v/>
      </c>
      <c r="H321" s="81" t="n"/>
      <c r="I321" s="81" t="n"/>
      <c r="J321" s="81" t="n"/>
    </row>
    <row r="322" ht="20" customHeight="1">
      <c r="A322" s="81" t="n"/>
      <c r="B322" s="84" t="n"/>
      <c r="C322" s="81" t="n"/>
      <c r="D322" s="81" t="n"/>
      <c r="E322" s="81" t="n"/>
      <c r="F322" s="82" t="n"/>
      <c r="G322" s="110">
        <f>IFERROR(SUMIFS(Transactions!$F$7:$F$1000,Transactions!$G$7:$G$1000,A322,Transactions!$D$7:$D$1000,"Expense"),0)</f>
        <v/>
      </c>
      <c r="H322" s="81" t="n"/>
      <c r="I322" s="81" t="n"/>
      <c r="J322" s="81" t="n"/>
    </row>
    <row r="323" ht="20" customHeight="1">
      <c r="A323" s="81" t="n"/>
      <c r="B323" s="84" t="n"/>
      <c r="C323" s="81" t="n"/>
      <c r="D323" s="81" t="n"/>
      <c r="E323" s="81" t="n"/>
      <c r="F323" s="82" t="n"/>
      <c r="G323" s="110">
        <f>IFERROR(SUMIFS(Transactions!$F$7:$F$1000,Transactions!$G$7:$G$1000,A323,Transactions!$D$7:$D$1000,"Expense"),0)</f>
        <v/>
      </c>
      <c r="H323" s="81" t="n"/>
      <c r="I323" s="81" t="n"/>
      <c r="J323" s="81" t="n"/>
    </row>
    <row r="324" ht="20" customHeight="1">
      <c r="A324" s="81" t="n"/>
      <c r="B324" s="84" t="n"/>
      <c r="C324" s="81" t="n"/>
      <c r="D324" s="81" t="n"/>
      <c r="E324" s="81" t="n"/>
      <c r="F324" s="82" t="n"/>
      <c r="G324" s="110">
        <f>IFERROR(SUMIFS(Transactions!$F$7:$F$1000,Transactions!$G$7:$G$1000,A324,Transactions!$D$7:$D$1000,"Expense"),0)</f>
        <v/>
      </c>
      <c r="H324" s="81" t="n"/>
      <c r="I324" s="81" t="n"/>
      <c r="J324" s="81" t="n"/>
    </row>
    <row r="325" ht="20" customHeight="1">
      <c r="A325" s="81" t="n"/>
      <c r="B325" s="84" t="n"/>
      <c r="C325" s="81" t="n"/>
      <c r="D325" s="81" t="n"/>
      <c r="E325" s="81" t="n"/>
      <c r="F325" s="82" t="n"/>
      <c r="G325" s="110">
        <f>IFERROR(SUMIFS(Transactions!$F$7:$F$1000,Transactions!$G$7:$G$1000,A325,Transactions!$D$7:$D$1000,"Expense"),0)</f>
        <v/>
      </c>
      <c r="H325" s="81" t="n"/>
      <c r="I325" s="81" t="n"/>
      <c r="J325" s="81" t="n"/>
    </row>
    <row r="326" ht="20" customHeight="1">
      <c r="A326" s="81" t="n"/>
      <c r="B326" s="84" t="n"/>
      <c r="C326" s="81" t="n"/>
      <c r="D326" s="81" t="n"/>
      <c r="E326" s="81" t="n"/>
      <c r="F326" s="82" t="n"/>
      <c r="G326" s="110">
        <f>IFERROR(SUMIFS(Transactions!$F$7:$F$1000,Transactions!$G$7:$G$1000,A326,Transactions!$D$7:$D$1000,"Expense"),0)</f>
        <v/>
      </c>
      <c r="H326" s="81" t="n"/>
      <c r="I326" s="81" t="n"/>
      <c r="J326" s="81" t="n"/>
    </row>
    <row r="327" ht="20" customHeight="1">
      <c r="A327" s="81" t="n"/>
      <c r="B327" s="84" t="n"/>
      <c r="C327" s="81" t="n"/>
      <c r="D327" s="81" t="n"/>
      <c r="E327" s="81" t="n"/>
      <c r="F327" s="82" t="n"/>
      <c r="G327" s="110">
        <f>IFERROR(SUMIFS(Transactions!$F$7:$F$1000,Transactions!$G$7:$G$1000,A327,Transactions!$D$7:$D$1000,"Expense"),0)</f>
        <v/>
      </c>
      <c r="H327" s="81" t="n"/>
      <c r="I327" s="81" t="n"/>
      <c r="J327" s="81" t="n"/>
    </row>
    <row r="328" ht="20" customHeight="1">
      <c r="A328" s="81" t="n"/>
      <c r="B328" s="84" t="n"/>
      <c r="C328" s="81" t="n"/>
      <c r="D328" s="81" t="n"/>
      <c r="E328" s="81" t="n"/>
      <c r="F328" s="82" t="n"/>
      <c r="G328" s="110">
        <f>IFERROR(SUMIFS(Transactions!$F$7:$F$1000,Transactions!$G$7:$G$1000,A328,Transactions!$D$7:$D$1000,"Expense"),0)</f>
        <v/>
      </c>
      <c r="H328" s="81" t="n"/>
      <c r="I328" s="81" t="n"/>
      <c r="J328" s="81" t="n"/>
    </row>
    <row r="329" ht="20" customHeight="1">
      <c r="A329" s="81" t="n"/>
      <c r="B329" s="84" t="n"/>
      <c r="C329" s="81" t="n"/>
      <c r="D329" s="81" t="n"/>
      <c r="E329" s="81" t="n"/>
      <c r="F329" s="82" t="n"/>
      <c r="G329" s="110">
        <f>IFERROR(SUMIFS(Transactions!$F$7:$F$1000,Transactions!$G$7:$G$1000,A329,Transactions!$D$7:$D$1000,"Expense"),0)</f>
        <v/>
      </c>
      <c r="H329" s="81" t="n"/>
      <c r="I329" s="81" t="n"/>
      <c r="J329" s="81" t="n"/>
    </row>
    <row r="330" ht="20" customHeight="1">
      <c r="A330" s="81" t="n"/>
      <c r="B330" s="84" t="n"/>
      <c r="C330" s="81" t="n"/>
      <c r="D330" s="81" t="n"/>
      <c r="E330" s="81" t="n"/>
      <c r="F330" s="82" t="n"/>
      <c r="G330" s="110">
        <f>IFERROR(SUMIFS(Transactions!$F$7:$F$1000,Transactions!$G$7:$G$1000,A330,Transactions!$D$7:$D$1000,"Expense"),0)</f>
        <v/>
      </c>
      <c r="H330" s="81" t="n"/>
      <c r="I330" s="81" t="n"/>
      <c r="J330" s="81" t="n"/>
    </row>
    <row r="331" ht="20" customHeight="1">
      <c r="A331" s="81" t="n"/>
      <c r="B331" s="84" t="n"/>
      <c r="C331" s="81" t="n"/>
      <c r="D331" s="81" t="n"/>
      <c r="E331" s="81" t="n"/>
      <c r="F331" s="82" t="n"/>
      <c r="G331" s="110">
        <f>IFERROR(SUMIFS(Transactions!$F$7:$F$1000,Transactions!$G$7:$G$1000,A331,Transactions!$D$7:$D$1000,"Expense"),0)</f>
        <v/>
      </c>
      <c r="H331" s="81" t="n"/>
      <c r="I331" s="81" t="n"/>
      <c r="J331" s="81" t="n"/>
    </row>
    <row r="332" ht="20" customHeight="1">
      <c r="A332" s="81" t="n"/>
      <c r="B332" s="84" t="n"/>
      <c r="C332" s="81" t="n"/>
      <c r="D332" s="81" t="n"/>
      <c r="E332" s="81" t="n"/>
      <c r="F332" s="82" t="n"/>
      <c r="G332" s="110">
        <f>IFERROR(SUMIFS(Transactions!$F$7:$F$1000,Transactions!$G$7:$G$1000,A332,Transactions!$D$7:$D$1000,"Expense"),0)</f>
        <v/>
      </c>
      <c r="H332" s="81" t="n"/>
      <c r="I332" s="81" t="n"/>
      <c r="J332" s="81" t="n"/>
    </row>
    <row r="333" ht="20" customHeight="1">
      <c r="A333" s="81" t="n"/>
      <c r="B333" s="84" t="n"/>
      <c r="C333" s="81" t="n"/>
      <c r="D333" s="81" t="n"/>
      <c r="E333" s="81" t="n"/>
      <c r="F333" s="82" t="n"/>
      <c r="G333" s="110">
        <f>IFERROR(SUMIFS(Transactions!$F$7:$F$1000,Transactions!$G$7:$G$1000,A333,Transactions!$D$7:$D$1000,"Expense"),0)</f>
        <v/>
      </c>
      <c r="H333" s="81" t="n"/>
      <c r="I333" s="81" t="n"/>
      <c r="J333" s="81" t="n"/>
    </row>
    <row r="334" ht="20" customHeight="1">
      <c r="A334" s="81" t="n"/>
      <c r="B334" s="84" t="n"/>
      <c r="C334" s="81" t="n"/>
      <c r="D334" s="81" t="n"/>
      <c r="E334" s="81" t="n"/>
      <c r="F334" s="82" t="n"/>
      <c r="G334" s="110">
        <f>IFERROR(SUMIFS(Transactions!$F$7:$F$1000,Transactions!$G$7:$G$1000,A334,Transactions!$D$7:$D$1000,"Expense"),0)</f>
        <v/>
      </c>
      <c r="H334" s="81" t="n"/>
      <c r="I334" s="81" t="n"/>
      <c r="J334" s="81" t="n"/>
    </row>
    <row r="335" ht="20" customHeight="1">
      <c r="A335" s="81" t="n"/>
      <c r="B335" s="84" t="n"/>
      <c r="C335" s="81" t="n"/>
      <c r="D335" s="81" t="n"/>
      <c r="E335" s="81" t="n"/>
      <c r="F335" s="82" t="n"/>
      <c r="G335" s="110">
        <f>IFERROR(SUMIFS(Transactions!$F$7:$F$1000,Transactions!$G$7:$G$1000,A335,Transactions!$D$7:$D$1000,"Expense"),0)</f>
        <v/>
      </c>
      <c r="H335" s="81" t="n"/>
      <c r="I335" s="81" t="n"/>
      <c r="J335" s="81" t="n"/>
    </row>
    <row r="336" ht="20" customHeight="1">
      <c r="A336" s="81" t="n"/>
      <c r="B336" s="84" t="n"/>
      <c r="C336" s="81" t="n"/>
      <c r="D336" s="81" t="n"/>
      <c r="E336" s="81" t="n"/>
      <c r="F336" s="82" t="n"/>
      <c r="G336" s="110">
        <f>IFERROR(SUMIFS(Transactions!$F$7:$F$1000,Transactions!$G$7:$G$1000,A336,Transactions!$D$7:$D$1000,"Expense"),0)</f>
        <v/>
      </c>
      <c r="H336" s="81" t="n"/>
      <c r="I336" s="81" t="n"/>
      <c r="J336" s="81" t="n"/>
    </row>
    <row r="337" ht="20" customHeight="1">
      <c r="A337" s="81" t="n"/>
      <c r="B337" s="84" t="n"/>
      <c r="C337" s="81" t="n"/>
      <c r="D337" s="81" t="n"/>
      <c r="E337" s="81" t="n"/>
      <c r="F337" s="82" t="n"/>
      <c r="G337" s="110">
        <f>IFERROR(SUMIFS(Transactions!$F$7:$F$1000,Transactions!$G$7:$G$1000,A337,Transactions!$D$7:$D$1000,"Expense"),0)</f>
        <v/>
      </c>
      <c r="H337" s="81" t="n"/>
      <c r="I337" s="81" t="n"/>
      <c r="J337" s="81" t="n"/>
    </row>
    <row r="338" ht="20" customHeight="1">
      <c r="A338" s="81" t="n"/>
      <c r="B338" s="84" t="n"/>
      <c r="C338" s="81" t="n"/>
      <c r="D338" s="81" t="n"/>
      <c r="E338" s="81" t="n"/>
      <c r="F338" s="82" t="n"/>
      <c r="G338" s="110">
        <f>IFERROR(SUMIFS(Transactions!$F$7:$F$1000,Transactions!$G$7:$G$1000,A338,Transactions!$D$7:$D$1000,"Expense"),0)</f>
        <v/>
      </c>
      <c r="H338" s="81" t="n"/>
      <c r="I338" s="81" t="n"/>
      <c r="J338" s="81" t="n"/>
    </row>
    <row r="339" ht="20" customHeight="1">
      <c r="A339" s="81" t="n"/>
      <c r="B339" s="84" t="n"/>
      <c r="C339" s="81" t="n"/>
      <c r="D339" s="81" t="n"/>
      <c r="E339" s="81" t="n"/>
      <c r="F339" s="82" t="n"/>
      <c r="G339" s="110">
        <f>IFERROR(SUMIFS(Transactions!$F$7:$F$1000,Transactions!$G$7:$G$1000,A339,Transactions!$D$7:$D$1000,"Expense"),0)</f>
        <v/>
      </c>
      <c r="H339" s="81" t="n"/>
      <c r="I339" s="81" t="n"/>
      <c r="J339" s="81" t="n"/>
    </row>
    <row r="340" ht="20" customHeight="1">
      <c r="A340" s="81" t="n"/>
      <c r="B340" s="84" t="n"/>
      <c r="C340" s="81" t="n"/>
      <c r="D340" s="81" t="n"/>
      <c r="E340" s="81" t="n"/>
      <c r="F340" s="82" t="n"/>
      <c r="G340" s="110">
        <f>IFERROR(SUMIFS(Transactions!$F$7:$F$1000,Transactions!$G$7:$G$1000,A340,Transactions!$D$7:$D$1000,"Expense"),0)</f>
        <v/>
      </c>
      <c r="H340" s="81" t="n"/>
      <c r="I340" s="81" t="n"/>
      <c r="J340" s="81" t="n"/>
    </row>
    <row r="341" ht="20" customHeight="1">
      <c r="A341" s="81" t="n"/>
      <c r="B341" s="84" t="n"/>
      <c r="C341" s="81" t="n"/>
      <c r="D341" s="81" t="n"/>
      <c r="E341" s="81" t="n"/>
      <c r="F341" s="82" t="n"/>
      <c r="G341" s="110">
        <f>IFERROR(SUMIFS(Transactions!$F$7:$F$1000,Transactions!$G$7:$G$1000,A341,Transactions!$D$7:$D$1000,"Expense"),0)</f>
        <v/>
      </c>
      <c r="H341" s="81" t="n"/>
      <c r="I341" s="81" t="n"/>
      <c r="J341" s="81" t="n"/>
    </row>
    <row r="342" ht="20" customHeight="1">
      <c r="A342" s="81" t="n"/>
      <c r="B342" s="84" t="n"/>
      <c r="C342" s="81" t="n"/>
      <c r="D342" s="81" t="n"/>
      <c r="E342" s="81" t="n"/>
      <c r="F342" s="82" t="n"/>
      <c r="G342" s="110">
        <f>IFERROR(SUMIFS(Transactions!$F$7:$F$1000,Transactions!$G$7:$G$1000,A342,Transactions!$D$7:$D$1000,"Expense"),0)</f>
        <v/>
      </c>
      <c r="H342" s="81" t="n"/>
      <c r="I342" s="81" t="n"/>
      <c r="J342" s="81" t="n"/>
    </row>
    <row r="343" ht="20" customHeight="1">
      <c r="A343" s="81" t="n"/>
      <c r="B343" s="84" t="n"/>
      <c r="C343" s="81" t="n"/>
      <c r="D343" s="81" t="n"/>
      <c r="E343" s="81" t="n"/>
      <c r="F343" s="82" t="n"/>
      <c r="G343" s="110">
        <f>IFERROR(SUMIFS(Transactions!$F$7:$F$1000,Transactions!$G$7:$G$1000,A343,Transactions!$D$7:$D$1000,"Expense"),0)</f>
        <v/>
      </c>
      <c r="H343" s="81" t="n"/>
      <c r="I343" s="81" t="n"/>
      <c r="J343" s="81" t="n"/>
    </row>
    <row r="344" ht="20" customHeight="1">
      <c r="A344" s="81" t="n"/>
      <c r="B344" s="84" t="n"/>
      <c r="C344" s="81" t="n"/>
      <c r="D344" s="81" t="n"/>
      <c r="E344" s="81" t="n"/>
      <c r="F344" s="82" t="n"/>
      <c r="G344" s="110">
        <f>IFERROR(SUMIFS(Transactions!$F$7:$F$1000,Transactions!$G$7:$G$1000,A344,Transactions!$D$7:$D$1000,"Expense"),0)</f>
        <v/>
      </c>
      <c r="H344" s="81" t="n"/>
      <c r="I344" s="81" t="n"/>
      <c r="J344" s="81" t="n"/>
    </row>
    <row r="345" ht="20" customHeight="1">
      <c r="A345" s="81" t="n"/>
      <c r="B345" s="84" t="n"/>
      <c r="C345" s="81" t="n"/>
      <c r="D345" s="81" t="n"/>
      <c r="E345" s="81" t="n"/>
      <c r="F345" s="82" t="n"/>
      <c r="G345" s="110">
        <f>IFERROR(SUMIFS(Transactions!$F$7:$F$1000,Transactions!$G$7:$G$1000,A345,Transactions!$D$7:$D$1000,"Expense"),0)</f>
        <v/>
      </c>
      <c r="H345" s="81" t="n"/>
      <c r="I345" s="81" t="n"/>
      <c r="J345" s="81" t="n"/>
    </row>
    <row r="346" ht="20" customHeight="1">
      <c r="A346" s="81" t="n"/>
      <c r="B346" s="84" t="n"/>
      <c r="C346" s="81" t="n"/>
      <c r="D346" s="81" t="n"/>
      <c r="E346" s="81" t="n"/>
      <c r="F346" s="82" t="n"/>
      <c r="G346" s="110">
        <f>IFERROR(SUMIFS(Transactions!$F$7:$F$1000,Transactions!$G$7:$G$1000,A346,Transactions!$D$7:$D$1000,"Expense"),0)</f>
        <v/>
      </c>
      <c r="H346" s="81" t="n"/>
      <c r="I346" s="81" t="n"/>
      <c r="J346" s="81" t="n"/>
    </row>
    <row r="347" ht="20" customHeight="1">
      <c r="A347" s="81" t="n"/>
      <c r="B347" s="84" t="n"/>
      <c r="C347" s="81" t="n"/>
      <c r="D347" s="81" t="n"/>
      <c r="E347" s="81" t="n"/>
      <c r="F347" s="82" t="n"/>
      <c r="G347" s="110">
        <f>IFERROR(SUMIFS(Transactions!$F$7:$F$1000,Transactions!$G$7:$G$1000,A347,Transactions!$D$7:$D$1000,"Expense"),0)</f>
        <v/>
      </c>
      <c r="H347" s="81" t="n"/>
      <c r="I347" s="81" t="n"/>
      <c r="J347" s="81" t="n"/>
    </row>
    <row r="348" ht="20" customHeight="1">
      <c r="A348" s="81" t="n"/>
      <c r="B348" s="84" t="n"/>
      <c r="C348" s="81" t="n"/>
      <c r="D348" s="81" t="n"/>
      <c r="E348" s="81" t="n"/>
      <c r="F348" s="82" t="n"/>
      <c r="G348" s="110">
        <f>IFERROR(SUMIFS(Transactions!$F$7:$F$1000,Transactions!$G$7:$G$1000,A348,Transactions!$D$7:$D$1000,"Expense"),0)</f>
        <v/>
      </c>
      <c r="H348" s="81" t="n"/>
      <c r="I348" s="81" t="n"/>
      <c r="J348" s="81" t="n"/>
    </row>
    <row r="349" ht="20" customHeight="1">
      <c r="A349" s="81" t="n"/>
      <c r="B349" s="84" t="n"/>
      <c r="C349" s="81" t="n"/>
      <c r="D349" s="81" t="n"/>
      <c r="E349" s="81" t="n"/>
      <c r="F349" s="82" t="n"/>
      <c r="G349" s="110">
        <f>IFERROR(SUMIFS(Transactions!$F$7:$F$1000,Transactions!$G$7:$G$1000,A349,Transactions!$D$7:$D$1000,"Expense"),0)</f>
        <v/>
      </c>
      <c r="H349" s="81" t="n"/>
      <c r="I349" s="81" t="n"/>
      <c r="J349" s="81" t="n"/>
    </row>
    <row r="350" ht="20" customHeight="1">
      <c r="A350" s="81" t="n"/>
      <c r="B350" s="84" t="n"/>
      <c r="C350" s="81" t="n"/>
      <c r="D350" s="81" t="n"/>
      <c r="E350" s="81" t="n"/>
      <c r="F350" s="82" t="n"/>
      <c r="G350" s="110">
        <f>IFERROR(SUMIFS(Transactions!$F$7:$F$1000,Transactions!$G$7:$G$1000,A350,Transactions!$D$7:$D$1000,"Expense"),0)</f>
        <v/>
      </c>
      <c r="H350" s="81" t="n"/>
      <c r="I350" s="81" t="n"/>
      <c r="J350" s="81" t="n"/>
    </row>
    <row r="351" ht="20" customHeight="1">
      <c r="A351" s="81" t="n"/>
      <c r="B351" s="84" t="n"/>
      <c r="C351" s="81" t="n"/>
      <c r="D351" s="81" t="n"/>
      <c r="E351" s="81" t="n"/>
      <c r="F351" s="82" t="n"/>
      <c r="G351" s="110">
        <f>IFERROR(SUMIFS(Transactions!$F$7:$F$1000,Transactions!$G$7:$G$1000,A351,Transactions!$D$7:$D$1000,"Expense"),0)</f>
        <v/>
      </c>
      <c r="H351" s="81" t="n"/>
      <c r="I351" s="81" t="n"/>
      <c r="J351" s="81" t="n"/>
    </row>
    <row r="352" ht="20" customHeight="1">
      <c r="A352" s="81" t="n"/>
      <c r="B352" s="84" t="n"/>
      <c r="C352" s="81" t="n"/>
      <c r="D352" s="81" t="n"/>
      <c r="E352" s="81" t="n"/>
      <c r="F352" s="82" t="n"/>
      <c r="G352" s="110">
        <f>IFERROR(SUMIFS(Transactions!$F$7:$F$1000,Transactions!$G$7:$G$1000,A352,Transactions!$D$7:$D$1000,"Expense"),0)</f>
        <v/>
      </c>
      <c r="H352" s="81" t="n"/>
      <c r="I352" s="81" t="n"/>
      <c r="J352" s="81" t="n"/>
    </row>
    <row r="353" ht="20" customHeight="1">
      <c r="A353" s="81" t="n"/>
      <c r="B353" s="84" t="n"/>
      <c r="C353" s="81" t="n"/>
      <c r="D353" s="81" t="n"/>
      <c r="E353" s="81" t="n"/>
      <c r="F353" s="82" t="n"/>
      <c r="G353" s="110">
        <f>IFERROR(SUMIFS(Transactions!$F$7:$F$1000,Transactions!$G$7:$G$1000,A353,Transactions!$D$7:$D$1000,"Expense"),0)</f>
        <v/>
      </c>
      <c r="H353" s="81" t="n"/>
      <c r="I353" s="81" t="n"/>
      <c r="J353" s="81" t="n"/>
    </row>
    <row r="354" ht="20" customHeight="1">
      <c r="A354" s="81" t="n"/>
      <c r="B354" s="84" t="n"/>
      <c r="C354" s="81" t="n"/>
      <c r="D354" s="81" t="n"/>
      <c r="E354" s="81" t="n"/>
      <c r="F354" s="82" t="n"/>
      <c r="G354" s="110">
        <f>IFERROR(SUMIFS(Transactions!$F$7:$F$1000,Transactions!$G$7:$G$1000,A354,Transactions!$D$7:$D$1000,"Expense"),0)</f>
        <v/>
      </c>
      <c r="H354" s="81" t="n"/>
      <c r="I354" s="81" t="n"/>
      <c r="J354" s="81" t="n"/>
    </row>
    <row r="355" ht="20" customHeight="1">
      <c r="A355" s="81" t="n"/>
      <c r="B355" s="84" t="n"/>
      <c r="C355" s="81" t="n"/>
      <c r="D355" s="81" t="n"/>
      <c r="E355" s="81" t="n"/>
      <c r="F355" s="82" t="n"/>
      <c r="G355" s="110">
        <f>IFERROR(SUMIFS(Transactions!$F$7:$F$1000,Transactions!$G$7:$G$1000,A355,Transactions!$D$7:$D$1000,"Expense"),0)</f>
        <v/>
      </c>
      <c r="H355" s="81" t="n"/>
      <c r="I355" s="81" t="n"/>
      <c r="J355" s="81" t="n"/>
    </row>
    <row r="356" ht="20" customHeight="1">
      <c r="A356" s="81" t="n"/>
      <c r="B356" s="84" t="n"/>
      <c r="C356" s="81" t="n"/>
      <c r="D356" s="81" t="n"/>
      <c r="E356" s="81" t="n"/>
      <c r="F356" s="82" t="n"/>
      <c r="G356" s="110">
        <f>IFERROR(SUMIFS(Transactions!$F$7:$F$1000,Transactions!$G$7:$G$1000,A356,Transactions!$D$7:$D$1000,"Expense"),0)</f>
        <v/>
      </c>
      <c r="H356" s="81" t="n"/>
      <c r="I356" s="81" t="n"/>
      <c r="J356" s="81" t="n"/>
    </row>
    <row r="357" ht="20" customHeight="1">
      <c r="A357" s="81" t="n"/>
      <c r="B357" s="84" t="n"/>
      <c r="C357" s="81" t="n"/>
      <c r="D357" s="81" t="n"/>
      <c r="E357" s="81" t="n"/>
      <c r="F357" s="82" t="n"/>
      <c r="G357" s="110">
        <f>IFERROR(SUMIFS(Transactions!$F$7:$F$1000,Transactions!$G$7:$G$1000,A357,Transactions!$D$7:$D$1000,"Expense"),0)</f>
        <v/>
      </c>
      <c r="H357" s="81" t="n"/>
      <c r="I357" s="81" t="n"/>
      <c r="J357" s="81" t="n"/>
    </row>
    <row r="358" ht="20" customHeight="1">
      <c r="A358" s="81" t="n"/>
      <c r="B358" s="84" t="n"/>
      <c r="C358" s="81" t="n"/>
      <c r="D358" s="81" t="n"/>
      <c r="E358" s="81" t="n"/>
      <c r="F358" s="82" t="n"/>
      <c r="G358" s="110">
        <f>IFERROR(SUMIFS(Transactions!$F$7:$F$1000,Transactions!$G$7:$G$1000,A358,Transactions!$D$7:$D$1000,"Expense"),0)</f>
        <v/>
      </c>
      <c r="H358" s="81" t="n"/>
      <c r="I358" s="81" t="n"/>
      <c r="J358" s="81" t="n"/>
    </row>
    <row r="359" ht="20" customHeight="1">
      <c r="A359" s="81" t="n"/>
      <c r="B359" s="84" t="n"/>
      <c r="C359" s="81" t="n"/>
      <c r="D359" s="81" t="n"/>
      <c r="E359" s="81" t="n"/>
      <c r="F359" s="82" t="n"/>
      <c r="G359" s="110">
        <f>IFERROR(SUMIFS(Transactions!$F$7:$F$1000,Transactions!$G$7:$G$1000,A359,Transactions!$D$7:$D$1000,"Expense"),0)</f>
        <v/>
      </c>
      <c r="H359" s="81" t="n"/>
      <c r="I359" s="81" t="n"/>
      <c r="J359" s="81" t="n"/>
    </row>
    <row r="360" ht="20" customHeight="1">
      <c r="A360" s="81" t="n"/>
      <c r="B360" s="84" t="n"/>
      <c r="C360" s="81" t="n"/>
      <c r="D360" s="81" t="n"/>
      <c r="E360" s="81" t="n"/>
      <c r="F360" s="82" t="n"/>
      <c r="G360" s="110">
        <f>IFERROR(SUMIFS(Transactions!$F$7:$F$1000,Transactions!$G$7:$G$1000,A360,Transactions!$D$7:$D$1000,"Expense"),0)</f>
        <v/>
      </c>
      <c r="H360" s="81" t="n"/>
      <c r="I360" s="81" t="n"/>
      <c r="J360" s="81" t="n"/>
    </row>
    <row r="361" ht="20" customHeight="1">
      <c r="A361" s="81" t="n"/>
      <c r="B361" s="84" t="n"/>
      <c r="C361" s="81" t="n"/>
      <c r="D361" s="81" t="n"/>
      <c r="E361" s="81" t="n"/>
      <c r="F361" s="82" t="n"/>
      <c r="G361" s="110">
        <f>IFERROR(SUMIFS(Transactions!$F$7:$F$1000,Transactions!$G$7:$G$1000,A361,Transactions!$D$7:$D$1000,"Expense"),0)</f>
        <v/>
      </c>
      <c r="H361" s="81" t="n"/>
      <c r="I361" s="81" t="n"/>
      <c r="J361" s="81" t="n"/>
    </row>
    <row r="362" ht="20" customHeight="1">
      <c r="A362" s="81" t="n"/>
      <c r="B362" s="84" t="n"/>
      <c r="C362" s="81" t="n"/>
      <c r="D362" s="81" t="n"/>
      <c r="E362" s="81" t="n"/>
      <c r="F362" s="82" t="n"/>
      <c r="G362" s="110">
        <f>IFERROR(SUMIFS(Transactions!$F$7:$F$1000,Transactions!$G$7:$G$1000,A362,Transactions!$D$7:$D$1000,"Expense"),0)</f>
        <v/>
      </c>
      <c r="H362" s="81" t="n"/>
      <c r="I362" s="81" t="n"/>
      <c r="J362" s="81" t="n"/>
    </row>
    <row r="363" ht="20" customHeight="1">
      <c r="A363" s="81" t="n"/>
      <c r="B363" s="84" t="n"/>
      <c r="C363" s="81" t="n"/>
      <c r="D363" s="81" t="n"/>
      <c r="E363" s="81" t="n"/>
      <c r="F363" s="82" t="n"/>
      <c r="G363" s="110">
        <f>IFERROR(SUMIFS(Transactions!$F$7:$F$1000,Transactions!$G$7:$G$1000,A363,Transactions!$D$7:$D$1000,"Expense"),0)</f>
        <v/>
      </c>
      <c r="H363" s="81" t="n"/>
      <c r="I363" s="81" t="n"/>
      <c r="J363" s="81" t="n"/>
    </row>
    <row r="364" ht="20" customHeight="1">
      <c r="A364" s="81" t="n"/>
      <c r="B364" s="84" t="n"/>
      <c r="C364" s="81" t="n"/>
      <c r="D364" s="81" t="n"/>
      <c r="E364" s="81" t="n"/>
      <c r="F364" s="82" t="n"/>
      <c r="G364" s="110">
        <f>IFERROR(SUMIFS(Transactions!$F$7:$F$1000,Transactions!$G$7:$G$1000,A364,Transactions!$D$7:$D$1000,"Expense"),0)</f>
        <v/>
      </c>
      <c r="H364" s="81" t="n"/>
      <c r="I364" s="81" t="n"/>
      <c r="J364" s="81" t="n"/>
    </row>
    <row r="365" ht="20" customHeight="1">
      <c r="A365" s="81" t="n"/>
      <c r="B365" s="84" t="n"/>
      <c r="C365" s="81" t="n"/>
      <c r="D365" s="81" t="n"/>
      <c r="E365" s="81" t="n"/>
      <c r="F365" s="82" t="n"/>
      <c r="G365" s="110">
        <f>IFERROR(SUMIFS(Transactions!$F$7:$F$1000,Transactions!$G$7:$G$1000,A365,Transactions!$D$7:$D$1000,"Expense"),0)</f>
        <v/>
      </c>
      <c r="H365" s="81" t="n"/>
      <c r="I365" s="81" t="n"/>
      <c r="J365" s="81" t="n"/>
    </row>
    <row r="366" ht="20" customHeight="1">
      <c r="A366" s="81" t="n"/>
      <c r="B366" s="84" t="n"/>
      <c r="C366" s="81" t="n"/>
      <c r="D366" s="81" t="n"/>
      <c r="E366" s="81" t="n"/>
      <c r="F366" s="82" t="n"/>
      <c r="G366" s="110">
        <f>IFERROR(SUMIFS(Transactions!$F$7:$F$1000,Transactions!$G$7:$G$1000,A366,Transactions!$D$7:$D$1000,"Expense"),0)</f>
        <v/>
      </c>
      <c r="H366" s="81" t="n"/>
      <c r="I366" s="81" t="n"/>
      <c r="J366" s="81" t="n"/>
    </row>
    <row r="367" ht="20" customHeight="1">
      <c r="A367" s="81" t="n"/>
      <c r="B367" s="84" t="n"/>
      <c r="C367" s="81" t="n"/>
      <c r="D367" s="81" t="n"/>
      <c r="E367" s="81" t="n"/>
      <c r="F367" s="82" t="n"/>
      <c r="G367" s="110">
        <f>IFERROR(SUMIFS(Transactions!$F$7:$F$1000,Transactions!$G$7:$G$1000,A367,Transactions!$D$7:$D$1000,"Expense"),0)</f>
        <v/>
      </c>
      <c r="H367" s="81" t="n"/>
      <c r="I367" s="81" t="n"/>
      <c r="J367" s="81" t="n"/>
    </row>
    <row r="368" ht="20" customHeight="1">
      <c r="A368" s="81" t="n"/>
      <c r="B368" s="84" t="n"/>
      <c r="C368" s="81" t="n"/>
      <c r="D368" s="81" t="n"/>
      <c r="E368" s="81" t="n"/>
      <c r="F368" s="82" t="n"/>
      <c r="G368" s="110">
        <f>IFERROR(SUMIFS(Transactions!$F$7:$F$1000,Transactions!$G$7:$G$1000,A368,Transactions!$D$7:$D$1000,"Expense"),0)</f>
        <v/>
      </c>
      <c r="H368" s="81" t="n"/>
      <c r="I368" s="81" t="n"/>
      <c r="J368" s="81" t="n"/>
    </row>
    <row r="369" ht="20" customHeight="1">
      <c r="A369" s="81" t="n"/>
      <c r="B369" s="84" t="n"/>
      <c r="C369" s="81" t="n"/>
      <c r="D369" s="81" t="n"/>
      <c r="E369" s="81" t="n"/>
      <c r="F369" s="82" t="n"/>
      <c r="G369" s="110">
        <f>IFERROR(SUMIFS(Transactions!$F$7:$F$1000,Transactions!$G$7:$G$1000,A369,Transactions!$D$7:$D$1000,"Expense"),0)</f>
        <v/>
      </c>
      <c r="H369" s="81" t="n"/>
      <c r="I369" s="81" t="n"/>
      <c r="J369" s="81" t="n"/>
    </row>
    <row r="370" ht="20" customHeight="1">
      <c r="A370" s="81" t="n"/>
      <c r="B370" s="84" t="n"/>
      <c r="C370" s="81" t="n"/>
      <c r="D370" s="81" t="n"/>
      <c r="E370" s="81" t="n"/>
      <c r="F370" s="82" t="n"/>
      <c r="G370" s="110">
        <f>IFERROR(SUMIFS(Transactions!$F$7:$F$1000,Transactions!$G$7:$G$1000,A370,Transactions!$D$7:$D$1000,"Expense"),0)</f>
        <v/>
      </c>
      <c r="H370" s="81" t="n"/>
      <c r="I370" s="81" t="n"/>
      <c r="J370" s="81" t="n"/>
    </row>
    <row r="371" ht="20" customHeight="1">
      <c r="A371" s="81" t="n"/>
      <c r="B371" s="84" t="n"/>
      <c r="C371" s="81" t="n"/>
      <c r="D371" s="81" t="n"/>
      <c r="E371" s="81" t="n"/>
      <c r="F371" s="82" t="n"/>
      <c r="G371" s="110">
        <f>IFERROR(SUMIFS(Transactions!$F$7:$F$1000,Transactions!$G$7:$G$1000,A371,Transactions!$D$7:$D$1000,"Expense"),0)</f>
        <v/>
      </c>
      <c r="H371" s="81" t="n"/>
      <c r="I371" s="81" t="n"/>
      <c r="J371" s="81" t="n"/>
    </row>
    <row r="372" ht="20" customHeight="1">
      <c r="A372" s="81" t="n"/>
      <c r="B372" s="84" t="n"/>
      <c r="C372" s="81" t="n"/>
      <c r="D372" s="81" t="n"/>
      <c r="E372" s="81" t="n"/>
      <c r="F372" s="82" t="n"/>
      <c r="G372" s="110">
        <f>IFERROR(SUMIFS(Transactions!$F$7:$F$1000,Transactions!$G$7:$G$1000,A372,Transactions!$D$7:$D$1000,"Expense"),0)</f>
        <v/>
      </c>
      <c r="H372" s="81" t="n"/>
      <c r="I372" s="81" t="n"/>
      <c r="J372" s="81" t="n"/>
    </row>
    <row r="373" ht="20" customHeight="1">
      <c r="A373" s="81" t="n"/>
      <c r="B373" s="84" t="n"/>
      <c r="C373" s="81" t="n"/>
      <c r="D373" s="81" t="n"/>
      <c r="E373" s="81" t="n"/>
      <c r="F373" s="82" t="n"/>
      <c r="G373" s="110">
        <f>IFERROR(SUMIFS(Transactions!$F$7:$F$1000,Transactions!$G$7:$G$1000,A373,Transactions!$D$7:$D$1000,"Expense"),0)</f>
        <v/>
      </c>
      <c r="H373" s="81" t="n"/>
      <c r="I373" s="81" t="n"/>
      <c r="J373" s="81" t="n"/>
    </row>
    <row r="374" ht="20" customHeight="1">
      <c r="A374" s="81" t="n"/>
      <c r="B374" s="84" t="n"/>
      <c r="C374" s="81" t="n"/>
      <c r="D374" s="81" t="n"/>
      <c r="E374" s="81" t="n"/>
      <c r="F374" s="82" t="n"/>
      <c r="G374" s="110">
        <f>IFERROR(SUMIFS(Transactions!$F$7:$F$1000,Transactions!$G$7:$G$1000,A374,Transactions!$D$7:$D$1000,"Expense"),0)</f>
        <v/>
      </c>
      <c r="H374" s="81" t="n"/>
      <c r="I374" s="81" t="n"/>
      <c r="J374" s="81" t="n"/>
    </row>
    <row r="375" ht="20" customHeight="1">
      <c r="A375" s="81" t="n"/>
      <c r="B375" s="84" t="n"/>
      <c r="C375" s="81" t="n"/>
      <c r="D375" s="81" t="n"/>
      <c r="E375" s="81" t="n"/>
      <c r="F375" s="82" t="n"/>
      <c r="G375" s="110">
        <f>IFERROR(SUMIFS(Transactions!$F$7:$F$1000,Transactions!$G$7:$G$1000,A375,Transactions!$D$7:$D$1000,"Expense"),0)</f>
        <v/>
      </c>
      <c r="H375" s="81" t="n"/>
      <c r="I375" s="81" t="n"/>
      <c r="J375" s="81" t="n"/>
    </row>
    <row r="376" ht="20" customHeight="1">
      <c r="A376" s="81" t="n"/>
      <c r="B376" s="84" t="n"/>
      <c r="C376" s="81" t="n"/>
      <c r="D376" s="81" t="n"/>
      <c r="E376" s="81" t="n"/>
      <c r="F376" s="82" t="n"/>
      <c r="G376" s="110">
        <f>IFERROR(SUMIFS(Transactions!$F$7:$F$1000,Transactions!$G$7:$G$1000,A376,Transactions!$D$7:$D$1000,"Expense"),0)</f>
        <v/>
      </c>
      <c r="H376" s="81" t="n"/>
      <c r="I376" s="81" t="n"/>
      <c r="J376" s="81" t="n"/>
    </row>
    <row r="377" ht="20" customHeight="1">
      <c r="A377" s="81" t="n"/>
      <c r="B377" s="84" t="n"/>
      <c r="C377" s="81" t="n"/>
      <c r="D377" s="81" t="n"/>
      <c r="E377" s="81" t="n"/>
      <c r="F377" s="82" t="n"/>
      <c r="G377" s="110">
        <f>IFERROR(SUMIFS(Transactions!$F$7:$F$1000,Transactions!$G$7:$G$1000,A377,Transactions!$D$7:$D$1000,"Expense"),0)</f>
        <v/>
      </c>
      <c r="H377" s="81" t="n"/>
      <c r="I377" s="81" t="n"/>
      <c r="J377" s="81" t="n"/>
    </row>
    <row r="378" ht="20" customHeight="1">
      <c r="A378" s="81" t="n"/>
      <c r="B378" s="84" t="n"/>
      <c r="C378" s="81" t="n"/>
      <c r="D378" s="81" t="n"/>
      <c r="E378" s="81" t="n"/>
      <c r="F378" s="82" t="n"/>
      <c r="G378" s="110">
        <f>IFERROR(SUMIFS(Transactions!$F$7:$F$1000,Transactions!$G$7:$G$1000,A378,Transactions!$D$7:$D$1000,"Expense"),0)</f>
        <v/>
      </c>
      <c r="H378" s="81" t="n"/>
      <c r="I378" s="81" t="n"/>
      <c r="J378" s="81" t="n"/>
    </row>
    <row r="379" ht="20" customHeight="1">
      <c r="A379" s="81" t="n"/>
      <c r="B379" s="84" t="n"/>
      <c r="C379" s="81" t="n"/>
      <c r="D379" s="81" t="n"/>
      <c r="E379" s="81" t="n"/>
      <c r="F379" s="82" t="n"/>
      <c r="G379" s="110">
        <f>IFERROR(SUMIFS(Transactions!$F$7:$F$1000,Transactions!$G$7:$G$1000,A379,Transactions!$D$7:$D$1000,"Expense"),0)</f>
        <v/>
      </c>
      <c r="H379" s="81" t="n"/>
      <c r="I379" s="81" t="n"/>
      <c r="J379" s="81" t="n"/>
    </row>
    <row r="380" ht="20" customHeight="1">
      <c r="A380" s="81" t="n"/>
      <c r="B380" s="84" t="n"/>
      <c r="C380" s="81" t="n"/>
      <c r="D380" s="81" t="n"/>
      <c r="E380" s="81" t="n"/>
      <c r="F380" s="82" t="n"/>
      <c r="G380" s="110">
        <f>IFERROR(SUMIFS(Transactions!$F$7:$F$1000,Transactions!$G$7:$G$1000,A380,Transactions!$D$7:$D$1000,"Expense"),0)</f>
        <v/>
      </c>
      <c r="H380" s="81" t="n"/>
      <c r="I380" s="81" t="n"/>
      <c r="J380" s="81" t="n"/>
    </row>
    <row r="381" ht="20" customHeight="1">
      <c r="A381" s="81" t="n"/>
      <c r="B381" s="84" t="n"/>
      <c r="C381" s="81" t="n"/>
      <c r="D381" s="81" t="n"/>
      <c r="E381" s="81" t="n"/>
      <c r="F381" s="82" t="n"/>
      <c r="G381" s="110">
        <f>IFERROR(SUMIFS(Transactions!$F$7:$F$1000,Transactions!$G$7:$G$1000,A381,Transactions!$D$7:$D$1000,"Expense"),0)</f>
        <v/>
      </c>
      <c r="H381" s="81" t="n"/>
      <c r="I381" s="81" t="n"/>
      <c r="J381" s="81" t="n"/>
    </row>
    <row r="382" ht="20" customHeight="1">
      <c r="A382" s="81" t="n"/>
      <c r="B382" s="84" t="n"/>
      <c r="C382" s="81" t="n"/>
      <c r="D382" s="81" t="n"/>
      <c r="E382" s="81" t="n"/>
      <c r="F382" s="82" t="n"/>
      <c r="G382" s="110">
        <f>IFERROR(SUMIFS(Transactions!$F$7:$F$1000,Transactions!$G$7:$G$1000,A382,Transactions!$D$7:$D$1000,"Expense"),0)</f>
        <v/>
      </c>
      <c r="H382" s="81" t="n"/>
      <c r="I382" s="81" t="n"/>
      <c r="J382" s="81" t="n"/>
    </row>
    <row r="383" ht="20" customHeight="1">
      <c r="A383" s="81" t="n"/>
      <c r="B383" s="84" t="n"/>
      <c r="C383" s="81" t="n"/>
      <c r="D383" s="81" t="n"/>
      <c r="E383" s="81" t="n"/>
      <c r="F383" s="82" t="n"/>
      <c r="G383" s="110">
        <f>IFERROR(SUMIFS(Transactions!$F$7:$F$1000,Transactions!$G$7:$G$1000,A383,Transactions!$D$7:$D$1000,"Expense"),0)</f>
        <v/>
      </c>
      <c r="H383" s="81" t="n"/>
      <c r="I383" s="81" t="n"/>
      <c r="J383" s="81" t="n"/>
    </row>
    <row r="384" ht="20" customHeight="1">
      <c r="A384" s="81" t="n"/>
      <c r="B384" s="84" t="n"/>
      <c r="C384" s="81" t="n"/>
      <c r="D384" s="81" t="n"/>
      <c r="E384" s="81" t="n"/>
      <c r="F384" s="82" t="n"/>
      <c r="G384" s="110">
        <f>IFERROR(SUMIFS(Transactions!$F$7:$F$1000,Transactions!$G$7:$G$1000,A384,Transactions!$D$7:$D$1000,"Expense"),0)</f>
        <v/>
      </c>
      <c r="H384" s="81" t="n"/>
      <c r="I384" s="81" t="n"/>
      <c r="J384" s="81" t="n"/>
    </row>
    <row r="385" ht="20" customHeight="1">
      <c r="A385" s="81" t="n"/>
      <c r="B385" s="84" t="n"/>
      <c r="C385" s="81" t="n"/>
      <c r="D385" s="81" t="n"/>
      <c r="E385" s="81" t="n"/>
      <c r="F385" s="82" t="n"/>
      <c r="G385" s="110">
        <f>IFERROR(SUMIFS(Transactions!$F$7:$F$1000,Transactions!$G$7:$G$1000,A385,Transactions!$D$7:$D$1000,"Expense"),0)</f>
        <v/>
      </c>
      <c r="H385" s="81" t="n"/>
      <c r="I385" s="81" t="n"/>
      <c r="J385" s="81" t="n"/>
    </row>
    <row r="386" ht="20" customHeight="1">
      <c r="A386" s="81" t="n"/>
      <c r="B386" s="84" t="n"/>
      <c r="C386" s="81" t="n"/>
      <c r="D386" s="81" t="n"/>
      <c r="E386" s="81" t="n"/>
      <c r="F386" s="82" t="n"/>
      <c r="G386" s="110">
        <f>IFERROR(SUMIFS(Transactions!$F$7:$F$1000,Transactions!$G$7:$G$1000,A386,Transactions!$D$7:$D$1000,"Expense"),0)</f>
        <v/>
      </c>
      <c r="H386" s="81" t="n"/>
      <c r="I386" s="81" t="n"/>
      <c r="J386" s="81" t="n"/>
    </row>
    <row r="387" ht="20" customHeight="1">
      <c r="A387" s="81" t="n"/>
      <c r="B387" s="84" t="n"/>
      <c r="C387" s="81" t="n"/>
      <c r="D387" s="81" t="n"/>
      <c r="E387" s="81" t="n"/>
      <c r="F387" s="82" t="n"/>
      <c r="G387" s="110">
        <f>IFERROR(SUMIFS(Transactions!$F$7:$F$1000,Transactions!$G$7:$G$1000,A387,Transactions!$D$7:$D$1000,"Expense"),0)</f>
        <v/>
      </c>
      <c r="H387" s="81" t="n"/>
      <c r="I387" s="81" t="n"/>
      <c r="J387" s="81" t="n"/>
    </row>
    <row r="388" ht="20" customHeight="1">
      <c r="A388" s="81" t="n"/>
      <c r="B388" s="84" t="n"/>
      <c r="C388" s="81" t="n"/>
      <c r="D388" s="81" t="n"/>
      <c r="E388" s="81" t="n"/>
      <c r="F388" s="82" t="n"/>
      <c r="G388" s="110">
        <f>IFERROR(SUMIFS(Transactions!$F$7:$F$1000,Transactions!$G$7:$G$1000,A388,Transactions!$D$7:$D$1000,"Expense"),0)</f>
        <v/>
      </c>
      <c r="H388" s="81" t="n"/>
      <c r="I388" s="81" t="n"/>
      <c r="J388" s="81" t="n"/>
    </row>
    <row r="389" ht="20" customHeight="1">
      <c r="A389" s="81" t="n"/>
      <c r="B389" s="84" t="n"/>
      <c r="C389" s="81" t="n"/>
      <c r="D389" s="81" t="n"/>
      <c r="E389" s="81" t="n"/>
      <c r="F389" s="82" t="n"/>
      <c r="G389" s="110">
        <f>IFERROR(SUMIFS(Transactions!$F$7:$F$1000,Transactions!$G$7:$G$1000,A389,Transactions!$D$7:$D$1000,"Expense"),0)</f>
        <v/>
      </c>
      <c r="H389" s="81" t="n"/>
      <c r="I389" s="81" t="n"/>
      <c r="J389" s="81" t="n"/>
    </row>
    <row r="390" ht="20" customHeight="1">
      <c r="A390" s="81" t="n"/>
      <c r="B390" s="84" t="n"/>
      <c r="C390" s="81" t="n"/>
      <c r="D390" s="81" t="n"/>
      <c r="E390" s="81" t="n"/>
      <c r="F390" s="82" t="n"/>
      <c r="G390" s="110">
        <f>IFERROR(SUMIFS(Transactions!$F$7:$F$1000,Transactions!$G$7:$G$1000,A390,Transactions!$D$7:$D$1000,"Expense"),0)</f>
        <v/>
      </c>
      <c r="H390" s="81" t="n"/>
      <c r="I390" s="81" t="n"/>
      <c r="J390" s="81" t="n"/>
    </row>
    <row r="391" ht="20" customHeight="1">
      <c r="A391" s="81" t="n"/>
      <c r="B391" s="84" t="n"/>
      <c r="C391" s="81" t="n"/>
      <c r="D391" s="81" t="n"/>
      <c r="E391" s="81" t="n"/>
      <c r="F391" s="82" t="n"/>
      <c r="G391" s="110">
        <f>IFERROR(SUMIFS(Transactions!$F$7:$F$1000,Transactions!$G$7:$G$1000,A391,Transactions!$D$7:$D$1000,"Expense"),0)</f>
        <v/>
      </c>
      <c r="H391" s="81" t="n"/>
      <c r="I391" s="81" t="n"/>
      <c r="J391" s="81" t="n"/>
    </row>
    <row r="392" ht="20" customHeight="1">
      <c r="A392" s="81" t="n"/>
      <c r="B392" s="84" t="n"/>
      <c r="C392" s="81" t="n"/>
      <c r="D392" s="81" t="n"/>
      <c r="E392" s="81" t="n"/>
      <c r="F392" s="82" t="n"/>
      <c r="G392" s="110">
        <f>IFERROR(SUMIFS(Transactions!$F$7:$F$1000,Transactions!$G$7:$G$1000,A392,Transactions!$D$7:$D$1000,"Expense"),0)</f>
        <v/>
      </c>
      <c r="H392" s="81" t="n"/>
      <c r="I392" s="81" t="n"/>
      <c r="J392" s="81" t="n"/>
    </row>
    <row r="393" ht="20" customHeight="1">
      <c r="A393" s="81" t="n"/>
      <c r="B393" s="84" t="n"/>
      <c r="C393" s="81" t="n"/>
      <c r="D393" s="81" t="n"/>
      <c r="E393" s="81" t="n"/>
      <c r="F393" s="82" t="n"/>
      <c r="G393" s="110">
        <f>IFERROR(SUMIFS(Transactions!$F$7:$F$1000,Transactions!$G$7:$G$1000,A393,Transactions!$D$7:$D$1000,"Expense"),0)</f>
        <v/>
      </c>
      <c r="H393" s="81" t="n"/>
      <c r="I393" s="81" t="n"/>
      <c r="J393" s="81" t="n"/>
    </row>
    <row r="394" ht="20" customHeight="1">
      <c r="A394" s="81" t="n"/>
      <c r="B394" s="84" t="n"/>
      <c r="C394" s="81" t="n"/>
      <c r="D394" s="81" t="n"/>
      <c r="E394" s="81" t="n"/>
      <c r="F394" s="82" t="n"/>
      <c r="G394" s="110">
        <f>IFERROR(SUMIFS(Transactions!$F$7:$F$1000,Transactions!$G$7:$G$1000,A394,Transactions!$D$7:$D$1000,"Expense"),0)</f>
        <v/>
      </c>
      <c r="H394" s="81" t="n"/>
      <c r="I394" s="81" t="n"/>
      <c r="J394" s="81" t="n"/>
    </row>
    <row r="395" ht="20" customHeight="1">
      <c r="A395" s="81" t="n"/>
      <c r="B395" s="84" t="n"/>
      <c r="C395" s="81" t="n"/>
      <c r="D395" s="81" t="n"/>
      <c r="E395" s="81" t="n"/>
      <c r="F395" s="82" t="n"/>
      <c r="G395" s="110">
        <f>IFERROR(SUMIFS(Transactions!$F$7:$F$1000,Transactions!$G$7:$G$1000,A395,Transactions!$D$7:$D$1000,"Expense"),0)</f>
        <v/>
      </c>
      <c r="H395" s="81" t="n"/>
      <c r="I395" s="81" t="n"/>
      <c r="J395" s="81" t="n"/>
    </row>
    <row r="396" ht="20" customHeight="1">
      <c r="A396" s="81" t="n"/>
      <c r="B396" s="84" t="n"/>
      <c r="C396" s="81" t="n"/>
      <c r="D396" s="81" t="n"/>
      <c r="E396" s="81" t="n"/>
      <c r="F396" s="82" t="n"/>
      <c r="G396" s="110">
        <f>IFERROR(SUMIFS(Transactions!$F$7:$F$1000,Transactions!$G$7:$G$1000,A396,Transactions!$D$7:$D$1000,"Expense"),0)</f>
        <v/>
      </c>
      <c r="H396" s="81" t="n"/>
      <c r="I396" s="81" t="n"/>
      <c r="J396" s="81" t="n"/>
    </row>
    <row r="397" ht="20" customHeight="1">
      <c r="A397" s="81" t="n"/>
      <c r="B397" s="84" t="n"/>
      <c r="C397" s="81" t="n"/>
      <c r="D397" s="81" t="n"/>
      <c r="E397" s="81" t="n"/>
      <c r="F397" s="82" t="n"/>
      <c r="G397" s="110">
        <f>IFERROR(SUMIFS(Transactions!$F$7:$F$1000,Transactions!$G$7:$G$1000,A397,Transactions!$D$7:$D$1000,"Expense"),0)</f>
        <v/>
      </c>
      <c r="H397" s="81" t="n"/>
      <c r="I397" s="81" t="n"/>
      <c r="J397" s="81" t="n"/>
    </row>
    <row r="398" ht="20" customHeight="1">
      <c r="A398" s="81" t="n"/>
      <c r="B398" s="84" t="n"/>
      <c r="C398" s="81" t="n"/>
      <c r="D398" s="81" t="n"/>
      <c r="E398" s="81" t="n"/>
      <c r="F398" s="82" t="n"/>
      <c r="G398" s="110">
        <f>IFERROR(SUMIFS(Transactions!$F$7:$F$1000,Transactions!$G$7:$G$1000,A398,Transactions!$D$7:$D$1000,"Expense"),0)</f>
        <v/>
      </c>
      <c r="H398" s="81" t="n"/>
      <c r="I398" s="81" t="n"/>
      <c r="J398" s="81" t="n"/>
    </row>
    <row r="399" ht="20" customHeight="1">
      <c r="A399" s="81" t="n"/>
      <c r="B399" s="84" t="n"/>
      <c r="C399" s="81" t="n"/>
      <c r="D399" s="81" t="n"/>
      <c r="E399" s="81" t="n"/>
      <c r="F399" s="82" t="n"/>
      <c r="G399" s="110">
        <f>IFERROR(SUMIFS(Transactions!$F$7:$F$1000,Transactions!$G$7:$G$1000,A399,Transactions!$D$7:$D$1000,"Expense"),0)</f>
        <v/>
      </c>
      <c r="H399" s="81" t="n"/>
      <c r="I399" s="81" t="n"/>
      <c r="J399" s="81" t="n"/>
    </row>
    <row r="400" ht="20" customHeight="1">
      <c r="A400" s="81" t="n"/>
      <c r="B400" s="84" t="n"/>
      <c r="C400" s="81" t="n"/>
      <c r="D400" s="81" t="n"/>
      <c r="E400" s="81" t="n"/>
      <c r="F400" s="82" t="n"/>
      <c r="G400" s="110">
        <f>IFERROR(SUMIFS(Transactions!$F$7:$F$1000,Transactions!$G$7:$G$1000,A400,Transactions!$D$7:$D$1000,"Expense"),0)</f>
        <v/>
      </c>
      <c r="H400" s="81" t="n"/>
      <c r="I400" s="81" t="n"/>
      <c r="J400" s="81" t="n"/>
    </row>
    <row r="401" ht="20" customHeight="1">
      <c r="A401" s="81" t="n"/>
      <c r="B401" s="84" t="n"/>
      <c r="C401" s="81" t="n"/>
      <c r="D401" s="81" t="n"/>
      <c r="E401" s="81" t="n"/>
      <c r="F401" s="82" t="n"/>
      <c r="G401" s="110">
        <f>IFERROR(SUMIFS(Transactions!$F$7:$F$1000,Transactions!$G$7:$G$1000,A401,Transactions!$D$7:$D$1000,"Expense"),0)</f>
        <v/>
      </c>
      <c r="H401" s="81" t="n"/>
      <c r="I401" s="81" t="n"/>
      <c r="J401" s="81" t="n"/>
    </row>
    <row r="402" ht="20" customHeight="1">
      <c r="A402" s="81" t="n"/>
      <c r="B402" s="84" t="n"/>
      <c r="C402" s="81" t="n"/>
      <c r="D402" s="81" t="n"/>
      <c r="E402" s="81" t="n"/>
      <c r="F402" s="82" t="n"/>
      <c r="G402" s="110">
        <f>IFERROR(SUMIFS(Transactions!$F$7:$F$1000,Transactions!$G$7:$G$1000,A402,Transactions!$D$7:$D$1000,"Expense"),0)</f>
        <v/>
      </c>
      <c r="H402" s="81" t="n"/>
      <c r="I402" s="81" t="n"/>
      <c r="J402" s="81" t="n"/>
    </row>
    <row r="403" ht="20" customHeight="1">
      <c r="A403" s="81" t="n"/>
      <c r="B403" s="84" t="n"/>
      <c r="C403" s="81" t="n"/>
      <c r="D403" s="81" t="n"/>
      <c r="E403" s="81" t="n"/>
      <c r="F403" s="82" t="n"/>
      <c r="G403" s="110">
        <f>IFERROR(SUMIFS(Transactions!$F$7:$F$1000,Transactions!$G$7:$G$1000,A403,Transactions!$D$7:$D$1000,"Expense"),0)</f>
        <v/>
      </c>
      <c r="H403" s="81" t="n"/>
      <c r="I403" s="81" t="n"/>
      <c r="J403" s="81" t="n"/>
    </row>
    <row r="404" ht="20" customHeight="1">
      <c r="A404" s="81" t="n"/>
      <c r="B404" s="84" t="n"/>
      <c r="C404" s="81" t="n"/>
      <c r="D404" s="81" t="n"/>
      <c r="E404" s="81" t="n"/>
      <c r="F404" s="82" t="n"/>
      <c r="G404" s="110">
        <f>IFERROR(SUMIFS(Transactions!$F$7:$F$1000,Transactions!$G$7:$G$1000,A404,Transactions!$D$7:$D$1000,"Expense"),0)</f>
        <v/>
      </c>
      <c r="H404" s="81" t="n"/>
      <c r="I404" s="81" t="n"/>
      <c r="J404" s="81" t="n"/>
    </row>
    <row r="405" ht="20" customHeight="1">
      <c r="A405" s="81" t="n"/>
      <c r="B405" s="84" t="n"/>
      <c r="C405" s="81" t="n"/>
      <c r="D405" s="81" t="n"/>
      <c r="E405" s="81" t="n"/>
      <c r="F405" s="82" t="n"/>
      <c r="G405" s="110">
        <f>IFERROR(SUMIFS(Transactions!$F$7:$F$1000,Transactions!$G$7:$G$1000,A405,Transactions!$D$7:$D$1000,"Expense"),0)</f>
        <v/>
      </c>
      <c r="H405" s="81" t="n"/>
      <c r="I405" s="81" t="n"/>
      <c r="J405" s="81" t="n"/>
    </row>
    <row r="406" ht="20" customHeight="1">
      <c r="A406" s="81" t="n"/>
      <c r="B406" s="84" t="n"/>
      <c r="C406" s="81" t="n"/>
      <c r="D406" s="81" t="n"/>
      <c r="E406" s="81" t="n"/>
      <c r="F406" s="82" t="n"/>
      <c r="G406" s="110">
        <f>IFERROR(SUMIFS(Transactions!$F$7:$F$1000,Transactions!$G$7:$G$1000,A406,Transactions!$D$7:$D$1000,"Expense"),0)</f>
        <v/>
      </c>
      <c r="H406" s="81" t="n"/>
      <c r="I406" s="81" t="n"/>
      <c r="J406" s="81" t="n"/>
    </row>
    <row r="407" ht="20" customHeight="1">
      <c r="A407" s="81" t="n"/>
      <c r="B407" s="84" t="n"/>
      <c r="C407" s="81" t="n"/>
      <c r="D407" s="81" t="n"/>
      <c r="E407" s="81" t="n"/>
      <c r="F407" s="82" t="n"/>
      <c r="G407" s="110">
        <f>IFERROR(SUMIFS(Transactions!$F$7:$F$1000,Transactions!$G$7:$G$1000,A407,Transactions!$D$7:$D$1000,"Expense"),0)</f>
        <v/>
      </c>
      <c r="H407" s="81" t="n"/>
      <c r="I407" s="81" t="n"/>
      <c r="J407" s="81" t="n"/>
    </row>
    <row r="408" ht="20" customHeight="1">
      <c r="A408" s="81" t="n"/>
      <c r="B408" s="84" t="n"/>
      <c r="C408" s="81" t="n"/>
      <c r="D408" s="81" t="n"/>
      <c r="E408" s="81" t="n"/>
      <c r="F408" s="82" t="n"/>
      <c r="G408" s="110">
        <f>IFERROR(SUMIFS(Transactions!$F$7:$F$1000,Transactions!$G$7:$G$1000,A408,Transactions!$D$7:$D$1000,"Expense"),0)</f>
        <v/>
      </c>
      <c r="H408" s="81" t="n"/>
      <c r="I408" s="81" t="n"/>
      <c r="J408" s="81" t="n"/>
    </row>
    <row r="409" ht="20" customHeight="1">
      <c r="A409" s="81" t="n"/>
      <c r="B409" s="84" t="n"/>
      <c r="C409" s="81" t="n"/>
      <c r="D409" s="81" t="n"/>
      <c r="E409" s="81" t="n"/>
      <c r="F409" s="82" t="n"/>
      <c r="G409" s="110">
        <f>IFERROR(SUMIFS(Transactions!$F$7:$F$1000,Transactions!$G$7:$G$1000,A409,Transactions!$D$7:$D$1000,"Expense"),0)</f>
        <v/>
      </c>
      <c r="H409" s="81" t="n"/>
      <c r="I409" s="81" t="n"/>
      <c r="J409" s="81" t="n"/>
    </row>
    <row r="410" ht="20" customHeight="1">
      <c r="A410" s="81" t="n"/>
      <c r="B410" s="84" t="n"/>
      <c r="C410" s="81" t="n"/>
      <c r="D410" s="81" t="n"/>
      <c r="E410" s="81" t="n"/>
      <c r="F410" s="82" t="n"/>
      <c r="G410" s="110">
        <f>IFERROR(SUMIFS(Transactions!$F$7:$F$1000,Transactions!$G$7:$G$1000,A410,Transactions!$D$7:$D$1000,"Expense"),0)</f>
        <v/>
      </c>
      <c r="H410" s="81" t="n"/>
      <c r="I410" s="81" t="n"/>
      <c r="J410" s="81" t="n"/>
    </row>
    <row r="411" ht="20" customHeight="1">
      <c r="A411" s="81" t="n"/>
      <c r="B411" s="84" t="n"/>
      <c r="C411" s="81" t="n"/>
      <c r="D411" s="81" t="n"/>
      <c r="E411" s="81" t="n"/>
      <c r="F411" s="82" t="n"/>
      <c r="G411" s="110">
        <f>IFERROR(SUMIFS(Transactions!$F$7:$F$1000,Transactions!$G$7:$G$1000,A411,Transactions!$D$7:$D$1000,"Expense"),0)</f>
        <v/>
      </c>
      <c r="H411" s="81" t="n"/>
      <c r="I411" s="81" t="n"/>
      <c r="J411" s="81" t="n"/>
    </row>
    <row r="412" ht="20" customHeight="1">
      <c r="A412" s="81" t="n"/>
      <c r="B412" s="84" t="n"/>
      <c r="C412" s="81" t="n"/>
      <c r="D412" s="81" t="n"/>
      <c r="E412" s="81" t="n"/>
      <c r="F412" s="82" t="n"/>
      <c r="G412" s="110">
        <f>IFERROR(SUMIFS(Transactions!$F$7:$F$1000,Transactions!$G$7:$G$1000,A412,Transactions!$D$7:$D$1000,"Expense"),0)</f>
        <v/>
      </c>
      <c r="H412" s="81" t="n"/>
      <c r="I412" s="81" t="n"/>
      <c r="J412" s="81" t="n"/>
    </row>
    <row r="413" ht="20" customHeight="1">
      <c r="A413" s="81" t="n"/>
      <c r="B413" s="84" t="n"/>
      <c r="C413" s="81" t="n"/>
      <c r="D413" s="81" t="n"/>
      <c r="E413" s="81" t="n"/>
      <c r="F413" s="82" t="n"/>
      <c r="G413" s="110">
        <f>IFERROR(SUMIFS(Transactions!$F$7:$F$1000,Transactions!$G$7:$G$1000,A413,Transactions!$D$7:$D$1000,"Expense"),0)</f>
        <v/>
      </c>
      <c r="H413" s="81" t="n"/>
      <c r="I413" s="81" t="n"/>
      <c r="J413" s="81" t="n"/>
    </row>
    <row r="414" ht="20" customHeight="1">
      <c r="A414" s="81" t="n"/>
      <c r="B414" s="84" t="n"/>
      <c r="C414" s="81" t="n"/>
      <c r="D414" s="81" t="n"/>
      <c r="E414" s="81" t="n"/>
      <c r="F414" s="82" t="n"/>
      <c r="G414" s="110">
        <f>IFERROR(SUMIFS(Transactions!$F$7:$F$1000,Transactions!$G$7:$G$1000,A414,Transactions!$D$7:$D$1000,"Expense"),0)</f>
        <v/>
      </c>
      <c r="H414" s="81" t="n"/>
      <c r="I414" s="81" t="n"/>
      <c r="J414" s="81" t="n"/>
    </row>
    <row r="415" ht="20" customHeight="1">
      <c r="A415" s="81" t="n"/>
      <c r="B415" s="84" t="n"/>
      <c r="C415" s="81" t="n"/>
      <c r="D415" s="81" t="n"/>
      <c r="E415" s="81" t="n"/>
      <c r="F415" s="82" t="n"/>
      <c r="G415" s="110">
        <f>IFERROR(SUMIFS(Transactions!$F$7:$F$1000,Transactions!$G$7:$G$1000,A415,Transactions!$D$7:$D$1000,"Expense"),0)</f>
        <v/>
      </c>
      <c r="H415" s="81" t="n"/>
      <c r="I415" s="81" t="n"/>
      <c r="J415" s="81" t="n"/>
    </row>
    <row r="416" ht="20" customHeight="1">
      <c r="A416" s="81" t="n"/>
      <c r="B416" s="84" t="n"/>
      <c r="C416" s="81" t="n"/>
      <c r="D416" s="81" t="n"/>
      <c r="E416" s="81" t="n"/>
      <c r="F416" s="82" t="n"/>
      <c r="G416" s="110">
        <f>IFERROR(SUMIFS(Transactions!$F$7:$F$1000,Transactions!$G$7:$G$1000,A416,Transactions!$D$7:$D$1000,"Expense"),0)</f>
        <v/>
      </c>
      <c r="H416" s="81" t="n"/>
      <c r="I416" s="81" t="n"/>
      <c r="J416" s="81" t="n"/>
    </row>
    <row r="417" ht="20" customHeight="1">
      <c r="A417" s="81" t="n"/>
      <c r="B417" s="84" t="n"/>
      <c r="C417" s="81" t="n"/>
      <c r="D417" s="81" t="n"/>
      <c r="E417" s="81" t="n"/>
      <c r="F417" s="82" t="n"/>
      <c r="G417" s="110">
        <f>IFERROR(SUMIFS(Transactions!$F$7:$F$1000,Transactions!$G$7:$G$1000,A417,Transactions!$D$7:$D$1000,"Expense"),0)</f>
        <v/>
      </c>
      <c r="H417" s="81" t="n"/>
      <c r="I417" s="81" t="n"/>
      <c r="J417" s="81" t="n"/>
    </row>
    <row r="418" ht="20" customHeight="1">
      <c r="A418" s="81" t="n"/>
      <c r="B418" s="84" t="n"/>
      <c r="C418" s="81" t="n"/>
      <c r="D418" s="81" t="n"/>
      <c r="E418" s="81" t="n"/>
      <c r="F418" s="82" t="n"/>
      <c r="G418" s="110">
        <f>IFERROR(SUMIFS(Transactions!$F$7:$F$1000,Transactions!$G$7:$G$1000,A418,Transactions!$D$7:$D$1000,"Expense"),0)</f>
        <v/>
      </c>
      <c r="H418" s="81" t="n"/>
      <c r="I418" s="81" t="n"/>
      <c r="J418" s="81" t="n"/>
    </row>
    <row r="419" ht="20" customHeight="1">
      <c r="A419" s="81" t="n"/>
      <c r="B419" s="84" t="n"/>
      <c r="C419" s="81" t="n"/>
      <c r="D419" s="81" t="n"/>
      <c r="E419" s="81" t="n"/>
      <c r="F419" s="82" t="n"/>
      <c r="G419" s="110">
        <f>IFERROR(SUMIFS(Transactions!$F$7:$F$1000,Transactions!$G$7:$G$1000,A419,Transactions!$D$7:$D$1000,"Expense"),0)</f>
        <v/>
      </c>
      <c r="H419" s="81" t="n"/>
      <c r="I419" s="81" t="n"/>
      <c r="J419" s="81" t="n"/>
    </row>
    <row r="420" ht="20" customHeight="1">
      <c r="A420" s="81" t="n"/>
      <c r="B420" s="84" t="n"/>
      <c r="C420" s="81" t="n"/>
      <c r="D420" s="81" t="n"/>
      <c r="E420" s="81" t="n"/>
      <c r="F420" s="82" t="n"/>
      <c r="G420" s="110">
        <f>IFERROR(SUMIFS(Transactions!$F$7:$F$1000,Transactions!$G$7:$G$1000,A420,Transactions!$D$7:$D$1000,"Expense"),0)</f>
        <v/>
      </c>
      <c r="H420" s="81" t="n"/>
      <c r="I420" s="81" t="n"/>
      <c r="J420" s="81" t="n"/>
    </row>
    <row r="421" ht="20" customHeight="1">
      <c r="A421" s="81" t="n"/>
      <c r="B421" s="84" t="n"/>
      <c r="C421" s="81" t="n"/>
      <c r="D421" s="81" t="n"/>
      <c r="E421" s="81" t="n"/>
      <c r="F421" s="82" t="n"/>
      <c r="G421" s="110">
        <f>IFERROR(SUMIFS(Transactions!$F$7:$F$1000,Transactions!$G$7:$G$1000,A421,Transactions!$D$7:$D$1000,"Expense"),0)</f>
        <v/>
      </c>
      <c r="H421" s="81" t="n"/>
      <c r="I421" s="81" t="n"/>
      <c r="J421" s="81" t="n"/>
    </row>
    <row r="422" ht="20" customHeight="1">
      <c r="A422" s="81" t="n"/>
      <c r="B422" s="84" t="n"/>
      <c r="C422" s="81" t="n"/>
      <c r="D422" s="81" t="n"/>
      <c r="E422" s="81" t="n"/>
      <c r="F422" s="82" t="n"/>
      <c r="G422" s="110">
        <f>IFERROR(SUMIFS(Transactions!$F$7:$F$1000,Transactions!$G$7:$G$1000,A422,Transactions!$D$7:$D$1000,"Expense"),0)</f>
        <v/>
      </c>
      <c r="H422" s="81" t="n"/>
      <c r="I422" s="81" t="n"/>
      <c r="J422" s="81" t="n"/>
    </row>
    <row r="423" ht="20" customHeight="1">
      <c r="A423" s="81" t="n"/>
      <c r="B423" s="84" t="n"/>
      <c r="C423" s="81" t="n"/>
      <c r="D423" s="81" t="n"/>
      <c r="E423" s="81" t="n"/>
      <c r="F423" s="82" t="n"/>
      <c r="G423" s="110">
        <f>IFERROR(SUMIFS(Transactions!$F$7:$F$1000,Transactions!$G$7:$G$1000,A423,Transactions!$D$7:$D$1000,"Expense"),0)</f>
        <v/>
      </c>
      <c r="H423" s="81" t="n"/>
      <c r="I423" s="81" t="n"/>
      <c r="J423" s="81" t="n"/>
    </row>
    <row r="424" ht="20" customHeight="1">
      <c r="A424" s="81" t="n"/>
      <c r="B424" s="84" t="n"/>
      <c r="C424" s="81" t="n"/>
      <c r="D424" s="81" t="n"/>
      <c r="E424" s="81" t="n"/>
      <c r="F424" s="82" t="n"/>
      <c r="G424" s="110">
        <f>IFERROR(SUMIFS(Transactions!$F$7:$F$1000,Transactions!$G$7:$G$1000,A424,Transactions!$D$7:$D$1000,"Expense"),0)</f>
        <v/>
      </c>
      <c r="H424" s="81" t="n"/>
      <c r="I424" s="81" t="n"/>
      <c r="J424" s="81" t="n"/>
    </row>
    <row r="425" ht="20" customHeight="1">
      <c r="A425" s="81" t="n"/>
      <c r="B425" s="84" t="n"/>
      <c r="C425" s="81" t="n"/>
      <c r="D425" s="81" t="n"/>
      <c r="E425" s="81" t="n"/>
      <c r="F425" s="82" t="n"/>
      <c r="G425" s="110">
        <f>IFERROR(SUMIFS(Transactions!$F$7:$F$1000,Transactions!$G$7:$G$1000,A425,Transactions!$D$7:$D$1000,"Expense"),0)</f>
        <v/>
      </c>
      <c r="H425" s="81" t="n"/>
      <c r="I425" s="81" t="n"/>
      <c r="J425" s="81" t="n"/>
    </row>
    <row r="426" ht="20" customHeight="1">
      <c r="A426" s="81" t="n"/>
      <c r="B426" s="84" t="n"/>
      <c r="C426" s="81" t="n"/>
      <c r="D426" s="81" t="n"/>
      <c r="E426" s="81" t="n"/>
      <c r="F426" s="82" t="n"/>
      <c r="G426" s="110">
        <f>IFERROR(SUMIFS(Transactions!$F$7:$F$1000,Transactions!$G$7:$G$1000,A426,Transactions!$D$7:$D$1000,"Expense"),0)</f>
        <v/>
      </c>
      <c r="H426" s="81" t="n"/>
      <c r="I426" s="81" t="n"/>
      <c r="J426" s="81" t="n"/>
    </row>
    <row r="427" ht="20" customHeight="1">
      <c r="A427" s="81" t="n"/>
      <c r="B427" s="84" t="n"/>
      <c r="C427" s="81" t="n"/>
      <c r="D427" s="81" t="n"/>
      <c r="E427" s="81" t="n"/>
      <c r="F427" s="82" t="n"/>
      <c r="G427" s="110">
        <f>IFERROR(SUMIFS(Transactions!$F$7:$F$1000,Transactions!$G$7:$G$1000,A427,Transactions!$D$7:$D$1000,"Expense"),0)</f>
        <v/>
      </c>
      <c r="H427" s="81" t="n"/>
      <c r="I427" s="81" t="n"/>
      <c r="J427" s="81" t="n"/>
    </row>
    <row r="428" ht="20" customHeight="1">
      <c r="A428" s="81" t="n"/>
      <c r="B428" s="84" t="n"/>
      <c r="C428" s="81" t="n"/>
      <c r="D428" s="81" t="n"/>
      <c r="E428" s="81" t="n"/>
      <c r="F428" s="82" t="n"/>
      <c r="G428" s="110">
        <f>IFERROR(SUMIFS(Transactions!$F$7:$F$1000,Transactions!$G$7:$G$1000,A428,Transactions!$D$7:$D$1000,"Expense"),0)</f>
        <v/>
      </c>
      <c r="H428" s="81" t="n"/>
      <c r="I428" s="81" t="n"/>
      <c r="J428" s="81" t="n"/>
    </row>
    <row r="429" ht="20" customHeight="1">
      <c r="A429" s="81" t="n"/>
      <c r="B429" s="84" t="n"/>
      <c r="C429" s="81" t="n"/>
      <c r="D429" s="81" t="n"/>
      <c r="E429" s="81" t="n"/>
      <c r="F429" s="82" t="n"/>
      <c r="G429" s="110">
        <f>IFERROR(SUMIFS(Transactions!$F$7:$F$1000,Transactions!$G$7:$G$1000,A429,Transactions!$D$7:$D$1000,"Expense"),0)</f>
        <v/>
      </c>
      <c r="H429" s="81" t="n"/>
      <c r="I429" s="81" t="n"/>
      <c r="J429" s="81" t="n"/>
    </row>
    <row r="430" ht="20" customHeight="1">
      <c r="A430" s="81" t="n"/>
      <c r="B430" s="84" t="n"/>
      <c r="C430" s="81" t="n"/>
      <c r="D430" s="81" t="n"/>
      <c r="E430" s="81" t="n"/>
      <c r="F430" s="82" t="n"/>
      <c r="G430" s="110">
        <f>IFERROR(SUMIFS(Transactions!$F$7:$F$1000,Transactions!$G$7:$G$1000,A430,Transactions!$D$7:$D$1000,"Expense"),0)</f>
        <v/>
      </c>
      <c r="H430" s="81" t="n"/>
      <c r="I430" s="81" t="n"/>
      <c r="J430" s="81" t="n"/>
    </row>
    <row r="431" ht="20" customHeight="1">
      <c r="A431" s="81" t="n"/>
      <c r="B431" s="84" t="n"/>
      <c r="C431" s="81" t="n"/>
      <c r="D431" s="81" t="n"/>
      <c r="E431" s="81" t="n"/>
      <c r="F431" s="82" t="n"/>
      <c r="G431" s="110">
        <f>IFERROR(SUMIFS(Transactions!$F$7:$F$1000,Transactions!$G$7:$G$1000,A431,Transactions!$D$7:$D$1000,"Expense"),0)</f>
        <v/>
      </c>
      <c r="H431" s="81" t="n"/>
      <c r="I431" s="81" t="n"/>
      <c r="J431" s="81" t="n"/>
    </row>
    <row r="432" ht="20" customHeight="1">
      <c r="A432" s="81" t="n"/>
      <c r="B432" s="84" t="n"/>
      <c r="C432" s="81" t="n"/>
      <c r="D432" s="81" t="n"/>
      <c r="E432" s="81" t="n"/>
      <c r="F432" s="82" t="n"/>
      <c r="G432" s="110">
        <f>IFERROR(SUMIFS(Transactions!$F$7:$F$1000,Transactions!$G$7:$G$1000,A432,Transactions!$D$7:$D$1000,"Expense"),0)</f>
        <v/>
      </c>
      <c r="H432" s="81" t="n"/>
      <c r="I432" s="81" t="n"/>
      <c r="J432" s="81" t="n"/>
    </row>
    <row r="433" ht="20" customHeight="1">
      <c r="A433" s="81" t="n"/>
      <c r="B433" s="84" t="n"/>
      <c r="C433" s="81" t="n"/>
      <c r="D433" s="81" t="n"/>
      <c r="E433" s="81" t="n"/>
      <c r="F433" s="82" t="n"/>
      <c r="G433" s="110">
        <f>IFERROR(SUMIFS(Transactions!$F$7:$F$1000,Transactions!$G$7:$G$1000,A433,Transactions!$D$7:$D$1000,"Expense"),0)</f>
        <v/>
      </c>
      <c r="H433" s="81" t="n"/>
      <c r="I433" s="81" t="n"/>
      <c r="J433" s="81" t="n"/>
    </row>
    <row r="434" ht="20" customHeight="1">
      <c r="A434" s="81" t="n"/>
      <c r="B434" s="84" t="n"/>
      <c r="C434" s="81" t="n"/>
      <c r="D434" s="81" t="n"/>
      <c r="E434" s="81" t="n"/>
      <c r="F434" s="82" t="n"/>
      <c r="G434" s="110">
        <f>IFERROR(SUMIFS(Transactions!$F$7:$F$1000,Transactions!$G$7:$G$1000,A434,Transactions!$D$7:$D$1000,"Expense"),0)</f>
        <v/>
      </c>
      <c r="H434" s="81" t="n"/>
      <c r="I434" s="81" t="n"/>
      <c r="J434" s="81" t="n"/>
    </row>
    <row r="435" ht="20" customHeight="1">
      <c r="A435" s="81" t="n"/>
      <c r="B435" s="84" t="n"/>
      <c r="C435" s="81" t="n"/>
      <c r="D435" s="81" t="n"/>
      <c r="E435" s="81" t="n"/>
      <c r="F435" s="82" t="n"/>
      <c r="G435" s="110">
        <f>IFERROR(SUMIFS(Transactions!$F$7:$F$1000,Transactions!$G$7:$G$1000,A435,Transactions!$D$7:$D$1000,"Expense"),0)</f>
        <v/>
      </c>
      <c r="H435" s="81" t="n"/>
      <c r="I435" s="81" t="n"/>
      <c r="J435" s="81" t="n"/>
    </row>
    <row r="436" ht="20" customHeight="1">
      <c r="A436" s="81" t="n"/>
      <c r="B436" s="84" t="n"/>
      <c r="C436" s="81" t="n"/>
      <c r="D436" s="81" t="n"/>
      <c r="E436" s="81" t="n"/>
      <c r="F436" s="82" t="n"/>
      <c r="G436" s="110">
        <f>IFERROR(SUMIFS(Transactions!$F$7:$F$1000,Transactions!$G$7:$G$1000,A436,Transactions!$D$7:$D$1000,"Expense"),0)</f>
        <v/>
      </c>
      <c r="H436" s="81" t="n"/>
      <c r="I436" s="81" t="n"/>
      <c r="J436" s="81" t="n"/>
    </row>
    <row r="437" ht="20" customHeight="1">
      <c r="A437" s="81" t="n"/>
      <c r="B437" s="84" t="n"/>
      <c r="C437" s="81" t="n"/>
      <c r="D437" s="81" t="n"/>
      <c r="E437" s="81" t="n"/>
      <c r="F437" s="82" t="n"/>
      <c r="G437" s="110">
        <f>IFERROR(SUMIFS(Transactions!$F$7:$F$1000,Transactions!$G$7:$G$1000,A437,Transactions!$D$7:$D$1000,"Expense"),0)</f>
        <v/>
      </c>
      <c r="H437" s="81" t="n"/>
      <c r="I437" s="81" t="n"/>
      <c r="J437" s="81" t="n"/>
    </row>
    <row r="438" ht="20" customHeight="1">
      <c r="A438" s="81" t="n"/>
      <c r="B438" s="84" t="n"/>
      <c r="C438" s="81" t="n"/>
      <c r="D438" s="81" t="n"/>
      <c r="E438" s="81" t="n"/>
      <c r="F438" s="82" t="n"/>
      <c r="G438" s="110">
        <f>IFERROR(SUMIFS(Transactions!$F$7:$F$1000,Transactions!$G$7:$G$1000,A438,Transactions!$D$7:$D$1000,"Expense"),0)</f>
        <v/>
      </c>
      <c r="H438" s="81" t="n"/>
      <c r="I438" s="81" t="n"/>
      <c r="J438" s="81" t="n"/>
    </row>
    <row r="439" ht="20" customHeight="1">
      <c r="A439" s="81" t="n"/>
      <c r="B439" s="84" t="n"/>
      <c r="C439" s="81" t="n"/>
      <c r="D439" s="81" t="n"/>
      <c r="E439" s="81" t="n"/>
      <c r="F439" s="82" t="n"/>
      <c r="G439" s="110">
        <f>IFERROR(SUMIFS(Transactions!$F$7:$F$1000,Transactions!$G$7:$G$1000,A439,Transactions!$D$7:$D$1000,"Expense"),0)</f>
        <v/>
      </c>
      <c r="H439" s="81" t="n"/>
      <c r="I439" s="81" t="n"/>
      <c r="J439" s="81" t="n"/>
    </row>
    <row r="440" ht="20" customHeight="1">
      <c r="A440" s="81" t="n"/>
      <c r="B440" s="84" t="n"/>
      <c r="C440" s="81" t="n"/>
      <c r="D440" s="81" t="n"/>
      <c r="E440" s="81" t="n"/>
      <c r="F440" s="82" t="n"/>
      <c r="G440" s="110">
        <f>IFERROR(SUMIFS(Transactions!$F$7:$F$1000,Transactions!$G$7:$G$1000,A440,Transactions!$D$7:$D$1000,"Expense"),0)</f>
        <v/>
      </c>
      <c r="H440" s="81" t="n"/>
      <c r="I440" s="81" t="n"/>
      <c r="J440" s="81" t="n"/>
    </row>
    <row r="441" ht="20" customHeight="1">
      <c r="A441" s="81" t="n"/>
      <c r="B441" s="84" t="n"/>
      <c r="C441" s="81" t="n"/>
      <c r="D441" s="81" t="n"/>
      <c r="E441" s="81" t="n"/>
      <c r="F441" s="82" t="n"/>
      <c r="G441" s="110">
        <f>IFERROR(SUMIFS(Transactions!$F$7:$F$1000,Transactions!$G$7:$G$1000,A441,Transactions!$D$7:$D$1000,"Expense"),0)</f>
        <v/>
      </c>
      <c r="H441" s="81" t="n"/>
      <c r="I441" s="81" t="n"/>
      <c r="J441" s="81" t="n"/>
    </row>
    <row r="442" ht="20" customHeight="1">
      <c r="A442" s="81" t="n"/>
      <c r="B442" s="84" t="n"/>
      <c r="C442" s="81" t="n"/>
      <c r="D442" s="81" t="n"/>
      <c r="E442" s="81" t="n"/>
      <c r="F442" s="82" t="n"/>
      <c r="G442" s="110">
        <f>IFERROR(SUMIFS(Transactions!$F$7:$F$1000,Transactions!$G$7:$G$1000,A442,Transactions!$D$7:$D$1000,"Expense"),0)</f>
        <v/>
      </c>
      <c r="H442" s="81" t="n"/>
      <c r="I442" s="81" t="n"/>
      <c r="J442" s="81" t="n"/>
    </row>
    <row r="443" ht="20" customHeight="1">
      <c r="A443" s="81" t="n"/>
      <c r="B443" s="84" t="n"/>
      <c r="C443" s="81" t="n"/>
      <c r="D443" s="81" t="n"/>
      <c r="E443" s="81" t="n"/>
      <c r="F443" s="82" t="n"/>
      <c r="G443" s="110">
        <f>IFERROR(SUMIFS(Transactions!$F$7:$F$1000,Transactions!$G$7:$G$1000,A443,Transactions!$D$7:$D$1000,"Expense"),0)</f>
        <v/>
      </c>
      <c r="H443" s="81" t="n"/>
      <c r="I443" s="81" t="n"/>
      <c r="J443" s="81" t="n"/>
    </row>
    <row r="444" ht="20" customHeight="1">
      <c r="A444" s="81" t="n"/>
      <c r="B444" s="84" t="n"/>
      <c r="C444" s="81" t="n"/>
      <c r="D444" s="81" t="n"/>
      <c r="E444" s="81" t="n"/>
      <c r="F444" s="82" t="n"/>
      <c r="G444" s="110">
        <f>IFERROR(SUMIFS(Transactions!$F$7:$F$1000,Transactions!$G$7:$G$1000,A444,Transactions!$D$7:$D$1000,"Expense"),0)</f>
        <v/>
      </c>
      <c r="H444" s="81" t="n"/>
      <c r="I444" s="81" t="n"/>
      <c r="J444" s="81" t="n"/>
    </row>
    <row r="445" ht="20" customHeight="1">
      <c r="A445" s="81" t="n"/>
      <c r="B445" s="84" t="n"/>
      <c r="C445" s="81" t="n"/>
      <c r="D445" s="81" t="n"/>
      <c r="E445" s="81" t="n"/>
      <c r="F445" s="82" t="n"/>
      <c r="G445" s="110">
        <f>IFERROR(SUMIFS(Transactions!$F$7:$F$1000,Transactions!$G$7:$G$1000,A445,Transactions!$D$7:$D$1000,"Expense"),0)</f>
        <v/>
      </c>
      <c r="H445" s="81" t="n"/>
      <c r="I445" s="81" t="n"/>
      <c r="J445" s="81" t="n"/>
    </row>
    <row r="446" ht="20" customHeight="1">
      <c r="A446" s="81" t="n"/>
      <c r="B446" s="84" t="n"/>
      <c r="C446" s="81" t="n"/>
      <c r="D446" s="81" t="n"/>
      <c r="E446" s="81" t="n"/>
      <c r="F446" s="82" t="n"/>
      <c r="G446" s="110">
        <f>IFERROR(SUMIFS(Transactions!$F$7:$F$1000,Transactions!$G$7:$G$1000,A446,Transactions!$D$7:$D$1000,"Expense"),0)</f>
        <v/>
      </c>
      <c r="H446" s="81" t="n"/>
      <c r="I446" s="81" t="n"/>
      <c r="J446" s="81" t="n"/>
    </row>
    <row r="447" ht="20" customHeight="1">
      <c r="A447" s="81" t="n"/>
      <c r="B447" s="84" t="n"/>
      <c r="C447" s="81" t="n"/>
      <c r="D447" s="81" t="n"/>
      <c r="E447" s="81" t="n"/>
      <c r="F447" s="82" t="n"/>
      <c r="G447" s="110">
        <f>IFERROR(SUMIFS(Transactions!$F$7:$F$1000,Transactions!$G$7:$G$1000,A447,Transactions!$D$7:$D$1000,"Expense"),0)</f>
        <v/>
      </c>
      <c r="H447" s="81" t="n"/>
      <c r="I447" s="81" t="n"/>
      <c r="J447" s="81" t="n"/>
    </row>
    <row r="448" ht="20" customHeight="1">
      <c r="A448" s="81" t="n"/>
      <c r="B448" s="84" t="n"/>
      <c r="C448" s="81" t="n"/>
      <c r="D448" s="81" t="n"/>
      <c r="E448" s="81" t="n"/>
      <c r="F448" s="82" t="n"/>
      <c r="G448" s="110">
        <f>IFERROR(SUMIFS(Transactions!$F$7:$F$1000,Transactions!$G$7:$G$1000,A448,Transactions!$D$7:$D$1000,"Expense"),0)</f>
        <v/>
      </c>
      <c r="H448" s="81" t="n"/>
      <c r="I448" s="81" t="n"/>
      <c r="J448" s="81" t="n"/>
    </row>
    <row r="449" ht="20" customHeight="1">
      <c r="A449" s="81" t="n"/>
      <c r="B449" s="84" t="n"/>
      <c r="C449" s="81" t="n"/>
      <c r="D449" s="81" t="n"/>
      <c r="E449" s="81" t="n"/>
      <c r="F449" s="82" t="n"/>
      <c r="G449" s="110">
        <f>IFERROR(SUMIFS(Transactions!$F$7:$F$1000,Transactions!$G$7:$G$1000,A449,Transactions!$D$7:$D$1000,"Expense"),0)</f>
        <v/>
      </c>
      <c r="H449" s="81" t="n"/>
      <c r="I449" s="81" t="n"/>
      <c r="J449" s="81" t="n"/>
    </row>
    <row r="450" ht="20" customHeight="1">
      <c r="A450" s="81" t="n"/>
      <c r="B450" s="84" t="n"/>
      <c r="C450" s="81" t="n"/>
      <c r="D450" s="81" t="n"/>
      <c r="E450" s="81" t="n"/>
      <c r="F450" s="82" t="n"/>
      <c r="G450" s="110">
        <f>IFERROR(SUMIFS(Transactions!$F$7:$F$1000,Transactions!$G$7:$G$1000,A450,Transactions!$D$7:$D$1000,"Expense"),0)</f>
        <v/>
      </c>
      <c r="H450" s="81" t="n"/>
      <c r="I450" s="81" t="n"/>
      <c r="J450" s="81" t="n"/>
    </row>
    <row r="451" ht="20" customHeight="1">
      <c r="A451" s="81" t="n"/>
      <c r="B451" s="84" t="n"/>
      <c r="C451" s="81" t="n"/>
      <c r="D451" s="81" t="n"/>
      <c r="E451" s="81" t="n"/>
      <c r="F451" s="82" t="n"/>
      <c r="G451" s="110">
        <f>IFERROR(SUMIFS(Transactions!$F$7:$F$1000,Transactions!$G$7:$G$1000,A451,Transactions!$D$7:$D$1000,"Expense"),0)</f>
        <v/>
      </c>
      <c r="H451" s="81" t="n"/>
      <c r="I451" s="81" t="n"/>
      <c r="J451" s="81" t="n"/>
    </row>
    <row r="452" ht="20" customHeight="1">
      <c r="A452" s="81" t="n"/>
      <c r="B452" s="84" t="n"/>
      <c r="C452" s="81" t="n"/>
      <c r="D452" s="81" t="n"/>
      <c r="E452" s="81" t="n"/>
      <c r="F452" s="82" t="n"/>
      <c r="G452" s="110">
        <f>IFERROR(SUMIFS(Transactions!$F$7:$F$1000,Transactions!$G$7:$G$1000,A452,Transactions!$D$7:$D$1000,"Expense"),0)</f>
        <v/>
      </c>
      <c r="H452" s="81" t="n"/>
      <c r="I452" s="81" t="n"/>
      <c r="J452" s="81" t="n"/>
    </row>
    <row r="453" ht="20" customHeight="1">
      <c r="A453" s="81" t="n"/>
      <c r="B453" s="84" t="n"/>
      <c r="C453" s="81" t="n"/>
      <c r="D453" s="81" t="n"/>
      <c r="E453" s="81" t="n"/>
      <c r="F453" s="82" t="n"/>
      <c r="G453" s="110">
        <f>IFERROR(SUMIFS(Transactions!$F$7:$F$1000,Transactions!$G$7:$G$1000,A453,Transactions!$D$7:$D$1000,"Expense"),0)</f>
        <v/>
      </c>
      <c r="H453" s="81" t="n"/>
      <c r="I453" s="81" t="n"/>
      <c r="J453" s="81" t="n"/>
    </row>
    <row r="454" ht="20" customHeight="1">
      <c r="A454" s="81" t="n"/>
      <c r="B454" s="84" t="n"/>
      <c r="C454" s="81" t="n"/>
      <c r="D454" s="81" t="n"/>
      <c r="E454" s="81" t="n"/>
      <c r="F454" s="82" t="n"/>
      <c r="G454" s="110">
        <f>IFERROR(SUMIFS(Transactions!$F$7:$F$1000,Transactions!$G$7:$G$1000,A454,Transactions!$D$7:$D$1000,"Expense"),0)</f>
        <v/>
      </c>
      <c r="H454" s="81" t="n"/>
      <c r="I454" s="81" t="n"/>
      <c r="J454" s="81" t="n"/>
    </row>
    <row r="455" ht="20" customHeight="1">
      <c r="A455" s="81" t="n"/>
      <c r="B455" s="84" t="n"/>
      <c r="C455" s="81" t="n"/>
      <c r="D455" s="81" t="n"/>
      <c r="E455" s="81" t="n"/>
      <c r="F455" s="82" t="n"/>
      <c r="G455" s="110">
        <f>IFERROR(SUMIFS(Transactions!$F$7:$F$1000,Transactions!$G$7:$G$1000,A455,Transactions!$D$7:$D$1000,"Expense"),0)</f>
        <v/>
      </c>
      <c r="H455" s="81" t="n"/>
      <c r="I455" s="81" t="n"/>
      <c r="J455" s="81" t="n"/>
    </row>
    <row r="456" ht="20" customHeight="1">
      <c r="A456" s="81" t="n"/>
      <c r="B456" s="84" t="n"/>
      <c r="C456" s="81" t="n"/>
      <c r="D456" s="81" t="n"/>
      <c r="E456" s="81" t="n"/>
      <c r="F456" s="82" t="n"/>
      <c r="G456" s="110">
        <f>IFERROR(SUMIFS(Transactions!$F$7:$F$1000,Transactions!$G$7:$G$1000,A456,Transactions!$D$7:$D$1000,"Expense"),0)</f>
        <v/>
      </c>
      <c r="H456" s="81" t="n"/>
      <c r="I456" s="81" t="n"/>
      <c r="J456" s="81" t="n"/>
    </row>
    <row r="457" ht="20" customHeight="1">
      <c r="A457" s="81" t="n"/>
      <c r="B457" s="84" t="n"/>
      <c r="C457" s="81" t="n"/>
      <c r="D457" s="81" t="n"/>
      <c r="E457" s="81" t="n"/>
      <c r="F457" s="82" t="n"/>
      <c r="G457" s="110">
        <f>IFERROR(SUMIFS(Transactions!$F$7:$F$1000,Transactions!$G$7:$G$1000,A457,Transactions!$D$7:$D$1000,"Expense"),0)</f>
        <v/>
      </c>
      <c r="H457" s="81" t="n"/>
      <c r="I457" s="81" t="n"/>
      <c r="J457" s="81" t="n"/>
    </row>
    <row r="458" ht="20" customHeight="1">
      <c r="A458" s="81" t="n"/>
      <c r="B458" s="84" t="n"/>
      <c r="C458" s="81" t="n"/>
      <c r="D458" s="81" t="n"/>
      <c r="E458" s="81" t="n"/>
      <c r="F458" s="82" t="n"/>
      <c r="G458" s="110">
        <f>IFERROR(SUMIFS(Transactions!$F$7:$F$1000,Transactions!$G$7:$G$1000,A458,Transactions!$D$7:$D$1000,"Expense"),0)</f>
        <v/>
      </c>
      <c r="H458" s="81" t="n"/>
      <c r="I458" s="81" t="n"/>
      <c r="J458" s="81" t="n"/>
    </row>
    <row r="459" ht="20" customHeight="1">
      <c r="A459" s="81" t="n"/>
      <c r="B459" s="84" t="n"/>
      <c r="C459" s="81" t="n"/>
      <c r="D459" s="81" t="n"/>
      <c r="E459" s="81" t="n"/>
      <c r="F459" s="82" t="n"/>
      <c r="G459" s="110">
        <f>IFERROR(SUMIFS(Transactions!$F$7:$F$1000,Transactions!$G$7:$G$1000,A459,Transactions!$D$7:$D$1000,"Expense"),0)</f>
        <v/>
      </c>
      <c r="H459" s="81" t="n"/>
      <c r="I459" s="81" t="n"/>
      <c r="J459" s="81" t="n"/>
    </row>
    <row r="460" ht="20" customHeight="1">
      <c r="A460" s="81" t="n"/>
      <c r="B460" s="84" t="n"/>
      <c r="C460" s="81" t="n"/>
      <c r="D460" s="81" t="n"/>
      <c r="E460" s="81" t="n"/>
      <c r="F460" s="82" t="n"/>
      <c r="G460" s="110">
        <f>IFERROR(SUMIFS(Transactions!$F$7:$F$1000,Transactions!$G$7:$G$1000,A460,Transactions!$D$7:$D$1000,"Expense"),0)</f>
        <v/>
      </c>
      <c r="H460" s="81" t="n"/>
      <c r="I460" s="81" t="n"/>
      <c r="J460" s="81" t="n"/>
    </row>
    <row r="461" ht="20" customHeight="1">
      <c r="A461" s="81" t="n"/>
      <c r="B461" s="84" t="n"/>
      <c r="C461" s="81" t="n"/>
      <c r="D461" s="81" t="n"/>
      <c r="E461" s="81" t="n"/>
      <c r="F461" s="82" t="n"/>
      <c r="G461" s="110">
        <f>IFERROR(SUMIFS(Transactions!$F$7:$F$1000,Transactions!$G$7:$G$1000,A461,Transactions!$D$7:$D$1000,"Expense"),0)</f>
        <v/>
      </c>
      <c r="H461" s="81" t="n"/>
      <c r="I461" s="81" t="n"/>
      <c r="J461" s="81" t="n"/>
    </row>
    <row r="462" ht="20" customHeight="1">
      <c r="A462" s="81" t="n"/>
      <c r="B462" s="84" t="n"/>
      <c r="C462" s="81" t="n"/>
      <c r="D462" s="81" t="n"/>
      <c r="E462" s="81" t="n"/>
      <c r="F462" s="82" t="n"/>
      <c r="G462" s="110">
        <f>IFERROR(SUMIFS(Transactions!$F$7:$F$1000,Transactions!$G$7:$G$1000,A462,Transactions!$D$7:$D$1000,"Expense"),0)</f>
        <v/>
      </c>
      <c r="H462" s="81" t="n"/>
      <c r="I462" s="81" t="n"/>
      <c r="J462" s="81" t="n"/>
    </row>
    <row r="463" ht="20" customHeight="1">
      <c r="A463" s="81" t="n"/>
      <c r="B463" s="84" t="n"/>
      <c r="C463" s="81" t="n"/>
      <c r="D463" s="81" t="n"/>
      <c r="E463" s="81" t="n"/>
      <c r="F463" s="82" t="n"/>
      <c r="G463" s="110">
        <f>IFERROR(SUMIFS(Transactions!$F$7:$F$1000,Transactions!$G$7:$G$1000,A463,Transactions!$D$7:$D$1000,"Expense"),0)</f>
        <v/>
      </c>
      <c r="H463" s="81" t="n"/>
      <c r="I463" s="81" t="n"/>
      <c r="J463" s="81" t="n"/>
    </row>
    <row r="464" ht="20" customHeight="1">
      <c r="A464" s="81" t="n"/>
      <c r="B464" s="84" t="n"/>
      <c r="C464" s="81" t="n"/>
      <c r="D464" s="81" t="n"/>
      <c r="E464" s="81" t="n"/>
      <c r="F464" s="82" t="n"/>
      <c r="G464" s="110">
        <f>IFERROR(SUMIFS(Transactions!$F$7:$F$1000,Transactions!$G$7:$G$1000,A464,Transactions!$D$7:$D$1000,"Expense"),0)</f>
        <v/>
      </c>
      <c r="H464" s="81" t="n"/>
      <c r="I464" s="81" t="n"/>
      <c r="J464" s="81" t="n"/>
    </row>
    <row r="465" ht="20" customHeight="1">
      <c r="A465" s="81" t="n"/>
      <c r="B465" s="84" t="n"/>
      <c r="C465" s="81" t="n"/>
      <c r="D465" s="81" t="n"/>
      <c r="E465" s="81" t="n"/>
      <c r="F465" s="82" t="n"/>
      <c r="G465" s="110">
        <f>IFERROR(SUMIFS(Transactions!$F$7:$F$1000,Transactions!$G$7:$G$1000,A465,Transactions!$D$7:$D$1000,"Expense"),0)</f>
        <v/>
      </c>
      <c r="H465" s="81" t="n"/>
      <c r="I465" s="81" t="n"/>
      <c r="J465" s="81" t="n"/>
    </row>
    <row r="466" ht="20" customHeight="1">
      <c r="A466" s="81" t="n"/>
      <c r="B466" s="84" t="n"/>
      <c r="C466" s="81" t="n"/>
      <c r="D466" s="81" t="n"/>
      <c r="E466" s="81" t="n"/>
      <c r="F466" s="82" t="n"/>
      <c r="G466" s="110">
        <f>IFERROR(SUMIFS(Transactions!$F$7:$F$1000,Transactions!$G$7:$G$1000,A466,Transactions!$D$7:$D$1000,"Expense"),0)</f>
        <v/>
      </c>
      <c r="H466" s="81" t="n"/>
      <c r="I466" s="81" t="n"/>
      <c r="J466" s="81" t="n"/>
    </row>
    <row r="467" ht="20" customHeight="1">
      <c r="A467" s="81" t="n"/>
      <c r="B467" s="84" t="n"/>
      <c r="C467" s="81" t="n"/>
      <c r="D467" s="81" t="n"/>
      <c r="E467" s="81" t="n"/>
      <c r="F467" s="82" t="n"/>
      <c r="G467" s="110">
        <f>IFERROR(SUMIFS(Transactions!$F$7:$F$1000,Transactions!$G$7:$G$1000,A467,Transactions!$D$7:$D$1000,"Expense"),0)</f>
        <v/>
      </c>
      <c r="H467" s="81" t="n"/>
      <c r="I467" s="81" t="n"/>
      <c r="J467" s="81" t="n"/>
    </row>
    <row r="468" ht="20" customHeight="1">
      <c r="A468" s="81" t="n"/>
      <c r="B468" s="84" t="n"/>
      <c r="C468" s="81" t="n"/>
      <c r="D468" s="81" t="n"/>
      <c r="E468" s="81" t="n"/>
      <c r="F468" s="82" t="n"/>
      <c r="G468" s="110">
        <f>IFERROR(SUMIFS(Transactions!$F$7:$F$1000,Transactions!$G$7:$G$1000,A468,Transactions!$D$7:$D$1000,"Expense"),0)</f>
        <v/>
      </c>
      <c r="H468" s="81" t="n"/>
      <c r="I468" s="81" t="n"/>
      <c r="J468" s="81" t="n"/>
    </row>
    <row r="469" ht="20" customHeight="1">
      <c r="A469" s="81" t="n"/>
      <c r="B469" s="84" t="n"/>
      <c r="C469" s="81" t="n"/>
      <c r="D469" s="81" t="n"/>
      <c r="E469" s="81" t="n"/>
      <c r="F469" s="82" t="n"/>
      <c r="G469" s="110">
        <f>IFERROR(SUMIFS(Transactions!$F$7:$F$1000,Transactions!$G$7:$G$1000,A469,Transactions!$D$7:$D$1000,"Expense"),0)</f>
        <v/>
      </c>
      <c r="H469" s="81" t="n"/>
      <c r="I469" s="81" t="n"/>
      <c r="J469" s="81" t="n"/>
    </row>
    <row r="470" ht="20" customHeight="1">
      <c r="A470" s="81" t="n"/>
      <c r="B470" s="84" t="n"/>
      <c r="C470" s="81" t="n"/>
      <c r="D470" s="81" t="n"/>
      <c r="E470" s="81" t="n"/>
      <c r="F470" s="82" t="n"/>
      <c r="G470" s="110">
        <f>IFERROR(SUMIFS(Transactions!$F$7:$F$1000,Transactions!$G$7:$G$1000,A470,Transactions!$D$7:$D$1000,"Expense"),0)</f>
        <v/>
      </c>
      <c r="H470" s="81" t="n"/>
      <c r="I470" s="81" t="n"/>
      <c r="J470" s="81" t="n"/>
    </row>
    <row r="471" ht="20" customHeight="1">
      <c r="A471" s="81" t="n"/>
      <c r="B471" s="84" t="n"/>
      <c r="C471" s="81" t="n"/>
      <c r="D471" s="81" t="n"/>
      <c r="E471" s="81" t="n"/>
      <c r="F471" s="82" t="n"/>
      <c r="G471" s="110">
        <f>IFERROR(SUMIFS(Transactions!$F$7:$F$1000,Transactions!$G$7:$G$1000,A471,Transactions!$D$7:$D$1000,"Expense"),0)</f>
        <v/>
      </c>
      <c r="H471" s="81" t="n"/>
      <c r="I471" s="81" t="n"/>
      <c r="J471" s="81" t="n"/>
    </row>
    <row r="472" ht="20" customHeight="1">
      <c r="A472" s="81" t="n"/>
      <c r="B472" s="84" t="n"/>
      <c r="C472" s="81" t="n"/>
      <c r="D472" s="81" t="n"/>
      <c r="E472" s="81" t="n"/>
      <c r="F472" s="82" t="n"/>
      <c r="G472" s="110">
        <f>IFERROR(SUMIFS(Transactions!$F$7:$F$1000,Transactions!$G$7:$G$1000,A472,Transactions!$D$7:$D$1000,"Expense"),0)</f>
        <v/>
      </c>
      <c r="H472" s="81" t="n"/>
      <c r="I472" s="81" t="n"/>
      <c r="J472" s="81" t="n"/>
    </row>
    <row r="473" ht="20" customHeight="1">
      <c r="A473" s="81" t="n"/>
      <c r="B473" s="84" t="n"/>
      <c r="C473" s="81" t="n"/>
      <c r="D473" s="81" t="n"/>
      <c r="E473" s="81" t="n"/>
      <c r="F473" s="82" t="n"/>
      <c r="G473" s="110">
        <f>IFERROR(SUMIFS(Transactions!$F$7:$F$1000,Transactions!$G$7:$G$1000,A473,Transactions!$D$7:$D$1000,"Expense"),0)</f>
        <v/>
      </c>
      <c r="H473" s="81" t="n"/>
      <c r="I473" s="81" t="n"/>
      <c r="J473" s="81" t="n"/>
    </row>
    <row r="474" ht="20" customHeight="1">
      <c r="A474" s="81" t="n"/>
      <c r="B474" s="84" t="n"/>
      <c r="C474" s="81" t="n"/>
      <c r="D474" s="81" t="n"/>
      <c r="E474" s="81" t="n"/>
      <c r="F474" s="82" t="n"/>
      <c r="G474" s="110">
        <f>IFERROR(SUMIFS(Transactions!$F$7:$F$1000,Transactions!$G$7:$G$1000,A474,Transactions!$D$7:$D$1000,"Expense"),0)</f>
        <v/>
      </c>
      <c r="H474" s="81" t="n"/>
      <c r="I474" s="81" t="n"/>
      <c r="J474" s="81" t="n"/>
    </row>
    <row r="475" ht="20" customHeight="1">
      <c r="A475" s="81" t="n"/>
      <c r="B475" s="84" t="n"/>
      <c r="C475" s="81" t="n"/>
      <c r="D475" s="81" t="n"/>
      <c r="E475" s="81" t="n"/>
      <c r="F475" s="82" t="n"/>
      <c r="G475" s="110">
        <f>IFERROR(SUMIFS(Transactions!$F$7:$F$1000,Transactions!$G$7:$G$1000,A475,Transactions!$D$7:$D$1000,"Expense"),0)</f>
        <v/>
      </c>
      <c r="H475" s="81" t="n"/>
      <c r="I475" s="81" t="n"/>
      <c r="J475" s="81" t="n"/>
    </row>
    <row r="476" ht="20" customHeight="1">
      <c r="A476" s="81" t="n"/>
      <c r="B476" s="84" t="n"/>
      <c r="C476" s="81" t="n"/>
      <c r="D476" s="81" t="n"/>
      <c r="E476" s="81" t="n"/>
      <c r="F476" s="82" t="n"/>
      <c r="G476" s="110">
        <f>IFERROR(SUMIFS(Transactions!$F$7:$F$1000,Transactions!$G$7:$G$1000,A476,Transactions!$D$7:$D$1000,"Expense"),0)</f>
        <v/>
      </c>
      <c r="H476" s="81" t="n"/>
      <c r="I476" s="81" t="n"/>
      <c r="J476" s="81" t="n"/>
    </row>
    <row r="477" ht="20" customHeight="1">
      <c r="A477" s="81" t="n"/>
      <c r="B477" s="84" t="n"/>
      <c r="C477" s="81" t="n"/>
      <c r="D477" s="81" t="n"/>
      <c r="E477" s="81" t="n"/>
      <c r="F477" s="82" t="n"/>
      <c r="G477" s="110">
        <f>IFERROR(SUMIFS(Transactions!$F$7:$F$1000,Transactions!$G$7:$G$1000,A477,Transactions!$D$7:$D$1000,"Expense"),0)</f>
        <v/>
      </c>
      <c r="H477" s="81" t="n"/>
      <c r="I477" s="81" t="n"/>
      <c r="J477" s="81" t="n"/>
    </row>
    <row r="478" ht="20" customHeight="1">
      <c r="A478" s="81" t="n"/>
      <c r="B478" s="84" t="n"/>
      <c r="C478" s="81" t="n"/>
      <c r="D478" s="81" t="n"/>
      <c r="E478" s="81" t="n"/>
      <c r="F478" s="82" t="n"/>
      <c r="G478" s="110">
        <f>IFERROR(SUMIFS(Transactions!$F$7:$F$1000,Transactions!$G$7:$G$1000,A478,Transactions!$D$7:$D$1000,"Expense"),0)</f>
        <v/>
      </c>
      <c r="H478" s="81" t="n"/>
      <c r="I478" s="81" t="n"/>
      <c r="J478" s="81" t="n"/>
    </row>
    <row r="479" ht="20" customHeight="1">
      <c r="A479" s="81" t="n"/>
      <c r="B479" s="84" t="n"/>
      <c r="C479" s="81" t="n"/>
      <c r="D479" s="81" t="n"/>
      <c r="E479" s="81" t="n"/>
      <c r="F479" s="82" t="n"/>
      <c r="G479" s="110">
        <f>IFERROR(SUMIFS(Transactions!$F$7:$F$1000,Transactions!$G$7:$G$1000,A479,Transactions!$D$7:$D$1000,"Expense"),0)</f>
        <v/>
      </c>
      <c r="H479" s="81" t="n"/>
      <c r="I479" s="81" t="n"/>
      <c r="J479" s="81" t="n"/>
    </row>
    <row r="480" ht="20" customHeight="1">
      <c r="A480" s="81" t="n"/>
      <c r="B480" s="84" t="n"/>
      <c r="C480" s="81" t="n"/>
      <c r="D480" s="81" t="n"/>
      <c r="E480" s="81" t="n"/>
      <c r="F480" s="82" t="n"/>
      <c r="G480" s="110">
        <f>IFERROR(SUMIFS(Transactions!$F$7:$F$1000,Transactions!$G$7:$G$1000,A480,Transactions!$D$7:$D$1000,"Expense"),0)</f>
        <v/>
      </c>
      <c r="H480" s="81" t="n"/>
      <c r="I480" s="81" t="n"/>
      <c r="J480" s="81" t="n"/>
    </row>
    <row r="481" ht="20" customHeight="1">
      <c r="A481" s="81" t="n"/>
      <c r="B481" s="84" t="n"/>
      <c r="C481" s="81" t="n"/>
      <c r="D481" s="81" t="n"/>
      <c r="E481" s="81" t="n"/>
      <c r="F481" s="82" t="n"/>
      <c r="G481" s="110">
        <f>IFERROR(SUMIFS(Transactions!$F$7:$F$1000,Transactions!$G$7:$G$1000,A481,Transactions!$D$7:$D$1000,"Expense"),0)</f>
        <v/>
      </c>
      <c r="H481" s="81" t="n"/>
      <c r="I481" s="81" t="n"/>
      <c r="J481" s="81" t="n"/>
    </row>
    <row r="482" ht="20" customHeight="1">
      <c r="A482" s="81" t="n"/>
      <c r="B482" s="84" t="n"/>
      <c r="C482" s="81" t="n"/>
      <c r="D482" s="81" t="n"/>
      <c r="E482" s="81" t="n"/>
      <c r="F482" s="82" t="n"/>
      <c r="G482" s="110">
        <f>IFERROR(SUMIFS(Transactions!$F$7:$F$1000,Transactions!$G$7:$G$1000,A482,Transactions!$D$7:$D$1000,"Expense"),0)</f>
        <v/>
      </c>
      <c r="H482" s="81" t="n"/>
      <c r="I482" s="81" t="n"/>
      <c r="J482" s="81" t="n"/>
    </row>
    <row r="483" ht="20" customHeight="1">
      <c r="A483" s="81" t="n"/>
      <c r="B483" s="84" t="n"/>
      <c r="C483" s="81" t="n"/>
      <c r="D483" s="81" t="n"/>
      <c r="E483" s="81" t="n"/>
      <c r="F483" s="82" t="n"/>
      <c r="G483" s="110">
        <f>IFERROR(SUMIFS(Transactions!$F$7:$F$1000,Transactions!$G$7:$G$1000,A483,Transactions!$D$7:$D$1000,"Expense"),0)</f>
        <v/>
      </c>
      <c r="H483" s="81" t="n"/>
      <c r="I483" s="81" t="n"/>
      <c r="J483" s="81" t="n"/>
    </row>
    <row r="484" ht="20" customHeight="1">
      <c r="A484" s="81" t="n"/>
      <c r="B484" s="84" t="n"/>
      <c r="C484" s="81" t="n"/>
      <c r="D484" s="81" t="n"/>
      <c r="E484" s="81" t="n"/>
      <c r="F484" s="82" t="n"/>
      <c r="G484" s="110">
        <f>IFERROR(SUMIFS(Transactions!$F$7:$F$1000,Transactions!$G$7:$G$1000,A484,Transactions!$D$7:$D$1000,"Expense"),0)</f>
        <v/>
      </c>
      <c r="H484" s="81" t="n"/>
      <c r="I484" s="81" t="n"/>
      <c r="J484" s="81" t="n"/>
    </row>
    <row r="485" ht="20" customHeight="1">
      <c r="A485" s="81" t="n"/>
      <c r="B485" s="84" t="n"/>
      <c r="C485" s="81" t="n"/>
      <c r="D485" s="81" t="n"/>
      <c r="E485" s="81" t="n"/>
      <c r="F485" s="82" t="n"/>
      <c r="G485" s="110">
        <f>IFERROR(SUMIFS(Transactions!$F$7:$F$1000,Transactions!$G$7:$G$1000,A485,Transactions!$D$7:$D$1000,"Expense"),0)</f>
        <v/>
      </c>
      <c r="H485" s="81" t="n"/>
      <c r="I485" s="81" t="n"/>
      <c r="J485" s="81" t="n"/>
    </row>
    <row r="486" ht="20" customHeight="1">
      <c r="A486" s="81" t="n"/>
      <c r="B486" s="84" t="n"/>
      <c r="C486" s="81" t="n"/>
      <c r="D486" s="81" t="n"/>
      <c r="E486" s="81" t="n"/>
      <c r="F486" s="82" t="n"/>
      <c r="G486" s="110">
        <f>IFERROR(SUMIFS(Transactions!$F$7:$F$1000,Transactions!$G$7:$G$1000,A486,Transactions!$D$7:$D$1000,"Expense"),0)</f>
        <v/>
      </c>
      <c r="H486" s="81" t="n"/>
      <c r="I486" s="81" t="n"/>
      <c r="J486" s="81" t="n"/>
    </row>
    <row r="487" ht="20" customHeight="1">
      <c r="A487" s="81" t="n"/>
      <c r="B487" s="84" t="n"/>
      <c r="C487" s="81" t="n"/>
      <c r="D487" s="81" t="n"/>
      <c r="E487" s="81" t="n"/>
      <c r="F487" s="82" t="n"/>
      <c r="G487" s="110">
        <f>IFERROR(SUMIFS(Transactions!$F$7:$F$1000,Transactions!$G$7:$G$1000,A487,Transactions!$D$7:$D$1000,"Expense"),0)</f>
        <v/>
      </c>
      <c r="H487" s="81" t="n"/>
      <c r="I487" s="81" t="n"/>
      <c r="J487" s="81" t="n"/>
    </row>
    <row r="488" ht="20" customHeight="1">
      <c r="A488" s="81" t="n"/>
      <c r="B488" s="84" t="n"/>
      <c r="C488" s="81" t="n"/>
      <c r="D488" s="81" t="n"/>
      <c r="E488" s="81" t="n"/>
      <c r="F488" s="82" t="n"/>
      <c r="G488" s="110">
        <f>IFERROR(SUMIFS(Transactions!$F$7:$F$1000,Transactions!$G$7:$G$1000,A488,Transactions!$D$7:$D$1000,"Expense"),0)</f>
        <v/>
      </c>
      <c r="H488" s="81" t="n"/>
      <c r="I488" s="81" t="n"/>
      <c r="J488" s="81" t="n"/>
    </row>
    <row r="489" ht="20" customHeight="1">
      <c r="A489" s="81" t="n"/>
      <c r="B489" s="84" t="n"/>
      <c r="C489" s="81" t="n"/>
      <c r="D489" s="81" t="n"/>
      <c r="E489" s="81" t="n"/>
      <c r="F489" s="82" t="n"/>
      <c r="G489" s="110">
        <f>IFERROR(SUMIFS(Transactions!$F$7:$F$1000,Transactions!$G$7:$G$1000,A489,Transactions!$D$7:$D$1000,"Expense"),0)</f>
        <v/>
      </c>
      <c r="H489" s="81" t="n"/>
      <c r="I489" s="81" t="n"/>
      <c r="J489" s="81" t="n"/>
    </row>
    <row r="490" ht="20" customHeight="1">
      <c r="A490" s="81" t="n"/>
      <c r="B490" s="84" t="n"/>
      <c r="C490" s="81" t="n"/>
      <c r="D490" s="81" t="n"/>
      <c r="E490" s="81" t="n"/>
      <c r="F490" s="82" t="n"/>
      <c r="G490" s="110">
        <f>IFERROR(SUMIFS(Transactions!$F$7:$F$1000,Transactions!$G$7:$G$1000,A490,Transactions!$D$7:$D$1000,"Expense"),0)</f>
        <v/>
      </c>
      <c r="H490" s="81" t="n"/>
      <c r="I490" s="81" t="n"/>
      <c r="J490" s="81" t="n"/>
    </row>
    <row r="491" ht="20" customHeight="1">
      <c r="A491" s="81" t="n"/>
      <c r="B491" s="84" t="n"/>
      <c r="C491" s="81" t="n"/>
      <c r="D491" s="81" t="n"/>
      <c r="E491" s="81" t="n"/>
      <c r="F491" s="82" t="n"/>
      <c r="G491" s="110">
        <f>IFERROR(SUMIFS(Transactions!$F$7:$F$1000,Transactions!$G$7:$G$1000,A491,Transactions!$D$7:$D$1000,"Expense"),0)</f>
        <v/>
      </c>
      <c r="H491" s="81" t="n"/>
      <c r="I491" s="81" t="n"/>
      <c r="J491" s="81" t="n"/>
    </row>
    <row r="492" ht="20" customHeight="1">
      <c r="A492" s="81" t="n"/>
      <c r="B492" s="84" t="n"/>
      <c r="C492" s="81" t="n"/>
      <c r="D492" s="81" t="n"/>
      <c r="E492" s="81" t="n"/>
      <c r="F492" s="82" t="n"/>
      <c r="G492" s="110">
        <f>IFERROR(SUMIFS(Transactions!$F$7:$F$1000,Transactions!$G$7:$G$1000,A492,Transactions!$D$7:$D$1000,"Expense"),0)</f>
        <v/>
      </c>
      <c r="H492" s="81" t="n"/>
      <c r="I492" s="81" t="n"/>
      <c r="J492" s="81" t="n"/>
    </row>
    <row r="493" ht="20" customHeight="1">
      <c r="A493" s="81" t="n"/>
      <c r="B493" s="84" t="n"/>
      <c r="C493" s="81" t="n"/>
      <c r="D493" s="81" t="n"/>
      <c r="E493" s="81" t="n"/>
      <c r="F493" s="82" t="n"/>
      <c r="G493" s="110">
        <f>IFERROR(SUMIFS(Transactions!$F$7:$F$1000,Transactions!$G$7:$G$1000,A493,Transactions!$D$7:$D$1000,"Expense"),0)</f>
        <v/>
      </c>
      <c r="H493" s="81" t="n"/>
      <c r="I493" s="81" t="n"/>
      <c r="J493" s="81" t="n"/>
    </row>
    <row r="494" ht="20" customHeight="1">
      <c r="A494" s="81" t="n"/>
      <c r="B494" s="84" t="n"/>
      <c r="C494" s="81" t="n"/>
      <c r="D494" s="81" t="n"/>
      <c r="E494" s="81" t="n"/>
      <c r="F494" s="82" t="n"/>
      <c r="G494" s="110">
        <f>IFERROR(SUMIFS(Transactions!$F$7:$F$1000,Transactions!$G$7:$G$1000,A494,Transactions!$D$7:$D$1000,"Expense"),0)</f>
        <v/>
      </c>
      <c r="H494" s="81" t="n"/>
      <c r="I494" s="81" t="n"/>
      <c r="J494" s="81" t="n"/>
    </row>
    <row r="495" ht="20" customHeight="1">
      <c r="A495" s="81" t="n"/>
      <c r="B495" s="84" t="n"/>
      <c r="C495" s="81" t="n"/>
      <c r="D495" s="81" t="n"/>
      <c r="E495" s="81" t="n"/>
      <c r="F495" s="82" t="n"/>
      <c r="G495" s="110">
        <f>IFERROR(SUMIFS(Transactions!$F$7:$F$1000,Transactions!$G$7:$G$1000,A495,Transactions!$D$7:$D$1000,"Expense"),0)</f>
        <v/>
      </c>
      <c r="H495" s="81" t="n"/>
      <c r="I495" s="81" t="n"/>
      <c r="J495" s="81" t="n"/>
    </row>
    <row r="496" ht="20" customHeight="1">
      <c r="A496" s="81" t="n"/>
      <c r="B496" s="84" t="n"/>
      <c r="C496" s="81" t="n"/>
      <c r="D496" s="81" t="n"/>
      <c r="E496" s="81" t="n"/>
      <c r="F496" s="82" t="n"/>
      <c r="G496" s="110">
        <f>IFERROR(SUMIFS(Transactions!$F$7:$F$1000,Transactions!$G$7:$G$1000,A496,Transactions!$D$7:$D$1000,"Expense"),0)</f>
        <v/>
      </c>
      <c r="H496" s="81" t="n"/>
      <c r="I496" s="81" t="n"/>
      <c r="J496" s="81" t="n"/>
    </row>
    <row r="497" ht="20" customHeight="1">
      <c r="A497" s="81" t="n"/>
      <c r="B497" s="84" t="n"/>
      <c r="C497" s="81" t="n"/>
      <c r="D497" s="81" t="n"/>
      <c r="E497" s="81" t="n"/>
      <c r="F497" s="82" t="n"/>
      <c r="G497" s="110">
        <f>IFERROR(SUMIFS(Transactions!$F$7:$F$1000,Transactions!$G$7:$G$1000,A497,Transactions!$D$7:$D$1000,"Expense"),0)</f>
        <v/>
      </c>
      <c r="H497" s="81" t="n"/>
      <c r="I497" s="81" t="n"/>
      <c r="J497" s="81" t="n"/>
    </row>
    <row r="498" ht="20" customHeight="1">
      <c r="A498" s="81" t="n"/>
      <c r="B498" s="84" t="n"/>
      <c r="C498" s="81" t="n"/>
      <c r="D498" s="81" t="n"/>
      <c r="E498" s="81" t="n"/>
      <c r="F498" s="82" t="n"/>
      <c r="G498" s="110">
        <f>IFERROR(SUMIFS(Transactions!$F$7:$F$1000,Transactions!$G$7:$G$1000,A498,Transactions!$D$7:$D$1000,"Expense"),0)</f>
        <v/>
      </c>
      <c r="H498" s="81" t="n"/>
      <c r="I498" s="81" t="n"/>
      <c r="J498" s="81" t="n"/>
    </row>
    <row r="499" ht="20" customHeight="1">
      <c r="A499" s="81" t="n"/>
      <c r="B499" s="84" t="n"/>
      <c r="C499" s="81" t="n"/>
      <c r="D499" s="81" t="n"/>
      <c r="E499" s="81" t="n"/>
      <c r="F499" s="82" t="n"/>
      <c r="G499" s="110">
        <f>IFERROR(SUMIFS(Transactions!$F$7:$F$1000,Transactions!$G$7:$G$1000,A499,Transactions!$D$7:$D$1000,"Expense"),0)</f>
        <v/>
      </c>
      <c r="H499" s="81" t="n"/>
      <c r="I499" s="81" t="n"/>
      <c r="J499" s="81" t="n"/>
    </row>
    <row r="500" ht="20" customHeight="1">
      <c r="A500" s="81" t="n"/>
      <c r="B500" s="84" t="n"/>
      <c r="C500" s="81" t="n"/>
      <c r="D500" s="81" t="n"/>
      <c r="E500" s="81" t="n"/>
      <c r="F500" s="82" t="n"/>
      <c r="G500" s="110">
        <f>IFERROR(SUMIFS(Transactions!$F$7:$F$1000,Transactions!$G$7:$G$1000,A500,Transactions!$D$7:$D$1000,"Expense"),0)</f>
        <v/>
      </c>
      <c r="H500" s="81" t="n"/>
      <c r="I500" s="81" t="n"/>
      <c r="J500" s="81" t="n"/>
    </row>
    <row r="501" ht="20" customHeight="1">
      <c r="A501" s="81" t="n"/>
      <c r="B501" s="84" t="n"/>
      <c r="C501" s="81" t="n"/>
      <c r="D501" s="81" t="n"/>
      <c r="E501" s="81" t="n"/>
      <c r="F501" s="82" t="n"/>
      <c r="G501" s="110">
        <f>IFERROR(SUMIFS(Transactions!$F$7:$F$1000,Transactions!$G$7:$G$1000,A501,Transactions!$D$7:$D$1000,"Expense"),0)</f>
        <v/>
      </c>
      <c r="H501" s="81" t="n"/>
      <c r="I501" s="81" t="n"/>
      <c r="J501" s="81" t="n"/>
    </row>
    <row r="502" ht="20" customHeight="1">
      <c r="A502" s="81" t="n"/>
      <c r="B502" s="84" t="n"/>
      <c r="C502" s="81" t="n"/>
      <c r="D502" s="81" t="n"/>
      <c r="E502" s="81" t="n"/>
      <c r="F502" s="82" t="n"/>
      <c r="G502" s="110">
        <f>IFERROR(SUMIFS(Transactions!$F$7:$F$1000,Transactions!$G$7:$G$1000,A502,Transactions!$D$7:$D$1000,"Expense"),0)</f>
        <v/>
      </c>
      <c r="H502" s="81" t="n"/>
      <c r="I502" s="81" t="n"/>
      <c r="J502" s="81" t="n"/>
    </row>
    <row r="503" ht="20" customHeight="1">
      <c r="A503" s="81" t="n"/>
      <c r="B503" s="84" t="n"/>
      <c r="C503" s="81" t="n"/>
      <c r="D503" s="81" t="n"/>
      <c r="E503" s="81" t="n"/>
      <c r="F503" s="82" t="n"/>
      <c r="G503" s="110">
        <f>IFERROR(SUMIFS(Transactions!$F$7:$F$1000,Transactions!$G$7:$G$1000,A503,Transactions!$D$7:$D$1000,"Expense"),0)</f>
        <v/>
      </c>
      <c r="H503" s="81" t="n"/>
      <c r="I503" s="81" t="n"/>
      <c r="J503" s="81" t="n"/>
    </row>
    <row r="504" ht="20" customHeight="1">
      <c r="A504" s="81" t="n"/>
      <c r="B504" s="84" t="n"/>
      <c r="C504" s="81" t="n"/>
      <c r="D504" s="81" t="n"/>
      <c r="E504" s="81" t="n"/>
      <c r="F504" s="82" t="n"/>
      <c r="G504" s="110">
        <f>IFERROR(SUMIFS(Transactions!$F$7:$F$1000,Transactions!$G$7:$G$1000,A504,Transactions!$D$7:$D$1000,"Expense"),0)</f>
        <v/>
      </c>
      <c r="H504" s="81" t="n"/>
      <c r="I504" s="81" t="n"/>
      <c r="J504" s="81" t="n"/>
    </row>
    <row r="505" ht="20" customHeight="1"/>
    <row r="506" ht="20" customHeight="1"/>
  </sheetData>
  <mergeCells count="1">
    <mergeCell ref="A1:J1"/>
  </mergeCells>
  <dataValidations count="2">
    <dataValidation sqref="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showDropDown="0" showInputMessage="0" showErrorMessage="0" allowBlank="1" type="list">
      <formula1>"Practice,Tournament,Fundraiser,Hotel,Travel,Team Meal,Social,Other"</formula1>
    </dataValidation>
    <dataValidation sqref="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I287 I288 I289 I290 I291 I292 I293 I294 I295 I296 I297 I298 I299 I300 I301 I302 I303 I304 I305 I306 I307 I308 I309 I310 I311 I312 I313 I314 I315 I316 I317 I318 I319 I320 I321 I322 I323 I324 I325 I326 I327 I328 I329 I330 I331 I332 I333 I334 I335 I336 I337 I338 I339 I340 I341 I342 I343 I344 I345 I346 I347 I348 I349 I350 I351 I352 I353 I354 I355 I356 I357 I358 I359 I360 I361 I362 I363 I364 I365 I366 I367 I368 I369 I370 I371 I372 I373 I374 I375 I376 I377 I378 I379 I380 I381 I382 I383 I384 I385 I386 I387 I388 I389 I390 I391 I392 I393 I394 I395 I396 I397 I398 I399 I400 I401 I402 I403 I404 I405 I406 I407 I408 I409 I410 I411 I412 I413 I414 I415 I416 I417 I418 I419 I420 I421 I422 I423 I424 I425 I426 I427 I428 I429 I430 I431 I432 I433 I434 I435 I436 I437 I438 I439 I440 I441 I442 I443 I444 I445 I446 I447 I448 I449 I450 I451 I452 I453 I454 I455 I456 I457 I458 I459 I460 I461 I462 I463 I464 I465 I466 I467 I468 I469 I470 I471 I472 I473 I474 I475 I476 I477 I478 I479 I480 I481 I482 I483 I484 I485 I486 I487 I488 I489 I490 I491 I492 I493 I494 I495 I496 I497 I498 I499 I500 I501 I502 I503 I504 I505 I506" showDropDown="0" showInputMessage="0" showErrorMessage="0" allowBlank="1" type="list">
      <formula1>"Equal Split,Attendance,Custom,Team Pays,Individual Pays"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Y206"/>
  <sheetViews>
    <sheetView showGridLines="0" workbookViewId="0">
      <pane xSplit="2" ySplit="9" topLeftCell="C10"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 width="22" customWidth="1" min="42" max="42"/>
    <col width="22" customWidth="1" min="43" max="43"/>
    <col width="22" customWidth="1" min="44" max="44"/>
    <col width="22" customWidth="1" min="45" max="45"/>
    <col width="22" customWidth="1" min="46" max="46"/>
    <col width="22" customWidth="1" min="47" max="47"/>
    <col width="22" customWidth="1" min="48" max="48"/>
    <col width="22" customWidth="1" min="49" max="49"/>
    <col width="22" customWidth="1" min="50" max="50"/>
    <col width="22" customWidth="1" min="51" max="51"/>
    <col width="12" customWidth="1" min="52" max="52"/>
  </cols>
  <sheetData>
    <row r="1" ht="38" customHeight="1">
      <c r="A1" s="76" t="inlineStr">
        <is>
          <t>ATTENDANCE TRACKER</t>
        </is>
      </c>
      <c r="B1" s="106" t="n"/>
      <c r="C1" s="106" t="n"/>
      <c r="D1" s="106" t="n"/>
      <c r="E1" s="106" t="n"/>
      <c r="F1" s="107" t="n"/>
      <c r="G1" s="77" t="n"/>
      <c r="H1" s="77" t="n"/>
      <c r="I1" s="77" t="n"/>
      <c r="J1" s="77" t="n"/>
      <c r="K1" s="77" t="n"/>
      <c r="L1" s="77" t="n"/>
      <c r="M1" s="77" t="n"/>
      <c r="N1" s="77" t="n"/>
      <c r="O1" s="77" t="n"/>
      <c r="P1" s="77" t="n"/>
      <c r="Q1" s="77" t="n"/>
      <c r="R1" s="77" t="n"/>
      <c r="S1" s="77" t="n"/>
      <c r="T1" s="77" t="n"/>
      <c r="U1" s="77" t="n"/>
      <c r="V1" s="77" t="n"/>
      <c r="W1" s="77" t="n"/>
      <c r="X1" s="77" t="n"/>
      <c r="Y1" s="77" t="n"/>
      <c r="Z1" s="77" t="n"/>
      <c r="AA1" s="77" t="n"/>
      <c r="AB1" s="77" t="n"/>
      <c r="AC1" s="77" t="n"/>
      <c r="AD1" s="77" t="n"/>
      <c r="AE1" s="77" t="n"/>
      <c r="AF1" s="77" t="n"/>
      <c r="AG1" s="77" t="n"/>
      <c r="AH1" s="77" t="n"/>
      <c r="AI1" s="77" t="n"/>
      <c r="AJ1" s="77" t="n"/>
      <c r="AK1" s="77" t="n"/>
      <c r="AL1" s="77" t="n"/>
      <c r="AM1" s="77" t="n"/>
      <c r="AN1" s="77" t="n"/>
      <c r="AO1" s="77" t="n"/>
      <c r="AP1" s="77" t="n"/>
      <c r="AQ1" s="77" t="n"/>
      <c r="AR1" s="77" t="n"/>
      <c r="AS1" s="77" t="n"/>
      <c r="AT1" s="77" t="n"/>
      <c r="AU1" s="77" t="n"/>
      <c r="AV1" s="77" t="n"/>
      <c r="AW1" s="77" t="n"/>
      <c r="AX1" s="77" t="n"/>
      <c r="AY1" s="77" t="n"/>
    </row>
    <row r="2" ht="14" customHeight="1"/>
    <row r="3" ht="18" customHeight="1">
      <c r="A3" s="78" t="inlineStr">
        <is>
          <t>Player Name</t>
        </is>
      </c>
      <c r="B3" s="78">
        <f>IF(Events!$A$5&lt;&gt;"",Events!$A$5,"")</f>
        <v/>
      </c>
      <c r="C3" s="78">
        <f>IF(Events!$A$6&lt;&gt;"",Events!$A$6,"")</f>
        <v/>
      </c>
      <c r="D3" s="78">
        <f>IF(Events!$A$7&lt;&gt;"",Events!$A$7,"")</f>
        <v/>
      </c>
      <c r="E3" s="78">
        <f>IF(Events!$A$8&lt;&gt;"",Events!$A$8,"")</f>
        <v/>
      </c>
      <c r="F3" s="78">
        <f>IF(Events!$A$9&lt;&gt;"",Events!$A$9,"")</f>
        <v/>
      </c>
      <c r="G3" s="78">
        <f>IF(Events!$A$10&lt;&gt;"",Events!$A$10,"")</f>
        <v/>
      </c>
      <c r="H3" s="78">
        <f>IF(Events!$A$11&lt;&gt;"",Events!$A$11,"")</f>
        <v/>
      </c>
      <c r="I3" s="78">
        <f>IF(Events!$A$12&lt;&gt;"",Events!$A$12,"")</f>
        <v/>
      </c>
      <c r="J3" s="78">
        <f>IF(Events!$A$13&lt;&gt;"",Events!$A$13,"")</f>
        <v/>
      </c>
      <c r="K3" s="78">
        <f>IF(Events!$A$14&lt;&gt;"",Events!$A$14,"")</f>
        <v/>
      </c>
      <c r="L3" s="78">
        <f>IF(Events!$A$15&lt;&gt;"",Events!$A$15,"")</f>
        <v/>
      </c>
      <c r="M3" s="78">
        <f>IF(Events!$A$16&lt;&gt;"",Events!$A$16,"")</f>
        <v/>
      </c>
      <c r="N3" s="78">
        <f>IF(Events!$A$17&lt;&gt;"",Events!$A$17,"")</f>
        <v/>
      </c>
      <c r="O3" s="78">
        <f>IF(Events!$A$18&lt;&gt;"",Events!$A$18,"")</f>
        <v/>
      </c>
      <c r="P3" s="78">
        <f>IF(Events!$A$19&lt;&gt;"",Events!$A$19,"")</f>
        <v/>
      </c>
      <c r="Q3" s="78">
        <f>IF(Events!$A$20&lt;&gt;"",Events!$A$20,"")</f>
        <v/>
      </c>
      <c r="R3" s="78">
        <f>IF(Events!$A$21&lt;&gt;"",Events!$A$21,"")</f>
        <v/>
      </c>
      <c r="S3" s="78">
        <f>IF(Events!$A$22&lt;&gt;"",Events!$A$22,"")</f>
        <v/>
      </c>
      <c r="T3" s="78">
        <f>IF(Events!$A$23&lt;&gt;"",Events!$A$23,"")</f>
        <v/>
      </c>
      <c r="U3" s="78">
        <f>IF(Events!$A$24&lt;&gt;"",Events!$A$24,"")</f>
        <v/>
      </c>
      <c r="V3" s="78">
        <f>IF(Events!$A$25&lt;&gt;"",Events!$A$25,"")</f>
        <v/>
      </c>
      <c r="W3" s="78">
        <f>IF(Events!$A$26&lt;&gt;"",Events!$A$26,"")</f>
        <v/>
      </c>
      <c r="X3" s="78">
        <f>IF(Events!$A$27&lt;&gt;"",Events!$A$27,"")</f>
        <v/>
      </c>
      <c r="Y3" s="78">
        <f>IF(Events!$A$28&lt;&gt;"",Events!$A$28,"")</f>
        <v/>
      </c>
      <c r="Z3" s="78">
        <f>IF(Events!$A$29&lt;&gt;"",Events!$A$29,"")</f>
        <v/>
      </c>
      <c r="AA3" s="78">
        <f>IF(Events!$A$30&lt;&gt;"",Events!$A$30,"")</f>
        <v/>
      </c>
      <c r="AB3" s="78">
        <f>IF(Events!$A$31&lt;&gt;"",Events!$A$31,"")</f>
        <v/>
      </c>
      <c r="AC3" s="78">
        <f>IF(Events!$A$32&lt;&gt;"",Events!$A$32,"")</f>
        <v/>
      </c>
      <c r="AD3" s="78">
        <f>IF(Events!$A$33&lt;&gt;"",Events!$A$33,"")</f>
        <v/>
      </c>
      <c r="AE3" s="78">
        <f>IF(Events!$A$34&lt;&gt;"",Events!$A$34,"")</f>
        <v/>
      </c>
      <c r="AF3" s="78">
        <f>IF(Events!$A$35&lt;&gt;"",Events!$A$35,"")</f>
        <v/>
      </c>
      <c r="AG3" s="78">
        <f>IF(Events!$A$36&lt;&gt;"",Events!$A$36,"")</f>
        <v/>
      </c>
      <c r="AH3" s="78">
        <f>IF(Events!$A$37&lt;&gt;"",Events!$A$37,"")</f>
        <v/>
      </c>
      <c r="AI3" s="78">
        <f>IF(Events!$A$38&lt;&gt;"",Events!$A$38,"")</f>
        <v/>
      </c>
      <c r="AJ3" s="78">
        <f>IF(Events!$A$39&lt;&gt;"",Events!$A$39,"")</f>
        <v/>
      </c>
      <c r="AK3" s="78">
        <f>IF(Events!$A$40&lt;&gt;"",Events!$A$40,"")</f>
        <v/>
      </c>
      <c r="AL3" s="78">
        <f>IF(Events!$A$41&lt;&gt;"",Events!$A$41,"")</f>
        <v/>
      </c>
      <c r="AM3" s="78">
        <f>IF(Events!$A$42&lt;&gt;"",Events!$A$42,"")</f>
        <v/>
      </c>
      <c r="AN3" s="78">
        <f>IF(Events!$A$43&lt;&gt;"",Events!$A$43,"")</f>
        <v/>
      </c>
      <c r="AO3" s="78">
        <f>IF(Events!$A$44&lt;&gt;"",Events!$A$44,"")</f>
        <v/>
      </c>
      <c r="AP3" s="78">
        <f>IF(Events!$A$45&lt;&gt;"",Events!$A$45,"")</f>
        <v/>
      </c>
      <c r="AQ3" s="78">
        <f>IF(Events!$A$46&lt;&gt;"",Events!$A$46,"")</f>
        <v/>
      </c>
      <c r="AR3" s="78">
        <f>IF(Events!$A$47&lt;&gt;"",Events!$A$47,"")</f>
        <v/>
      </c>
      <c r="AS3" s="78">
        <f>IF(Events!$A$48&lt;&gt;"",Events!$A$48,"")</f>
        <v/>
      </c>
      <c r="AT3" s="78">
        <f>IF(Events!$A$49&lt;&gt;"",Events!$A$49,"")</f>
        <v/>
      </c>
      <c r="AU3" s="78">
        <f>IF(Events!$A$50&lt;&gt;"",Events!$A$50,"")</f>
        <v/>
      </c>
      <c r="AV3" s="78">
        <f>IF(Events!$A$51&lt;&gt;"",Events!$A$51,"")</f>
        <v/>
      </c>
      <c r="AW3" s="78">
        <f>IF(Events!$A$52&lt;&gt;"",Events!$A$52,"")</f>
        <v/>
      </c>
      <c r="AX3" s="78">
        <f>IF(Events!$A$53&lt;&gt;"",Events!$A$53,"")</f>
        <v/>
      </c>
      <c r="AY3" s="78">
        <f>IF(Events!$A$54&lt;&gt;"",Events!$A$54,"")</f>
        <v/>
      </c>
    </row>
    <row r="4" ht="18" customHeight="1">
      <c r="A4" s="87" t="inlineStr">
        <is>
          <t>Cost per Person ($) [auto]</t>
        </is>
      </c>
      <c r="B4" s="88">
        <f>IFERROR(IF(Events!$A$5&lt;&gt;"",IF(Events!$I$5="Equal Split",Events!$G$5/MAX(1,COUNTA(Roster!$A$5:$A$204)),Events!$G$5/MAX(1,COUNTIF(B$7:B$206,"1"))),0),0)</f>
        <v/>
      </c>
      <c r="C4" s="88">
        <f>IFERROR(IF(Events!$A$6&lt;&gt;"",IF(Events!$I$6="Equal Split",Events!$G$6/MAX(1,COUNTA(Roster!$A$5:$A$204)),Events!$G$6/MAX(1,COUNTIF(C$7:C$206,"1"))),0),0)</f>
        <v/>
      </c>
      <c r="D4" s="88">
        <f>IFERROR(IF(Events!$A$7&lt;&gt;"",IF(Events!$I$7="Equal Split",Events!$G$7/MAX(1,COUNTA(Roster!$A$5:$A$204)),Events!$G$7/MAX(1,COUNTIF(D$7:D$206,"1"))),0),0)</f>
        <v/>
      </c>
      <c r="E4" s="88">
        <f>IFERROR(IF(Events!$A$8&lt;&gt;"",IF(Events!$I$8="Equal Split",Events!$G$8/MAX(1,COUNTA(Roster!$A$5:$A$204)),Events!$G$8/MAX(1,COUNTIF(E$7:E$206,"1"))),0),0)</f>
        <v/>
      </c>
      <c r="F4" s="88">
        <f>IFERROR(IF(Events!$A$9&lt;&gt;"",IF(Events!$I$9="Equal Split",Events!$G$9/MAX(1,COUNTA(Roster!$A$5:$A$204)),Events!$G$9/MAX(1,COUNTIF(F$7:F$206,"1"))),0),0)</f>
        <v/>
      </c>
      <c r="G4" s="88">
        <f>IFERROR(IF(Events!$A$10&lt;&gt;"",IF(Events!$I$10="Equal Split",Events!$G$10/MAX(1,COUNTA(Roster!$A$5:$A$204)),Events!$G$10/MAX(1,COUNTIF(G$7:G$206,"1"))),0),0)</f>
        <v/>
      </c>
      <c r="H4" s="88">
        <f>IFERROR(IF(Events!$A$11&lt;&gt;"",IF(Events!$I$11="Equal Split",Events!$G$11/MAX(1,COUNTA(Roster!$A$5:$A$204)),Events!$G$11/MAX(1,COUNTIF(H$7:H$206,"1"))),0),0)</f>
        <v/>
      </c>
      <c r="I4" s="88">
        <f>IFERROR(IF(Events!$A$12&lt;&gt;"",IF(Events!$I$12="Equal Split",Events!$G$12/MAX(1,COUNTA(Roster!$A$5:$A$204)),Events!$G$12/MAX(1,COUNTIF(I$7:I$206,"1"))),0),0)</f>
        <v/>
      </c>
      <c r="J4" s="88">
        <f>IFERROR(IF(Events!$A$13&lt;&gt;"",IF(Events!$I$13="Equal Split",Events!$G$13/MAX(1,COUNTA(Roster!$A$5:$A$204)),Events!$G$13/MAX(1,COUNTIF(J$7:J$206,"1"))),0),0)</f>
        <v/>
      </c>
      <c r="K4" s="88">
        <f>IFERROR(IF(Events!$A$14&lt;&gt;"",IF(Events!$I$14="Equal Split",Events!$G$14/MAX(1,COUNTA(Roster!$A$5:$A$204)),Events!$G$14/MAX(1,COUNTIF(K$7:K$206,"1"))),0),0)</f>
        <v/>
      </c>
      <c r="L4" s="88">
        <f>IFERROR(IF(Events!$A$15&lt;&gt;"",IF(Events!$I$15="Equal Split",Events!$G$15/MAX(1,COUNTA(Roster!$A$5:$A$204)),Events!$G$15/MAX(1,COUNTIF(L$7:L$206,"1"))),0),0)</f>
        <v/>
      </c>
      <c r="M4" s="88">
        <f>IFERROR(IF(Events!$A$16&lt;&gt;"",IF(Events!$I$16="Equal Split",Events!$G$16/MAX(1,COUNTA(Roster!$A$5:$A$204)),Events!$G$16/MAX(1,COUNTIF(M$7:M$206,"1"))),0),0)</f>
        <v/>
      </c>
      <c r="N4" s="88">
        <f>IFERROR(IF(Events!$A$17&lt;&gt;"",IF(Events!$I$17="Equal Split",Events!$G$17/MAX(1,COUNTA(Roster!$A$5:$A$204)),Events!$G$17/MAX(1,COUNTIF(N$7:N$206,"1"))),0),0)</f>
        <v/>
      </c>
      <c r="O4" s="88">
        <f>IFERROR(IF(Events!$A$18&lt;&gt;"",IF(Events!$I$18="Equal Split",Events!$G$18/MAX(1,COUNTA(Roster!$A$5:$A$204)),Events!$G$18/MAX(1,COUNTIF(O$7:O$206,"1"))),0),0)</f>
        <v/>
      </c>
      <c r="P4" s="88">
        <f>IFERROR(IF(Events!$A$19&lt;&gt;"",IF(Events!$I$19="Equal Split",Events!$G$19/MAX(1,COUNTA(Roster!$A$5:$A$204)),Events!$G$19/MAX(1,COUNTIF(P$7:P$206,"1"))),0),0)</f>
        <v/>
      </c>
      <c r="Q4" s="88">
        <f>IFERROR(IF(Events!$A$20&lt;&gt;"",IF(Events!$I$20="Equal Split",Events!$G$20/MAX(1,COUNTA(Roster!$A$5:$A$204)),Events!$G$20/MAX(1,COUNTIF(Q$7:Q$206,"1"))),0),0)</f>
        <v/>
      </c>
      <c r="R4" s="88">
        <f>IFERROR(IF(Events!$A$21&lt;&gt;"",IF(Events!$I$21="Equal Split",Events!$G$21/MAX(1,COUNTA(Roster!$A$5:$A$204)),Events!$G$21/MAX(1,COUNTIF(R$7:R$206,"1"))),0),0)</f>
        <v/>
      </c>
      <c r="S4" s="88">
        <f>IFERROR(IF(Events!$A$22&lt;&gt;"",IF(Events!$I$22="Equal Split",Events!$G$22/MAX(1,COUNTA(Roster!$A$5:$A$204)),Events!$G$22/MAX(1,COUNTIF(S$7:S$206,"1"))),0),0)</f>
        <v/>
      </c>
      <c r="T4" s="88">
        <f>IFERROR(IF(Events!$A$23&lt;&gt;"",IF(Events!$I$23="Equal Split",Events!$G$23/MAX(1,COUNTA(Roster!$A$5:$A$204)),Events!$G$23/MAX(1,COUNTIF(T$7:T$206,"1"))),0),0)</f>
        <v/>
      </c>
      <c r="U4" s="88">
        <f>IFERROR(IF(Events!$A$24&lt;&gt;"",IF(Events!$I$24="Equal Split",Events!$G$24/MAX(1,COUNTA(Roster!$A$5:$A$204)),Events!$G$24/MAX(1,COUNTIF(U$7:U$206,"1"))),0),0)</f>
        <v/>
      </c>
      <c r="V4" s="88">
        <f>IFERROR(IF(Events!$A$25&lt;&gt;"",IF(Events!$I$25="Equal Split",Events!$G$25/MAX(1,COUNTA(Roster!$A$5:$A$204)),Events!$G$25/MAX(1,COUNTIF(V$7:V$206,"1"))),0),0)</f>
        <v/>
      </c>
      <c r="W4" s="88">
        <f>IFERROR(IF(Events!$A$26&lt;&gt;"",IF(Events!$I$26="Equal Split",Events!$G$26/MAX(1,COUNTA(Roster!$A$5:$A$204)),Events!$G$26/MAX(1,COUNTIF(W$7:W$206,"1"))),0),0)</f>
        <v/>
      </c>
      <c r="X4" s="88">
        <f>IFERROR(IF(Events!$A$27&lt;&gt;"",IF(Events!$I$27="Equal Split",Events!$G$27/MAX(1,COUNTA(Roster!$A$5:$A$204)),Events!$G$27/MAX(1,COUNTIF(X$7:X$206,"1"))),0),0)</f>
        <v/>
      </c>
      <c r="Y4" s="88">
        <f>IFERROR(IF(Events!$A$28&lt;&gt;"",IF(Events!$I$28="Equal Split",Events!$G$28/MAX(1,COUNTA(Roster!$A$5:$A$204)),Events!$G$28/MAX(1,COUNTIF(Y$7:Y$206,"1"))),0),0)</f>
        <v/>
      </c>
      <c r="Z4" s="88">
        <f>IFERROR(IF(Events!$A$29&lt;&gt;"",IF(Events!$I$29="Equal Split",Events!$G$29/MAX(1,COUNTA(Roster!$A$5:$A$204)),Events!$G$29/MAX(1,COUNTIF(Z$7:Z$206,"1"))),0),0)</f>
        <v/>
      </c>
      <c r="AA4" s="88">
        <f>IFERROR(IF(Events!$A$30&lt;&gt;"",IF(Events!$I$30="Equal Split",Events!$G$30/MAX(1,COUNTA(Roster!$A$5:$A$204)),Events!$G$30/MAX(1,COUNTIF(AA$7:AA$206,"1"))),0),0)</f>
        <v/>
      </c>
      <c r="AB4" s="88">
        <f>IFERROR(IF(Events!$A$31&lt;&gt;"",IF(Events!$I$31="Equal Split",Events!$G$31/MAX(1,COUNTA(Roster!$A$5:$A$204)),Events!$G$31/MAX(1,COUNTIF(AB$7:AB$206,"1"))),0),0)</f>
        <v/>
      </c>
      <c r="AC4" s="88">
        <f>IFERROR(IF(Events!$A$32&lt;&gt;"",IF(Events!$I$32="Equal Split",Events!$G$32/MAX(1,COUNTA(Roster!$A$5:$A$204)),Events!$G$32/MAX(1,COUNTIF(AC$7:AC$206,"1"))),0),0)</f>
        <v/>
      </c>
      <c r="AD4" s="88">
        <f>IFERROR(IF(Events!$A$33&lt;&gt;"",IF(Events!$I$33="Equal Split",Events!$G$33/MAX(1,COUNTA(Roster!$A$5:$A$204)),Events!$G$33/MAX(1,COUNTIF(AD$7:AD$206,"1"))),0),0)</f>
        <v/>
      </c>
      <c r="AE4" s="88">
        <f>IFERROR(IF(Events!$A$34&lt;&gt;"",IF(Events!$I$34="Equal Split",Events!$G$34/MAX(1,COUNTA(Roster!$A$5:$A$204)),Events!$G$34/MAX(1,COUNTIF(AE$7:AE$206,"1"))),0),0)</f>
        <v/>
      </c>
      <c r="AF4" s="88">
        <f>IFERROR(IF(Events!$A$35&lt;&gt;"",IF(Events!$I$35="Equal Split",Events!$G$35/MAX(1,COUNTA(Roster!$A$5:$A$204)),Events!$G$35/MAX(1,COUNTIF(AF$7:AF$206,"1"))),0),0)</f>
        <v/>
      </c>
      <c r="AG4" s="88">
        <f>IFERROR(IF(Events!$A$36&lt;&gt;"",IF(Events!$I$36="Equal Split",Events!$G$36/MAX(1,COUNTA(Roster!$A$5:$A$204)),Events!$G$36/MAX(1,COUNTIF(AG$7:AG$206,"1"))),0),0)</f>
        <v/>
      </c>
      <c r="AH4" s="88">
        <f>IFERROR(IF(Events!$A$37&lt;&gt;"",IF(Events!$I$37="Equal Split",Events!$G$37/MAX(1,COUNTA(Roster!$A$5:$A$204)),Events!$G$37/MAX(1,COUNTIF(AH$7:AH$206,"1"))),0),0)</f>
        <v/>
      </c>
      <c r="AI4" s="88">
        <f>IFERROR(IF(Events!$A$38&lt;&gt;"",IF(Events!$I$38="Equal Split",Events!$G$38/MAX(1,COUNTA(Roster!$A$5:$A$204)),Events!$G$38/MAX(1,COUNTIF(AI$7:AI$206,"1"))),0),0)</f>
        <v/>
      </c>
      <c r="AJ4" s="88">
        <f>IFERROR(IF(Events!$A$39&lt;&gt;"",IF(Events!$I$39="Equal Split",Events!$G$39/MAX(1,COUNTA(Roster!$A$5:$A$204)),Events!$G$39/MAX(1,COUNTIF(AJ$7:AJ$206,"1"))),0),0)</f>
        <v/>
      </c>
      <c r="AK4" s="88">
        <f>IFERROR(IF(Events!$A$40&lt;&gt;"",IF(Events!$I$40="Equal Split",Events!$G$40/MAX(1,COUNTA(Roster!$A$5:$A$204)),Events!$G$40/MAX(1,COUNTIF(AK$7:AK$206,"1"))),0),0)</f>
        <v/>
      </c>
      <c r="AL4" s="88">
        <f>IFERROR(IF(Events!$A$41&lt;&gt;"",IF(Events!$I$41="Equal Split",Events!$G$41/MAX(1,COUNTA(Roster!$A$5:$A$204)),Events!$G$41/MAX(1,COUNTIF(AL$7:AL$206,"1"))),0),0)</f>
        <v/>
      </c>
      <c r="AM4" s="88">
        <f>IFERROR(IF(Events!$A$42&lt;&gt;"",IF(Events!$I$42="Equal Split",Events!$G$42/MAX(1,COUNTA(Roster!$A$5:$A$204)),Events!$G$42/MAX(1,COUNTIF(AM$7:AM$206,"1"))),0),0)</f>
        <v/>
      </c>
      <c r="AN4" s="88">
        <f>IFERROR(IF(Events!$A$43&lt;&gt;"",IF(Events!$I$43="Equal Split",Events!$G$43/MAX(1,COUNTA(Roster!$A$5:$A$204)),Events!$G$43/MAX(1,COUNTIF(AN$7:AN$206,"1"))),0),0)</f>
        <v/>
      </c>
      <c r="AO4" s="88">
        <f>IFERROR(IF(Events!$A$44&lt;&gt;"",IF(Events!$I$44="Equal Split",Events!$G$44/MAX(1,COUNTA(Roster!$A$5:$A$204)),Events!$G$44/MAX(1,COUNTIF(AO$7:AO$206,"1"))),0),0)</f>
        <v/>
      </c>
      <c r="AP4" s="88">
        <f>IFERROR(IF(Events!$A$45&lt;&gt;"",IF(Events!$I$45="Equal Split",Events!$G$45/MAX(1,COUNTA(Roster!$A$5:$A$204)),Events!$G$45/MAX(1,COUNTIF(AP$7:AP$206,"1"))),0),0)</f>
        <v/>
      </c>
      <c r="AQ4" s="88">
        <f>IFERROR(IF(Events!$A$46&lt;&gt;"",IF(Events!$I$46="Equal Split",Events!$G$46/MAX(1,COUNTA(Roster!$A$5:$A$204)),Events!$G$46/MAX(1,COUNTIF(AQ$7:AQ$206,"1"))),0),0)</f>
        <v/>
      </c>
      <c r="AR4" s="88">
        <f>IFERROR(IF(Events!$A$47&lt;&gt;"",IF(Events!$I$47="Equal Split",Events!$G$47/MAX(1,COUNTA(Roster!$A$5:$A$204)),Events!$G$47/MAX(1,COUNTIF(AR$7:AR$206,"1"))),0),0)</f>
        <v/>
      </c>
      <c r="AS4" s="88">
        <f>IFERROR(IF(Events!$A$48&lt;&gt;"",IF(Events!$I$48="Equal Split",Events!$G$48/MAX(1,COUNTA(Roster!$A$5:$A$204)),Events!$G$48/MAX(1,COUNTIF(AS$7:AS$206,"1"))),0),0)</f>
        <v/>
      </c>
      <c r="AT4" s="88">
        <f>IFERROR(IF(Events!$A$49&lt;&gt;"",IF(Events!$I$49="Equal Split",Events!$G$49/MAX(1,COUNTA(Roster!$A$5:$A$204)),Events!$G$49/MAX(1,COUNTIF(AT$7:AT$206,"1"))),0),0)</f>
        <v/>
      </c>
      <c r="AU4" s="88">
        <f>IFERROR(IF(Events!$A$50&lt;&gt;"",IF(Events!$I$50="Equal Split",Events!$G$50/MAX(1,COUNTA(Roster!$A$5:$A$204)),Events!$G$50/MAX(1,COUNTIF(AU$7:AU$206,"1"))),0),0)</f>
        <v/>
      </c>
      <c r="AV4" s="88">
        <f>IFERROR(IF(Events!$A$51&lt;&gt;"",IF(Events!$I$51="Equal Split",Events!$G$51/MAX(1,COUNTA(Roster!$A$5:$A$204)),Events!$G$51/MAX(1,COUNTIF(AV$7:AV$206,"1"))),0),0)</f>
        <v/>
      </c>
      <c r="AW4" s="88">
        <f>IFERROR(IF(Events!$A$52&lt;&gt;"",IF(Events!$I$52="Equal Split",Events!$G$52/MAX(1,COUNTA(Roster!$A$5:$A$204)),Events!$G$52/MAX(1,COUNTIF(AW$7:AW$206,"1"))),0),0)</f>
        <v/>
      </c>
      <c r="AX4" s="88">
        <f>IFERROR(IF(Events!$A$53&lt;&gt;"",IF(Events!$I$53="Equal Split",Events!$G$53/MAX(1,COUNTA(Roster!$A$5:$A$204)),Events!$G$53/MAX(1,COUNTIF(AX$7:AX$206,"1"))),0),0)</f>
        <v/>
      </c>
      <c r="AY4" s="88">
        <f>IFERROR(IF(Events!$A$54&lt;&gt;"",IF(Events!$I$54="Equal Split",Events!$G$54/MAX(1,COUNTA(Roster!$A$5:$A$204)),Events!$G$54/MAX(1,COUNTIF(AY$7:AY$206,"1"))),0),0)</f>
        <v/>
      </c>
    </row>
    <row r="5" ht="18" customHeight="1">
      <c r="A5" s="87" t="inlineStr">
        <is>
          <t>Total Attendees</t>
        </is>
      </c>
      <c r="B5" s="88">
        <f>COUNTIF(B7:B206,"1")</f>
        <v/>
      </c>
      <c r="C5" s="88">
        <f>COUNTIF(C7:C206,"1")</f>
        <v/>
      </c>
      <c r="D5" s="88">
        <f>COUNTIF(D7:D206,"1")</f>
        <v/>
      </c>
      <c r="E5" s="88">
        <f>COUNTIF(E7:E206,"1")</f>
        <v/>
      </c>
      <c r="F5" s="88">
        <f>COUNTIF(F7:F206,"1")</f>
        <v/>
      </c>
      <c r="G5" s="88">
        <f>COUNTIF(G7:G206,"1")</f>
        <v/>
      </c>
      <c r="H5" s="88">
        <f>COUNTIF(H7:H206,"1")</f>
        <v/>
      </c>
      <c r="I5" s="88">
        <f>COUNTIF(I7:I206,"1")</f>
        <v/>
      </c>
      <c r="J5" s="88">
        <f>COUNTIF(J7:J206,"1")</f>
        <v/>
      </c>
      <c r="K5" s="88">
        <f>COUNTIF(K7:K206,"1")</f>
        <v/>
      </c>
      <c r="L5" s="88">
        <f>COUNTIF(L7:L206,"1")</f>
        <v/>
      </c>
      <c r="M5" s="88">
        <f>COUNTIF(M7:M206,"1")</f>
        <v/>
      </c>
      <c r="N5" s="88">
        <f>COUNTIF(N7:N206,"1")</f>
        <v/>
      </c>
      <c r="O5" s="88">
        <f>COUNTIF(O7:O206,"1")</f>
        <v/>
      </c>
      <c r="P5" s="88">
        <f>COUNTIF(P7:P206,"1")</f>
        <v/>
      </c>
      <c r="Q5" s="88">
        <f>COUNTIF(Q7:Q206,"1")</f>
        <v/>
      </c>
      <c r="R5" s="88">
        <f>COUNTIF(R7:R206,"1")</f>
        <v/>
      </c>
      <c r="S5" s="88">
        <f>COUNTIF(S7:S206,"1")</f>
        <v/>
      </c>
      <c r="T5" s="88">
        <f>COUNTIF(T7:T206,"1")</f>
        <v/>
      </c>
      <c r="U5" s="88">
        <f>COUNTIF(U7:U206,"1")</f>
        <v/>
      </c>
      <c r="V5" s="88">
        <f>COUNTIF(V7:V206,"1")</f>
        <v/>
      </c>
      <c r="W5" s="88">
        <f>COUNTIF(W7:W206,"1")</f>
        <v/>
      </c>
      <c r="X5" s="88">
        <f>COUNTIF(X7:X206,"1")</f>
        <v/>
      </c>
      <c r="Y5" s="88">
        <f>COUNTIF(Y7:Y206,"1")</f>
        <v/>
      </c>
      <c r="Z5" s="88">
        <f>COUNTIF(Z7:Z206,"1")</f>
        <v/>
      </c>
      <c r="AA5" s="88">
        <f>COUNTIF(AA7:AA206,"1")</f>
        <v/>
      </c>
      <c r="AB5" s="88">
        <f>COUNTIF(AB7:AB206,"1")</f>
        <v/>
      </c>
      <c r="AC5" s="88">
        <f>COUNTIF(AC7:AC206,"1")</f>
        <v/>
      </c>
      <c r="AD5" s="88">
        <f>COUNTIF(AD7:AD206,"1")</f>
        <v/>
      </c>
      <c r="AE5" s="88">
        <f>COUNTIF(AE7:AE206,"1")</f>
        <v/>
      </c>
      <c r="AF5" s="88">
        <f>COUNTIF(AF7:AF206,"1")</f>
        <v/>
      </c>
      <c r="AG5" s="88">
        <f>COUNTIF(AG7:AG206,"1")</f>
        <v/>
      </c>
      <c r="AH5" s="88">
        <f>COUNTIF(AH7:AH206,"1")</f>
        <v/>
      </c>
      <c r="AI5" s="88">
        <f>COUNTIF(AI7:AI206,"1")</f>
        <v/>
      </c>
      <c r="AJ5" s="88">
        <f>COUNTIF(AJ7:AJ206,"1")</f>
        <v/>
      </c>
      <c r="AK5" s="88">
        <f>COUNTIF(AK7:AK206,"1")</f>
        <v/>
      </c>
      <c r="AL5" s="88">
        <f>COUNTIF(AL7:AL206,"1")</f>
        <v/>
      </c>
      <c r="AM5" s="88">
        <f>COUNTIF(AM7:AM206,"1")</f>
        <v/>
      </c>
      <c r="AN5" s="88">
        <f>COUNTIF(AN7:AN206,"1")</f>
        <v/>
      </c>
      <c r="AO5" s="88">
        <f>COUNTIF(AO7:AO206,"1")</f>
        <v/>
      </c>
      <c r="AP5" s="88">
        <f>COUNTIF(AP7:AP206,"1")</f>
        <v/>
      </c>
      <c r="AQ5" s="88">
        <f>COUNTIF(AQ7:AQ206,"1")</f>
        <v/>
      </c>
      <c r="AR5" s="88">
        <f>COUNTIF(AR7:AR206,"1")</f>
        <v/>
      </c>
      <c r="AS5" s="88">
        <f>COUNTIF(AS7:AS206,"1")</f>
        <v/>
      </c>
      <c r="AT5" s="88">
        <f>COUNTIF(AT7:AT206,"1")</f>
        <v/>
      </c>
      <c r="AU5" s="88">
        <f>COUNTIF(AU7:AU206,"1")</f>
        <v/>
      </c>
      <c r="AV5" s="88">
        <f>COUNTIF(AV7:AV206,"1")</f>
        <v/>
      </c>
      <c r="AW5" s="88">
        <f>COUNTIF(AW7:AW206,"1")</f>
        <v/>
      </c>
      <c r="AX5" s="88">
        <f>COUNTIF(AX7:AX206,"1")</f>
        <v/>
      </c>
      <c r="AY5" s="88">
        <f>COUNTIF(AY7:AY206,"1")</f>
        <v/>
      </c>
    </row>
    <row r="6" ht="18" customHeight="1">
      <c r="A6" s="87" t="inlineStr">
        <is>
          <t>Total Cost ($)</t>
        </is>
      </c>
      <c r="B6" s="88">
        <f>B4*B5</f>
        <v/>
      </c>
      <c r="C6" s="88">
        <f>C4*C5</f>
        <v/>
      </c>
      <c r="D6" s="88">
        <f>D4*D5</f>
        <v/>
      </c>
      <c r="E6" s="88">
        <f>E4*E5</f>
        <v/>
      </c>
      <c r="F6" s="88">
        <f>F4*F5</f>
        <v/>
      </c>
      <c r="G6" s="88">
        <f>G4*G5</f>
        <v/>
      </c>
      <c r="H6" s="88">
        <f>H4*H5</f>
        <v/>
      </c>
      <c r="I6" s="88">
        <f>I4*I5</f>
        <v/>
      </c>
      <c r="J6" s="88">
        <f>J4*J5</f>
        <v/>
      </c>
      <c r="K6" s="88">
        <f>K4*K5</f>
        <v/>
      </c>
      <c r="L6" s="88">
        <f>L4*L5</f>
        <v/>
      </c>
      <c r="M6" s="88">
        <f>M4*M5</f>
        <v/>
      </c>
      <c r="N6" s="88">
        <f>N4*N5</f>
        <v/>
      </c>
      <c r="O6" s="88">
        <f>O4*O5</f>
        <v/>
      </c>
      <c r="P6" s="88">
        <f>P4*P5</f>
        <v/>
      </c>
      <c r="Q6" s="88">
        <f>Q4*Q5</f>
        <v/>
      </c>
      <c r="R6" s="88">
        <f>R4*R5</f>
        <v/>
      </c>
      <c r="S6" s="88">
        <f>S4*S5</f>
        <v/>
      </c>
      <c r="T6" s="88">
        <f>T4*T5</f>
        <v/>
      </c>
      <c r="U6" s="88">
        <f>U4*U5</f>
        <v/>
      </c>
      <c r="V6" s="88">
        <f>V4*V5</f>
        <v/>
      </c>
      <c r="W6" s="88">
        <f>W4*W5</f>
        <v/>
      </c>
      <c r="X6" s="88">
        <f>X4*X5</f>
        <v/>
      </c>
      <c r="Y6" s="88">
        <f>Y4*Y5</f>
        <v/>
      </c>
      <c r="Z6" s="88">
        <f>Z4*Z5</f>
        <v/>
      </c>
      <c r="AA6" s="88">
        <f>AA4*AA5</f>
        <v/>
      </c>
      <c r="AB6" s="88">
        <f>AB4*AB5</f>
        <v/>
      </c>
      <c r="AC6" s="88">
        <f>AC4*AC5</f>
        <v/>
      </c>
      <c r="AD6" s="88">
        <f>AD4*AD5</f>
        <v/>
      </c>
      <c r="AE6" s="88">
        <f>AE4*AE5</f>
        <v/>
      </c>
      <c r="AF6" s="88">
        <f>AF4*AF5</f>
        <v/>
      </c>
      <c r="AG6" s="88">
        <f>AG4*AG5</f>
        <v/>
      </c>
      <c r="AH6" s="88">
        <f>AH4*AH5</f>
        <v/>
      </c>
      <c r="AI6" s="88">
        <f>AI4*AI5</f>
        <v/>
      </c>
      <c r="AJ6" s="88">
        <f>AJ4*AJ5</f>
        <v/>
      </c>
      <c r="AK6" s="88">
        <f>AK4*AK5</f>
        <v/>
      </c>
      <c r="AL6" s="88">
        <f>AL4*AL5</f>
        <v/>
      </c>
      <c r="AM6" s="88">
        <f>AM4*AM5</f>
        <v/>
      </c>
      <c r="AN6" s="88">
        <f>AN4*AN5</f>
        <v/>
      </c>
      <c r="AO6" s="88">
        <f>AO4*AO5</f>
        <v/>
      </c>
      <c r="AP6" s="88">
        <f>AP4*AP5</f>
        <v/>
      </c>
      <c r="AQ6" s="88">
        <f>AQ4*AQ5</f>
        <v/>
      </c>
      <c r="AR6" s="88">
        <f>AR4*AR5</f>
        <v/>
      </c>
      <c r="AS6" s="88">
        <f>AS4*AS5</f>
        <v/>
      </c>
      <c r="AT6" s="88">
        <f>AT4*AT5</f>
        <v/>
      </c>
      <c r="AU6" s="88">
        <f>AU4*AU5</f>
        <v/>
      </c>
      <c r="AV6" s="88">
        <f>AV4*AV5</f>
        <v/>
      </c>
      <c r="AW6" s="88">
        <f>AW4*AW5</f>
        <v/>
      </c>
      <c r="AX6" s="88">
        <f>AX4*AX5</f>
        <v/>
      </c>
      <c r="AY6" s="88">
        <f>AY4*AY5</f>
        <v/>
      </c>
    </row>
    <row r="7" ht="18" customHeight="1">
      <c r="A7" s="89">
        <f>IF(Roster!$A$5&lt;&gt;"",Roster!$A$5,"")</f>
        <v/>
      </c>
      <c r="B7" s="90" t="n"/>
      <c r="C7" s="90" t="n"/>
      <c r="D7" s="90" t="n"/>
      <c r="E7" s="90" t="n"/>
      <c r="F7" s="90" t="n"/>
      <c r="G7" s="90" t="n"/>
      <c r="H7" s="90" t="n"/>
      <c r="I7" s="90" t="n"/>
      <c r="J7" s="90" t="n"/>
      <c r="K7" s="90" t="n"/>
      <c r="L7" s="90" t="n"/>
      <c r="M7" s="90" t="n"/>
      <c r="N7" s="90" t="n"/>
      <c r="O7" s="90" t="n"/>
      <c r="P7" s="90" t="n"/>
      <c r="Q7" s="90" t="n"/>
      <c r="R7" s="90" t="n"/>
      <c r="S7" s="90" t="n"/>
      <c r="T7" s="90" t="n"/>
      <c r="U7" s="90" t="n"/>
      <c r="V7" s="90" t="n"/>
      <c r="W7" s="90" t="n"/>
      <c r="X7" s="90" t="n"/>
      <c r="Y7" s="90" t="n"/>
      <c r="Z7" s="90" t="n"/>
      <c r="AA7" s="90" t="n"/>
      <c r="AB7" s="90" t="n"/>
      <c r="AC7" s="90" t="n"/>
      <c r="AD7" s="90" t="n"/>
      <c r="AE7" s="90" t="n"/>
      <c r="AF7" s="90" t="n"/>
      <c r="AG7" s="90" t="n"/>
      <c r="AH7" s="90" t="n"/>
      <c r="AI7" s="90" t="n"/>
      <c r="AJ7" s="90" t="n"/>
      <c r="AK7" s="90" t="n"/>
      <c r="AL7" s="90" t="n"/>
      <c r="AM7" s="90" t="n"/>
      <c r="AN7" s="90" t="n"/>
      <c r="AO7" s="90" t="n"/>
      <c r="AP7" s="90" t="n"/>
      <c r="AQ7" s="90" t="n"/>
      <c r="AR7" s="90" t="n"/>
      <c r="AS7" s="90" t="n"/>
      <c r="AT7" s="90" t="n"/>
      <c r="AU7" s="90" t="n"/>
      <c r="AV7" s="90" t="n"/>
      <c r="AW7" s="90" t="n"/>
      <c r="AX7" s="90" t="n"/>
      <c r="AY7" s="90" t="n"/>
    </row>
    <row r="8" ht="18" customHeight="1">
      <c r="A8" s="89">
        <f>IF(Roster!$A$6&lt;&gt;"",Roster!$A$6,"")</f>
        <v/>
      </c>
      <c r="B8" s="90" t="n"/>
      <c r="C8" s="90" t="n"/>
      <c r="D8" s="90" t="n"/>
      <c r="E8" s="90" t="n"/>
      <c r="F8" s="90" t="n"/>
      <c r="G8" s="90" t="n"/>
      <c r="H8" s="90" t="n"/>
      <c r="I8" s="90" t="n"/>
      <c r="J8" s="90" t="n"/>
      <c r="K8" s="90" t="n"/>
      <c r="L8" s="90" t="n"/>
      <c r="M8" s="90" t="n"/>
      <c r="N8" s="90" t="n"/>
      <c r="O8" s="90" t="n"/>
      <c r="P8" s="90" t="n"/>
      <c r="Q8" s="90" t="n"/>
      <c r="R8" s="90" t="n"/>
      <c r="S8" s="90" t="n"/>
      <c r="T8" s="90" t="n"/>
      <c r="U8" s="90" t="n"/>
      <c r="V8" s="90" t="n"/>
      <c r="W8" s="90" t="n"/>
      <c r="X8" s="90" t="n"/>
      <c r="Y8" s="90" t="n"/>
      <c r="Z8" s="90" t="n"/>
      <c r="AA8" s="90" t="n"/>
      <c r="AB8" s="90" t="n"/>
      <c r="AC8" s="90" t="n"/>
      <c r="AD8" s="90" t="n"/>
      <c r="AE8" s="90" t="n"/>
      <c r="AF8" s="90" t="n"/>
      <c r="AG8" s="90" t="n"/>
      <c r="AH8" s="90" t="n"/>
      <c r="AI8" s="90" t="n"/>
      <c r="AJ8" s="90" t="n"/>
      <c r="AK8" s="90" t="n"/>
      <c r="AL8" s="90" t="n"/>
      <c r="AM8" s="90" t="n"/>
      <c r="AN8" s="90" t="n"/>
      <c r="AO8" s="90" t="n"/>
      <c r="AP8" s="90" t="n"/>
      <c r="AQ8" s="90" t="n"/>
      <c r="AR8" s="90" t="n"/>
      <c r="AS8" s="90" t="n"/>
      <c r="AT8" s="90" t="n"/>
      <c r="AU8" s="90" t="n"/>
      <c r="AV8" s="90" t="n"/>
      <c r="AW8" s="90" t="n"/>
      <c r="AX8" s="90" t="n"/>
      <c r="AY8" s="90" t="n"/>
    </row>
    <row r="9" ht="22" customHeight="1">
      <c r="A9" s="89">
        <f>IF(Roster!$A$7&lt;&gt;"",Roster!$A$7,"")</f>
        <v/>
      </c>
      <c r="B9" s="90" t="n"/>
      <c r="C9" s="90" t="n"/>
      <c r="D9" s="90" t="n"/>
      <c r="E9" s="90" t="n"/>
      <c r="F9" s="90" t="n"/>
      <c r="G9" s="90" t="n"/>
      <c r="H9" s="90" t="n"/>
      <c r="I9" s="90" t="n"/>
      <c r="J9" s="90" t="n"/>
      <c r="K9" s="90" t="n"/>
      <c r="L9" s="90" t="n"/>
      <c r="M9" s="90" t="n"/>
      <c r="N9" s="90" t="n"/>
      <c r="O9" s="90" t="n"/>
      <c r="P9" s="90" t="n"/>
      <c r="Q9" s="90" t="n"/>
      <c r="R9" s="90" t="n"/>
      <c r="S9" s="90" t="n"/>
      <c r="T9" s="90" t="n"/>
      <c r="U9" s="90" t="n"/>
      <c r="V9" s="90" t="n"/>
      <c r="W9" s="90" t="n"/>
      <c r="X9" s="90" t="n"/>
      <c r="Y9" s="90" t="n"/>
      <c r="Z9" s="90" t="n"/>
      <c r="AA9" s="90" t="n"/>
      <c r="AB9" s="90" t="n"/>
      <c r="AC9" s="90" t="n"/>
      <c r="AD9" s="90" t="n"/>
      <c r="AE9" s="90" t="n"/>
      <c r="AF9" s="90" t="n"/>
      <c r="AG9" s="90" t="n"/>
      <c r="AH9" s="90" t="n"/>
      <c r="AI9" s="90" t="n"/>
      <c r="AJ9" s="90" t="n"/>
      <c r="AK9" s="90" t="n"/>
      <c r="AL9" s="90" t="n"/>
      <c r="AM9" s="90" t="n"/>
      <c r="AN9" s="90" t="n"/>
      <c r="AO9" s="90" t="n"/>
      <c r="AP9" s="90" t="n"/>
      <c r="AQ9" s="90" t="n"/>
      <c r="AR9" s="90" t="n"/>
      <c r="AS9" s="90" t="n"/>
      <c r="AT9" s="90" t="n"/>
      <c r="AU9" s="90" t="n"/>
      <c r="AV9" s="90" t="n"/>
      <c r="AW9" s="90" t="n"/>
      <c r="AX9" s="90" t="n"/>
      <c r="AY9" s="90" t="n"/>
    </row>
    <row r="10" ht="20" customHeight="1">
      <c r="A10" s="89">
        <f>IF(Roster!$A$8&lt;&gt;"",Roster!$A$8,"")</f>
        <v/>
      </c>
      <c r="B10" s="90" t="n"/>
      <c r="C10" s="90" t="n"/>
      <c r="D10" s="90" t="n"/>
      <c r="E10" s="90" t="n"/>
      <c r="F10" s="90" t="n"/>
      <c r="G10" s="90" t="n"/>
      <c r="H10" s="90" t="n"/>
      <c r="I10" s="90" t="n"/>
      <c r="J10" s="90" t="n"/>
      <c r="K10" s="90" t="n"/>
      <c r="L10" s="90" t="n"/>
      <c r="M10" s="90" t="n"/>
      <c r="N10" s="90" t="n"/>
      <c r="O10" s="90" t="n"/>
      <c r="P10" s="90" t="n"/>
      <c r="Q10" s="90" t="n"/>
      <c r="R10" s="90" t="n"/>
      <c r="S10" s="90" t="n"/>
      <c r="T10" s="90" t="n"/>
      <c r="U10" s="90" t="n"/>
      <c r="V10" s="90" t="n"/>
      <c r="W10" s="90" t="n"/>
      <c r="X10" s="90" t="n"/>
      <c r="Y10" s="90" t="n"/>
      <c r="Z10" s="90" t="n"/>
      <c r="AA10" s="90" t="n"/>
      <c r="AB10" s="90" t="n"/>
      <c r="AC10" s="90" t="n"/>
      <c r="AD10" s="90" t="n"/>
      <c r="AE10" s="90" t="n"/>
      <c r="AF10" s="90" t="n"/>
      <c r="AG10" s="90" t="n"/>
      <c r="AH10" s="90" t="n"/>
      <c r="AI10" s="90" t="n"/>
      <c r="AJ10" s="90" t="n"/>
      <c r="AK10" s="90" t="n"/>
      <c r="AL10" s="90" t="n"/>
      <c r="AM10" s="90" t="n"/>
      <c r="AN10" s="90" t="n"/>
      <c r="AO10" s="90" t="n"/>
      <c r="AP10" s="90" t="n"/>
      <c r="AQ10" s="90" t="n"/>
      <c r="AR10" s="90" t="n"/>
      <c r="AS10" s="90" t="n"/>
      <c r="AT10" s="90" t="n"/>
      <c r="AU10" s="90" t="n"/>
      <c r="AV10" s="90" t="n"/>
      <c r="AW10" s="90" t="n"/>
      <c r="AX10" s="90" t="n"/>
      <c r="AY10" s="90" t="n"/>
    </row>
    <row r="11" ht="20" customHeight="1">
      <c r="A11" s="89">
        <f>IF(Roster!$A$9&lt;&gt;"",Roster!$A$9,"")</f>
        <v/>
      </c>
      <c r="B11" s="90" t="n"/>
      <c r="C11" s="90" t="n"/>
      <c r="D11" s="90" t="n"/>
      <c r="E11" s="90" t="n"/>
      <c r="F11" s="90" t="n"/>
      <c r="G11" s="90" t="n"/>
      <c r="H11" s="90" t="n"/>
      <c r="I11" s="90" t="n"/>
      <c r="J11" s="90" t="n"/>
      <c r="K11" s="90" t="n"/>
      <c r="L11" s="90" t="n"/>
      <c r="M11" s="90" t="n"/>
      <c r="N11" s="90" t="n"/>
      <c r="O11" s="90" t="n"/>
      <c r="P11" s="90" t="n"/>
      <c r="Q11" s="90" t="n"/>
      <c r="R11" s="90" t="n"/>
      <c r="S11" s="90" t="n"/>
      <c r="T11" s="90" t="n"/>
      <c r="U11" s="90" t="n"/>
      <c r="V11" s="90" t="n"/>
      <c r="W11" s="90" t="n"/>
      <c r="X11" s="90" t="n"/>
      <c r="Y11" s="90" t="n"/>
      <c r="Z11" s="90" t="n"/>
      <c r="AA11" s="90" t="n"/>
      <c r="AB11" s="90" t="n"/>
      <c r="AC11" s="90" t="n"/>
      <c r="AD11" s="90" t="n"/>
      <c r="AE11" s="90" t="n"/>
      <c r="AF11" s="90" t="n"/>
      <c r="AG11" s="90" t="n"/>
      <c r="AH11" s="90" t="n"/>
      <c r="AI11" s="90" t="n"/>
      <c r="AJ11" s="90" t="n"/>
      <c r="AK11" s="90" t="n"/>
      <c r="AL11" s="90" t="n"/>
      <c r="AM11" s="90" t="n"/>
      <c r="AN11" s="90" t="n"/>
      <c r="AO11" s="90" t="n"/>
      <c r="AP11" s="90" t="n"/>
      <c r="AQ11" s="90" t="n"/>
      <c r="AR11" s="90" t="n"/>
      <c r="AS11" s="90" t="n"/>
      <c r="AT11" s="90" t="n"/>
      <c r="AU11" s="90" t="n"/>
      <c r="AV11" s="90" t="n"/>
      <c r="AW11" s="90" t="n"/>
      <c r="AX11" s="90" t="n"/>
      <c r="AY11" s="90" t="n"/>
    </row>
    <row r="12" ht="20" customHeight="1">
      <c r="A12" s="89">
        <f>IF(Roster!$A$10&lt;&gt;"",Roster!$A$10,"")</f>
        <v/>
      </c>
      <c r="B12" s="90" t="n"/>
      <c r="C12" s="90" t="n"/>
      <c r="D12" s="90" t="n"/>
      <c r="E12" s="90" t="n"/>
      <c r="F12" s="90" t="n"/>
      <c r="G12" s="90" t="n"/>
      <c r="H12" s="90" t="n"/>
      <c r="I12" s="90" t="n"/>
      <c r="J12" s="90" t="n"/>
      <c r="K12" s="90" t="n"/>
      <c r="L12" s="90" t="n"/>
      <c r="M12" s="90" t="n"/>
      <c r="N12" s="90" t="n"/>
      <c r="O12" s="90" t="n"/>
      <c r="P12" s="90" t="n"/>
      <c r="Q12" s="90" t="n"/>
      <c r="R12" s="90" t="n"/>
      <c r="S12" s="90" t="n"/>
      <c r="T12" s="90" t="n"/>
      <c r="U12" s="90" t="n"/>
      <c r="V12" s="90" t="n"/>
      <c r="W12" s="90" t="n"/>
      <c r="X12" s="90" t="n"/>
      <c r="Y12" s="90" t="n"/>
      <c r="Z12" s="90" t="n"/>
      <c r="AA12" s="90" t="n"/>
      <c r="AB12" s="90" t="n"/>
      <c r="AC12" s="90" t="n"/>
      <c r="AD12" s="90" t="n"/>
      <c r="AE12" s="90" t="n"/>
      <c r="AF12" s="90" t="n"/>
      <c r="AG12" s="90" t="n"/>
      <c r="AH12" s="90" t="n"/>
      <c r="AI12" s="90" t="n"/>
      <c r="AJ12" s="90" t="n"/>
      <c r="AK12" s="90" t="n"/>
      <c r="AL12" s="90" t="n"/>
      <c r="AM12" s="90" t="n"/>
      <c r="AN12" s="90" t="n"/>
      <c r="AO12" s="90" t="n"/>
      <c r="AP12" s="90" t="n"/>
      <c r="AQ12" s="90" t="n"/>
      <c r="AR12" s="90" t="n"/>
      <c r="AS12" s="90" t="n"/>
      <c r="AT12" s="90" t="n"/>
      <c r="AU12" s="90" t="n"/>
      <c r="AV12" s="90" t="n"/>
      <c r="AW12" s="90" t="n"/>
      <c r="AX12" s="90" t="n"/>
      <c r="AY12" s="90" t="n"/>
    </row>
    <row r="13" ht="20" customHeight="1">
      <c r="A13" s="89">
        <f>IF(Roster!$A$11&lt;&gt;"",Roster!$A$11,"")</f>
        <v/>
      </c>
      <c r="B13" s="90" t="n"/>
      <c r="C13" s="90" t="n"/>
      <c r="D13" s="90" t="n"/>
      <c r="E13" s="90" t="n"/>
      <c r="F13" s="90" t="n"/>
      <c r="G13" s="90" t="n"/>
      <c r="H13" s="90" t="n"/>
      <c r="I13" s="90" t="n"/>
      <c r="J13" s="90" t="n"/>
      <c r="K13" s="90" t="n"/>
      <c r="L13" s="90" t="n"/>
      <c r="M13" s="90" t="n"/>
      <c r="N13" s="90" t="n"/>
      <c r="O13" s="90" t="n"/>
      <c r="P13" s="90" t="n"/>
      <c r="Q13" s="90" t="n"/>
      <c r="R13" s="90" t="n"/>
      <c r="S13" s="90" t="n"/>
      <c r="T13" s="90" t="n"/>
      <c r="U13" s="90" t="n"/>
      <c r="V13" s="90" t="n"/>
      <c r="W13" s="90" t="n"/>
      <c r="X13" s="90" t="n"/>
      <c r="Y13" s="90" t="n"/>
      <c r="Z13" s="90" t="n"/>
      <c r="AA13" s="90" t="n"/>
      <c r="AB13" s="90" t="n"/>
      <c r="AC13" s="90" t="n"/>
      <c r="AD13" s="90" t="n"/>
      <c r="AE13" s="90" t="n"/>
      <c r="AF13" s="90" t="n"/>
      <c r="AG13" s="90" t="n"/>
      <c r="AH13" s="90" t="n"/>
      <c r="AI13" s="90" t="n"/>
      <c r="AJ13" s="90" t="n"/>
      <c r="AK13" s="90" t="n"/>
      <c r="AL13" s="90" t="n"/>
      <c r="AM13" s="90" t="n"/>
      <c r="AN13" s="90" t="n"/>
      <c r="AO13" s="90" t="n"/>
      <c r="AP13" s="90" t="n"/>
      <c r="AQ13" s="90" t="n"/>
      <c r="AR13" s="90" t="n"/>
      <c r="AS13" s="90" t="n"/>
      <c r="AT13" s="90" t="n"/>
      <c r="AU13" s="90" t="n"/>
      <c r="AV13" s="90" t="n"/>
      <c r="AW13" s="90" t="n"/>
      <c r="AX13" s="90" t="n"/>
      <c r="AY13" s="90" t="n"/>
    </row>
    <row r="14" ht="20" customHeight="1">
      <c r="A14" s="89">
        <f>IF(Roster!$A$12&lt;&gt;"",Roster!$A$12,"")</f>
        <v/>
      </c>
      <c r="B14" s="90" t="n"/>
      <c r="C14" s="90" t="n"/>
      <c r="D14" s="90" t="n"/>
      <c r="E14" s="90" t="n"/>
      <c r="F14" s="90" t="n"/>
      <c r="G14" s="90" t="n"/>
      <c r="H14" s="90" t="n"/>
      <c r="I14" s="90" t="n"/>
      <c r="J14" s="90" t="n"/>
      <c r="K14" s="90" t="n"/>
      <c r="L14" s="90" t="n"/>
      <c r="M14" s="90" t="n"/>
      <c r="N14" s="90" t="n"/>
      <c r="O14" s="90" t="n"/>
      <c r="P14" s="90" t="n"/>
      <c r="Q14" s="90" t="n"/>
      <c r="R14" s="90" t="n"/>
      <c r="S14" s="90" t="n"/>
      <c r="T14" s="90" t="n"/>
      <c r="U14" s="90" t="n"/>
      <c r="V14" s="90" t="n"/>
      <c r="W14" s="90" t="n"/>
      <c r="X14" s="90" t="n"/>
      <c r="Y14" s="90" t="n"/>
      <c r="Z14" s="90" t="n"/>
      <c r="AA14" s="90" t="n"/>
      <c r="AB14" s="90" t="n"/>
      <c r="AC14" s="90" t="n"/>
      <c r="AD14" s="90" t="n"/>
      <c r="AE14" s="90" t="n"/>
      <c r="AF14" s="90" t="n"/>
      <c r="AG14" s="90" t="n"/>
      <c r="AH14" s="90" t="n"/>
      <c r="AI14" s="90" t="n"/>
      <c r="AJ14" s="90" t="n"/>
      <c r="AK14" s="90" t="n"/>
      <c r="AL14" s="90" t="n"/>
      <c r="AM14" s="90" t="n"/>
      <c r="AN14" s="90" t="n"/>
      <c r="AO14" s="90" t="n"/>
      <c r="AP14" s="90" t="n"/>
      <c r="AQ14" s="90" t="n"/>
      <c r="AR14" s="90" t="n"/>
      <c r="AS14" s="90" t="n"/>
      <c r="AT14" s="90" t="n"/>
      <c r="AU14" s="90" t="n"/>
      <c r="AV14" s="90" t="n"/>
      <c r="AW14" s="90" t="n"/>
      <c r="AX14" s="90" t="n"/>
      <c r="AY14" s="90" t="n"/>
    </row>
    <row r="15" ht="20" customHeight="1">
      <c r="A15" s="89">
        <f>IF(Roster!$A$13&lt;&gt;"",Roster!$A$13,"")</f>
        <v/>
      </c>
      <c r="B15" s="90" t="n"/>
      <c r="C15" s="90" t="n"/>
      <c r="D15" s="90" t="n"/>
      <c r="E15" s="90" t="n"/>
      <c r="F15" s="90" t="n"/>
      <c r="G15" s="90" t="n"/>
      <c r="H15" s="90" t="n"/>
      <c r="I15" s="90" t="n"/>
      <c r="J15" s="90" t="n"/>
      <c r="K15" s="90" t="n"/>
      <c r="L15" s="90" t="n"/>
      <c r="M15" s="90" t="n"/>
      <c r="N15" s="90" t="n"/>
      <c r="O15" s="90" t="n"/>
      <c r="P15" s="90" t="n"/>
      <c r="Q15" s="90" t="n"/>
      <c r="R15" s="90" t="n"/>
      <c r="S15" s="90" t="n"/>
      <c r="T15" s="90" t="n"/>
      <c r="U15" s="90" t="n"/>
      <c r="V15" s="90" t="n"/>
      <c r="W15" s="90" t="n"/>
      <c r="X15" s="90" t="n"/>
      <c r="Y15" s="90" t="n"/>
      <c r="Z15" s="90" t="n"/>
      <c r="AA15" s="90" t="n"/>
      <c r="AB15" s="90" t="n"/>
      <c r="AC15" s="90" t="n"/>
      <c r="AD15" s="90" t="n"/>
      <c r="AE15" s="90" t="n"/>
      <c r="AF15" s="90" t="n"/>
      <c r="AG15" s="90" t="n"/>
      <c r="AH15" s="90" t="n"/>
      <c r="AI15" s="90" t="n"/>
      <c r="AJ15" s="90" t="n"/>
      <c r="AK15" s="90" t="n"/>
      <c r="AL15" s="90" t="n"/>
      <c r="AM15" s="90" t="n"/>
      <c r="AN15" s="90" t="n"/>
      <c r="AO15" s="90" t="n"/>
      <c r="AP15" s="90" t="n"/>
      <c r="AQ15" s="90" t="n"/>
      <c r="AR15" s="90" t="n"/>
      <c r="AS15" s="90" t="n"/>
      <c r="AT15" s="90" t="n"/>
      <c r="AU15" s="90" t="n"/>
      <c r="AV15" s="90" t="n"/>
      <c r="AW15" s="90" t="n"/>
      <c r="AX15" s="90" t="n"/>
      <c r="AY15" s="90" t="n"/>
    </row>
    <row r="16" ht="20" customHeight="1">
      <c r="A16" s="89">
        <f>IF(Roster!$A$14&lt;&gt;"",Roster!$A$14,"")</f>
        <v/>
      </c>
      <c r="B16" s="90" t="n"/>
      <c r="C16" s="90" t="n"/>
      <c r="D16" s="90" t="n"/>
      <c r="E16" s="90" t="n"/>
      <c r="F16" s="90" t="n"/>
      <c r="G16" s="90" t="n"/>
      <c r="H16" s="90" t="n"/>
      <c r="I16" s="90" t="n"/>
      <c r="J16" s="90" t="n"/>
      <c r="K16" s="90" t="n"/>
      <c r="L16" s="90" t="n"/>
      <c r="M16" s="90" t="n"/>
      <c r="N16" s="90" t="n"/>
      <c r="O16" s="90" t="n"/>
      <c r="P16" s="90" t="n"/>
      <c r="Q16" s="90" t="n"/>
      <c r="R16" s="90" t="n"/>
      <c r="S16" s="90" t="n"/>
      <c r="T16" s="90" t="n"/>
      <c r="U16" s="90" t="n"/>
      <c r="V16" s="90" t="n"/>
      <c r="W16" s="90" t="n"/>
      <c r="X16" s="90" t="n"/>
      <c r="Y16" s="90" t="n"/>
      <c r="Z16" s="90" t="n"/>
      <c r="AA16" s="90" t="n"/>
      <c r="AB16" s="90" t="n"/>
      <c r="AC16" s="90" t="n"/>
      <c r="AD16" s="90" t="n"/>
      <c r="AE16" s="90" t="n"/>
      <c r="AF16" s="90" t="n"/>
      <c r="AG16" s="90" t="n"/>
      <c r="AH16" s="90" t="n"/>
      <c r="AI16" s="90" t="n"/>
      <c r="AJ16" s="90" t="n"/>
      <c r="AK16" s="90" t="n"/>
      <c r="AL16" s="90" t="n"/>
      <c r="AM16" s="90" t="n"/>
      <c r="AN16" s="90" t="n"/>
      <c r="AO16" s="90" t="n"/>
      <c r="AP16" s="90" t="n"/>
      <c r="AQ16" s="90" t="n"/>
      <c r="AR16" s="90" t="n"/>
      <c r="AS16" s="90" t="n"/>
      <c r="AT16" s="90" t="n"/>
      <c r="AU16" s="90" t="n"/>
      <c r="AV16" s="90" t="n"/>
      <c r="AW16" s="90" t="n"/>
      <c r="AX16" s="90" t="n"/>
      <c r="AY16" s="90" t="n"/>
    </row>
    <row r="17" ht="20" customHeight="1">
      <c r="A17" s="89">
        <f>IF(Roster!$A$15&lt;&gt;"",Roster!$A$15,"")</f>
        <v/>
      </c>
      <c r="B17" s="90" t="n"/>
      <c r="C17" s="90" t="n"/>
      <c r="D17" s="90" t="n"/>
      <c r="E17" s="90" t="n"/>
      <c r="F17" s="90" t="n"/>
      <c r="G17" s="90" t="n"/>
      <c r="H17" s="90" t="n"/>
      <c r="I17" s="90" t="n"/>
      <c r="J17" s="90" t="n"/>
      <c r="K17" s="90" t="n"/>
      <c r="L17" s="90" t="n"/>
      <c r="M17" s="90" t="n"/>
      <c r="N17" s="90" t="n"/>
      <c r="O17" s="90" t="n"/>
      <c r="P17" s="90" t="n"/>
      <c r="Q17" s="90" t="n"/>
      <c r="R17" s="90" t="n"/>
      <c r="S17" s="90" t="n"/>
      <c r="T17" s="90" t="n"/>
      <c r="U17" s="90" t="n"/>
      <c r="V17" s="90" t="n"/>
      <c r="W17" s="90" t="n"/>
      <c r="X17" s="90" t="n"/>
      <c r="Y17" s="90" t="n"/>
      <c r="Z17" s="90" t="n"/>
      <c r="AA17" s="90" t="n"/>
      <c r="AB17" s="90" t="n"/>
      <c r="AC17" s="90" t="n"/>
      <c r="AD17" s="90" t="n"/>
      <c r="AE17" s="90" t="n"/>
      <c r="AF17" s="90" t="n"/>
      <c r="AG17" s="90" t="n"/>
      <c r="AH17" s="90" t="n"/>
      <c r="AI17" s="90" t="n"/>
      <c r="AJ17" s="90" t="n"/>
      <c r="AK17" s="90" t="n"/>
      <c r="AL17" s="90" t="n"/>
      <c r="AM17" s="90" t="n"/>
      <c r="AN17" s="90" t="n"/>
      <c r="AO17" s="90" t="n"/>
      <c r="AP17" s="90" t="n"/>
      <c r="AQ17" s="90" t="n"/>
      <c r="AR17" s="90" t="n"/>
      <c r="AS17" s="90" t="n"/>
      <c r="AT17" s="90" t="n"/>
      <c r="AU17" s="90" t="n"/>
      <c r="AV17" s="90" t="n"/>
      <c r="AW17" s="90" t="n"/>
      <c r="AX17" s="90" t="n"/>
      <c r="AY17" s="90" t="n"/>
    </row>
    <row r="18" ht="20" customHeight="1">
      <c r="A18" s="89">
        <f>IF(Roster!$A$16&lt;&gt;"",Roster!$A$16,"")</f>
        <v/>
      </c>
      <c r="B18" s="90" t="n"/>
      <c r="C18" s="90" t="n"/>
      <c r="D18" s="90" t="n"/>
      <c r="E18" s="90" t="n"/>
      <c r="F18" s="90" t="n"/>
      <c r="G18" s="90" t="n"/>
      <c r="H18" s="90" t="n"/>
      <c r="I18" s="90" t="n"/>
      <c r="J18" s="90" t="n"/>
      <c r="K18" s="90" t="n"/>
      <c r="L18" s="90" t="n"/>
      <c r="M18" s="90" t="n"/>
      <c r="N18" s="90" t="n"/>
      <c r="O18" s="90" t="n"/>
      <c r="P18" s="90" t="n"/>
      <c r="Q18" s="90" t="n"/>
      <c r="R18" s="90" t="n"/>
      <c r="S18" s="90" t="n"/>
      <c r="T18" s="90" t="n"/>
      <c r="U18" s="90" t="n"/>
      <c r="V18" s="90" t="n"/>
      <c r="W18" s="90" t="n"/>
      <c r="X18" s="90" t="n"/>
      <c r="Y18" s="90" t="n"/>
      <c r="Z18" s="90" t="n"/>
      <c r="AA18" s="90" t="n"/>
      <c r="AB18" s="90" t="n"/>
      <c r="AC18" s="90" t="n"/>
      <c r="AD18" s="90" t="n"/>
      <c r="AE18" s="90" t="n"/>
      <c r="AF18" s="90" t="n"/>
      <c r="AG18" s="90" t="n"/>
      <c r="AH18" s="90" t="n"/>
      <c r="AI18" s="90" t="n"/>
      <c r="AJ18" s="90" t="n"/>
      <c r="AK18" s="90" t="n"/>
      <c r="AL18" s="90" t="n"/>
      <c r="AM18" s="90" t="n"/>
      <c r="AN18" s="90" t="n"/>
      <c r="AO18" s="90" t="n"/>
      <c r="AP18" s="90" t="n"/>
      <c r="AQ18" s="90" t="n"/>
      <c r="AR18" s="90" t="n"/>
      <c r="AS18" s="90" t="n"/>
      <c r="AT18" s="90" t="n"/>
      <c r="AU18" s="90" t="n"/>
      <c r="AV18" s="90" t="n"/>
      <c r="AW18" s="90" t="n"/>
      <c r="AX18" s="90" t="n"/>
      <c r="AY18" s="90" t="n"/>
    </row>
    <row r="19" ht="20" customHeight="1">
      <c r="A19" s="89">
        <f>IF(Roster!$A$17&lt;&gt;"",Roster!$A$17,"")</f>
        <v/>
      </c>
      <c r="B19" s="90" t="n"/>
      <c r="C19" s="90" t="n"/>
      <c r="D19" s="90" t="n"/>
      <c r="E19" s="90" t="n"/>
      <c r="F19" s="90" t="n"/>
      <c r="G19" s="90" t="n"/>
      <c r="H19" s="90" t="n"/>
      <c r="I19" s="90" t="n"/>
      <c r="J19" s="90" t="n"/>
      <c r="K19" s="90" t="n"/>
      <c r="L19" s="90" t="n"/>
      <c r="M19" s="90" t="n"/>
      <c r="N19" s="90" t="n"/>
      <c r="O19" s="90" t="n"/>
      <c r="P19" s="90" t="n"/>
      <c r="Q19" s="90" t="n"/>
      <c r="R19" s="90" t="n"/>
      <c r="S19" s="90" t="n"/>
      <c r="T19" s="90" t="n"/>
      <c r="U19" s="90" t="n"/>
      <c r="V19" s="90" t="n"/>
      <c r="W19" s="90" t="n"/>
      <c r="X19" s="90" t="n"/>
      <c r="Y19" s="90" t="n"/>
      <c r="Z19" s="90" t="n"/>
      <c r="AA19" s="90" t="n"/>
      <c r="AB19" s="90" t="n"/>
      <c r="AC19" s="90" t="n"/>
      <c r="AD19" s="90" t="n"/>
      <c r="AE19" s="90" t="n"/>
      <c r="AF19" s="90" t="n"/>
      <c r="AG19" s="90" t="n"/>
      <c r="AH19" s="90" t="n"/>
      <c r="AI19" s="90" t="n"/>
      <c r="AJ19" s="90" t="n"/>
      <c r="AK19" s="90" t="n"/>
      <c r="AL19" s="90" t="n"/>
      <c r="AM19" s="90" t="n"/>
      <c r="AN19" s="90" t="n"/>
      <c r="AO19" s="90" t="n"/>
      <c r="AP19" s="90" t="n"/>
      <c r="AQ19" s="90" t="n"/>
      <c r="AR19" s="90" t="n"/>
      <c r="AS19" s="90" t="n"/>
      <c r="AT19" s="90" t="n"/>
      <c r="AU19" s="90" t="n"/>
      <c r="AV19" s="90" t="n"/>
      <c r="AW19" s="90" t="n"/>
      <c r="AX19" s="90" t="n"/>
      <c r="AY19" s="90" t="n"/>
    </row>
    <row r="20" ht="20" customHeight="1">
      <c r="A20" s="89">
        <f>IF(Roster!$A$18&lt;&gt;"",Roster!$A$18,"")</f>
        <v/>
      </c>
      <c r="B20" s="90" t="n"/>
      <c r="C20" s="90" t="n"/>
      <c r="D20" s="90" t="n"/>
      <c r="E20" s="90" t="n"/>
      <c r="F20" s="90" t="n"/>
      <c r="G20" s="90" t="n"/>
      <c r="H20" s="90" t="n"/>
      <c r="I20" s="90" t="n"/>
      <c r="J20" s="90" t="n"/>
      <c r="K20" s="90" t="n"/>
      <c r="L20" s="90" t="n"/>
      <c r="M20" s="90" t="n"/>
      <c r="N20" s="90" t="n"/>
      <c r="O20" s="90" t="n"/>
      <c r="P20" s="90" t="n"/>
      <c r="Q20" s="90" t="n"/>
      <c r="R20" s="90" t="n"/>
      <c r="S20" s="90" t="n"/>
      <c r="T20" s="90" t="n"/>
      <c r="U20" s="90" t="n"/>
      <c r="V20" s="90" t="n"/>
      <c r="W20" s="90" t="n"/>
      <c r="X20" s="90" t="n"/>
      <c r="Y20" s="90" t="n"/>
      <c r="Z20" s="90" t="n"/>
      <c r="AA20" s="90" t="n"/>
      <c r="AB20" s="90" t="n"/>
      <c r="AC20" s="90" t="n"/>
      <c r="AD20" s="90" t="n"/>
      <c r="AE20" s="90" t="n"/>
      <c r="AF20" s="90" t="n"/>
      <c r="AG20" s="90" t="n"/>
      <c r="AH20" s="90" t="n"/>
      <c r="AI20" s="90" t="n"/>
      <c r="AJ20" s="90" t="n"/>
      <c r="AK20" s="90" t="n"/>
      <c r="AL20" s="90" t="n"/>
      <c r="AM20" s="90" t="n"/>
      <c r="AN20" s="90" t="n"/>
      <c r="AO20" s="90" t="n"/>
      <c r="AP20" s="90" t="n"/>
      <c r="AQ20" s="90" t="n"/>
      <c r="AR20" s="90" t="n"/>
      <c r="AS20" s="90" t="n"/>
      <c r="AT20" s="90" t="n"/>
      <c r="AU20" s="90" t="n"/>
      <c r="AV20" s="90" t="n"/>
      <c r="AW20" s="90" t="n"/>
      <c r="AX20" s="90" t="n"/>
      <c r="AY20" s="90" t="n"/>
    </row>
    <row r="21" ht="20" customHeight="1">
      <c r="A21" s="89">
        <f>IF(Roster!$A$19&lt;&gt;"",Roster!$A$19,"")</f>
        <v/>
      </c>
      <c r="B21" s="90" t="n"/>
      <c r="C21" s="90" t="n"/>
      <c r="D21" s="90" t="n"/>
      <c r="E21" s="90" t="n"/>
      <c r="F21" s="90" t="n"/>
      <c r="G21" s="90" t="n"/>
      <c r="H21" s="90" t="n"/>
      <c r="I21" s="90" t="n"/>
      <c r="J21" s="90" t="n"/>
      <c r="K21" s="90" t="n"/>
      <c r="L21" s="90" t="n"/>
      <c r="M21" s="90" t="n"/>
      <c r="N21" s="90" t="n"/>
      <c r="O21" s="90" t="n"/>
      <c r="P21" s="90" t="n"/>
      <c r="Q21" s="90" t="n"/>
      <c r="R21" s="90" t="n"/>
      <c r="S21" s="90" t="n"/>
      <c r="T21" s="90" t="n"/>
      <c r="U21" s="90" t="n"/>
      <c r="V21" s="90" t="n"/>
      <c r="W21" s="90" t="n"/>
      <c r="X21" s="90" t="n"/>
      <c r="Y21" s="90" t="n"/>
      <c r="Z21" s="90" t="n"/>
      <c r="AA21" s="90" t="n"/>
      <c r="AB21" s="90" t="n"/>
      <c r="AC21" s="90" t="n"/>
      <c r="AD21" s="90" t="n"/>
      <c r="AE21" s="90" t="n"/>
      <c r="AF21" s="90" t="n"/>
      <c r="AG21" s="90" t="n"/>
      <c r="AH21" s="90" t="n"/>
      <c r="AI21" s="90" t="n"/>
      <c r="AJ21" s="90" t="n"/>
      <c r="AK21" s="90" t="n"/>
      <c r="AL21" s="90" t="n"/>
      <c r="AM21" s="90" t="n"/>
      <c r="AN21" s="90" t="n"/>
      <c r="AO21" s="90" t="n"/>
      <c r="AP21" s="90" t="n"/>
      <c r="AQ21" s="90" t="n"/>
      <c r="AR21" s="90" t="n"/>
      <c r="AS21" s="90" t="n"/>
      <c r="AT21" s="90" t="n"/>
      <c r="AU21" s="90" t="n"/>
      <c r="AV21" s="90" t="n"/>
      <c r="AW21" s="90" t="n"/>
      <c r="AX21" s="90" t="n"/>
      <c r="AY21" s="90" t="n"/>
    </row>
    <row r="22" ht="20" customHeight="1">
      <c r="A22" s="89">
        <f>IF(Roster!$A$20&lt;&gt;"",Roster!$A$20,"")</f>
        <v/>
      </c>
      <c r="B22" s="90" t="n"/>
      <c r="C22" s="90" t="n"/>
      <c r="D22" s="90" t="n"/>
      <c r="E22" s="90" t="n"/>
      <c r="F22" s="90" t="n"/>
      <c r="G22" s="90" t="n"/>
      <c r="H22" s="90" t="n"/>
      <c r="I22" s="90" t="n"/>
      <c r="J22" s="90" t="n"/>
      <c r="K22" s="90" t="n"/>
      <c r="L22" s="90" t="n"/>
      <c r="M22" s="90" t="n"/>
      <c r="N22" s="90" t="n"/>
      <c r="O22" s="90" t="n"/>
      <c r="P22" s="90" t="n"/>
      <c r="Q22" s="90" t="n"/>
      <c r="R22" s="90" t="n"/>
      <c r="S22" s="90" t="n"/>
      <c r="T22" s="90" t="n"/>
      <c r="U22" s="90" t="n"/>
      <c r="V22" s="90" t="n"/>
      <c r="W22" s="90" t="n"/>
      <c r="X22" s="90" t="n"/>
      <c r="Y22" s="90" t="n"/>
      <c r="Z22" s="90" t="n"/>
      <c r="AA22" s="90" t="n"/>
      <c r="AB22" s="90" t="n"/>
      <c r="AC22" s="90" t="n"/>
      <c r="AD22" s="90" t="n"/>
      <c r="AE22" s="90" t="n"/>
      <c r="AF22" s="90" t="n"/>
      <c r="AG22" s="90" t="n"/>
      <c r="AH22" s="90" t="n"/>
      <c r="AI22" s="90" t="n"/>
      <c r="AJ22" s="90" t="n"/>
      <c r="AK22" s="90" t="n"/>
      <c r="AL22" s="90" t="n"/>
      <c r="AM22" s="90" t="n"/>
      <c r="AN22" s="90" t="n"/>
      <c r="AO22" s="90" t="n"/>
      <c r="AP22" s="90" t="n"/>
      <c r="AQ22" s="90" t="n"/>
      <c r="AR22" s="90" t="n"/>
      <c r="AS22" s="90" t="n"/>
      <c r="AT22" s="90" t="n"/>
      <c r="AU22" s="90" t="n"/>
      <c r="AV22" s="90" t="n"/>
      <c r="AW22" s="90" t="n"/>
      <c r="AX22" s="90" t="n"/>
      <c r="AY22" s="90" t="n"/>
    </row>
    <row r="23" ht="20" customHeight="1">
      <c r="A23" s="89">
        <f>IF(Roster!$A$21&lt;&gt;"",Roster!$A$21,"")</f>
        <v/>
      </c>
      <c r="B23" s="90" t="n"/>
      <c r="C23" s="90" t="n"/>
      <c r="D23" s="90" t="n"/>
      <c r="E23" s="90" t="n"/>
      <c r="F23" s="90" t="n"/>
      <c r="G23" s="90" t="n"/>
      <c r="H23" s="90" t="n"/>
      <c r="I23" s="90" t="n"/>
      <c r="J23" s="90" t="n"/>
      <c r="K23" s="90" t="n"/>
      <c r="L23" s="90" t="n"/>
      <c r="M23" s="90" t="n"/>
      <c r="N23" s="90" t="n"/>
      <c r="O23" s="90" t="n"/>
      <c r="P23" s="90" t="n"/>
      <c r="Q23" s="90" t="n"/>
      <c r="R23" s="90" t="n"/>
      <c r="S23" s="90" t="n"/>
      <c r="T23" s="90" t="n"/>
      <c r="U23" s="90" t="n"/>
      <c r="V23" s="90" t="n"/>
      <c r="W23" s="90" t="n"/>
      <c r="X23" s="90" t="n"/>
      <c r="Y23" s="90" t="n"/>
      <c r="Z23" s="90" t="n"/>
      <c r="AA23" s="90" t="n"/>
      <c r="AB23" s="90" t="n"/>
      <c r="AC23" s="90" t="n"/>
      <c r="AD23" s="90" t="n"/>
      <c r="AE23" s="90" t="n"/>
      <c r="AF23" s="90" t="n"/>
      <c r="AG23" s="90" t="n"/>
      <c r="AH23" s="90" t="n"/>
      <c r="AI23" s="90" t="n"/>
      <c r="AJ23" s="90" t="n"/>
      <c r="AK23" s="90" t="n"/>
      <c r="AL23" s="90" t="n"/>
      <c r="AM23" s="90" t="n"/>
      <c r="AN23" s="90" t="n"/>
      <c r="AO23" s="90" t="n"/>
      <c r="AP23" s="90" t="n"/>
      <c r="AQ23" s="90" t="n"/>
      <c r="AR23" s="90" t="n"/>
      <c r="AS23" s="90" t="n"/>
      <c r="AT23" s="90" t="n"/>
      <c r="AU23" s="90" t="n"/>
      <c r="AV23" s="90" t="n"/>
      <c r="AW23" s="90" t="n"/>
      <c r="AX23" s="90" t="n"/>
      <c r="AY23" s="90" t="n"/>
    </row>
    <row r="24" ht="20" customHeight="1">
      <c r="A24" s="89">
        <f>IF(Roster!$A$22&lt;&gt;"",Roster!$A$22,"")</f>
        <v/>
      </c>
      <c r="B24" s="90" t="n"/>
      <c r="C24" s="90" t="n"/>
      <c r="D24" s="90" t="n"/>
      <c r="E24" s="90" t="n"/>
      <c r="F24" s="90" t="n"/>
      <c r="G24" s="90" t="n"/>
      <c r="H24" s="90" t="n"/>
      <c r="I24" s="90" t="n"/>
      <c r="J24" s="90" t="n"/>
      <c r="K24" s="90" t="n"/>
      <c r="L24" s="90" t="n"/>
      <c r="M24" s="90" t="n"/>
      <c r="N24" s="90" t="n"/>
      <c r="O24" s="90" t="n"/>
      <c r="P24" s="90" t="n"/>
      <c r="Q24" s="90" t="n"/>
      <c r="R24" s="90" t="n"/>
      <c r="S24" s="90" t="n"/>
      <c r="T24" s="90" t="n"/>
      <c r="U24" s="90" t="n"/>
      <c r="V24" s="90" t="n"/>
      <c r="W24" s="90" t="n"/>
      <c r="X24" s="90" t="n"/>
      <c r="Y24" s="90" t="n"/>
      <c r="Z24" s="90" t="n"/>
      <c r="AA24" s="90" t="n"/>
      <c r="AB24" s="90" t="n"/>
      <c r="AC24" s="90" t="n"/>
      <c r="AD24" s="90" t="n"/>
      <c r="AE24" s="90" t="n"/>
      <c r="AF24" s="90" t="n"/>
      <c r="AG24" s="90" t="n"/>
      <c r="AH24" s="90" t="n"/>
      <c r="AI24" s="90" t="n"/>
      <c r="AJ24" s="90" t="n"/>
      <c r="AK24" s="90" t="n"/>
      <c r="AL24" s="90" t="n"/>
      <c r="AM24" s="90" t="n"/>
      <c r="AN24" s="90" t="n"/>
      <c r="AO24" s="90" t="n"/>
      <c r="AP24" s="90" t="n"/>
      <c r="AQ24" s="90" t="n"/>
      <c r="AR24" s="90" t="n"/>
      <c r="AS24" s="90" t="n"/>
      <c r="AT24" s="90" t="n"/>
      <c r="AU24" s="90" t="n"/>
      <c r="AV24" s="90" t="n"/>
      <c r="AW24" s="90" t="n"/>
      <c r="AX24" s="90" t="n"/>
      <c r="AY24" s="90" t="n"/>
    </row>
    <row r="25" ht="20" customHeight="1">
      <c r="A25" s="89">
        <f>IF(Roster!$A$23&lt;&gt;"",Roster!$A$23,"")</f>
        <v/>
      </c>
      <c r="B25" s="90" t="n"/>
      <c r="C25" s="90" t="n"/>
      <c r="D25" s="90" t="n"/>
      <c r="E25" s="90" t="n"/>
      <c r="F25" s="90" t="n"/>
      <c r="G25" s="90" t="n"/>
      <c r="H25" s="90" t="n"/>
      <c r="I25" s="90" t="n"/>
      <c r="J25" s="90" t="n"/>
      <c r="K25" s="90" t="n"/>
      <c r="L25" s="90" t="n"/>
      <c r="M25" s="90" t="n"/>
      <c r="N25" s="90" t="n"/>
      <c r="O25" s="90" t="n"/>
      <c r="P25" s="90" t="n"/>
      <c r="Q25" s="90" t="n"/>
      <c r="R25" s="90" t="n"/>
      <c r="S25" s="90" t="n"/>
      <c r="T25" s="90" t="n"/>
      <c r="U25" s="90" t="n"/>
      <c r="V25" s="90" t="n"/>
      <c r="W25" s="90" t="n"/>
      <c r="X25" s="90" t="n"/>
      <c r="Y25" s="90" t="n"/>
      <c r="Z25" s="90" t="n"/>
      <c r="AA25" s="90" t="n"/>
      <c r="AB25" s="90" t="n"/>
      <c r="AC25" s="90" t="n"/>
      <c r="AD25" s="90" t="n"/>
      <c r="AE25" s="90" t="n"/>
      <c r="AF25" s="90" t="n"/>
      <c r="AG25" s="90" t="n"/>
      <c r="AH25" s="90" t="n"/>
      <c r="AI25" s="90" t="n"/>
      <c r="AJ25" s="90" t="n"/>
      <c r="AK25" s="90" t="n"/>
      <c r="AL25" s="90" t="n"/>
      <c r="AM25" s="90" t="n"/>
      <c r="AN25" s="90" t="n"/>
      <c r="AO25" s="90" t="n"/>
      <c r="AP25" s="90" t="n"/>
      <c r="AQ25" s="90" t="n"/>
      <c r="AR25" s="90" t="n"/>
      <c r="AS25" s="90" t="n"/>
      <c r="AT25" s="90" t="n"/>
      <c r="AU25" s="90" t="n"/>
      <c r="AV25" s="90" t="n"/>
      <c r="AW25" s="90" t="n"/>
      <c r="AX25" s="90" t="n"/>
      <c r="AY25" s="90" t="n"/>
    </row>
    <row r="26" ht="20" customHeight="1">
      <c r="A26" s="89">
        <f>IF(Roster!$A$24&lt;&gt;"",Roster!$A$24,"")</f>
        <v/>
      </c>
      <c r="B26" s="90" t="n"/>
      <c r="C26" s="90" t="n"/>
      <c r="D26" s="90" t="n"/>
      <c r="E26" s="90" t="n"/>
      <c r="F26" s="90" t="n"/>
      <c r="G26" s="90" t="n"/>
      <c r="H26" s="90" t="n"/>
      <c r="I26" s="90" t="n"/>
      <c r="J26" s="90" t="n"/>
      <c r="K26" s="90" t="n"/>
      <c r="L26" s="90" t="n"/>
      <c r="M26" s="90" t="n"/>
      <c r="N26" s="90" t="n"/>
      <c r="O26" s="90" t="n"/>
      <c r="P26" s="90" t="n"/>
      <c r="Q26" s="90" t="n"/>
      <c r="R26" s="90" t="n"/>
      <c r="S26" s="90" t="n"/>
      <c r="T26" s="90" t="n"/>
      <c r="U26" s="90" t="n"/>
      <c r="V26" s="90" t="n"/>
      <c r="W26" s="90" t="n"/>
      <c r="X26" s="90" t="n"/>
      <c r="Y26" s="90" t="n"/>
      <c r="Z26" s="90" t="n"/>
      <c r="AA26" s="90" t="n"/>
      <c r="AB26" s="90" t="n"/>
      <c r="AC26" s="90" t="n"/>
      <c r="AD26" s="90" t="n"/>
      <c r="AE26" s="90" t="n"/>
      <c r="AF26" s="90" t="n"/>
      <c r="AG26" s="90" t="n"/>
      <c r="AH26" s="90" t="n"/>
      <c r="AI26" s="90" t="n"/>
      <c r="AJ26" s="90" t="n"/>
      <c r="AK26" s="90" t="n"/>
      <c r="AL26" s="90" t="n"/>
      <c r="AM26" s="90" t="n"/>
      <c r="AN26" s="90" t="n"/>
      <c r="AO26" s="90" t="n"/>
      <c r="AP26" s="90" t="n"/>
      <c r="AQ26" s="90" t="n"/>
      <c r="AR26" s="90" t="n"/>
      <c r="AS26" s="90" t="n"/>
      <c r="AT26" s="90" t="n"/>
      <c r="AU26" s="90" t="n"/>
      <c r="AV26" s="90" t="n"/>
      <c r="AW26" s="90" t="n"/>
      <c r="AX26" s="90" t="n"/>
      <c r="AY26" s="90" t="n"/>
    </row>
    <row r="27" ht="20" customHeight="1">
      <c r="A27" s="89">
        <f>IF(Roster!$A$25&lt;&gt;"",Roster!$A$25,"")</f>
        <v/>
      </c>
      <c r="B27" s="90" t="n"/>
      <c r="C27" s="90" t="n"/>
      <c r="D27" s="90" t="n"/>
      <c r="E27" s="90" t="n"/>
      <c r="F27" s="90" t="n"/>
      <c r="G27" s="90" t="n"/>
      <c r="H27" s="90" t="n"/>
      <c r="I27" s="90" t="n"/>
      <c r="J27" s="90" t="n"/>
      <c r="K27" s="90" t="n"/>
      <c r="L27" s="90" t="n"/>
      <c r="M27" s="90" t="n"/>
      <c r="N27" s="90" t="n"/>
      <c r="O27" s="90" t="n"/>
      <c r="P27" s="90" t="n"/>
      <c r="Q27" s="90" t="n"/>
      <c r="R27" s="90" t="n"/>
      <c r="S27" s="90" t="n"/>
      <c r="T27" s="90" t="n"/>
      <c r="U27" s="90" t="n"/>
      <c r="V27" s="90" t="n"/>
      <c r="W27" s="90" t="n"/>
      <c r="X27" s="90" t="n"/>
      <c r="Y27" s="90" t="n"/>
      <c r="Z27" s="90" t="n"/>
      <c r="AA27" s="90" t="n"/>
      <c r="AB27" s="90" t="n"/>
      <c r="AC27" s="90" t="n"/>
      <c r="AD27" s="90" t="n"/>
      <c r="AE27" s="90" t="n"/>
      <c r="AF27" s="90" t="n"/>
      <c r="AG27" s="90" t="n"/>
      <c r="AH27" s="90" t="n"/>
      <c r="AI27" s="90" t="n"/>
      <c r="AJ27" s="90" t="n"/>
      <c r="AK27" s="90" t="n"/>
      <c r="AL27" s="90" t="n"/>
      <c r="AM27" s="90" t="n"/>
      <c r="AN27" s="90" t="n"/>
      <c r="AO27" s="90" t="n"/>
      <c r="AP27" s="90" t="n"/>
      <c r="AQ27" s="90" t="n"/>
      <c r="AR27" s="90" t="n"/>
      <c r="AS27" s="90" t="n"/>
      <c r="AT27" s="90" t="n"/>
      <c r="AU27" s="90" t="n"/>
      <c r="AV27" s="90" t="n"/>
      <c r="AW27" s="90" t="n"/>
      <c r="AX27" s="90" t="n"/>
      <c r="AY27" s="90" t="n"/>
    </row>
    <row r="28" ht="20" customHeight="1">
      <c r="A28" s="89">
        <f>IF(Roster!$A$26&lt;&gt;"",Roster!$A$26,"")</f>
        <v/>
      </c>
      <c r="B28" s="90" t="n"/>
      <c r="C28" s="90" t="n"/>
      <c r="D28" s="90" t="n"/>
      <c r="E28" s="90" t="n"/>
      <c r="F28" s="90" t="n"/>
      <c r="G28" s="90" t="n"/>
      <c r="H28" s="90" t="n"/>
      <c r="I28" s="90" t="n"/>
      <c r="J28" s="90" t="n"/>
      <c r="K28" s="90" t="n"/>
      <c r="L28" s="90" t="n"/>
      <c r="M28" s="90" t="n"/>
      <c r="N28" s="90" t="n"/>
      <c r="O28" s="90" t="n"/>
      <c r="P28" s="90" t="n"/>
      <c r="Q28" s="90" t="n"/>
      <c r="R28" s="90" t="n"/>
      <c r="S28" s="90" t="n"/>
      <c r="T28" s="90" t="n"/>
      <c r="U28" s="90" t="n"/>
      <c r="V28" s="90" t="n"/>
      <c r="W28" s="90" t="n"/>
      <c r="X28" s="90" t="n"/>
      <c r="Y28" s="90" t="n"/>
      <c r="Z28" s="90" t="n"/>
      <c r="AA28" s="90" t="n"/>
      <c r="AB28" s="90" t="n"/>
      <c r="AC28" s="90" t="n"/>
      <c r="AD28" s="90" t="n"/>
      <c r="AE28" s="90" t="n"/>
      <c r="AF28" s="90" t="n"/>
      <c r="AG28" s="90" t="n"/>
      <c r="AH28" s="90" t="n"/>
      <c r="AI28" s="90" t="n"/>
      <c r="AJ28" s="90" t="n"/>
      <c r="AK28" s="90" t="n"/>
      <c r="AL28" s="90" t="n"/>
      <c r="AM28" s="90" t="n"/>
      <c r="AN28" s="90" t="n"/>
      <c r="AO28" s="90" t="n"/>
      <c r="AP28" s="90" t="n"/>
      <c r="AQ28" s="90" t="n"/>
      <c r="AR28" s="90" t="n"/>
      <c r="AS28" s="90" t="n"/>
      <c r="AT28" s="90" t="n"/>
      <c r="AU28" s="90" t="n"/>
      <c r="AV28" s="90" t="n"/>
      <c r="AW28" s="90" t="n"/>
      <c r="AX28" s="90" t="n"/>
      <c r="AY28" s="90" t="n"/>
    </row>
    <row r="29" ht="20" customHeight="1">
      <c r="A29" s="89">
        <f>IF(Roster!$A$27&lt;&gt;"",Roster!$A$27,"")</f>
        <v/>
      </c>
      <c r="B29" s="90" t="n"/>
      <c r="C29" s="90" t="n"/>
      <c r="D29" s="90" t="n"/>
      <c r="E29" s="90" t="n"/>
      <c r="F29" s="90" t="n"/>
      <c r="G29" s="90" t="n"/>
      <c r="H29" s="90" t="n"/>
      <c r="I29" s="90" t="n"/>
      <c r="J29" s="90" t="n"/>
      <c r="K29" s="90" t="n"/>
      <c r="L29" s="90" t="n"/>
      <c r="M29" s="90" t="n"/>
      <c r="N29" s="90" t="n"/>
      <c r="O29" s="90" t="n"/>
      <c r="P29" s="90" t="n"/>
      <c r="Q29" s="90" t="n"/>
      <c r="R29" s="90" t="n"/>
      <c r="S29" s="90" t="n"/>
      <c r="T29" s="90" t="n"/>
      <c r="U29" s="90" t="n"/>
      <c r="V29" s="90" t="n"/>
      <c r="W29" s="90" t="n"/>
      <c r="X29" s="90" t="n"/>
      <c r="Y29" s="90" t="n"/>
      <c r="Z29" s="90" t="n"/>
      <c r="AA29" s="90" t="n"/>
      <c r="AB29" s="90" t="n"/>
      <c r="AC29" s="90" t="n"/>
      <c r="AD29" s="90" t="n"/>
      <c r="AE29" s="90" t="n"/>
      <c r="AF29" s="90" t="n"/>
      <c r="AG29" s="90" t="n"/>
      <c r="AH29" s="90" t="n"/>
      <c r="AI29" s="90" t="n"/>
      <c r="AJ29" s="90" t="n"/>
      <c r="AK29" s="90" t="n"/>
      <c r="AL29" s="90" t="n"/>
      <c r="AM29" s="90" t="n"/>
      <c r="AN29" s="90" t="n"/>
      <c r="AO29" s="90" t="n"/>
      <c r="AP29" s="90" t="n"/>
      <c r="AQ29" s="90" t="n"/>
      <c r="AR29" s="90" t="n"/>
      <c r="AS29" s="90" t="n"/>
      <c r="AT29" s="90" t="n"/>
      <c r="AU29" s="90" t="n"/>
      <c r="AV29" s="90" t="n"/>
      <c r="AW29" s="90" t="n"/>
      <c r="AX29" s="90" t="n"/>
      <c r="AY29" s="90" t="n"/>
    </row>
    <row r="30" ht="20" customHeight="1">
      <c r="A30" s="89">
        <f>IF(Roster!$A$28&lt;&gt;"",Roster!$A$28,"")</f>
        <v/>
      </c>
      <c r="B30" s="90" t="n"/>
      <c r="C30" s="90" t="n"/>
      <c r="D30" s="90" t="n"/>
      <c r="E30" s="90" t="n"/>
      <c r="F30" s="90" t="n"/>
      <c r="G30" s="90" t="n"/>
      <c r="H30" s="90" t="n"/>
      <c r="I30" s="90" t="n"/>
      <c r="J30" s="90" t="n"/>
      <c r="K30" s="90" t="n"/>
      <c r="L30" s="90" t="n"/>
      <c r="M30" s="90" t="n"/>
      <c r="N30" s="90" t="n"/>
      <c r="O30" s="90" t="n"/>
      <c r="P30" s="90" t="n"/>
      <c r="Q30" s="90" t="n"/>
      <c r="R30" s="90" t="n"/>
      <c r="S30" s="90" t="n"/>
      <c r="T30" s="90" t="n"/>
      <c r="U30" s="90" t="n"/>
      <c r="V30" s="90" t="n"/>
      <c r="W30" s="90" t="n"/>
      <c r="X30" s="90" t="n"/>
      <c r="Y30" s="90" t="n"/>
      <c r="Z30" s="90" t="n"/>
      <c r="AA30" s="90" t="n"/>
      <c r="AB30" s="90" t="n"/>
      <c r="AC30" s="90" t="n"/>
      <c r="AD30" s="90" t="n"/>
      <c r="AE30" s="90" t="n"/>
      <c r="AF30" s="90" t="n"/>
      <c r="AG30" s="90" t="n"/>
      <c r="AH30" s="90" t="n"/>
      <c r="AI30" s="90" t="n"/>
      <c r="AJ30" s="90" t="n"/>
      <c r="AK30" s="90" t="n"/>
      <c r="AL30" s="90" t="n"/>
      <c r="AM30" s="90" t="n"/>
      <c r="AN30" s="90" t="n"/>
      <c r="AO30" s="90" t="n"/>
      <c r="AP30" s="90" t="n"/>
      <c r="AQ30" s="90" t="n"/>
      <c r="AR30" s="90" t="n"/>
      <c r="AS30" s="90" t="n"/>
      <c r="AT30" s="90" t="n"/>
      <c r="AU30" s="90" t="n"/>
      <c r="AV30" s="90" t="n"/>
      <c r="AW30" s="90" t="n"/>
      <c r="AX30" s="90" t="n"/>
      <c r="AY30" s="90" t="n"/>
    </row>
    <row r="31" ht="20" customHeight="1">
      <c r="A31" s="89">
        <f>IF(Roster!$A$29&lt;&gt;"",Roster!$A$29,"")</f>
        <v/>
      </c>
      <c r="B31" s="90" t="n"/>
      <c r="C31" s="90" t="n"/>
      <c r="D31" s="90" t="n"/>
      <c r="E31" s="90" t="n"/>
      <c r="F31" s="90" t="n"/>
      <c r="G31" s="90" t="n"/>
      <c r="H31" s="90" t="n"/>
      <c r="I31" s="90" t="n"/>
      <c r="J31" s="90" t="n"/>
      <c r="K31" s="90" t="n"/>
      <c r="L31" s="90" t="n"/>
      <c r="M31" s="90" t="n"/>
      <c r="N31" s="90" t="n"/>
      <c r="O31" s="90" t="n"/>
      <c r="P31" s="90" t="n"/>
      <c r="Q31" s="90" t="n"/>
      <c r="R31" s="90" t="n"/>
      <c r="S31" s="90" t="n"/>
      <c r="T31" s="90" t="n"/>
      <c r="U31" s="90" t="n"/>
      <c r="V31" s="90" t="n"/>
      <c r="W31" s="90" t="n"/>
      <c r="X31" s="90" t="n"/>
      <c r="Y31" s="90" t="n"/>
      <c r="Z31" s="90" t="n"/>
      <c r="AA31" s="90" t="n"/>
      <c r="AB31" s="90" t="n"/>
      <c r="AC31" s="90" t="n"/>
      <c r="AD31" s="90" t="n"/>
      <c r="AE31" s="90" t="n"/>
      <c r="AF31" s="90" t="n"/>
      <c r="AG31" s="90" t="n"/>
      <c r="AH31" s="90" t="n"/>
      <c r="AI31" s="90" t="n"/>
      <c r="AJ31" s="90" t="n"/>
      <c r="AK31" s="90" t="n"/>
      <c r="AL31" s="90" t="n"/>
      <c r="AM31" s="90" t="n"/>
      <c r="AN31" s="90" t="n"/>
      <c r="AO31" s="90" t="n"/>
      <c r="AP31" s="90" t="n"/>
      <c r="AQ31" s="90" t="n"/>
      <c r="AR31" s="90" t="n"/>
      <c r="AS31" s="90" t="n"/>
      <c r="AT31" s="90" t="n"/>
      <c r="AU31" s="90" t="n"/>
      <c r="AV31" s="90" t="n"/>
      <c r="AW31" s="90" t="n"/>
      <c r="AX31" s="90" t="n"/>
      <c r="AY31" s="90" t="n"/>
    </row>
    <row r="32" ht="20" customHeight="1">
      <c r="A32" s="89">
        <f>IF(Roster!$A$30&lt;&gt;"",Roster!$A$30,"")</f>
        <v/>
      </c>
      <c r="B32" s="90" t="n"/>
      <c r="C32" s="90" t="n"/>
      <c r="D32" s="90" t="n"/>
      <c r="E32" s="90" t="n"/>
      <c r="F32" s="90" t="n"/>
      <c r="G32" s="90" t="n"/>
      <c r="H32" s="90" t="n"/>
      <c r="I32" s="90" t="n"/>
      <c r="J32" s="90" t="n"/>
      <c r="K32" s="90" t="n"/>
      <c r="L32" s="90" t="n"/>
      <c r="M32" s="90" t="n"/>
      <c r="N32" s="90" t="n"/>
      <c r="O32" s="90" t="n"/>
      <c r="P32" s="90" t="n"/>
      <c r="Q32" s="90" t="n"/>
      <c r="R32" s="90" t="n"/>
      <c r="S32" s="90" t="n"/>
      <c r="T32" s="90" t="n"/>
      <c r="U32" s="90" t="n"/>
      <c r="V32" s="90" t="n"/>
      <c r="W32" s="90" t="n"/>
      <c r="X32" s="90" t="n"/>
      <c r="Y32" s="90" t="n"/>
      <c r="Z32" s="90" t="n"/>
      <c r="AA32" s="90" t="n"/>
      <c r="AB32" s="90" t="n"/>
      <c r="AC32" s="90" t="n"/>
      <c r="AD32" s="90" t="n"/>
      <c r="AE32" s="90" t="n"/>
      <c r="AF32" s="90" t="n"/>
      <c r="AG32" s="90" t="n"/>
      <c r="AH32" s="90" t="n"/>
      <c r="AI32" s="90" t="n"/>
      <c r="AJ32" s="90" t="n"/>
      <c r="AK32" s="90" t="n"/>
      <c r="AL32" s="90" t="n"/>
      <c r="AM32" s="90" t="n"/>
      <c r="AN32" s="90" t="n"/>
      <c r="AO32" s="90" t="n"/>
      <c r="AP32" s="90" t="n"/>
      <c r="AQ32" s="90" t="n"/>
      <c r="AR32" s="90" t="n"/>
      <c r="AS32" s="90" t="n"/>
      <c r="AT32" s="90" t="n"/>
      <c r="AU32" s="90" t="n"/>
      <c r="AV32" s="90" t="n"/>
      <c r="AW32" s="90" t="n"/>
      <c r="AX32" s="90" t="n"/>
      <c r="AY32" s="90" t="n"/>
    </row>
    <row r="33" ht="20" customHeight="1">
      <c r="A33" s="89">
        <f>IF(Roster!$A$31&lt;&gt;"",Roster!$A$31,"")</f>
        <v/>
      </c>
      <c r="B33" s="90" t="n"/>
      <c r="C33" s="90" t="n"/>
      <c r="D33" s="90" t="n"/>
      <c r="E33" s="90" t="n"/>
      <c r="F33" s="90" t="n"/>
      <c r="G33" s="90" t="n"/>
      <c r="H33" s="90" t="n"/>
      <c r="I33" s="90" t="n"/>
      <c r="J33" s="90" t="n"/>
      <c r="K33" s="90" t="n"/>
      <c r="L33" s="90" t="n"/>
      <c r="M33" s="90" t="n"/>
      <c r="N33" s="90" t="n"/>
      <c r="O33" s="90" t="n"/>
      <c r="P33" s="90" t="n"/>
      <c r="Q33" s="90" t="n"/>
      <c r="R33" s="90" t="n"/>
      <c r="S33" s="90" t="n"/>
      <c r="T33" s="90" t="n"/>
      <c r="U33" s="90" t="n"/>
      <c r="V33" s="90" t="n"/>
      <c r="W33" s="90" t="n"/>
      <c r="X33" s="90" t="n"/>
      <c r="Y33" s="90" t="n"/>
      <c r="Z33" s="90" t="n"/>
      <c r="AA33" s="90" t="n"/>
      <c r="AB33" s="90" t="n"/>
      <c r="AC33" s="90" t="n"/>
      <c r="AD33" s="90" t="n"/>
      <c r="AE33" s="90" t="n"/>
      <c r="AF33" s="90" t="n"/>
      <c r="AG33" s="90" t="n"/>
      <c r="AH33" s="90" t="n"/>
      <c r="AI33" s="90" t="n"/>
      <c r="AJ33" s="90" t="n"/>
      <c r="AK33" s="90" t="n"/>
      <c r="AL33" s="90" t="n"/>
      <c r="AM33" s="90" t="n"/>
      <c r="AN33" s="90" t="n"/>
      <c r="AO33" s="90" t="n"/>
      <c r="AP33" s="90" t="n"/>
      <c r="AQ33" s="90" t="n"/>
      <c r="AR33" s="90" t="n"/>
      <c r="AS33" s="90" t="n"/>
      <c r="AT33" s="90" t="n"/>
      <c r="AU33" s="90" t="n"/>
      <c r="AV33" s="90" t="n"/>
      <c r="AW33" s="90" t="n"/>
      <c r="AX33" s="90" t="n"/>
      <c r="AY33" s="90" t="n"/>
    </row>
    <row r="34" ht="20" customHeight="1">
      <c r="A34" s="89">
        <f>IF(Roster!$A$32&lt;&gt;"",Roster!$A$32,"")</f>
        <v/>
      </c>
      <c r="B34" s="90" t="n"/>
      <c r="C34" s="90" t="n"/>
      <c r="D34" s="90" t="n"/>
      <c r="E34" s="90" t="n"/>
      <c r="F34" s="90" t="n"/>
      <c r="G34" s="90" t="n"/>
      <c r="H34" s="90" t="n"/>
      <c r="I34" s="90" t="n"/>
      <c r="J34" s="90" t="n"/>
      <c r="K34" s="90" t="n"/>
      <c r="L34" s="90" t="n"/>
      <c r="M34" s="90" t="n"/>
      <c r="N34" s="90" t="n"/>
      <c r="O34" s="90" t="n"/>
      <c r="P34" s="90" t="n"/>
      <c r="Q34" s="90" t="n"/>
      <c r="R34" s="90" t="n"/>
      <c r="S34" s="90" t="n"/>
      <c r="T34" s="90" t="n"/>
      <c r="U34" s="90" t="n"/>
      <c r="V34" s="90" t="n"/>
      <c r="W34" s="90" t="n"/>
      <c r="X34" s="90" t="n"/>
      <c r="Y34" s="90" t="n"/>
      <c r="Z34" s="90" t="n"/>
      <c r="AA34" s="90" t="n"/>
      <c r="AB34" s="90" t="n"/>
      <c r="AC34" s="90" t="n"/>
      <c r="AD34" s="90" t="n"/>
      <c r="AE34" s="90" t="n"/>
      <c r="AF34" s="90" t="n"/>
      <c r="AG34" s="90" t="n"/>
      <c r="AH34" s="90" t="n"/>
      <c r="AI34" s="90" t="n"/>
      <c r="AJ34" s="90" t="n"/>
      <c r="AK34" s="90" t="n"/>
      <c r="AL34" s="90" t="n"/>
      <c r="AM34" s="90" t="n"/>
      <c r="AN34" s="90" t="n"/>
      <c r="AO34" s="90" t="n"/>
      <c r="AP34" s="90" t="n"/>
      <c r="AQ34" s="90" t="n"/>
      <c r="AR34" s="90" t="n"/>
      <c r="AS34" s="90" t="n"/>
      <c r="AT34" s="90" t="n"/>
      <c r="AU34" s="90" t="n"/>
      <c r="AV34" s="90" t="n"/>
      <c r="AW34" s="90" t="n"/>
      <c r="AX34" s="90" t="n"/>
      <c r="AY34" s="90" t="n"/>
    </row>
    <row r="35" ht="20" customHeight="1">
      <c r="A35" s="89">
        <f>IF(Roster!$A$33&lt;&gt;"",Roster!$A$33,"")</f>
        <v/>
      </c>
      <c r="B35" s="90" t="n"/>
      <c r="C35" s="90" t="n"/>
      <c r="D35" s="90" t="n"/>
      <c r="E35" s="90" t="n"/>
      <c r="F35" s="90" t="n"/>
      <c r="G35" s="90" t="n"/>
      <c r="H35" s="90" t="n"/>
      <c r="I35" s="90" t="n"/>
      <c r="J35" s="90" t="n"/>
      <c r="K35" s="90" t="n"/>
      <c r="L35" s="90" t="n"/>
      <c r="M35" s="90" t="n"/>
      <c r="N35" s="90" t="n"/>
      <c r="O35" s="90" t="n"/>
      <c r="P35" s="90" t="n"/>
      <c r="Q35" s="90" t="n"/>
      <c r="R35" s="90" t="n"/>
      <c r="S35" s="90" t="n"/>
      <c r="T35" s="90" t="n"/>
      <c r="U35" s="90" t="n"/>
      <c r="V35" s="90" t="n"/>
      <c r="W35" s="90" t="n"/>
      <c r="X35" s="90" t="n"/>
      <c r="Y35" s="90" t="n"/>
      <c r="Z35" s="90" t="n"/>
      <c r="AA35" s="90" t="n"/>
      <c r="AB35" s="90" t="n"/>
      <c r="AC35" s="90" t="n"/>
      <c r="AD35" s="90" t="n"/>
      <c r="AE35" s="90" t="n"/>
      <c r="AF35" s="90" t="n"/>
      <c r="AG35" s="90" t="n"/>
      <c r="AH35" s="90" t="n"/>
      <c r="AI35" s="90" t="n"/>
      <c r="AJ35" s="90" t="n"/>
      <c r="AK35" s="90" t="n"/>
      <c r="AL35" s="90" t="n"/>
      <c r="AM35" s="90" t="n"/>
      <c r="AN35" s="90" t="n"/>
      <c r="AO35" s="90" t="n"/>
      <c r="AP35" s="90" t="n"/>
      <c r="AQ35" s="90" t="n"/>
      <c r="AR35" s="90" t="n"/>
      <c r="AS35" s="90" t="n"/>
      <c r="AT35" s="90" t="n"/>
      <c r="AU35" s="90" t="n"/>
      <c r="AV35" s="90" t="n"/>
      <c r="AW35" s="90" t="n"/>
      <c r="AX35" s="90" t="n"/>
      <c r="AY35" s="90" t="n"/>
    </row>
    <row r="36" ht="20" customHeight="1">
      <c r="A36" s="89">
        <f>IF(Roster!$A$34&lt;&gt;"",Roster!$A$34,"")</f>
        <v/>
      </c>
      <c r="B36" s="90" t="n"/>
      <c r="C36" s="90" t="n"/>
      <c r="D36" s="90" t="n"/>
      <c r="E36" s="90" t="n"/>
      <c r="F36" s="90" t="n"/>
      <c r="G36" s="90" t="n"/>
      <c r="H36" s="90" t="n"/>
      <c r="I36" s="90" t="n"/>
      <c r="J36" s="90" t="n"/>
      <c r="K36" s="90" t="n"/>
      <c r="L36" s="90" t="n"/>
      <c r="M36" s="90" t="n"/>
      <c r="N36" s="90" t="n"/>
      <c r="O36" s="90" t="n"/>
      <c r="P36" s="90" t="n"/>
      <c r="Q36" s="90" t="n"/>
      <c r="R36" s="90" t="n"/>
      <c r="S36" s="90" t="n"/>
      <c r="T36" s="90" t="n"/>
      <c r="U36" s="90" t="n"/>
      <c r="V36" s="90" t="n"/>
      <c r="W36" s="90" t="n"/>
      <c r="X36" s="90" t="n"/>
      <c r="Y36" s="90" t="n"/>
      <c r="Z36" s="90" t="n"/>
      <c r="AA36" s="90" t="n"/>
      <c r="AB36" s="90" t="n"/>
      <c r="AC36" s="90" t="n"/>
      <c r="AD36" s="90" t="n"/>
      <c r="AE36" s="90" t="n"/>
      <c r="AF36" s="90" t="n"/>
      <c r="AG36" s="90" t="n"/>
      <c r="AH36" s="90" t="n"/>
      <c r="AI36" s="90" t="n"/>
      <c r="AJ36" s="90" t="n"/>
      <c r="AK36" s="90" t="n"/>
      <c r="AL36" s="90" t="n"/>
      <c r="AM36" s="90" t="n"/>
      <c r="AN36" s="90" t="n"/>
      <c r="AO36" s="90" t="n"/>
      <c r="AP36" s="90" t="n"/>
      <c r="AQ36" s="90" t="n"/>
      <c r="AR36" s="90" t="n"/>
      <c r="AS36" s="90" t="n"/>
      <c r="AT36" s="90" t="n"/>
      <c r="AU36" s="90" t="n"/>
      <c r="AV36" s="90" t="n"/>
      <c r="AW36" s="90" t="n"/>
      <c r="AX36" s="90" t="n"/>
      <c r="AY36" s="90" t="n"/>
    </row>
    <row r="37" ht="20" customHeight="1">
      <c r="A37" s="89">
        <f>IF(Roster!$A$35&lt;&gt;"",Roster!$A$35,"")</f>
        <v/>
      </c>
      <c r="B37" s="90" t="n"/>
      <c r="C37" s="90" t="n"/>
      <c r="D37" s="90" t="n"/>
      <c r="E37" s="90" t="n"/>
      <c r="F37" s="90" t="n"/>
      <c r="G37" s="90" t="n"/>
      <c r="H37" s="90" t="n"/>
      <c r="I37" s="90" t="n"/>
      <c r="J37" s="90" t="n"/>
      <c r="K37" s="90" t="n"/>
      <c r="L37" s="90" t="n"/>
      <c r="M37" s="90" t="n"/>
      <c r="N37" s="90" t="n"/>
      <c r="O37" s="90" t="n"/>
      <c r="P37" s="90" t="n"/>
      <c r="Q37" s="90" t="n"/>
      <c r="R37" s="90" t="n"/>
      <c r="S37" s="90" t="n"/>
      <c r="T37" s="90" t="n"/>
      <c r="U37" s="90" t="n"/>
      <c r="V37" s="90" t="n"/>
      <c r="W37" s="90" t="n"/>
      <c r="X37" s="90" t="n"/>
      <c r="Y37" s="90" t="n"/>
      <c r="Z37" s="90" t="n"/>
      <c r="AA37" s="90" t="n"/>
      <c r="AB37" s="90" t="n"/>
      <c r="AC37" s="90" t="n"/>
      <c r="AD37" s="90" t="n"/>
      <c r="AE37" s="90" t="n"/>
      <c r="AF37" s="90" t="n"/>
      <c r="AG37" s="90" t="n"/>
      <c r="AH37" s="90" t="n"/>
      <c r="AI37" s="90" t="n"/>
      <c r="AJ37" s="90" t="n"/>
      <c r="AK37" s="90" t="n"/>
      <c r="AL37" s="90" t="n"/>
      <c r="AM37" s="90" t="n"/>
      <c r="AN37" s="90" t="n"/>
      <c r="AO37" s="90" t="n"/>
      <c r="AP37" s="90" t="n"/>
      <c r="AQ37" s="90" t="n"/>
      <c r="AR37" s="90" t="n"/>
      <c r="AS37" s="90" t="n"/>
      <c r="AT37" s="90" t="n"/>
      <c r="AU37" s="90" t="n"/>
      <c r="AV37" s="90" t="n"/>
      <c r="AW37" s="90" t="n"/>
      <c r="AX37" s="90" t="n"/>
      <c r="AY37" s="90" t="n"/>
    </row>
    <row r="38" ht="20" customHeight="1">
      <c r="A38" s="89">
        <f>IF(Roster!$A$36&lt;&gt;"",Roster!$A$36,"")</f>
        <v/>
      </c>
      <c r="B38" s="90" t="n"/>
      <c r="C38" s="90" t="n"/>
      <c r="D38" s="90" t="n"/>
      <c r="E38" s="90" t="n"/>
      <c r="F38" s="90" t="n"/>
      <c r="G38" s="90" t="n"/>
      <c r="H38" s="90" t="n"/>
      <c r="I38" s="90" t="n"/>
      <c r="J38" s="90" t="n"/>
      <c r="K38" s="90" t="n"/>
      <c r="L38" s="90" t="n"/>
      <c r="M38" s="90" t="n"/>
      <c r="N38" s="90" t="n"/>
      <c r="O38" s="90" t="n"/>
      <c r="P38" s="90" t="n"/>
      <c r="Q38" s="90" t="n"/>
      <c r="R38" s="90" t="n"/>
      <c r="S38" s="90" t="n"/>
      <c r="T38" s="90" t="n"/>
      <c r="U38" s="90" t="n"/>
      <c r="V38" s="90" t="n"/>
      <c r="W38" s="90" t="n"/>
      <c r="X38" s="90" t="n"/>
      <c r="Y38" s="90" t="n"/>
      <c r="Z38" s="90" t="n"/>
      <c r="AA38" s="90" t="n"/>
      <c r="AB38" s="90" t="n"/>
      <c r="AC38" s="90" t="n"/>
      <c r="AD38" s="90" t="n"/>
      <c r="AE38" s="90" t="n"/>
      <c r="AF38" s="90" t="n"/>
      <c r="AG38" s="90" t="n"/>
      <c r="AH38" s="90" t="n"/>
      <c r="AI38" s="90" t="n"/>
      <c r="AJ38" s="90" t="n"/>
      <c r="AK38" s="90" t="n"/>
      <c r="AL38" s="90" t="n"/>
      <c r="AM38" s="90" t="n"/>
      <c r="AN38" s="90" t="n"/>
      <c r="AO38" s="90" t="n"/>
      <c r="AP38" s="90" t="n"/>
      <c r="AQ38" s="90" t="n"/>
      <c r="AR38" s="90" t="n"/>
      <c r="AS38" s="90" t="n"/>
      <c r="AT38" s="90" t="n"/>
      <c r="AU38" s="90" t="n"/>
      <c r="AV38" s="90" t="n"/>
      <c r="AW38" s="90" t="n"/>
      <c r="AX38" s="90" t="n"/>
      <c r="AY38" s="90" t="n"/>
    </row>
    <row r="39" ht="20" customHeight="1">
      <c r="A39" s="89">
        <f>IF(Roster!$A$37&lt;&gt;"",Roster!$A$37,"")</f>
        <v/>
      </c>
      <c r="B39" s="90" t="n"/>
      <c r="C39" s="90" t="n"/>
      <c r="D39" s="90" t="n"/>
      <c r="E39" s="90" t="n"/>
      <c r="F39" s="90" t="n"/>
      <c r="G39" s="90" t="n"/>
      <c r="H39" s="90" t="n"/>
      <c r="I39" s="90" t="n"/>
      <c r="J39" s="90" t="n"/>
      <c r="K39" s="90" t="n"/>
      <c r="L39" s="90" t="n"/>
      <c r="M39" s="90" t="n"/>
      <c r="N39" s="90" t="n"/>
      <c r="O39" s="90" t="n"/>
      <c r="P39" s="90" t="n"/>
      <c r="Q39" s="90" t="n"/>
      <c r="R39" s="90" t="n"/>
      <c r="S39" s="90" t="n"/>
      <c r="T39" s="90" t="n"/>
      <c r="U39" s="90" t="n"/>
      <c r="V39" s="90" t="n"/>
      <c r="W39" s="90" t="n"/>
      <c r="X39" s="90" t="n"/>
      <c r="Y39" s="90" t="n"/>
      <c r="Z39" s="90" t="n"/>
      <c r="AA39" s="90" t="n"/>
      <c r="AB39" s="90" t="n"/>
      <c r="AC39" s="90" t="n"/>
      <c r="AD39" s="90" t="n"/>
      <c r="AE39" s="90" t="n"/>
      <c r="AF39" s="90" t="n"/>
      <c r="AG39" s="90" t="n"/>
      <c r="AH39" s="90" t="n"/>
      <c r="AI39" s="90" t="n"/>
      <c r="AJ39" s="90" t="n"/>
      <c r="AK39" s="90" t="n"/>
      <c r="AL39" s="90" t="n"/>
      <c r="AM39" s="90" t="n"/>
      <c r="AN39" s="90" t="n"/>
      <c r="AO39" s="90" t="n"/>
      <c r="AP39" s="90" t="n"/>
      <c r="AQ39" s="90" t="n"/>
      <c r="AR39" s="90" t="n"/>
      <c r="AS39" s="90" t="n"/>
      <c r="AT39" s="90" t="n"/>
      <c r="AU39" s="90" t="n"/>
      <c r="AV39" s="90" t="n"/>
      <c r="AW39" s="90" t="n"/>
      <c r="AX39" s="90" t="n"/>
      <c r="AY39" s="90" t="n"/>
    </row>
    <row r="40" ht="20" customHeight="1">
      <c r="A40" s="89">
        <f>IF(Roster!$A$38&lt;&gt;"",Roster!$A$38,"")</f>
        <v/>
      </c>
      <c r="B40" s="90" t="n"/>
      <c r="C40" s="90" t="n"/>
      <c r="D40" s="90" t="n"/>
      <c r="E40" s="90" t="n"/>
      <c r="F40" s="90" t="n"/>
      <c r="G40" s="90" t="n"/>
      <c r="H40" s="90" t="n"/>
      <c r="I40" s="90" t="n"/>
      <c r="J40" s="90" t="n"/>
      <c r="K40" s="90" t="n"/>
      <c r="L40" s="90" t="n"/>
      <c r="M40" s="90" t="n"/>
      <c r="N40" s="90" t="n"/>
      <c r="O40" s="90" t="n"/>
      <c r="P40" s="90" t="n"/>
      <c r="Q40" s="90" t="n"/>
      <c r="R40" s="90" t="n"/>
      <c r="S40" s="90" t="n"/>
      <c r="T40" s="90" t="n"/>
      <c r="U40" s="90" t="n"/>
      <c r="V40" s="90" t="n"/>
      <c r="W40" s="90" t="n"/>
      <c r="X40" s="90" t="n"/>
      <c r="Y40" s="90" t="n"/>
      <c r="Z40" s="90" t="n"/>
      <c r="AA40" s="90" t="n"/>
      <c r="AB40" s="90" t="n"/>
      <c r="AC40" s="90" t="n"/>
      <c r="AD40" s="90" t="n"/>
      <c r="AE40" s="90" t="n"/>
      <c r="AF40" s="90" t="n"/>
      <c r="AG40" s="90" t="n"/>
      <c r="AH40" s="90" t="n"/>
      <c r="AI40" s="90" t="n"/>
      <c r="AJ40" s="90" t="n"/>
      <c r="AK40" s="90" t="n"/>
      <c r="AL40" s="90" t="n"/>
      <c r="AM40" s="90" t="n"/>
      <c r="AN40" s="90" t="n"/>
      <c r="AO40" s="90" t="n"/>
      <c r="AP40" s="90" t="n"/>
      <c r="AQ40" s="90" t="n"/>
      <c r="AR40" s="90" t="n"/>
      <c r="AS40" s="90" t="n"/>
      <c r="AT40" s="90" t="n"/>
      <c r="AU40" s="90" t="n"/>
      <c r="AV40" s="90" t="n"/>
      <c r="AW40" s="90" t="n"/>
      <c r="AX40" s="90" t="n"/>
      <c r="AY40" s="90" t="n"/>
    </row>
    <row r="41" ht="20" customHeight="1">
      <c r="A41" s="89">
        <f>IF(Roster!$A$39&lt;&gt;"",Roster!$A$39,"")</f>
        <v/>
      </c>
      <c r="B41" s="90" t="n"/>
      <c r="C41" s="90" t="n"/>
      <c r="D41" s="90" t="n"/>
      <c r="E41" s="90" t="n"/>
      <c r="F41" s="90" t="n"/>
      <c r="G41" s="90" t="n"/>
      <c r="H41" s="90" t="n"/>
      <c r="I41" s="90" t="n"/>
      <c r="J41" s="90" t="n"/>
      <c r="K41" s="90" t="n"/>
      <c r="L41" s="90" t="n"/>
      <c r="M41" s="90" t="n"/>
      <c r="N41" s="90" t="n"/>
      <c r="O41" s="90" t="n"/>
      <c r="P41" s="90" t="n"/>
      <c r="Q41" s="90" t="n"/>
      <c r="R41" s="90" t="n"/>
      <c r="S41" s="90" t="n"/>
      <c r="T41" s="90" t="n"/>
      <c r="U41" s="90" t="n"/>
      <c r="V41" s="90" t="n"/>
      <c r="W41" s="90" t="n"/>
      <c r="X41" s="90" t="n"/>
      <c r="Y41" s="90" t="n"/>
      <c r="Z41" s="90" t="n"/>
      <c r="AA41" s="90" t="n"/>
      <c r="AB41" s="90" t="n"/>
      <c r="AC41" s="90" t="n"/>
      <c r="AD41" s="90" t="n"/>
      <c r="AE41" s="90" t="n"/>
      <c r="AF41" s="90" t="n"/>
      <c r="AG41" s="90" t="n"/>
      <c r="AH41" s="90" t="n"/>
      <c r="AI41" s="90" t="n"/>
      <c r="AJ41" s="90" t="n"/>
      <c r="AK41" s="90" t="n"/>
      <c r="AL41" s="90" t="n"/>
      <c r="AM41" s="90" t="n"/>
      <c r="AN41" s="90" t="n"/>
      <c r="AO41" s="90" t="n"/>
      <c r="AP41" s="90" t="n"/>
      <c r="AQ41" s="90" t="n"/>
      <c r="AR41" s="90" t="n"/>
      <c r="AS41" s="90" t="n"/>
      <c r="AT41" s="90" t="n"/>
      <c r="AU41" s="90" t="n"/>
      <c r="AV41" s="90" t="n"/>
      <c r="AW41" s="90" t="n"/>
      <c r="AX41" s="90" t="n"/>
      <c r="AY41" s="90" t="n"/>
    </row>
    <row r="42" ht="20" customHeight="1">
      <c r="A42" s="89">
        <f>IF(Roster!$A$40&lt;&gt;"",Roster!$A$40,"")</f>
        <v/>
      </c>
      <c r="B42" s="90" t="n"/>
      <c r="C42" s="90" t="n"/>
      <c r="D42" s="90" t="n"/>
      <c r="E42" s="90" t="n"/>
      <c r="F42" s="90" t="n"/>
      <c r="G42" s="90" t="n"/>
      <c r="H42" s="90" t="n"/>
      <c r="I42" s="90" t="n"/>
      <c r="J42" s="90" t="n"/>
      <c r="K42" s="90" t="n"/>
      <c r="L42" s="90" t="n"/>
      <c r="M42" s="90" t="n"/>
      <c r="N42" s="90" t="n"/>
      <c r="O42" s="90" t="n"/>
      <c r="P42" s="90" t="n"/>
      <c r="Q42" s="90" t="n"/>
      <c r="R42" s="90" t="n"/>
      <c r="S42" s="90" t="n"/>
      <c r="T42" s="90" t="n"/>
      <c r="U42" s="90" t="n"/>
      <c r="V42" s="90" t="n"/>
      <c r="W42" s="90" t="n"/>
      <c r="X42" s="90" t="n"/>
      <c r="Y42" s="90" t="n"/>
      <c r="Z42" s="90" t="n"/>
      <c r="AA42" s="90" t="n"/>
      <c r="AB42" s="90" t="n"/>
      <c r="AC42" s="90" t="n"/>
      <c r="AD42" s="90" t="n"/>
      <c r="AE42" s="90" t="n"/>
      <c r="AF42" s="90" t="n"/>
      <c r="AG42" s="90" t="n"/>
      <c r="AH42" s="90" t="n"/>
      <c r="AI42" s="90" t="n"/>
      <c r="AJ42" s="90" t="n"/>
      <c r="AK42" s="90" t="n"/>
      <c r="AL42" s="90" t="n"/>
      <c r="AM42" s="90" t="n"/>
      <c r="AN42" s="90" t="n"/>
      <c r="AO42" s="90" t="n"/>
      <c r="AP42" s="90" t="n"/>
      <c r="AQ42" s="90" t="n"/>
      <c r="AR42" s="90" t="n"/>
      <c r="AS42" s="90" t="n"/>
      <c r="AT42" s="90" t="n"/>
      <c r="AU42" s="90" t="n"/>
      <c r="AV42" s="90" t="n"/>
      <c r="AW42" s="90" t="n"/>
      <c r="AX42" s="90" t="n"/>
      <c r="AY42" s="90" t="n"/>
    </row>
    <row r="43" ht="20" customHeight="1">
      <c r="A43" s="89">
        <f>IF(Roster!$A$41&lt;&gt;"",Roster!$A$41,"")</f>
        <v/>
      </c>
      <c r="B43" s="90" t="n"/>
      <c r="C43" s="90" t="n"/>
      <c r="D43" s="90" t="n"/>
      <c r="E43" s="90" t="n"/>
      <c r="F43" s="90" t="n"/>
      <c r="G43" s="90" t="n"/>
      <c r="H43" s="90" t="n"/>
      <c r="I43" s="90" t="n"/>
      <c r="J43" s="90" t="n"/>
      <c r="K43" s="90" t="n"/>
      <c r="L43" s="90" t="n"/>
      <c r="M43" s="90" t="n"/>
      <c r="N43" s="90" t="n"/>
      <c r="O43" s="90" t="n"/>
      <c r="P43" s="90" t="n"/>
      <c r="Q43" s="90" t="n"/>
      <c r="R43" s="90" t="n"/>
      <c r="S43" s="90" t="n"/>
      <c r="T43" s="90" t="n"/>
      <c r="U43" s="90" t="n"/>
      <c r="V43" s="90" t="n"/>
      <c r="W43" s="90" t="n"/>
      <c r="X43" s="90" t="n"/>
      <c r="Y43" s="90" t="n"/>
      <c r="Z43" s="90" t="n"/>
      <c r="AA43" s="90" t="n"/>
      <c r="AB43" s="90" t="n"/>
      <c r="AC43" s="90" t="n"/>
      <c r="AD43" s="90" t="n"/>
      <c r="AE43" s="90" t="n"/>
      <c r="AF43" s="90" t="n"/>
      <c r="AG43" s="90" t="n"/>
      <c r="AH43" s="90" t="n"/>
      <c r="AI43" s="90" t="n"/>
      <c r="AJ43" s="90" t="n"/>
      <c r="AK43" s="90" t="n"/>
      <c r="AL43" s="90" t="n"/>
      <c r="AM43" s="90" t="n"/>
      <c r="AN43" s="90" t="n"/>
      <c r="AO43" s="90" t="n"/>
      <c r="AP43" s="90" t="n"/>
      <c r="AQ43" s="90" t="n"/>
      <c r="AR43" s="90" t="n"/>
      <c r="AS43" s="90" t="n"/>
      <c r="AT43" s="90" t="n"/>
      <c r="AU43" s="90" t="n"/>
      <c r="AV43" s="90" t="n"/>
      <c r="AW43" s="90" t="n"/>
      <c r="AX43" s="90" t="n"/>
      <c r="AY43" s="90" t="n"/>
    </row>
    <row r="44" ht="20" customHeight="1">
      <c r="A44" s="89">
        <f>IF(Roster!$A$42&lt;&gt;"",Roster!$A$42,"")</f>
        <v/>
      </c>
      <c r="B44" s="90" t="n"/>
      <c r="C44" s="90" t="n"/>
      <c r="D44" s="90" t="n"/>
      <c r="E44" s="90" t="n"/>
      <c r="F44" s="90" t="n"/>
      <c r="G44" s="90" t="n"/>
      <c r="H44" s="90" t="n"/>
      <c r="I44" s="90" t="n"/>
      <c r="J44" s="90" t="n"/>
      <c r="K44" s="90" t="n"/>
      <c r="L44" s="90" t="n"/>
      <c r="M44" s="90" t="n"/>
      <c r="N44" s="90" t="n"/>
      <c r="O44" s="90" t="n"/>
      <c r="P44" s="90" t="n"/>
      <c r="Q44" s="90" t="n"/>
      <c r="R44" s="90" t="n"/>
      <c r="S44" s="90" t="n"/>
      <c r="T44" s="90" t="n"/>
      <c r="U44" s="90" t="n"/>
      <c r="V44" s="90" t="n"/>
      <c r="W44" s="90" t="n"/>
      <c r="X44" s="90" t="n"/>
      <c r="Y44" s="90" t="n"/>
      <c r="Z44" s="90" t="n"/>
      <c r="AA44" s="90" t="n"/>
      <c r="AB44" s="90" t="n"/>
      <c r="AC44" s="90" t="n"/>
      <c r="AD44" s="90" t="n"/>
      <c r="AE44" s="90" t="n"/>
      <c r="AF44" s="90" t="n"/>
      <c r="AG44" s="90" t="n"/>
      <c r="AH44" s="90" t="n"/>
      <c r="AI44" s="90" t="n"/>
      <c r="AJ44" s="90" t="n"/>
      <c r="AK44" s="90" t="n"/>
      <c r="AL44" s="90" t="n"/>
      <c r="AM44" s="90" t="n"/>
      <c r="AN44" s="90" t="n"/>
      <c r="AO44" s="90" t="n"/>
      <c r="AP44" s="90" t="n"/>
      <c r="AQ44" s="90" t="n"/>
      <c r="AR44" s="90" t="n"/>
      <c r="AS44" s="90" t="n"/>
      <c r="AT44" s="90" t="n"/>
      <c r="AU44" s="90" t="n"/>
      <c r="AV44" s="90" t="n"/>
      <c r="AW44" s="90" t="n"/>
      <c r="AX44" s="90" t="n"/>
      <c r="AY44" s="90" t="n"/>
    </row>
    <row r="45" ht="20" customHeight="1">
      <c r="A45" s="89">
        <f>IF(Roster!$A$43&lt;&gt;"",Roster!$A$43,"")</f>
        <v/>
      </c>
      <c r="B45" s="90" t="n"/>
      <c r="C45" s="90" t="n"/>
      <c r="D45" s="90" t="n"/>
      <c r="E45" s="90" t="n"/>
      <c r="F45" s="90" t="n"/>
      <c r="G45" s="90" t="n"/>
      <c r="H45" s="90" t="n"/>
      <c r="I45" s="90" t="n"/>
      <c r="J45" s="90" t="n"/>
      <c r="K45" s="90" t="n"/>
      <c r="L45" s="90" t="n"/>
      <c r="M45" s="90" t="n"/>
      <c r="N45" s="90" t="n"/>
      <c r="O45" s="90" t="n"/>
      <c r="P45" s="90" t="n"/>
      <c r="Q45" s="90" t="n"/>
      <c r="R45" s="90" t="n"/>
      <c r="S45" s="90" t="n"/>
      <c r="T45" s="90" t="n"/>
      <c r="U45" s="90" t="n"/>
      <c r="V45" s="90" t="n"/>
      <c r="W45" s="90" t="n"/>
      <c r="X45" s="90" t="n"/>
      <c r="Y45" s="90" t="n"/>
      <c r="Z45" s="90" t="n"/>
      <c r="AA45" s="90" t="n"/>
      <c r="AB45" s="90" t="n"/>
      <c r="AC45" s="90" t="n"/>
      <c r="AD45" s="90" t="n"/>
      <c r="AE45" s="90" t="n"/>
      <c r="AF45" s="90" t="n"/>
      <c r="AG45" s="90" t="n"/>
      <c r="AH45" s="90" t="n"/>
      <c r="AI45" s="90" t="n"/>
      <c r="AJ45" s="90" t="n"/>
      <c r="AK45" s="90" t="n"/>
      <c r="AL45" s="90" t="n"/>
      <c r="AM45" s="90" t="n"/>
      <c r="AN45" s="90" t="n"/>
      <c r="AO45" s="90" t="n"/>
      <c r="AP45" s="90" t="n"/>
      <c r="AQ45" s="90" t="n"/>
      <c r="AR45" s="90" t="n"/>
      <c r="AS45" s="90" t="n"/>
      <c r="AT45" s="90" t="n"/>
      <c r="AU45" s="90" t="n"/>
      <c r="AV45" s="90" t="n"/>
      <c r="AW45" s="90" t="n"/>
      <c r="AX45" s="90" t="n"/>
      <c r="AY45" s="90" t="n"/>
    </row>
    <row r="46" ht="20" customHeight="1">
      <c r="A46" s="89">
        <f>IF(Roster!$A$44&lt;&gt;"",Roster!$A$44,"")</f>
        <v/>
      </c>
      <c r="B46" s="90" t="n"/>
      <c r="C46" s="90" t="n"/>
      <c r="D46" s="90" t="n"/>
      <c r="E46" s="90" t="n"/>
      <c r="F46" s="90" t="n"/>
      <c r="G46" s="90" t="n"/>
      <c r="H46" s="90" t="n"/>
      <c r="I46" s="90" t="n"/>
      <c r="J46" s="90" t="n"/>
      <c r="K46" s="90" t="n"/>
      <c r="L46" s="90" t="n"/>
      <c r="M46" s="90" t="n"/>
      <c r="N46" s="90" t="n"/>
      <c r="O46" s="90" t="n"/>
      <c r="P46" s="90" t="n"/>
      <c r="Q46" s="90" t="n"/>
      <c r="R46" s="90" t="n"/>
      <c r="S46" s="90" t="n"/>
      <c r="T46" s="90" t="n"/>
      <c r="U46" s="90" t="n"/>
      <c r="V46" s="90" t="n"/>
      <c r="W46" s="90" t="n"/>
      <c r="X46" s="90" t="n"/>
      <c r="Y46" s="90" t="n"/>
      <c r="Z46" s="90" t="n"/>
      <c r="AA46" s="90" t="n"/>
      <c r="AB46" s="90" t="n"/>
      <c r="AC46" s="90" t="n"/>
      <c r="AD46" s="90" t="n"/>
      <c r="AE46" s="90" t="n"/>
      <c r="AF46" s="90" t="n"/>
      <c r="AG46" s="90" t="n"/>
      <c r="AH46" s="90" t="n"/>
      <c r="AI46" s="90" t="n"/>
      <c r="AJ46" s="90" t="n"/>
      <c r="AK46" s="90" t="n"/>
      <c r="AL46" s="90" t="n"/>
      <c r="AM46" s="90" t="n"/>
      <c r="AN46" s="90" t="n"/>
      <c r="AO46" s="90" t="n"/>
      <c r="AP46" s="90" t="n"/>
      <c r="AQ46" s="90" t="n"/>
      <c r="AR46" s="90" t="n"/>
      <c r="AS46" s="90" t="n"/>
      <c r="AT46" s="90" t="n"/>
      <c r="AU46" s="90" t="n"/>
      <c r="AV46" s="90" t="n"/>
      <c r="AW46" s="90" t="n"/>
      <c r="AX46" s="90" t="n"/>
      <c r="AY46" s="90" t="n"/>
    </row>
    <row r="47" ht="20" customHeight="1">
      <c r="A47" s="89">
        <f>IF(Roster!$A$45&lt;&gt;"",Roster!$A$45,"")</f>
        <v/>
      </c>
      <c r="B47" s="90" t="n"/>
      <c r="C47" s="90" t="n"/>
      <c r="D47" s="90" t="n"/>
      <c r="E47" s="90" t="n"/>
      <c r="F47" s="90" t="n"/>
      <c r="G47" s="90" t="n"/>
      <c r="H47" s="90" t="n"/>
      <c r="I47" s="90" t="n"/>
      <c r="J47" s="90" t="n"/>
      <c r="K47" s="90" t="n"/>
      <c r="L47" s="90" t="n"/>
      <c r="M47" s="90" t="n"/>
      <c r="N47" s="90" t="n"/>
      <c r="O47" s="90" t="n"/>
      <c r="P47" s="90" t="n"/>
      <c r="Q47" s="90" t="n"/>
      <c r="R47" s="90" t="n"/>
      <c r="S47" s="90" t="n"/>
      <c r="T47" s="90" t="n"/>
      <c r="U47" s="90" t="n"/>
      <c r="V47" s="90" t="n"/>
      <c r="W47" s="90" t="n"/>
      <c r="X47" s="90" t="n"/>
      <c r="Y47" s="90" t="n"/>
      <c r="Z47" s="90" t="n"/>
      <c r="AA47" s="90" t="n"/>
      <c r="AB47" s="90" t="n"/>
      <c r="AC47" s="90" t="n"/>
      <c r="AD47" s="90" t="n"/>
      <c r="AE47" s="90" t="n"/>
      <c r="AF47" s="90" t="n"/>
      <c r="AG47" s="90" t="n"/>
      <c r="AH47" s="90" t="n"/>
      <c r="AI47" s="90" t="n"/>
      <c r="AJ47" s="90" t="n"/>
      <c r="AK47" s="90" t="n"/>
      <c r="AL47" s="90" t="n"/>
      <c r="AM47" s="90" t="n"/>
      <c r="AN47" s="90" t="n"/>
      <c r="AO47" s="90" t="n"/>
      <c r="AP47" s="90" t="n"/>
      <c r="AQ47" s="90" t="n"/>
      <c r="AR47" s="90" t="n"/>
      <c r="AS47" s="90" t="n"/>
      <c r="AT47" s="90" t="n"/>
      <c r="AU47" s="90" t="n"/>
      <c r="AV47" s="90" t="n"/>
      <c r="AW47" s="90" t="n"/>
      <c r="AX47" s="90" t="n"/>
      <c r="AY47" s="90" t="n"/>
    </row>
    <row r="48" ht="20" customHeight="1">
      <c r="A48" s="89">
        <f>IF(Roster!$A$46&lt;&gt;"",Roster!$A$46,"")</f>
        <v/>
      </c>
      <c r="B48" s="90" t="n"/>
      <c r="C48" s="90" t="n"/>
      <c r="D48" s="90" t="n"/>
      <c r="E48" s="90" t="n"/>
      <c r="F48" s="90" t="n"/>
      <c r="G48" s="90" t="n"/>
      <c r="H48" s="90" t="n"/>
      <c r="I48" s="90" t="n"/>
      <c r="J48" s="90" t="n"/>
      <c r="K48" s="90" t="n"/>
      <c r="L48" s="90" t="n"/>
      <c r="M48" s="90" t="n"/>
      <c r="N48" s="90" t="n"/>
      <c r="O48" s="90" t="n"/>
      <c r="P48" s="90" t="n"/>
      <c r="Q48" s="90" t="n"/>
      <c r="R48" s="90" t="n"/>
      <c r="S48" s="90" t="n"/>
      <c r="T48" s="90" t="n"/>
      <c r="U48" s="90" t="n"/>
      <c r="V48" s="90" t="n"/>
      <c r="W48" s="90" t="n"/>
      <c r="X48" s="90" t="n"/>
      <c r="Y48" s="90" t="n"/>
      <c r="Z48" s="90" t="n"/>
      <c r="AA48" s="90" t="n"/>
      <c r="AB48" s="90" t="n"/>
      <c r="AC48" s="90" t="n"/>
      <c r="AD48" s="90" t="n"/>
      <c r="AE48" s="90" t="n"/>
      <c r="AF48" s="90" t="n"/>
      <c r="AG48" s="90" t="n"/>
      <c r="AH48" s="90" t="n"/>
      <c r="AI48" s="90" t="n"/>
      <c r="AJ48" s="90" t="n"/>
      <c r="AK48" s="90" t="n"/>
      <c r="AL48" s="90" t="n"/>
      <c r="AM48" s="90" t="n"/>
      <c r="AN48" s="90" t="n"/>
      <c r="AO48" s="90" t="n"/>
      <c r="AP48" s="90" t="n"/>
      <c r="AQ48" s="90" t="n"/>
      <c r="AR48" s="90" t="n"/>
      <c r="AS48" s="90" t="n"/>
      <c r="AT48" s="90" t="n"/>
      <c r="AU48" s="90" t="n"/>
      <c r="AV48" s="90" t="n"/>
      <c r="AW48" s="90" t="n"/>
      <c r="AX48" s="90" t="n"/>
      <c r="AY48" s="90" t="n"/>
    </row>
    <row r="49" ht="20" customHeight="1">
      <c r="A49" s="89">
        <f>IF(Roster!$A$47&lt;&gt;"",Roster!$A$47,"")</f>
        <v/>
      </c>
      <c r="B49" s="90" t="n"/>
      <c r="C49" s="90" t="n"/>
      <c r="D49" s="90" t="n"/>
      <c r="E49" s="90" t="n"/>
      <c r="F49" s="90" t="n"/>
      <c r="G49" s="90" t="n"/>
      <c r="H49" s="90" t="n"/>
      <c r="I49" s="90" t="n"/>
      <c r="J49" s="90" t="n"/>
      <c r="K49" s="90" t="n"/>
      <c r="L49" s="90" t="n"/>
      <c r="M49" s="90" t="n"/>
      <c r="N49" s="90" t="n"/>
      <c r="O49" s="90" t="n"/>
      <c r="P49" s="90" t="n"/>
      <c r="Q49" s="90" t="n"/>
      <c r="R49" s="90" t="n"/>
      <c r="S49" s="90" t="n"/>
      <c r="T49" s="90" t="n"/>
      <c r="U49" s="90" t="n"/>
      <c r="V49" s="90" t="n"/>
      <c r="W49" s="90" t="n"/>
      <c r="X49" s="90" t="n"/>
      <c r="Y49" s="90" t="n"/>
      <c r="Z49" s="90" t="n"/>
      <c r="AA49" s="90" t="n"/>
      <c r="AB49" s="90" t="n"/>
      <c r="AC49" s="90" t="n"/>
      <c r="AD49" s="90" t="n"/>
      <c r="AE49" s="90" t="n"/>
      <c r="AF49" s="90" t="n"/>
      <c r="AG49" s="90" t="n"/>
      <c r="AH49" s="90" t="n"/>
      <c r="AI49" s="90" t="n"/>
      <c r="AJ49" s="90" t="n"/>
      <c r="AK49" s="90" t="n"/>
      <c r="AL49" s="90" t="n"/>
      <c r="AM49" s="90" t="n"/>
      <c r="AN49" s="90" t="n"/>
      <c r="AO49" s="90" t="n"/>
      <c r="AP49" s="90" t="n"/>
      <c r="AQ49" s="90" t="n"/>
      <c r="AR49" s="90" t="n"/>
      <c r="AS49" s="90" t="n"/>
      <c r="AT49" s="90" t="n"/>
      <c r="AU49" s="90" t="n"/>
      <c r="AV49" s="90" t="n"/>
      <c r="AW49" s="90" t="n"/>
      <c r="AX49" s="90" t="n"/>
      <c r="AY49" s="90" t="n"/>
    </row>
    <row r="50" ht="20" customHeight="1">
      <c r="A50" s="89">
        <f>IF(Roster!$A$48&lt;&gt;"",Roster!$A$48,"")</f>
        <v/>
      </c>
      <c r="B50" s="90" t="n"/>
      <c r="C50" s="90" t="n"/>
      <c r="D50" s="90" t="n"/>
      <c r="E50" s="90" t="n"/>
      <c r="F50" s="90" t="n"/>
      <c r="G50" s="90" t="n"/>
      <c r="H50" s="90" t="n"/>
      <c r="I50" s="90" t="n"/>
      <c r="J50" s="90" t="n"/>
      <c r="K50" s="90" t="n"/>
      <c r="L50" s="90" t="n"/>
      <c r="M50" s="90" t="n"/>
      <c r="N50" s="90" t="n"/>
      <c r="O50" s="90" t="n"/>
      <c r="P50" s="90" t="n"/>
      <c r="Q50" s="90" t="n"/>
      <c r="R50" s="90" t="n"/>
      <c r="S50" s="90" t="n"/>
      <c r="T50" s="90" t="n"/>
      <c r="U50" s="90" t="n"/>
      <c r="V50" s="90" t="n"/>
      <c r="W50" s="90" t="n"/>
      <c r="X50" s="90" t="n"/>
      <c r="Y50" s="90" t="n"/>
      <c r="Z50" s="90" t="n"/>
      <c r="AA50" s="90" t="n"/>
      <c r="AB50" s="90" t="n"/>
      <c r="AC50" s="90" t="n"/>
      <c r="AD50" s="90" t="n"/>
      <c r="AE50" s="90" t="n"/>
      <c r="AF50" s="90" t="n"/>
      <c r="AG50" s="90" t="n"/>
      <c r="AH50" s="90" t="n"/>
      <c r="AI50" s="90" t="n"/>
      <c r="AJ50" s="90" t="n"/>
      <c r="AK50" s="90" t="n"/>
      <c r="AL50" s="90" t="n"/>
      <c r="AM50" s="90" t="n"/>
      <c r="AN50" s="90" t="n"/>
      <c r="AO50" s="90" t="n"/>
      <c r="AP50" s="90" t="n"/>
      <c r="AQ50" s="90" t="n"/>
      <c r="AR50" s="90" t="n"/>
      <c r="AS50" s="90" t="n"/>
      <c r="AT50" s="90" t="n"/>
      <c r="AU50" s="90" t="n"/>
      <c r="AV50" s="90" t="n"/>
      <c r="AW50" s="90" t="n"/>
      <c r="AX50" s="90" t="n"/>
      <c r="AY50" s="90" t="n"/>
    </row>
    <row r="51" ht="20" customHeight="1">
      <c r="A51" s="89">
        <f>IF(Roster!$A$49&lt;&gt;"",Roster!$A$49,"")</f>
        <v/>
      </c>
      <c r="B51" s="90" t="n"/>
      <c r="C51" s="90" t="n"/>
      <c r="D51" s="90" t="n"/>
      <c r="E51" s="90" t="n"/>
      <c r="F51" s="90" t="n"/>
      <c r="G51" s="90" t="n"/>
      <c r="H51" s="90" t="n"/>
      <c r="I51" s="90" t="n"/>
      <c r="J51" s="90" t="n"/>
      <c r="K51" s="90" t="n"/>
      <c r="L51" s="90" t="n"/>
      <c r="M51" s="90" t="n"/>
      <c r="N51" s="90" t="n"/>
      <c r="O51" s="90" t="n"/>
      <c r="P51" s="90" t="n"/>
      <c r="Q51" s="90" t="n"/>
      <c r="R51" s="90" t="n"/>
      <c r="S51" s="90" t="n"/>
      <c r="T51" s="90" t="n"/>
      <c r="U51" s="90" t="n"/>
      <c r="V51" s="90" t="n"/>
      <c r="W51" s="90" t="n"/>
      <c r="X51" s="90" t="n"/>
      <c r="Y51" s="90" t="n"/>
      <c r="Z51" s="90" t="n"/>
      <c r="AA51" s="90" t="n"/>
      <c r="AB51" s="90" t="n"/>
      <c r="AC51" s="90" t="n"/>
      <c r="AD51" s="90" t="n"/>
      <c r="AE51" s="90" t="n"/>
      <c r="AF51" s="90" t="n"/>
      <c r="AG51" s="90" t="n"/>
      <c r="AH51" s="90" t="n"/>
      <c r="AI51" s="90" t="n"/>
      <c r="AJ51" s="90" t="n"/>
      <c r="AK51" s="90" t="n"/>
      <c r="AL51" s="90" t="n"/>
      <c r="AM51" s="90" t="n"/>
      <c r="AN51" s="90" t="n"/>
      <c r="AO51" s="90" t="n"/>
      <c r="AP51" s="90" t="n"/>
      <c r="AQ51" s="90" t="n"/>
      <c r="AR51" s="90" t="n"/>
      <c r="AS51" s="90" t="n"/>
      <c r="AT51" s="90" t="n"/>
      <c r="AU51" s="90" t="n"/>
      <c r="AV51" s="90" t="n"/>
      <c r="AW51" s="90" t="n"/>
      <c r="AX51" s="90" t="n"/>
      <c r="AY51" s="90" t="n"/>
    </row>
    <row r="52" ht="20" customHeight="1">
      <c r="A52" s="89">
        <f>IF(Roster!$A$50&lt;&gt;"",Roster!$A$50,"")</f>
        <v/>
      </c>
      <c r="B52" s="90" t="n"/>
      <c r="C52" s="90" t="n"/>
      <c r="D52" s="90" t="n"/>
      <c r="E52" s="90" t="n"/>
      <c r="F52" s="90" t="n"/>
      <c r="G52" s="90" t="n"/>
      <c r="H52" s="90" t="n"/>
      <c r="I52" s="90" t="n"/>
      <c r="J52" s="90" t="n"/>
      <c r="K52" s="90" t="n"/>
      <c r="L52" s="90" t="n"/>
      <c r="M52" s="90" t="n"/>
      <c r="N52" s="90" t="n"/>
      <c r="O52" s="90" t="n"/>
      <c r="P52" s="90" t="n"/>
      <c r="Q52" s="90" t="n"/>
      <c r="R52" s="90" t="n"/>
      <c r="S52" s="90" t="n"/>
      <c r="T52" s="90" t="n"/>
      <c r="U52" s="90" t="n"/>
      <c r="V52" s="90" t="n"/>
      <c r="W52" s="90" t="n"/>
      <c r="X52" s="90" t="n"/>
      <c r="Y52" s="90" t="n"/>
      <c r="Z52" s="90" t="n"/>
      <c r="AA52" s="90" t="n"/>
      <c r="AB52" s="90" t="n"/>
      <c r="AC52" s="90" t="n"/>
      <c r="AD52" s="90" t="n"/>
      <c r="AE52" s="90" t="n"/>
      <c r="AF52" s="90" t="n"/>
      <c r="AG52" s="90" t="n"/>
      <c r="AH52" s="90" t="n"/>
      <c r="AI52" s="90" t="n"/>
      <c r="AJ52" s="90" t="n"/>
      <c r="AK52" s="90" t="n"/>
      <c r="AL52" s="90" t="n"/>
      <c r="AM52" s="90" t="n"/>
      <c r="AN52" s="90" t="n"/>
      <c r="AO52" s="90" t="n"/>
      <c r="AP52" s="90" t="n"/>
      <c r="AQ52" s="90" t="n"/>
      <c r="AR52" s="90" t="n"/>
      <c r="AS52" s="90" t="n"/>
      <c r="AT52" s="90" t="n"/>
      <c r="AU52" s="90" t="n"/>
      <c r="AV52" s="90" t="n"/>
      <c r="AW52" s="90" t="n"/>
      <c r="AX52" s="90" t="n"/>
      <c r="AY52" s="90" t="n"/>
    </row>
    <row r="53" ht="20" customHeight="1">
      <c r="A53" s="89">
        <f>IF(Roster!$A$51&lt;&gt;"",Roster!$A$51,"")</f>
        <v/>
      </c>
      <c r="B53" s="90" t="n"/>
      <c r="C53" s="90" t="n"/>
      <c r="D53" s="90" t="n"/>
      <c r="E53" s="90" t="n"/>
      <c r="F53" s="90" t="n"/>
      <c r="G53" s="90" t="n"/>
      <c r="H53" s="90" t="n"/>
      <c r="I53" s="90" t="n"/>
      <c r="J53" s="90" t="n"/>
      <c r="K53" s="90" t="n"/>
      <c r="L53" s="90" t="n"/>
      <c r="M53" s="90" t="n"/>
      <c r="N53" s="90" t="n"/>
      <c r="O53" s="90" t="n"/>
      <c r="P53" s="90" t="n"/>
      <c r="Q53" s="90" t="n"/>
      <c r="R53" s="90" t="n"/>
      <c r="S53" s="90" t="n"/>
      <c r="T53" s="90" t="n"/>
      <c r="U53" s="90" t="n"/>
      <c r="V53" s="90" t="n"/>
      <c r="W53" s="90" t="n"/>
      <c r="X53" s="90" t="n"/>
      <c r="Y53" s="90" t="n"/>
      <c r="Z53" s="90" t="n"/>
      <c r="AA53" s="90" t="n"/>
      <c r="AB53" s="90" t="n"/>
      <c r="AC53" s="90" t="n"/>
      <c r="AD53" s="90" t="n"/>
      <c r="AE53" s="90" t="n"/>
      <c r="AF53" s="90" t="n"/>
      <c r="AG53" s="90" t="n"/>
      <c r="AH53" s="90" t="n"/>
      <c r="AI53" s="90" t="n"/>
      <c r="AJ53" s="90" t="n"/>
      <c r="AK53" s="90" t="n"/>
      <c r="AL53" s="90" t="n"/>
      <c r="AM53" s="90" t="n"/>
      <c r="AN53" s="90" t="n"/>
      <c r="AO53" s="90" t="n"/>
      <c r="AP53" s="90" t="n"/>
      <c r="AQ53" s="90" t="n"/>
      <c r="AR53" s="90" t="n"/>
      <c r="AS53" s="90" t="n"/>
      <c r="AT53" s="90" t="n"/>
      <c r="AU53" s="90" t="n"/>
      <c r="AV53" s="90" t="n"/>
      <c r="AW53" s="90" t="n"/>
      <c r="AX53" s="90" t="n"/>
      <c r="AY53" s="90" t="n"/>
    </row>
    <row r="54" ht="20" customHeight="1">
      <c r="A54" s="89">
        <f>IF(Roster!$A$52&lt;&gt;"",Roster!$A$52,"")</f>
        <v/>
      </c>
      <c r="B54" s="90" t="n"/>
      <c r="C54" s="90" t="n"/>
      <c r="D54" s="90" t="n"/>
      <c r="E54" s="90" t="n"/>
      <c r="F54" s="90" t="n"/>
      <c r="G54" s="90" t="n"/>
      <c r="H54" s="90" t="n"/>
      <c r="I54" s="90" t="n"/>
      <c r="J54" s="90" t="n"/>
      <c r="K54" s="90" t="n"/>
      <c r="L54" s="90" t="n"/>
      <c r="M54" s="90" t="n"/>
      <c r="N54" s="90" t="n"/>
      <c r="O54" s="90" t="n"/>
      <c r="P54" s="90" t="n"/>
      <c r="Q54" s="90" t="n"/>
      <c r="R54" s="90" t="n"/>
      <c r="S54" s="90" t="n"/>
      <c r="T54" s="90" t="n"/>
      <c r="U54" s="90" t="n"/>
      <c r="V54" s="90" t="n"/>
      <c r="W54" s="90" t="n"/>
      <c r="X54" s="90" t="n"/>
      <c r="Y54" s="90" t="n"/>
      <c r="Z54" s="90" t="n"/>
      <c r="AA54" s="90" t="n"/>
      <c r="AB54" s="90" t="n"/>
      <c r="AC54" s="90" t="n"/>
      <c r="AD54" s="90" t="n"/>
      <c r="AE54" s="90" t="n"/>
      <c r="AF54" s="90" t="n"/>
      <c r="AG54" s="90" t="n"/>
      <c r="AH54" s="90" t="n"/>
      <c r="AI54" s="90" t="n"/>
      <c r="AJ54" s="90" t="n"/>
      <c r="AK54" s="90" t="n"/>
      <c r="AL54" s="90" t="n"/>
      <c r="AM54" s="90" t="n"/>
      <c r="AN54" s="90" t="n"/>
      <c r="AO54" s="90" t="n"/>
      <c r="AP54" s="90" t="n"/>
      <c r="AQ54" s="90" t="n"/>
      <c r="AR54" s="90" t="n"/>
      <c r="AS54" s="90" t="n"/>
      <c r="AT54" s="90" t="n"/>
      <c r="AU54" s="90" t="n"/>
      <c r="AV54" s="90" t="n"/>
      <c r="AW54" s="90" t="n"/>
      <c r="AX54" s="90" t="n"/>
      <c r="AY54" s="90" t="n"/>
    </row>
    <row r="55" ht="20" customHeight="1">
      <c r="A55" s="89">
        <f>IF(Roster!$A$53&lt;&gt;"",Roster!$A$53,"")</f>
        <v/>
      </c>
      <c r="B55" s="90" t="n"/>
      <c r="C55" s="90" t="n"/>
      <c r="D55" s="90" t="n"/>
      <c r="E55" s="90" t="n"/>
      <c r="F55" s="90" t="n"/>
      <c r="G55" s="90" t="n"/>
      <c r="H55" s="90" t="n"/>
      <c r="I55" s="90" t="n"/>
      <c r="J55" s="90" t="n"/>
      <c r="K55" s="90" t="n"/>
      <c r="L55" s="90" t="n"/>
      <c r="M55" s="90" t="n"/>
      <c r="N55" s="90" t="n"/>
      <c r="O55" s="90" t="n"/>
      <c r="P55" s="90" t="n"/>
      <c r="Q55" s="90" t="n"/>
      <c r="R55" s="90" t="n"/>
      <c r="S55" s="90" t="n"/>
      <c r="T55" s="90" t="n"/>
      <c r="U55" s="90" t="n"/>
      <c r="V55" s="90" t="n"/>
      <c r="W55" s="90" t="n"/>
      <c r="X55" s="90" t="n"/>
      <c r="Y55" s="90" t="n"/>
      <c r="Z55" s="90" t="n"/>
      <c r="AA55" s="90" t="n"/>
      <c r="AB55" s="90" t="n"/>
      <c r="AC55" s="90" t="n"/>
      <c r="AD55" s="90" t="n"/>
      <c r="AE55" s="90" t="n"/>
      <c r="AF55" s="90" t="n"/>
      <c r="AG55" s="90" t="n"/>
      <c r="AH55" s="90" t="n"/>
      <c r="AI55" s="90" t="n"/>
      <c r="AJ55" s="90" t="n"/>
      <c r="AK55" s="90" t="n"/>
      <c r="AL55" s="90" t="n"/>
      <c r="AM55" s="90" t="n"/>
      <c r="AN55" s="90" t="n"/>
      <c r="AO55" s="90" t="n"/>
      <c r="AP55" s="90" t="n"/>
      <c r="AQ55" s="90" t="n"/>
      <c r="AR55" s="90" t="n"/>
      <c r="AS55" s="90" t="n"/>
      <c r="AT55" s="90" t="n"/>
      <c r="AU55" s="90" t="n"/>
      <c r="AV55" s="90" t="n"/>
      <c r="AW55" s="90" t="n"/>
      <c r="AX55" s="90" t="n"/>
      <c r="AY55" s="90" t="n"/>
    </row>
    <row r="56" ht="20" customHeight="1">
      <c r="A56" s="89">
        <f>IF(Roster!$A$54&lt;&gt;"",Roster!$A$54,"")</f>
        <v/>
      </c>
      <c r="B56" s="90" t="n"/>
      <c r="C56" s="90" t="n"/>
      <c r="D56" s="90" t="n"/>
      <c r="E56" s="90" t="n"/>
      <c r="F56" s="90" t="n"/>
      <c r="G56" s="90" t="n"/>
      <c r="H56" s="90" t="n"/>
      <c r="I56" s="90" t="n"/>
      <c r="J56" s="90" t="n"/>
      <c r="K56" s="90" t="n"/>
      <c r="L56" s="90" t="n"/>
      <c r="M56" s="90" t="n"/>
      <c r="N56" s="90" t="n"/>
      <c r="O56" s="90" t="n"/>
      <c r="P56" s="90" t="n"/>
      <c r="Q56" s="90" t="n"/>
      <c r="R56" s="90" t="n"/>
      <c r="S56" s="90" t="n"/>
      <c r="T56" s="90" t="n"/>
      <c r="U56" s="90" t="n"/>
      <c r="V56" s="90" t="n"/>
      <c r="W56" s="90" t="n"/>
      <c r="X56" s="90" t="n"/>
      <c r="Y56" s="90" t="n"/>
      <c r="Z56" s="90" t="n"/>
      <c r="AA56" s="90" t="n"/>
      <c r="AB56" s="90" t="n"/>
      <c r="AC56" s="90" t="n"/>
      <c r="AD56" s="90" t="n"/>
      <c r="AE56" s="90" t="n"/>
      <c r="AF56" s="90" t="n"/>
      <c r="AG56" s="90" t="n"/>
      <c r="AH56" s="90" t="n"/>
      <c r="AI56" s="90" t="n"/>
      <c r="AJ56" s="90" t="n"/>
      <c r="AK56" s="90" t="n"/>
      <c r="AL56" s="90" t="n"/>
      <c r="AM56" s="90" t="n"/>
      <c r="AN56" s="90" t="n"/>
      <c r="AO56" s="90" t="n"/>
      <c r="AP56" s="90" t="n"/>
      <c r="AQ56" s="90" t="n"/>
      <c r="AR56" s="90" t="n"/>
      <c r="AS56" s="90" t="n"/>
      <c r="AT56" s="90" t="n"/>
      <c r="AU56" s="90" t="n"/>
      <c r="AV56" s="90" t="n"/>
      <c r="AW56" s="90" t="n"/>
      <c r="AX56" s="90" t="n"/>
      <c r="AY56" s="90" t="n"/>
    </row>
    <row r="57" ht="20" customHeight="1">
      <c r="A57" s="89">
        <f>IF(Roster!$A$55&lt;&gt;"",Roster!$A$55,"")</f>
        <v/>
      </c>
      <c r="B57" s="90" t="n"/>
      <c r="C57" s="90" t="n"/>
      <c r="D57" s="90" t="n"/>
      <c r="E57" s="90" t="n"/>
      <c r="F57" s="90" t="n"/>
      <c r="G57" s="90" t="n"/>
      <c r="H57" s="90" t="n"/>
      <c r="I57" s="90" t="n"/>
      <c r="J57" s="90" t="n"/>
      <c r="K57" s="90" t="n"/>
      <c r="L57" s="90" t="n"/>
      <c r="M57" s="90" t="n"/>
      <c r="N57" s="90" t="n"/>
      <c r="O57" s="90" t="n"/>
      <c r="P57" s="90" t="n"/>
      <c r="Q57" s="90" t="n"/>
      <c r="R57" s="90" t="n"/>
      <c r="S57" s="90" t="n"/>
      <c r="T57" s="90" t="n"/>
      <c r="U57" s="90" t="n"/>
      <c r="V57" s="90" t="n"/>
      <c r="W57" s="90" t="n"/>
      <c r="X57" s="90" t="n"/>
      <c r="Y57" s="90" t="n"/>
      <c r="Z57" s="90" t="n"/>
      <c r="AA57" s="90" t="n"/>
      <c r="AB57" s="90" t="n"/>
      <c r="AC57" s="90" t="n"/>
      <c r="AD57" s="90" t="n"/>
      <c r="AE57" s="90" t="n"/>
      <c r="AF57" s="90" t="n"/>
      <c r="AG57" s="90" t="n"/>
      <c r="AH57" s="90" t="n"/>
      <c r="AI57" s="90" t="n"/>
      <c r="AJ57" s="90" t="n"/>
      <c r="AK57" s="90" t="n"/>
      <c r="AL57" s="90" t="n"/>
      <c r="AM57" s="90" t="n"/>
      <c r="AN57" s="90" t="n"/>
      <c r="AO57" s="90" t="n"/>
      <c r="AP57" s="90" t="n"/>
      <c r="AQ57" s="90" t="n"/>
      <c r="AR57" s="90" t="n"/>
      <c r="AS57" s="90" t="n"/>
      <c r="AT57" s="90" t="n"/>
      <c r="AU57" s="90" t="n"/>
      <c r="AV57" s="90" t="n"/>
      <c r="AW57" s="90" t="n"/>
      <c r="AX57" s="90" t="n"/>
      <c r="AY57" s="90" t="n"/>
    </row>
    <row r="58" ht="20" customHeight="1">
      <c r="A58" s="89">
        <f>IF(Roster!$A$56&lt;&gt;"",Roster!$A$56,"")</f>
        <v/>
      </c>
      <c r="B58" s="90" t="n"/>
      <c r="C58" s="90" t="n"/>
      <c r="D58" s="90" t="n"/>
      <c r="E58" s="90" t="n"/>
      <c r="F58" s="90" t="n"/>
      <c r="G58" s="90" t="n"/>
      <c r="H58" s="90" t="n"/>
      <c r="I58" s="90" t="n"/>
      <c r="J58" s="90" t="n"/>
      <c r="K58" s="90" t="n"/>
      <c r="L58" s="90" t="n"/>
      <c r="M58" s="90" t="n"/>
      <c r="N58" s="90" t="n"/>
      <c r="O58" s="90" t="n"/>
      <c r="P58" s="90" t="n"/>
      <c r="Q58" s="90" t="n"/>
      <c r="R58" s="90" t="n"/>
      <c r="S58" s="90" t="n"/>
      <c r="T58" s="90" t="n"/>
      <c r="U58" s="90" t="n"/>
      <c r="V58" s="90" t="n"/>
      <c r="W58" s="90" t="n"/>
      <c r="X58" s="90" t="n"/>
      <c r="Y58" s="90" t="n"/>
      <c r="Z58" s="90" t="n"/>
      <c r="AA58" s="90" t="n"/>
      <c r="AB58" s="90" t="n"/>
      <c r="AC58" s="90" t="n"/>
      <c r="AD58" s="90" t="n"/>
      <c r="AE58" s="90" t="n"/>
      <c r="AF58" s="90" t="n"/>
      <c r="AG58" s="90" t="n"/>
      <c r="AH58" s="90" t="n"/>
      <c r="AI58" s="90" t="n"/>
      <c r="AJ58" s="90" t="n"/>
      <c r="AK58" s="90" t="n"/>
      <c r="AL58" s="90" t="n"/>
      <c r="AM58" s="90" t="n"/>
      <c r="AN58" s="90" t="n"/>
      <c r="AO58" s="90" t="n"/>
      <c r="AP58" s="90" t="n"/>
      <c r="AQ58" s="90" t="n"/>
      <c r="AR58" s="90" t="n"/>
      <c r="AS58" s="90" t="n"/>
      <c r="AT58" s="90" t="n"/>
      <c r="AU58" s="90" t="n"/>
      <c r="AV58" s="90" t="n"/>
      <c r="AW58" s="90" t="n"/>
      <c r="AX58" s="90" t="n"/>
      <c r="AY58" s="90" t="n"/>
    </row>
    <row r="59" ht="20" customHeight="1">
      <c r="A59" s="89">
        <f>IF(Roster!$A$57&lt;&gt;"",Roster!$A$57,"")</f>
        <v/>
      </c>
      <c r="B59" s="90" t="n"/>
      <c r="C59" s="90" t="n"/>
      <c r="D59" s="90" t="n"/>
      <c r="E59" s="90" t="n"/>
      <c r="F59" s="90" t="n"/>
      <c r="G59" s="90" t="n"/>
      <c r="H59" s="90" t="n"/>
      <c r="I59" s="90" t="n"/>
      <c r="J59" s="90" t="n"/>
      <c r="K59" s="90" t="n"/>
      <c r="L59" s="90" t="n"/>
      <c r="M59" s="90" t="n"/>
      <c r="N59" s="90" t="n"/>
      <c r="O59" s="90" t="n"/>
      <c r="P59" s="90" t="n"/>
      <c r="Q59" s="90" t="n"/>
      <c r="R59" s="90" t="n"/>
      <c r="S59" s="90" t="n"/>
      <c r="T59" s="90" t="n"/>
      <c r="U59" s="90" t="n"/>
      <c r="V59" s="90" t="n"/>
      <c r="W59" s="90" t="n"/>
      <c r="X59" s="90" t="n"/>
      <c r="Y59" s="90" t="n"/>
      <c r="Z59" s="90" t="n"/>
      <c r="AA59" s="90" t="n"/>
      <c r="AB59" s="90" t="n"/>
      <c r="AC59" s="90" t="n"/>
      <c r="AD59" s="90" t="n"/>
      <c r="AE59" s="90" t="n"/>
      <c r="AF59" s="90" t="n"/>
      <c r="AG59" s="90" t="n"/>
      <c r="AH59" s="90" t="n"/>
      <c r="AI59" s="90" t="n"/>
      <c r="AJ59" s="90" t="n"/>
      <c r="AK59" s="90" t="n"/>
      <c r="AL59" s="90" t="n"/>
      <c r="AM59" s="90" t="n"/>
      <c r="AN59" s="90" t="n"/>
      <c r="AO59" s="90" t="n"/>
      <c r="AP59" s="90" t="n"/>
      <c r="AQ59" s="90" t="n"/>
      <c r="AR59" s="90" t="n"/>
      <c r="AS59" s="90" t="n"/>
      <c r="AT59" s="90" t="n"/>
      <c r="AU59" s="90" t="n"/>
      <c r="AV59" s="90" t="n"/>
      <c r="AW59" s="90" t="n"/>
      <c r="AX59" s="90" t="n"/>
      <c r="AY59" s="90" t="n"/>
    </row>
    <row r="60" ht="20" customHeight="1">
      <c r="A60" s="89">
        <f>IF(Roster!$A$58&lt;&gt;"",Roster!$A$58,"")</f>
        <v/>
      </c>
      <c r="B60" s="90" t="n"/>
      <c r="C60" s="90" t="n"/>
      <c r="D60" s="90" t="n"/>
      <c r="E60" s="90" t="n"/>
      <c r="F60" s="90" t="n"/>
      <c r="G60" s="90" t="n"/>
      <c r="H60" s="90" t="n"/>
      <c r="I60" s="90" t="n"/>
      <c r="J60" s="90" t="n"/>
      <c r="K60" s="90" t="n"/>
      <c r="L60" s="90" t="n"/>
      <c r="M60" s="90" t="n"/>
      <c r="N60" s="90" t="n"/>
      <c r="O60" s="90" t="n"/>
      <c r="P60" s="90" t="n"/>
      <c r="Q60" s="90" t="n"/>
      <c r="R60" s="90" t="n"/>
      <c r="S60" s="90" t="n"/>
      <c r="T60" s="90" t="n"/>
      <c r="U60" s="90" t="n"/>
      <c r="V60" s="90" t="n"/>
      <c r="W60" s="90" t="n"/>
      <c r="X60" s="90" t="n"/>
      <c r="Y60" s="90" t="n"/>
      <c r="Z60" s="90" t="n"/>
      <c r="AA60" s="90" t="n"/>
      <c r="AB60" s="90" t="n"/>
      <c r="AC60" s="90" t="n"/>
      <c r="AD60" s="90" t="n"/>
      <c r="AE60" s="90" t="n"/>
      <c r="AF60" s="90" t="n"/>
      <c r="AG60" s="90" t="n"/>
      <c r="AH60" s="90" t="n"/>
      <c r="AI60" s="90" t="n"/>
      <c r="AJ60" s="90" t="n"/>
      <c r="AK60" s="90" t="n"/>
      <c r="AL60" s="90" t="n"/>
      <c r="AM60" s="90" t="n"/>
      <c r="AN60" s="90" t="n"/>
      <c r="AO60" s="90" t="n"/>
      <c r="AP60" s="90" t="n"/>
      <c r="AQ60" s="90" t="n"/>
      <c r="AR60" s="90" t="n"/>
      <c r="AS60" s="90" t="n"/>
      <c r="AT60" s="90" t="n"/>
      <c r="AU60" s="90" t="n"/>
      <c r="AV60" s="90" t="n"/>
      <c r="AW60" s="90" t="n"/>
      <c r="AX60" s="90" t="n"/>
      <c r="AY60" s="90" t="n"/>
    </row>
    <row r="61" ht="20" customHeight="1">
      <c r="A61" s="89">
        <f>IF(Roster!$A$59&lt;&gt;"",Roster!$A$59,"")</f>
        <v/>
      </c>
      <c r="B61" s="90" t="n"/>
      <c r="C61" s="90" t="n"/>
      <c r="D61" s="90" t="n"/>
      <c r="E61" s="90" t="n"/>
      <c r="F61" s="90" t="n"/>
      <c r="G61" s="90" t="n"/>
      <c r="H61" s="90" t="n"/>
      <c r="I61" s="90" t="n"/>
      <c r="J61" s="90" t="n"/>
      <c r="K61" s="90" t="n"/>
      <c r="L61" s="90" t="n"/>
      <c r="M61" s="90" t="n"/>
      <c r="N61" s="90" t="n"/>
      <c r="O61" s="90" t="n"/>
      <c r="P61" s="90" t="n"/>
      <c r="Q61" s="90" t="n"/>
      <c r="R61" s="90" t="n"/>
      <c r="S61" s="90" t="n"/>
      <c r="T61" s="90" t="n"/>
      <c r="U61" s="90" t="n"/>
      <c r="V61" s="90" t="n"/>
      <c r="W61" s="90" t="n"/>
      <c r="X61" s="90" t="n"/>
      <c r="Y61" s="90" t="n"/>
      <c r="Z61" s="90" t="n"/>
      <c r="AA61" s="90" t="n"/>
      <c r="AB61" s="90" t="n"/>
      <c r="AC61" s="90" t="n"/>
      <c r="AD61" s="90" t="n"/>
      <c r="AE61" s="90" t="n"/>
      <c r="AF61" s="90" t="n"/>
      <c r="AG61" s="90" t="n"/>
      <c r="AH61" s="90" t="n"/>
      <c r="AI61" s="90" t="n"/>
      <c r="AJ61" s="90" t="n"/>
      <c r="AK61" s="90" t="n"/>
      <c r="AL61" s="90" t="n"/>
      <c r="AM61" s="90" t="n"/>
      <c r="AN61" s="90" t="n"/>
      <c r="AO61" s="90" t="n"/>
      <c r="AP61" s="90" t="n"/>
      <c r="AQ61" s="90" t="n"/>
      <c r="AR61" s="90" t="n"/>
      <c r="AS61" s="90" t="n"/>
      <c r="AT61" s="90" t="n"/>
      <c r="AU61" s="90" t="n"/>
      <c r="AV61" s="90" t="n"/>
      <c r="AW61" s="90" t="n"/>
      <c r="AX61" s="90" t="n"/>
      <c r="AY61" s="90" t="n"/>
    </row>
    <row r="62" ht="20" customHeight="1">
      <c r="A62" s="89">
        <f>IF(Roster!$A$60&lt;&gt;"",Roster!$A$60,"")</f>
        <v/>
      </c>
      <c r="B62" s="90" t="n"/>
      <c r="C62" s="90" t="n"/>
      <c r="D62" s="90" t="n"/>
      <c r="E62" s="90" t="n"/>
      <c r="F62" s="90" t="n"/>
      <c r="G62" s="90" t="n"/>
      <c r="H62" s="90" t="n"/>
      <c r="I62" s="90" t="n"/>
      <c r="J62" s="90" t="n"/>
      <c r="K62" s="90" t="n"/>
      <c r="L62" s="90" t="n"/>
      <c r="M62" s="90" t="n"/>
      <c r="N62" s="90" t="n"/>
      <c r="O62" s="90" t="n"/>
      <c r="P62" s="90" t="n"/>
      <c r="Q62" s="90" t="n"/>
      <c r="R62" s="90" t="n"/>
      <c r="S62" s="90" t="n"/>
      <c r="T62" s="90" t="n"/>
      <c r="U62" s="90" t="n"/>
      <c r="V62" s="90" t="n"/>
      <c r="W62" s="90" t="n"/>
      <c r="X62" s="90" t="n"/>
      <c r="Y62" s="90" t="n"/>
      <c r="Z62" s="90" t="n"/>
      <c r="AA62" s="90" t="n"/>
      <c r="AB62" s="90" t="n"/>
      <c r="AC62" s="90" t="n"/>
      <c r="AD62" s="90" t="n"/>
      <c r="AE62" s="90" t="n"/>
      <c r="AF62" s="90" t="n"/>
      <c r="AG62" s="90" t="n"/>
      <c r="AH62" s="90" t="n"/>
      <c r="AI62" s="90" t="n"/>
      <c r="AJ62" s="90" t="n"/>
      <c r="AK62" s="90" t="n"/>
      <c r="AL62" s="90" t="n"/>
      <c r="AM62" s="90" t="n"/>
      <c r="AN62" s="90" t="n"/>
      <c r="AO62" s="90" t="n"/>
      <c r="AP62" s="90" t="n"/>
      <c r="AQ62" s="90" t="n"/>
      <c r="AR62" s="90" t="n"/>
      <c r="AS62" s="90" t="n"/>
      <c r="AT62" s="90" t="n"/>
      <c r="AU62" s="90" t="n"/>
      <c r="AV62" s="90" t="n"/>
      <c r="AW62" s="90" t="n"/>
      <c r="AX62" s="90" t="n"/>
      <c r="AY62" s="90" t="n"/>
    </row>
    <row r="63" ht="20" customHeight="1">
      <c r="A63" s="89">
        <f>IF(Roster!$A$61&lt;&gt;"",Roster!$A$61,"")</f>
        <v/>
      </c>
      <c r="B63" s="90" t="n"/>
      <c r="C63" s="90" t="n"/>
      <c r="D63" s="90" t="n"/>
      <c r="E63" s="90" t="n"/>
      <c r="F63" s="90" t="n"/>
      <c r="G63" s="90" t="n"/>
      <c r="H63" s="90" t="n"/>
      <c r="I63" s="90" t="n"/>
      <c r="J63" s="90" t="n"/>
      <c r="K63" s="90" t="n"/>
      <c r="L63" s="90" t="n"/>
      <c r="M63" s="90" t="n"/>
      <c r="N63" s="90" t="n"/>
      <c r="O63" s="90" t="n"/>
      <c r="P63" s="90" t="n"/>
      <c r="Q63" s="90" t="n"/>
      <c r="R63" s="90" t="n"/>
      <c r="S63" s="90" t="n"/>
      <c r="T63" s="90" t="n"/>
      <c r="U63" s="90" t="n"/>
      <c r="V63" s="90" t="n"/>
      <c r="W63" s="90" t="n"/>
      <c r="X63" s="90" t="n"/>
      <c r="Y63" s="90" t="n"/>
      <c r="Z63" s="90" t="n"/>
      <c r="AA63" s="90" t="n"/>
      <c r="AB63" s="90" t="n"/>
      <c r="AC63" s="90" t="n"/>
      <c r="AD63" s="90" t="n"/>
      <c r="AE63" s="90" t="n"/>
      <c r="AF63" s="90" t="n"/>
      <c r="AG63" s="90" t="n"/>
      <c r="AH63" s="90" t="n"/>
      <c r="AI63" s="90" t="n"/>
      <c r="AJ63" s="90" t="n"/>
      <c r="AK63" s="90" t="n"/>
      <c r="AL63" s="90" t="n"/>
      <c r="AM63" s="90" t="n"/>
      <c r="AN63" s="90" t="n"/>
      <c r="AO63" s="90" t="n"/>
      <c r="AP63" s="90" t="n"/>
      <c r="AQ63" s="90" t="n"/>
      <c r="AR63" s="90" t="n"/>
      <c r="AS63" s="90" t="n"/>
      <c r="AT63" s="90" t="n"/>
      <c r="AU63" s="90" t="n"/>
      <c r="AV63" s="90" t="n"/>
      <c r="AW63" s="90" t="n"/>
      <c r="AX63" s="90" t="n"/>
      <c r="AY63" s="90" t="n"/>
    </row>
    <row r="64" ht="20" customHeight="1">
      <c r="A64" s="89">
        <f>IF(Roster!$A$62&lt;&gt;"",Roster!$A$62,"")</f>
        <v/>
      </c>
      <c r="B64" s="90" t="n"/>
      <c r="C64" s="90" t="n"/>
      <c r="D64" s="90" t="n"/>
      <c r="E64" s="90" t="n"/>
      <c r="F64" s="90" t="n"/>
      <c r="G64" s="90" t="n"/>
      <c r="H64" s="90" t="n"/>
      <c r="I64" s="90" t="n"/>
      <c r="J64" s="90" t="n"/>
      <c r="K64" s="90" t="n"/>
      <c r="L64" s="90" t="n"/>
      <c r="M64" s="90" t="n"/>
      <c r="N64" s="90" t="n"/>
      <c r="O64" s="90" t="n"/>
      <c r="P64" s="90" t="n"/>
      <c r="Q64" s="90" t="n"/>
      <c r="R64" s="90" t="n"/>
      <c r="S64" s="90" t="n"/>
      <c r="T64" s="90" t="n"/>
      <c r="U64" s="90" t="n"/>
      <c r="V64" s="90" t="n"/>
      <c r="W64" s="90" t="n"/>
      <c r="X64" s="90" t="n"/>
      <c r="Y64" s="90" t="n"/>
      <c r="Z64" s="90" t="n"/>
      <c r="AA64" s="90" t="n"/>
      <c r="AB64" s="90" t="n"/>
      <c r="AC64" s="90" t="n"/>
      <c r="AD64" s="90" t="n"/>
      <c r="AE64" s="90" t="n"/>
      <c r="AF64" s="90" t="n"/>
      <c r="AG64" s="90" t="n"/>
      <c r="AH64" s="90" t="n"/>
      <c r="AI64" s="90" t="n"/>
      <c r="AJ64" s="90" t="n"/>
      <c r="AK64" s="90" t="n"/>
      <c r="AL64" s="90" t="n"/>
      <c r="AM64" s="90" t="n"/>
      <c r="AN64" s="90" t="n"/>
      <c r="AO64" s="90" t="n"/>
      <c r="AP64" s="90" t="n"/>
      <c r="AQ64" s="90" t="n"/>
      <c r="AR64" s="90" t="n"/>
      <c r="AS64" s="90" t="n"/>
      <c r="AT64" s="90" t="n"/>
      <c r="AU64" s="90" t="n"/>
      <c r="AV64" s="90" t="n"/>
      <c r="AW64" s="90" t="n"/>
      <c r="AX64" s="90" t="n"/>
      <c r="AY64" s="90" t="n"/>
    </row>
    <row r="65" ht="20" customHeight="1">
      <c r="A65" s="89">
        <f>IF(Roster!$A$63&lt;&gt;"",Roster!$A$63,"")</f>
        <v/>
      </c>
      <c r="B65" s="90" t="n"/>
      <c r="C65" s="90" t="n"/>
      <c r="D65" s="90" t="n"/>
      <c r="E65" s="90" t="n"/>
      <c r="F65" s="90" t="n"/>
      <c r="G65" s="90" t="n"/>
      <c r="H65" s="90" t="n"/>
      <c r="I65" s="90" t="n"/>
      <c r="J65" s="90" t="n"/>
      <c r="K65" s="90" t="n"/>
      <c r="L65" s="90" t="n"/>
      <c r="M65" s="90" t="n"/>
      <c r="N65" s="90" t="n"/>
      <c r="O65" s="90" t="n"/>
      <c r="P65" s="90" t="n"/>
      <c r="Q65" s="90" t="n"/>
      <c r="R65" s="90" t="n"/>
      <c r="S65" s="90" t="n"/>
      <c r="T65" s="90" t="n"/>
      <c r="U65" s="90" t="n"/>
      <c r="V65" s="90" t="n"/>
      <c r="W65" s="90" t="n"/>
      <c r="X65" s="90" t="n"/>
      <c r="Y65" s="90" t="n"/>
      <c r="Z65" s="90" t="n"/>
      <c r="AA65" s="90" t="n"/>
      <c r="AB65" s="90" t="n"/>
      <c r="AC65" s="90" t="n"/>
      <c r="AD65" s="90" t="n"/>
      <c r="AE65" s="90" t="n"/>
      <c r="AF65" s="90" t="n"/>
      <c r="AG65" s="90" t="n"/>
      <c r="AH65" s="90" t="n"/>
      <c r="AI65" s="90" t="n"/>
      <c r="AJ65" s="90" t="n"/>
      <c r="AK65" s="90" t="n"/>
      <c r="AL65" s="90" t="n"/>
      <c r="AM65" s="90" t="n"/>
      <c r="AN65" s="90" t="n"/>
      <c r="AO65" s="90" t="n"/>
      <c r="AP65" s="90" t="n"/>
      <c r="AQ65" s="90" t="n"/>
      <c r="AR65" s="90" t="n"/>
      <c r="AS65" s="90" t="n"/>
      <c r="AT65" s="90" t="n"/>
      <c r="AU65" s="90" t="n"/>
      <c r="AV65" s="90" t="n"/>
      <c r="AW65" s="90" t="n"/>
      <c r="AX65" s="90" t="n"/>
      <c r="AY65" s="90" t="n"/>
    </row>
    <row r="66" ht="20" customHeight="1">
      <c r="A66" s="89">
        <f>IF(Roster!$A$64&lt;&gt;"",Roster!$A$64,"")</f>
        <v/>
      </c>
      <c r="B66" s="90" t="n"/>
      <c r="C66" s="90" t="n"/>
      <c r="D66" s="90" t="n"/>
      <c r="E66" s="90" t="n"/>
      <c r="F66" s="90" t="n"/>
      <c r="G66" s="90" t="n"/>
      <c r="H66" s="90" t="n"/>
      <c r="I66" s="90" t="n"/>
      <c r="J66" s="90" t="n"/>
      <c r="K66" s="90" t="n"/>
      <c r="L66" s="90" t="n"/>
      <c r="M66" s="90" t="n"/>
      <c r="N66" s="90" t="n"/>
      <c r="O66" s="90" t="n"/>
      <c r="P66" s="90" t="n"/>
      <c r="Q66" s="90" t="n"/>
      <c r="R66" s="90" t="n"/>
      <c r="S66" s="90" t="n"/>
      <c r="T66" s="90" t="n"/>
      <c r="U66" s="90" t="n"/>
      <c r="V66" s="90" t="n"/>
      <c r="W66" s="90" t="n"/>
      <c r="X66" s="90" t="n"/>
      <c r="Y66" s="90" t="n"/>
      <c r="Z66" s="90" t="n"/>
      <c r="AA66" s="90" t="n"/>
      <c r="AB66" s="90" t="n"/>
      <c r="AC66" s="90" t="n"/>
      <c r="AD66" s="90" t="n"/>
      <c r="AE66" s="90" t="n"/>
      <c r="AF66" s="90" t="n"/>
      <c r="AG66" s="90" t="n"/>
      <c r="AH66" s="90" t="n"/>
      <c r="AI66" s="90" t="n"/>
      <c r="AJ66" s="90" t="n"/>
      <c r="AK66" s="90" t="n"/>
      <c r="AL66" s="90" t="n"/>
      <c r="AM66" s="90" t="n"/>
      <c r="AN66" s="90" t="n"/>
      <c r="AO66" s="90" t="n"/>
      <c r="AP66" s="90" t="n"/>
      <c r="AQ66" s="90" t="n"/>
      <c r="AR66" s="90" t="n"/>
      <c r="AS66" s="90" t="n"/>
      <c r="AT66" s="90" t="n"/>
      <c r="AU66" s="90" t="n"/>
      <c r="AV66" s="90" t="n"/>
      <c r="AW66" s="90" t="n"/>
      <c r="AX66" s="90" t="n"/>
      <c r="AY66" s="90" t="n"/>
    </row>
    <row r="67" ht="20" customHeight="1">
      <c r="A67" s="89">
        <f>IF(Roster!$A$65&lt;&gt;"",Roster!$A$65,"")</f>
        <v/>
      </c>
      <c r="B67" s="90" t="n"/>
      <c r="C67" s="90" t="n"/>
      <c r="D67" s="90" t="n"/>
      <c r="E67" s="90" t="n"/>
      <c r="F67" s="90" t="n"/>
      <c r="G67" s="90" t="n"/>
      <c r="H67" s="90" t="n"/>
      <c r="I67" s="90" t="n"/>
      <c r="J67" s="90" t="n"/>
      <c r="K67" s="90" t="n"/>
      <c r="L67" s="90" t="n"/>
      <c r="M67" s="90" t="n"/>
      <c r="N67" s="90" t="n"/>
      <c r="O67" s="90" t="n"/>
      <c r="P67" s="90" t="n"/>
      <c r="Q67" s="90" t="n"/>
      <c r="R67" s="90" t="n"/>
      <c r="S67" s="90" t="n"/>
      <c r="T67" s="90" t="n"/>
      <c r="U67" s="90" t="n"/>
      <c r="V67" s="90" t="n"/>
      <c r="W67" s="90" t="n"/>
      <c r="X67" s="90" t="n"/>
      <c r="Y67" s="90" t="n"/>
      <c r="Z67" s="90" t="n"/>
      <c r="AA67" s="90" t="n"/>
      <c r="AB67" s="90" t="n"/>
      <c r="AC67" s="90" t="n"/>
      <c r="AD67" s="90" t="n"/>
      <c r="AE67" s="90" t="n"/>
      <c r="AF67" s="90" t="n"/>
      <c r="AG67" s="90" t="n"/>
      <c r="AH67" s="90" t="n"/>
      <c r="AI67" s="90" t="n"/>
      <c r="AJ67" s="90" t="n"/>
      <c r="AK67" s="90" t="n"/>
      <c r="AL67" s="90" t="n"/>
      <c r="AM67" s="90" t="n"/>
      <c r="AN67" s="90" t="n"/>
      <c r="AO67" s="90" t="n"/>
      <c r="AP67" s="90" t="n"/>
      <c r="AQ67" s="90" t="n"/>
      <c r="AR67" s="90" t="n"/>
      <c r="AS67" s="90" t="n"/>
      <c r="AT67" s="90" t="n"/>
      <c r="AU67" s="90" t="n"/>
      <c r="AV67" s="90" t="n"/>
      <c r="AW67" s="90" t="n"/>
      <c r="AX67" s="90" t="n"/>
      <c r="AY67" s="90" t="n"/>
    </row>
    <row r="68" ht="20" customHeight="1">
      <c r="A68" s="89">
        <f>IF(Roster!$A$66&lt;&gt;"",Roster!$A$66,"")</f>
        <v/>
      </c>
      <c r="B68" s="90" t="n"/>
      <c r="C68" s="90" t="n"/>
      <c r="D68" s="90" t="n"/>
      <c r="E68" s="90" t="n"/>
      <c r="F68" s="90" t="n"/>
      <c r="G68" s="90" t="n"/>
      <c r="H68" s="90" t="n"/>
      <c r="I68" s="90" t="n"/>
      <c r="J68" s="90" t="n"/>
      <c r="K68" s="90" t="n"/>
      <c r="L68" s="90" t="n"/>
      <c r="M68" s="90" t="n"/>
      <c r="N68" s="90" t="n"/>
      <c r="O68" s="90" t="n"/>
      <c r="P68" s="90" t="n"/>
      <c r="Q68" s="90" t="n"/>
      <c r="R68" s="90" t="n"/>
      <c r="S68" s="90" t="n"/>
      <c r="T68" s="90" t="n"/>
      <c r="U68" s="90" t="n"/>
      <c r="V68" s="90" t="n"/>
      <c r="W68" s="90" t="n"/>
      <c r="X68" s="90" t="n"/>
      <c r="Y68" s="90" t="n"/>
      <c r="Z68" s="90" t="n"/>
      <c r="AA68" s="90" t="n"/>
      <c r="AB68" s="90" t="n"/>
      <c r="AC68" s="90" t="n"/>
      <c r="AD68" s="90" t="n"/>
      <c r="AE68" s="90" t="n"/>
      <c r="AF68" s="90" t="n"/>
      <c r="AG68" s="90" t="n"/>
      <c r="AH68" s="90" t="n"/>
      <c r="AI68" s="90" t="n"/>
      <c r="AJ68" s="90" t="n"/>
      <c r="AK68" s="90" t="n"/>
      <c r="AL68" s="90" t="n"/>
      <c r="AM68" s="90" t="n"/>
      <c r="AN68" s="90" t="n"/>
      <c r="AO68" s="90" t="n"/>
      <c r="AP68" s="90" t="n"/>
      <c r="AQ68" s="90" t="n"/>
      <c r="AR68" s="90" t="n"/>
      <c r="AS68" s="90" t="n"/>
      <c r="AT68" s="90" t="n"/>
      <c r="AU68" s="90" t="n"/>
      <c r="AV68" s="90" t="n"/>
      <c r="AW68" s="90" t="n"/>
      <c r="AX68" s="90" t="n"/>
      <c r="AY68" s="90" t="n"/>
    </row>
    <row r="69" ht="20" customHeight="1">
      <c r="A69" s="89">
        <f>IF(Roster!$A$67&lt;&gt;"",Roster!$A$67,"")</f>
        <v/>
      </c>
      <c r="B69" s="90" t="n"/>
      <c r="C69" s="90" t="n"/>
      <c r="D69" s="90" t="n"/>
      <c r="E69" s="90" t="n"/>
      <c r="F69" s="90" t="n"/>
      <c r="G69" s="90" t="n"/>
      <c r="H69" s="90" t="n"/>
      <c r="I69" s="90" t="n"/>
      <c r="J69" s="90" t="n"/>
      <c r="K69" s="90" t="n"/>
      <c r="L69" s="90" t="n"/>
      <c r="M69" s="90" t="n"/>
      <c r="N69" s="90" t="n"/>
      <c r="O69" s="90" t="n"/>
      <c r="P69" s="90" t="n"/>
      <c r="Q69" s="90" t="n"/>
      <c r="R69" s="90" t="n"/>
      <c r="S69" s="90" t="n"/>
      <c r="T69" s="90" t="n"/>
      <c r="U69" s="90" t="n"/>
      <c r="V69" s="90" t="n"/>
      <c r="W69" s="90" t="n"/>
      <c r="X69" s="90" t="n"/>
      <c r="Y69" s="90" t="n"/>
      <c r="Z69" s="90" t="n"/>
      <c r="AA69" s="90" t="n"/>
      <c r="AB69" s="90" t="n"/>
      <c r="AC69" s="90" t="n"/>
      <c r="AD69" s="90" t="n"/>
      <c r="AE69" s="90" t="n"/>
      <c r="AF69" s="90" t="n"/>
      <c r="AG69" s="90" t="n"/>
      <c r="AH69" s="90" t="n"/>
      <c r="AI69" s="90" t="n"/>
      <c r="AJ69" s="90" t="n"/>
      <c r="AK69" s="90" t="n"/>
      <c r="AL69" s="90" t="n"/>
      <c r="AM69" s="90" t="n"/>
      <c r="AN69" s="90" t="n"/>
      <c r="AO69" s="90" t="n"/>
      <c r="AP69" s="90" t="n"/>
      <c r="AQ69" s="90" t="n"/>
      <c r="AR69" s="90" t="n"/>
      <c r="AS69" s="90" t="n"/>
      <c r="AT69" s="90" t="n"/>
      <c r="AU69" s="90" t="n"/>
      <c r="AV69" s="90" t="n"/>
      <c r="AW69" s="90" t="n"/>
      <c r="AX69" s="90" t="n"/>
      <c r="AY69" s="90" t="n"/>
    </row>
    <row r="70" ht="20" customHeight="1">
      <c r="A70" s="89">
        <f>IF(Roster!$A$68&lt;&gt;"",Roster!$A$68,"")</f>
        <v/>
      </c>
      <c r="B70" s="90" t="n"/>
      <c r="C70" s="90" t="n"/>
      <c r="D70" s="90" t="n"/>
      <c r="E70" s="90" t="n"/>
      <c r="F70" s="90" t="n"/>
      <c r="G70" s="90" t="n"/>
      <c r="H70" s="90" t="n"/>
      <c r="I70" s="90" t="n"/>
      <c r="J70" s="90" t="n"/>
      <c r="K70" s="90" t="n"/>
      <c r="L70" s="90" t="n"/>
      <c r="M70" s="90" t="n"/>
      <c r="N70" s="90" t="n"/>
      <c r="O70" s="90" t="n"/>
      <c r="P70" s="90" t="n"/>
      <c r="Q70" s="90" t="n"/>
      <c r="R70" s="90" t="n"/>
      <c r="S70" s="90" t="n"/>
      <c r="T70" s="90" t="n"/>
      <c r="U70" s="90" t="n"/>
      <c r="V70" s="90" t="n"/>
      <c r="W70" s="90" t="n"/>
      <c r="X70" s="90" t="n"/>
      <c r="Y70" s="90" t="n"/>
      <c r="Z70" s="90" t="n"/>
      <c r="AA70" s="90" t="n"/>
      <c r="AB70" s="90" t="n"/>
      <c r="AC70" s="90" t="n"/>
      <c r="AD70" s="90" t="n"/>
      <c r="AE70" s="90" t="n"/>
      <c r="AF70" s="90" t="n"/>
      <c r="AG70" s="90" t="n"/>
      <c r="AH70" s="90" t="n"/>
      <c r="AI70" s="90" t="n"/>
      <c r="AJ70" s="90" t="n"/>
      <c r="AK70" s="90" t="n"/>
      <c r="AL70" s="90" t="n"/>
      <c r="AM70" s="90" t="n"/>
      <c r="AN70" s="90" t="n"/>
      <c r="AO70" s="90" t="n"/>
      <c r="AP70" s="90" t="n"/>
      <c r="AQ70" s="90" t="n"/>
      <c r="AR70" s="90" t="n"/>
      <c r="AS70" s="90" t="n"/>
      <c r="AT70" s="90" t="n"/>
      <c r="AU70" s="90" t="n"/>
      <c r="AV70" s="90" t="n"/>
      <c r="AW70" s="90" t="n"/>
      <c r="AX70" s="90" t="n"/>
      <c r="AY70" s="90" t="n"/>
    </row>
    <row r="71" ht="20" customHeight="1">
      <c r="A71" s="89">
        <f>IF(Roster!$A$69&lt;&gt;"",Roster!$A$69,"")</f>
        <v/>
      </c>
      <c r="B71" s="90" t="n"/>
      <c r="C71" s="90" t="n"/>
      <c r="D71" s="90" t="n"/>
      <c r="E71" s="90" t="n"/>
      <c r="F71" s="90" t="n"/>
      <c r="G71" s="90" t="n"/>
      <c r="H71" s="90" t="n"/>
      <c r="I71" s="90" t="n"/>
      <c r="J71" s="90" t="n"/>
      <c r="K71" s="90" t="n"/>
      <c r="L71" s="90" t="n"/>
      <c r="M71" s="90" t="n"/>
      <c r="N71" s="90" t="n"/>
      <c r="O71" s="90" t="n"/>
      <c r="P71" s="90" t="n"/>
      <c r="Q71" s="90" t="n"/>
      <c r="R71" s="90" t="n"/>
      <c r="S71" s="90" t="n"/>
      <c r="T71" s="90" t="n"/>
      <c r="U71" s="90" t="n"/>
      <c r="V71" s="90" t="n"/>
      <c r="W71" s="90" t="n"/>
      <c r="X71" s="90" t="n"/>
      <c r="Y71" s="90" t="n"/>
      <c r="Z71" s="90" t="n"/>
      <c r="AA71" s="90" t="n"/>
      <c r="AB71" s="90" t="n"/>
      <c r="AC71" s="90" t="n"/>
      <c r="AD71" s="90" t="n"/>
      <c r="AE71" s="90" t="n"/>
      <c r="AF71" s="90" t="n"/>
      <c r="AG71" s="90" t="n"/>
      <c r="AH71" s="90" t="n"/>
      <c r="AI71" s="90" t="n"/>
      <c r="AJ71" s="90" t="n"/>
      <c r="AK71" s="90" t="n"/>
      <c r="AL71" s="90" t="n"/>
      <c r="AM71" s="90" t="n"/>
      <c r="AN71" s="90" t="n"/>
      <c r="AO71" s="90" t="n"/>
      <c r="AP71" s="90" t="n"/>
      <c r="AQ71" s="90" t="n"/>
      <c r="AR71" s="90" t="n"/>
      <c r="AS71" s="90" t="n"/>
      <c r="AT71" s="90" t="n"/>
      <c r="AU71" s="90" t="n"/>
      <c r="AV71" s="90" t="n"/>
      <c r="AW71" s="90" t="n"/>
      <c r="AX71" s="90" t="n"/>
      <c r="AY71" s="90" t="n"/>
    </row>
    <row r="72" ht="20" customHeight="1">
      <c r="A72" s="89">
        <f>IF(Roster!$A$70&lt;&gt;"",Roster!$A$70,"")</f>
        <v/>
      </c>
      <c r="B72" s="90" t="n"/>
      <c r="C72" s="90" t="n"/>
      <c r="D72" s="90" t="n"/>
      <c r="E72" s="90" t="n"/>
      <c r="F72" s="90" t="n"/>
      <c r="G72" s="90" t="n"/>
      <c r="H72" s="90" t="n"/>
      <c r="I72" s="90" t="n"/>
      <c r="J72" s="90" t="n"/>
      <c r="K72" s="90" t="n"/>
      <c r="L72" s="90" t="n"/>
      <c r="M72" s="90" t="n"/>
      <c r="N72" s="90" t="n"/>
      <c r="O72" s="90" t="n"/>
      <c r="P72" s="90" t="n"/>
      <c r="Q72" s="90" t="n"/>
      <c r="R72" s="90" t="n"/>
      <c r="S72" s="90" t="n"/>
      <c r="T72" s="90" t="n"/>
      <c r="U72" s="90" t="n"/>
      <c r="V72" s="90" t="n"/>
      <c r="W72" s="90" t="n"/>
      <c r="X72" s="90" t="n"/>
      <c r="Y72" s="90" t="n"/>
      <c r="Z72" s="90" t="n"/>
      <c r="AA72" s="90" t="n"/>
      <c r="AB72" s="90" t="n"/>
      <c r="AC72" s="90" t="n"/>
      <c r="AD72" s="90" t="n"/>
      <c r="AE72" s="90" t="n"/>
      <c r="AF72" s="90" t="n"/>
      <c r="AG72" s="90" t="n"/>
      <c r="AH72" s="90" t="n"/>
      <c r="AI72" s="90" t="n"/>
      <c r="AJ72" s="90" t="n"/>
      <c r="AK72" s="90" t="n"/>
      <c r="AL72" s="90" t="n"/>
      <c r="AM72" s="90" t="n"/>
      <c r="AN72" s="90" t="n"/>
      <c r="AO72" s="90" t="n"/>
      <c r="AP72" s="90" t="n"/>
      <c r="AQ72" s="90" t="n"/>
      <c r="AR72" s="90" t="n"/>
      <c r="AS72" s="90" t="n"/>
      <c r="AT72" s="90" t="n"/>
      <c r="AU72" s="90" t="n"/>
      <c r="AV72" s="90" t="n"/>
      <c r="AW72" s="90" t="n"/>
      <c r="AX72" s="90" t="n"/>
      <c r="AY72" s="90" t="n"/>
    </row>
    <row r="73" ht="20" customHeight="1">
      <c r="A73" s="89">
        <f>IF(Roster!$A$71&lt;&gt;"",Roster!$A$71,"")</f>
        <v/>
      </c>
      <c r="B73" s="90" t="n"/>
      <c r="C73" s="90" t="n"/>
      <c r="D73" s="90" t="n"/>
      <c r="E73" s="90" t="n"/>
      <c r="F73" s="90" t="n"/>
      <c r="G73" s="90" t="n"/>
      <c r="H73" s="90" t="n"/>
      <c r="I73" s="90" t="n"/>
      <c r="J73" s="90" t="n"/>
      <c r="K73" s="90" t="n"/>
      <c r="L73" s="90" t="n"/>
      <c r="M73" s="90" t="n"/>
      <c r="N73" s="90" t="n"/>
      <c r="O73" s="90" t="n"/>
      <c r="P73" s="90" t="n"/>
      <c r="Q73" s="90" t="n"/>
      <c r="R73" s="90" t="n"/>
      <c r="S73" s="90" t="n"/>
      <c r="T73" s="90" t="n"/>
      <c r="U73" s="90" t="n"/>
      <c r="V73" s="90" t="n"/>
      <c r="W73" s="90" t="n"/>
      <c r="X73" s="90" t="n"/>
      <c r="Y73" s="90" t="n"/>
      <c r="Z73" s="90" t="n"/>
      <c r="AA73" s="90" t="n"/>
      <c r="AB73" s="90" t="n"/>
      <c r="AC73" s="90" t="n"/>
      <c r="AD73" s="90" t="n"/>
      <c r="AE73" s="90" t="n"/>
      <c r="AF73" s="90" t="n"/>
      <c r="AG73" s="90" t="n"/>
      <c r="AH73" s="90" t="n"/>
      <c r="AI73" s="90" t="n"/>
      <c r="AJ73" s="90" t="n"/>
      <c r="AK73" s="90" t="n"/>
      <c r="AL73" s="90" t="n"/>
      <c r="AM73" s="90" t="n"/>
      <c r="AN73" s="90" t="n"/>
      <c r="AO73" s="90" t="n"/>
      <c r="AP73" s="90" t="n"/>
      <c r="AQ73" s="90" t="n"/>
      <c r="AR73" s="90" t="n"/>
      <c r="AS73" s="90" t="n"/>
      <c r="AT73" s="90" t="n"/>
      <c r="AU73" s="90" t="n"/>
      <c r="AV73" s="90" t="n"/>
      <c r="AW73" s="90" t="n"/>
      <c r="AX73" s="90" t="n"/>
      <c r="AY73" s="90" t="n"/>
    </row>
    <row r="74" ht="20" customHeight="1">
      <c r="A74" s="89">
        <f>IF(Roster!$A$72&lt;&gt;"",Roster!$A$72,"")</f>
        <v/>
      </c>
      <c r="B74" s="90" t="n"/>
      <c r="C74" s="90" t="n"/>
      <c r="D74" s="90" t="n"/>
      <c r="E74" s="90" t="n"/>
      <c r="F74" s="90" t="n"/>
      <c r="G74" s="90" t="n"/>
      <c r="H74" s="90" t="n"/>
      <c r="I74" s="90" t="n"/>
      <c r="J74" s="90" t="n"/>
      <c r="K74" s="90" t="n"/>
      <c r="L74" s="90" t="n"/>
      <c r="M74" s="90" t="n"/>
      <c r="N74" s="90" t="n"/>
      <c r="O74" s="90" t="n"/>
      <c r="P74" s="90" t="n"/>
      <c r="Q74" s="90" t="n"/>
      <c r="R74" s="90" t="n"/>
      <c r="S74" s="90" t="n"/>
      <c r="T74" s="90" t="n"/>
      <c r="U74" s="90" t="n"/>
      <c r="V74" s="90" t="n"/>
      <c r="W74" s="90" t="n"/>
      <c r="X74" s="90" t="n"/>
      <c r="Y74" s="90" t="n"/>
      <c r="Z74" s="90" t="n"/>
      <c r="AA74" s="90" t="n"/>
      <c r="AB74" s="90" t="n"/>
      <c r="AC74" s="90" t="n"/>
      <c r="AD74" s="90" t="n"/>
      <c r="AE74" s="90" t="n"/>
      <c r="AF74" s="90" t="n"/>
      <c r="AG74" s="90" t="n"/>
      <c r="AH74" s="90" t="n"/>
      <c r="AI74" s="90" t="n"/>
      <c r="AJ74" s="90" t="n"/>
      <c r="AK74" s="90" t="n"/>
      <c r="AL74" s="90" t="n"/>
      <c r="AM74" s="90" t="n"/>
      <c r="AN74" s="90" t="n"/>
      <c r="AO74" s="90" t="n"/>
      <c r="AP74" s="90" t="n"/>
      <c r="AQ74" s="90" t="n"/>
      <c r="AR74" s="90" t="n"/>
      <c r="AS74" s="90" t="n"/>
      <c r="AT74" s="90" t="n"/>
      <c r="AU74" s="90" t="n"/>
      <c r="AV74" s="90" t="n"/>
      <c r="AW74" s="90" t="n"/>
      <c r="AX74" s="90" t="n"/>
      <c r="AY74" s="90" t="n"/>
    </row>
    <row r="75" ht="20" customHeight="1">
      <c r="A75" s="89">
        <f>IF(Roster!$A$73&lt;&gt;"",Roster!$A$73,"")</f>
        <v/>
      </c>
      <c r="B75" s="90" t="n"/>
      <c r="C75" s="90" t="n"/>
      <c r="D75" s="90" t="n"/>
      <c r="E75" s="90" t="n"/>
      <c r="F75" s="90" t="n"/>
      <c r="G75" s="90" t="n"/>
      <c r="H75" s="90" t="n"/>
      <c r="I75" s="90" t="n"/>
      <c r="J75" s="90" t="n"/>
      <c r="K75" s="90" t="n"/>
      <c r="L75" s="90" t="n"/>
      <c r="M75" s="90" t="n"/>
      <c r="N75" s="90" t="n"/>
      <c r="O75" s="90" t="n"/>
      <c r="P75" s="90" t="n"/>
      <c r="Q75" s="90" t="n"/>
      <c r="R75" s="90" t="n"/>
      <c r="S75" s="90" t="n"/>
      <c r="T75" s="90" t="n"/>
      <c r="U75" s="90" t="n"/>
      <c r="V75" s="90" t="n"/>
      <c r="W75" s="90" t="n"/>
      <c r="X75" s="90" t="n"/>
      <c r="Y75" s="90" t="n"/>
      <c r="Z75" s="90" t="n"/>
      <c r="AA75" s="90" t="n"/>
      <c r="AB75" s="90" t="n"/>
      <c r="AC75" s="90" t="n"/>
      <c r="AD75" s="90" t="n"/>
      <c r="AE75" s="90" t="n"/>
      <c r="AF75" s="90" t="n"/>
      <c r="AG75" s="90" t="n"/>
      <c r="AH75" s="90" t="n"/>
      <c r="AI75" s="90" t="n"/>
      <c r="AJ75" s="90" t="n"/>
      <c r="AK75" s="90" t="n"/>
      <c r="AL75" s="90" t="n"/>
      <c r="AM75" s="90" t="n"/>
      <c r="AN75" s="90" t="n"/>
      <c r="AO75" s="90" t="n"/>
      <c r="AP75" s="90" t="n"/>
      <c r="AQ75" s="90" t="n"/>
      <c r="AR75" s="90" t="n"/>
      <c r="AS75" s="90" t="n"/>
      <c r="AT75" s="90" t="n"/>
      <c r="AU75" s="90" t="n"/>
      <c r="AV75" s="90" t="n"/>
      <c r="AW75" s="90" t="n"/>
      <c r="AX75" s="90" t="n"/>
      <c r="AY75" s="90" t="n"/>
    </row>
    <row r="76" ht="20" customHeight="1">
      <c r="A76" s="89">
        <f>IF(Roster!$A$74&lt;&gt;"",Roster!$A$74,"")</f>
        <v/>
      </c>
      <c r="B76" s="90" t="n"/>
      <c r="C76" s="90" t="n"/>
      <c r="D76" s="90" t="n"/>
      <c r="E76" s="90" t="n"/>
      <c r="F76" s="90" t="n"/>
      <c r="G76" s="90" t="n"/>
      <c r="H76" s="90" t="n"/>
      <c r="I76" s="90" t="n"/>
      <c r="J76" s="90" t="n"/>
      <c r="K76" s="90" t="n"/>
      <c r="L76" s="90" t="n"/>
      <c r="M76" s="90" t="n"/>
      <c r="N76" s="90" t="n"/>
      <c r="O76" s="90" t="n"/>
      <c r="P76" s="90" t="n"/>
      <c r="Q76" s="90" t="n"/>
      <c r="R76" s="90" t="n"/>
      <c r="S76" s="90" t="n"/>
      <c r="T76" s="90" t="n"/>
      <c r="U76" s="90" t="n"/>
      <c r="V76" s="90" t="n"/>
      <c r="W76" s="90" t="n"/>
      <c r="X76" s="90" t="n"/>
      <c r="Y76" s="90" t="n"/>
      <c r="Z76" s="90" t="n"/>
      <c r="AA76" s="90" t="n"/>
      <c r="AB76" s="90" t="n"/>
      <c r="AC76" s="90" t="n"/>
      <c r="AD76" s="90" t="n"/>
      <c r="AE76" s="90" t="n"/>
      <c r="AF76" s="90" t="n"/>
      <c r="AG76" s="90" t="n"/>
      <c r="AH76" s="90" t="n"/>
      <c r="AI76" s="90" t="n"/>
      <c r="AJ76" s="90" t="n"/>
      <c r="AK76" s="90" t="n"/>
      <c r="AL76" s="90" t="n"/>
      <c r="AM76" s="90" t="n"/>
      <c r="AN76" s="90" t="n"/>
      <c r="AO76" s="90" t="n"/>
      <c r="AP76" s="90" t="n"/>
      <c r="AQ76" s="90" t="n"/>
      <c r="AR76" s="90" t="n"/>
      <c r="AS76" s="90" t="n"/>
      <c r="AT76" s="90" t="n"/>
      <c r="AU76" s="90" t="n"/>
      <c r="AV76" s="90" t="n"/>
      <c r="AW76" s="90" t="n"/>
      <c r="AX76" s="90" t="n"/>
      <c r="AY76" s="90" t="n"/>
    </row>
    <row r="77" ht="20" customHeight="1">
      <c r="A77" s="89">
        <f>IF(Roster!$A$75&lt;&gt;"",Roster!$A$75,"")</f>
        <v/>
      </c>
      <c r="B77" s="90" t="n"/>
      <c r="C77" s="90" t="n"/>
      <c r="D77" s="90" t="n"/>
      <c r="E77" s="90" t="n"/>
      <c r="F77" s="90" t="n"/>
      <c r="G77" s="90" t="n"/>
      <c r="H77" s="90" t="n"/>
      <c r="I77" s="90" t="n"/>
      <c r="J77" s="90" t="n"/>
      <c r="K77" s="90" t="n"/>
      <c r="L77" s="90" t="n"/>
      <c r="M77" s="90" t="n"/>
      <c r="N77" s="90" t="n"/>
      <c r="O77" s="90" t="n"/>
      <c r="P77" s="90" t="n"/>
      <c r="Q77" s="90" t="n"/>
      <c r="R77" s="90" t="n"/>
      <c r="S77" s="90" t="n"/>
      <c r="T77" s="90" t="n"/>
      <c r="U77" s="90" t="n"/>
      <c r="V77" s="90" t="n"/>
      <c r="W77" s="90" t="n"/>
      <c r="X77" s="90" t="n"/>
      <c r="Y77" s="90" t="n"/>
      <c r="Z77" s="90" t="n"/>
      <c r="AA77" s="90" t="n"/>
      <c r="AB77" s="90" t="n"/>
      <c r="AC77" s="90" t="n"/>
      <c r="AD77" s="90" t="n"/>
      <c r="AE77" s="90" t="n"/>
      <c r="AF77" s="90" t="n"/>
      <c r="AG77" s="90" t="n"/>
      <c r="AH77" s="90" t="n"/>
      <c r="AI77" s="90" t="n"/>
      <c r="AJ77" s="90" t="n"/>
      <c r="AK77" s="90" t="n"/>
      <c r="AL77" s="90" t="n"/>
      <c r="AM77" s="90" t="n"/>
      <c r="AN77" s="90" t="n"/>
      <c r="AO77" s="90" t="n"/>
      <c r="AP77" s="90" t="n"/>
      <c r="AQ77" s="90" t="n"/>
      <c r="AR77" s="90" t="n"/>
      <c r="AS77" s="90" t="n"/>
      <c r="AT77" s="90" t="n"/>
      <c r="AU77" s="90" t="n"/>
      <c r="AV77" s="90" t="n"/>
      <c r="AW77" s="90" t="n"/>
      <c r="AX77" s="90" t="n"/>
      <c r="AY77" s="90" t="n"/>
    </row>
    <row r="78" ht="20" customHeight="1">
      <c r="A78" s="89">
        <f>IF(Roster!$A$76&lt;&gt;"",Roster!$A$76,"")</f>
        <v/>
      </c>
      <c r="B78" s="90" t="n"/>
      <c r="C78" s="90" t="n"/>
      <c r="D78" s="90" t="n"/>
      <c r="E78" s="90" t="n"/>
      <c r="F78" s="90" t="n"/>
      <c r="G78" s="90" t="n"/>
      <c r="H78" s="90" t="n"/>
      <c r="I78" s="90" t="n"/>
      <c r="J78" s="90" t="n"/>
      <c r="K78" s="90" t="n"/>
      <c r="L78" s="90" t="n"/>
      <c r="M78" s="90" t="n"/>
      <c r="N78" s="90" t="n"/>
      <c r="O78" s="90" t="n"/>
      <c r="P78" s="90" t="n"/>
      <c r="Q78" s="90" t="n"/>
      <c r="R78" s="90" t="n"/>
      <c r="S78" s="90" t="n"/>
      <c r="T78" s="90" t="n"/>
      <c r="U78" s="90" t="n"/>
      <c r="V78" s="90" t="n"/>
      <c r="W78" s="90" t="n"/>
      <c r="X78" s="90" t="n"/>
      <c r="Y78" s="90" t="n"/>
      <c r="Z78" s="90" t="n"/>
      <c r="AA78" s="90" t="n"/>
      <c r="AB78" s="90" t="n"/>
      <c r="AC78" s="90" t="n"/>
      <c r="AD78" s="90" t="n"/>
      <c r="AE78" s="90" t="n"/>
      <c r="AF78" s="90" t="n"/>
      <c r="AG78" s="90" t="n"/>
      <c r="AH78" s="90" t="n"/>
      <c r="AI78" s="90" t="n"/>
      <c r="AJ78" s="90" t="n"/>
      <c r="AK78" s="90" t="n"/>
      <c r="AL78" s="90" t="n"/>
      <c r="AM78" s="90" t="n"/>
      <c r="AN78" s="90" t="n"/>
      <c r="AO78" s="90" t="n"/>
      <c r="AP78" s="90" t="n"/>
      <c r="AQ78" s="90" t="n"/>
      <c r="AR78" s="90" t="n"/>
      <c r="AS78" s="90" t="n"/>
      <c r="AT78" s="90" t="n"/>
      <c r="AU78" s="90" t="n"/>
      <c r="AV78" s="90" t="n"/>
      <c r="AW78" s="90" t="n"/>
      <c r="AX78" s="90" t="n"/>
      <c r="AY78" s="90" t="n"/>
    </row>
    <row r="79" ht="20" customHeight="1">
      <c r="A79" s="89">
        <f>IF(Roster!$A$77&lt;&gt;"",Roster!$A$77,"")</f>
        <v/>
      </c>
      <c r="B79" s="90" t="n"/>
      <c r="C79" s="90" t="n"/>
      <c r="D79" s="90" t="n"/>
      <c r="E79" s="90" t="n"/>
      <c r="F79" s="90" t="n"/>
      <c r="G79" s="90" t="n"/>
      <c r="H79" s="90" t="n"/>
      <c r="I79" s="90" t="n"/>
      <c r="J79" s="90" t="n"/>
      <c r="K79" s="90" t="n"/>
      <c r="L79" s="90" t="n"/>
      <c r="M79" s="90" t="n"/>
      <c r="N79" s="90" t="n"/>
      <c r="O79" s="90" t="n"/>
      <c r="P79" s="90" t="n"/>
      <c r="Q79" s="90" t="n"/>
      <c r="R79" s="90" t="n"/>
      <c r="S79" s="90" t="n"/>
      <c r="T79" s="90" t="n"/>
      <c r="U79" s="90" t="n"/>
      <c r="V79" s="90" t="n"/>
      <c r="W79" s="90" t="n"/>
      <c r="X79" s="90" t="n"/>
      <c r="Y79" s="90" t="n"/>
      <c r="Z79" s="90" t="n"/>
      <c r="AA79" s="90" t="n"/>
      <c r="AB79" s="90" t="n"/>
      <c r="AC79" s="90" t="n"/>
      <c r="AD79" s="90" t="n"/>
      <c r="AE79" s="90" t="n"/>
      <c r="AF79" s="90" t="n"/>
      <c r="AG79" s="90" t="n"/>
      <c r="AH79" s="90" t="n"/>
      <c r="AI79" s="90" t="n"/>
      <c r="AJ79" s="90" t="n"/>
      <c r="AK79" s="90" t="n"/>
      <c r="AL79" s="90" t="n"/>
      <c r="AM79" s="90" t="n"/>
      <c r="AN79" s="90" t="n"/>
      <c r="AO79" s="90" t="n"/>
      <c r="AP79" s="90" t="n"/>
      <c r="AQ79" s="90" t="n"/>
      <c r="AR79" s="90" t="n"/>
      <c r="AS79" s="90" t="n"/>
      <c r="AT79" s="90" t="n"/>
      <c r="AU79" s="90" t="n"/>
      <c r="AV79" s="90" t="n"/>
      <c r="AW79" s="90" t="n"/>
      <c r="AX79" s="90" t="n"/>
      <c r="AY79" s="90" t="n"/>
    </row>
    <row r="80" ht="20" customHeight="1">
      <c r="A80" s="89">
        <f>IF(Roster!$A$78&lt;&gt;"",Roster!$A$78,"")</f>
        <v/>
      </c>
      <c r="B80" s="90" t="n"/>
      <c r="C80" s="90" t="n"/>
      <c r="D80" s="90" t="n"/>
      <c r="E80" s="90" t="n"/>
      <c r="F80" s="90" t="n"/>
      <c r="G80" s="90" t="n"/>
      <c r="H80" s="90" t="n"/>
      <c r="I80" s="90" t="n"/>
      <c r="J80" s="90" t="n"/>
      <c r="K80" s="90" t="n"/>
      <c r="L80" s="90" t="n"/>
      <c r="M80" s="90" t="n"/>
      <c r="N80" s="90" t="n"/>
      <c r="O80" s="90" t="n"/>
      <c r="P80" s="90" t="n"/>
      <c r="Q80" s="90" t="n"/>
      <c r="R80" s="90" t="n"/>
      <c r="S80" s="90" t="n"/>
      <c r="T80" s="90" t="n"/>
      <c r="U80" s="90" t="n"/>
      <c r="V80" s="90" t="n"/>
      <c r="W80" s="90" t="n"/>
      <c r="X80" s="90" t="n"/>
      <c r="Y80" s="90" t="n"/>
      <c r="Z80" s="90" t="n"/>
      <c r="AA80" s="90" t="n"/>
      <c r="AB80" s="90" t="n"/>
      <c r="AC80" s="90" t="n"/>
      <c r="AD80" s="90" t="n"/>
      <c r="AE80" s="90" t="n"/>
      <c r="AF80" s="90" t="n"/>
      <c r="AG80" s="90" t="n"/>
      <c r="AH80" s="90" t="n"/>
      <c r="AI80" s="90" t="n"/>
      <c r="AJ80" s="90" t="n"/>
      <c r="AK80" s="90" t="n"/>
      <c r="AL80" s="90" t="n"/>
      <c r="AM80" s="90" t="n"/>
      <c r="AN80" s="90" t="n"/>
      <c r="AO80" s="90" t="n"/>
      <c r="AP80" s="90" t="n"/>
      <c r="AQ80" s="90" t="n"/>
      <c r="AR80" s="90" t="n"/>
      <c r="AS80" s="90" t="n"/>
      <c r="AT80" s="90" t="n"/>
      <c r="AU80" s="90" t="n"/>
      <c r="AV80" s="90" t="n"/>
      <c r="AW80" s="90" t="n"/>
      <c r="AX80" s="90" t="n"/>
      <c r="AY80" s="90" t="n"/>
    </row>
    <row r="81" ht="20" customHeight="1">
      <c r="A81" s="89">
        <f>IF(Roster!$A$79&lt;&gt;"",Roster!$A$79,"")</f>
        <v/>
      </c>
      <c r="B81" s="90" t="n"/>
      <c r="C81" s="90" t="n"/>
      <c r="D81" s="90" t="n"/>
      <c r="E81" s="90" t="n"/>
      <c r="F81" s="90" t="n"/>
      <c r="G81" s="90" t="n"/>
      <c r="H81" s="90" t="n"/>
      <c r="I81" s="90" t="n"/>
      <c r="J81" s="90" t="n"/>
      <c r="K81" s="90" t="n"/>
      <c r="L81" s="90" t="n"/>
      <c r="M81" s="90" t="n"/>
      <c r="N81" s="90" t="n"/>
      <c r="O81" s="90" t="n"/>
      <c r="P81" s="90" t="n"/>
      <c r="Q81" s="90" t="n"/>
      <c r="R81" s="90" t="n"/>
      <c r="S81" s="90" t="n"/>
      <c r="T81" s="90" t="n"/>
      <c r="U81" s="90" t="n"/>
      <c r="V81" s="90" t="n"/>
      <c r="W81" s="90" t="n"/>
      <c r="X81" s="90" t="n"/>
      <c r="Y81" s="90" t="n"/>
      <c r="Z81" s="90" t="n"/>
      <c r="AA81" s="90" t="n"/>
      <c r="AB81" s="90" t="n"/>
      <c r="AC81" s="90" t="n"/>
      <c r="AD81" s="90" t="n"/>
      <c r="AE81" s="90" t="n"/>
      <c r="AF81" s="90" t="n"/>
      <c r="AG81" s="90" t="n"/>
      <c r="AH81" s="90" t="n"/>
      <c r="AI81" s="90" t="n"/>
      <c r="AJ81" s="90" t="n"/>
      <c r="AK81" s="90" t="n"/>
      <c r="AL81" s="90" t="n"/>
      <c r="AM81" s="90" t="n"/>
      <c r="AN81" s="90" t="n"/>
      <c r="AO81" s="90" t="n"/>
      <c r="AP81" s="90" t="n"/>
      <c r="AQ81" s="90" t="n"/>
      <c r="AR81" s="90" t="n"/>
      <c r="AS81" s="90" t="n"/>
      <c r="AT81" s="90" t="n"/>
      <c r="AU81" s="90" t="n"/>
      <c r="AV81" s="90" t="n"/>
      <c r="AW81" s="90" t="n"/>
      <c r="AX81" s="90" t="n"/>
      <c r="AY81" s="90" t="n"/>
    </row>
    <row r="82" ht="20" customHeight="1">
      <c r="A82" s="89">
        <f>IF(Roster!$A$80&lt;&gt;"",Roster!$A$80,"")</f>
        <v/>
      </c>
      <c r="B82" s="90" t="n"/>
      <c r="C82" s="90" t="n"/>
      <c r="D82" s="90" t="n"/>
      <c r="E82" s="90" t="n"/>
      <c r="F82" s="90" t="n"/>
      <c r="G82" s="90" t="n"/>
      <c r="H82" s="90" t="n"/>
      <c r="I82" s="90" t="n"/>
      <c r="J82" s="90" t="n"/>
      <c r="K82" s="90" t="n"/>
      <c r="L82" s="90" t="n"/>
      <c r="M82" s="90" t="n"/>
      <c r="N82" s="90" t="n"/>
      <c r="O82" s="90" t="n"/>
      <c r="P82" s="90" t="n"/>
      <c r="Q82" s="90" t="n"/>
      <c r="R82" s="90" t="n"/>
      <c r="S82" s="90" t="n"/>
      <c r="T82" s="90" t="n"/>
      <c r="U82" s="90" t="n"/>
      <c r="V82" s="90" t="n"/>
      <c r="W82" s="90" t="n"/>
      <c r="X82" s="90" t="n"/>
      <c r="Y82" s="90" t="n"/>
      <c r="Z82" s="90" t="n"/>
      <c r="AA82" s="90" t="n"/>
      <c r="AB82" s="90" t="n"/>
      <c r="AC82" s="90" t="n"/>
      <c r="AD82" s="90" t="n"/>
      <c r="AE82" s="90" t="n"/>
      <c r="AF82" s="90" t="n"/>
      <c r="AG82" s="90" t="n"/>
      <c r="AH82" s="90" t="n"/>
      <c r="AI82" s="90" t="n"/>
      <c r="AJ82" s="90" t="n"/>
      <c r="AK82" s="90" t="n"/>
      <c r="AL82" s="90" t="n"/>
      <c r="AM82" s="90" t="n"/>
      <c r="AN82" s="90" t="n"/>
      <c r="AO82" s="90" t="n"/>
      <c r="AP82" s="90" t="n"/>
      <c r="AQ82" s="90" t="n"/>
      <c r="AR82" s="90" t="n"/>
      <c r="AS82" s="90" t="n"/>
      <c r="AT82" s="90" t="n"/>
      <c r="AU82" s="90" t="n"/>
      <c r="AV82" s="90" t="n"/>
      <c r="AW82" s="90" t="n"/>
      <c r="AX82" s="90" t="n"/>
      <c r="AY82" s="90" t="n"/>
    </row>
    <row r="83" ht="20" customHeight="1">
      <c r="A83" s="89">
        <f>IF(Roster!$A$81&lt;&gt;"",Roster!$A$81,"")</f>
        <v/>
      </c>
      <c r="B83" s="90" t="n"/>
      <c r="C83" s="90" t="n"/>
      <c r="D83" s="90" t="n"/>
      <c r="E83" s="90" t="n"/>
      <c r="F83" s="90" t="n"/>
      <c r="G83" s="90" t="n"/>
      <c r="H83" s="90" t="n"/>
      <c r="I83" s="90" t="n"/>
      <c r="J83" s="90" t="n"/>
      <c r="K83" s="90" t="n"/>
      <c r="L83" s="90" t="n"/>
      <c r="M83" s="90" t="n"/>
      <c r="N83" s="90" t="n"/>
      <c r="O83" s="90" t="n"/>
      <c r="P83" s="90" t="n"/>
      <c r="Q83" s="90" t="n"/>
      <c r="R83" s="90" t="n"/>
      <c r="S83" s="90" t="n"/>
      <c r="T83" s="90" t="n"/>
      <c r="U83" s="90" t="n"/>
      <c r="V83" s="90" t="n"/>
      <c r="W83" s="90" t="n"/>
      <c r="X83" s="90" t="n"/>
      <c r="Y83" s="90" t="n"/>
      <c r="Z83" s="90" t="n"/>
      <c r="AA83" s="90" t="n"/>
      <c r="AB83" s="90" t="n"/>
      <c r="AC83" s="90" t="n"/>
      <c r="AD83" s="90" t="n"/>
      <c r="AE83" s="90" t="n"/>
      <c r="AF83" s="90" t="n"/>
      <c r="AG83" s="90" t="n"/>
      <c r="AH83" s="90" t="n"/>
      <c r="AI83" s="90" t="n"/>
      <c r="AJ83" s="90" t="n"/>
      <c r="AK83" s="90" t="n"/>
      <c r="AL83" s="90" t="n"/>
      <c r="AM83" s="90" t="n"/>
      <c r="AN83" s="90" t="n"/>
      <c r="AO83" s="90" t="n"/>
      <c r="AP83" s="90" t="n"/>
      <c r="AQ83" s="90" t="n"/>
      <c r="AR83" s="90" t="n"/>
      <c r="AS83" s="90" t="n"/>
      <c r="AT83" s="90" t="n"/>
      <c r="AU83" s="90" t="n"/>
      <c r="AV83" s="90" t="n"/>
      <c r="AW83" s="90" t="n"/>
      <c r="AX83" s="90" t="n"/>
      <c r="AY83" s="90" t="n"/>
    </row>
    <row r="84" ht="20" customHeight="1">
      <c r="A84" s="89">
        <f>IF(Roster!$A$82&lt;&gt;"",Roster!$A$82,"")</f>
        <v/>
      </c>
      <c r="B84" s="90" t="n"/>
      <c r="C84" s="90" t="n"/>
      <c r="D84" s="90" t="n"/>
      <c r="E84" s="90" t="n"/>
      <c r="F84" s="90" t="n"/>
      <c r="G84" s="90" t="n"/>
      <c r="H84" s="90" t="n"/>
      <c r="I84" s="90" t="n"/>
      <c r="J84" s="90" t="n"/>
      <c r="K84" s="90" t="n"/>
      <c r="L84" s="90" t="n"/>
      <c r="M84" s="90" t="n"/>
      <c r="N84" s="90" t="n"/>
      <c r="O84" s="90" t="n"/>
      <c r="P84" s="90" t="n"/>
      <c r="Q84" s="90" t="n"/>
      <c r="R84" s="90" t="n"/>
      <c r="S84" s="90" t="n"/>
      <c r="T84" s="90" t="n"/>
      <c r="U84" s="90" t="n"/>
      <c r="V84" s="90" t="n"/>
      <c r="W84" s="90" t="n"/>
      <c r="X84" s="90" t="n"/>
      <c r="Y84" s="90" t="n"/>
      <c r="Z84" s="90" t="n"/>
      <c r="AA84" s="90" t="n"/>
      <c r="AB84" s="90" t="n"/>
      <c r="AC84" s="90" t="n"/>
      <c r="AD84" s="90" t="n"/>
      <c r="AE84" s="90" t="n"/>
      <c r="AF84" s="90" t="n"/>
      <c r="AG84" s="90" t="n"/>
      <c r="AH84" s="90" t="n"/>
      <c r="AI84" s="90" t="n"/>
      <c r="AJ84" s="90" t="n"/>
      <c r="AK84" s="90" t="n"/>
      <c r="AL84" s="90" t="n"/>
      <c r="AM84" s="90" t="n"/>
      <c r="AN84" s="90" t="n"/>
      <c r="AO84" s="90" t="n"/>
      <c r="AP84" s="90" t="n"/>
      <c r="AQ84" s="90" t="n"/>
      <c r="AR84" s="90" t="n"/>
      <c r="AS84" s="90" t="n"/>
      <c r="AT84" s="90" t="n"/>
      <c r="AU84" s="90" t="n"/>
      <c r="AV84" s="90" t="n"/>
      <c r="AW84" s="90" t="n"/>
      <c r="AX84" s="90" t="n"/>
      <c r="AY84" s="90" t="n"/>
    </row>
    <row r="85" ht="20" customHeight="1">
      <c r="A85" s="89">
        <f>IF(Roster!$A$83&lt;&gt;"",Roster!$A$83,"")</f>
        <v/>
      </c>
      <c r="B85" s="90" t="n"/>
      <c r="C85" s="90" t="n"/>
      <c r="D85" s="90" t="n"/>
      <c r="E85" s="90" t="n"/>
      <c r="F85" s="90" t="n"/>
      <c r="G85" s="90" t="n"/>
      <c r="H85" s="90" t="n"/>
      <c r="I85" s="90" t="n"/>
      <c r="J85" s="90" t="n"/>
      <c r="K85" s="90" t="n"/>
      <c r="L85" s="90" t="n"/>
      <c r="M85" s="90" t="n"/>
      <c r="N85" s="90" t="n"/>
      <c r="O85" s="90" t="n"/>
      <c r="P85" s="90" t="n"/>
      <c r="Q85" s="90" t="n"/>
      <c r="R85" s="90" t="n"/>
      <c r="S85" s="90" t="n"/>
      <c r="T85" s="90" t="n"/>
      <c r="U85" s="90" t="n"/>
      <c r="V85" s="90" t="n"/>
      <c r="W85" s="90" t="n"/>
      <c r="X85" s="90" t="n"/>
      <c r="Y85" s="90" t="n"/>
      <c r="Z85" s="90" t="n"/>
      <c r="AA85" s="90" t="n"/>
      <c r="AB85" s="90" t="n"/>
      <c r="AC85" s="90" t="n"/>
      <c r="AD85" s="90" t="n"/>
      <c r="AE85" s="90" t="n"/>
      <c r="AF85" s="90" t="n"/>
      <c r="AG85" s="90" t="n"/>
      <c r="AH85" s="90" t="n"/>
      <c r="AI85" s="90" t="n"/>
      <c r="AJ85" s="90" t="n"/>
      <c r="AK85" s="90" t="n"/>
      <c r="AL85" s="90" t="n"/>
      <c r="AM85" s="90" t="n"/>
      <c r="AN85" s="90" t="n"/>
      <c r="AO85" s="90" t="n"/>
      <c r="AP85" s="90" t="n"/>
      <c r="AQ85" s="90" t="n"/>
      <c r="AR85" s="90" t="n"/>
      <c r="AS85" s="90" t="n"/>
      <c r="AT85" s="90" t="n"/>
      <c r="AU85" s="90" t="n"/>
      <c r="AV85" s="90" t="n"/>
      <c r="AW85" s="90" t="n"/>
      <c r="AX85" s="90" t="n"/>
      <c r="AY85" s="90" t="n"/>
    </row>
    <row r="86" ht="20" customHeight="1">
      <c r="A86" s="89">
        <f>IF(Roster!$A$84&lt;&gt;"",Roster!$A$84,"")</f>
        <v/>
      </c>
      <c r="B86" s="90" t="n"/>
      <c r="C86" s="90" t="n"/>
      <c r="D86" s="90" t="n"/>
      <c r="E86" s="90" t="n"/>
      <c r="F86" s="90" t="n"/>
      <c r="G86" s="90" t="n"/>
      <c r="H86" s="90" t="n"/>
      <c r="I86" s="90" t="n"/>
      <c r="J86" s="90" t="n"/>
      <c r="K86" s="90" t="n"/>
      <c r="L86" s="90" t="n"/>
      <c r="M86" s="90" t="n"/>
      <c r="N86" s="90" t="n"/>
      <c r="O86" s="90" t="n"/>
      <c r="P86" s="90" t="n"/>
      <c r="Q86" s="90" t="n"/>
      <c r="R86" s="90" t="n"/>
      <c r="S86" s="90" t="n"/>
      <c r="T86" s="90" t="n"/>
      <c r="U86" s="90" t="n"/>
      <c r="V86" s="90" t="n"/>
      <c r="W86" s="90" t="n"/>
      <c r="X86" s="90" t="n"/>
      <c r="Y86" s="90" t="n"/>
      <c r="Z86" s="90" t="n"/>
      <c r="AA86" s="90" t="n"/>
      <c r="AB86" s="90" t="n"/>
      <c r="AC86" s="90" t="n"/>
      <c r="AD86" s="90" t="n"/>
      <c r="AE86" s="90" t="n"/>
      <c r="AF86" s="90" t="n"/>
      <c r="AG86" s="90" t="n"/>
      <c r="AH86" s="90" t="n"/>
      <c r="AI86" s="90" t="n"/>
      <c r="AJ86" s="90" t="n"/>
      <c r="AK86" s="90" t="n"/>
      <c r="AL86" s="90" t="n"/>
      <c r="AM86" s="90" t="n"/>
      <c r="AN86" s="90" t="n"/>
      <c r="AO86" s="90" t="n"/>
      <c r="AP86" s="90" t="n"/>
      <c r="AQ86" s="90" t="n"/>
      <c r="AR86" s="90" t="n"/>
      <c r="AS86" s="90" t="n"/>
      <c r="AT86" s="90" t="n"/>
      <c r="AU86" s="90" t="n"/>
      <c r="AV86" s="90" t="n"/>
      <c r="AW86" s="90" t="n"/>
      <c r="AX86" s="90" t="n"/>
      <c r="AY86" s="90" t="n"/>
    </row>
    <row r="87" ht="20" customHeight="1">
      <c r="A87" s="89">
        <f>IF(Roster!$A$85&lt;&gt;"",Roster!$A$85,"")</f>
        <v/>
      </c>
      <c r="B87" s="90" t="n"/>
      <c r="C87" s="90" t="n"/>
      <c r="D87" s="90" t="n"/>
      <c r="E87" s="90" t="n"/>
      <c r="F87" s="90" t="n"/>
      <c r="G87" s="90" t="n"/>
      <c r="H87" s="90" t="n"/>
      <c r="I87" s="90" t="n"/>
      <c r="J87" s="90" t="n"/>
      <c r="K87" s="90" t="n"/>
      <c r="L87" s="90" t="n"/>
      <c r="M87" s="90" t="n"/>
      <c r="N87" s="90" t="n"/>
      <c r="O87" s="90" t="n"/>
      <c r="P87" s="90" t="n"/>
      <c r="Q87" s="90" t="n"/>
      <c r="R87" s="90" t="n"/>
      <c r="S87" s="90" t="n"/>
      <c r="T87" s="90" t="n"/>
      <c r="U87" s="90" t="n"/>
      <c r="V87" s="90" t="n"/>
      <c r="W87" s="90" t="n"/>
      <c r="X87" s="90" t="n"/>
      <c r="Y87" s="90" t="n"/>
      <c r="Z87" s="90" t="n"/>
      <c r="AA87" s="90" t="n"/>
      <c r="AB87" s="90" t="n"/>
      <c r="AC87" s="90" t="n"/>
      <c r="AD87" s="90" t="n"/>
      <c r="AE87" s="90" t="n"/>
      <c r="AF87" s="90" t="n"/>
      <c r="AG87" s="90" t="n"/>
      <c r="AH87" s="90" t="n"/>
      <c r="AI87" s="90" t="n"/>
      <c r="AJ87" s="90" t="n"/>
      <c r="AK87" s="90" t="n"/>
      <c r="AL87" s="90" t="n"/>
      <c r="AM87" s="90" t="n"/>
      <c r="AN87" s="90" t="n"/>
      <c r="AO87" s="90" t="n"/>
      <c r="AP87" s="90" t="n"/>
      <c r="AQ87" s="90" t="n"/>
      <c r="AR87" s="90" t="n"/>
      <c r="AS87" s="90" t="n"/>
      <c r="AT87" s="90" t="n"/>
      <c r="AU87" s="90" t="n"/>
      <c r="AV87" s="90" t="n"/>
      <c r="AW87" s="90" t="n"/>
      <c r="AX87" s="90" t="n"/>
      <c r="AY87" s="90" t="n"/>
    </row>
    <row r="88" ht="20" customHeight="1">
      <c r="A88" s="89">
        <f>IF(Roster!$A$86&lt;&gt;"",Roster!$A$86,"")</f>
        <v/>
      </c>
      <c r="B88" s="90" t="n"/>
      <c r="C88" s="90" t="n"/>
      <c r="D88" s="90" t="n"/>
      <c r="E88" s="90" t="n"/>
      <c r="F88" s="90" t="n"/>
      <c r="G88" s="90" t="n"/>
      <c r="H88" s="90" t="n"/>
      <c r="I88" s="90" t="n"/>
      <c r="J88" s="90" t="n"/>
      <c r="K88" s="90" t="n"/>
      <c r="L88" s="90" t="n"/>
      <c r="M88" s="90" t="n"/>
      <c r="N88" s="90" t="n"/>
      <c r="O88" s="90" t="n"/>
      <c r="P88" s="90" t="n"/>
      <c r="Q88" s="90" t="n"/>
      <c r="R88" s="90" t="n"/>
      <c r="S88" s="90" t="n"/>
      <c r="T88" s="90" t="n"/>
      <c r="U88" s="90" t="n"/>
      <c r="V88" s="90" t="n"/>
      <c r="W88" s="90" t="n"/>
      <c r="X88" s="90" t="n"/>
      <c r="Y88" s="90" t="n"/>
      <c r="Z88" s="90" t="n"/>
      <c r="AA88" s="90" t="n"/>
      <c r="AB88" s="90" t="n"/>
      <c r="AC88" s="90" t="n"/>
      <c r="AD88" s="90" t="n"/>
      <c r="AE88" s="90" t="n"/>
      <c r="AF88" s="90" t="n"/>
      <c r="AG88" s="90" t="n"/>
      <c r="AH88" s="90" t="n"/>
      <c r="AI88" s="90" t="n"/>
      <c r="AJ88" s="90" t="n"/>
      <c r="AK88" s="90" t="n"/>
      <c r="AL88" s="90" t="n"/>
      <c r="AM88" s="90" t="n"/>
      <c r="AN88" s="90" t="n"/>
      <c r="AO88" s="90" t="n"/>
      <c r="AP88" s="90" t="n"/>
      <c r="AQ88" s="90" t="n"/>
      <c r="AR88" s="90" t="n"/>
      <c r="AS88" s="90" t="n"/>
      <c r="AT88" s="90" t="n"/>
      <c r="AU88" s="90" t="n"/>
      <c r="AV88" s="90" t="n"/>
      <c r="AW88" s="90" t="n"/>
      <c r="AX88" s="90" t="n"/>
      <c r="AY88" s="90" t="n"/>
    </row>
    <row r="89" ht="20" customHeight="1">
      <c r="A89" s="89">
        <f>IF(Roster!$A$87&lt;&gt;"",Roster!$A$87,"")</f>
        <v/>
      </c>
      <c r="B89" s="90" t="n"/>
      <c r="C89" s="90" t="n"/>
      <c r="D89" s="90" t="n"/>
      <c r="E89" s="90" t="n"/>
      <c r="F89" s="90" t="n"/>
      <c r="G89" s="90" t="n"/>
      <c r="H89" s="90" t="n"/>
      <c r="I89" s="90" t="n"/>
      <c r="J89" s="90" t="n"/>
      <c r="K89" s="90" t="n"/>
      <c r="L89" s="90" t="n"/>
      <c r="M89" s="90" t="n"/>
      <c r="N89" s="90" t="n"/>
      <c r="O89" s="90" t="n"/>
      <c r="P89" s="90" t="n"/>
      <c r="Q89" s="90" t="n"/>
      <c r="R89" s="90" t="n"/>
      <c r="S89" s="90" t="n"/>
      <c r="T89" s="90" t="n"/>
      <c r="U89" s="90" t="n"/>
      <c r="V89" s="90" t="n"/>
      <c r="W89" s="90" t="n"/>
      <c r="X89" s="90" t="n"/>
      <c r="Y89" s="90" t="n"/>
      <c r="Z89" s="90" t="n"/>
      <c r="AA89" s="90" t="n"/>
      <c r="AB89" s="90" t="n"/>
      <c r="AC89" s="90" t="n"/>
      <c r="AD89" s="90" t="n"/>
      <c r="AE89" s="90" t="n"/>
      <c r="AF89" s="90" t="n"/>
      <c r="AG89" s="90" t="n"/>
      <c r="AH89" s="90" t="n"/>
      <c r="AI89" s="90" t="n"/>
      <c r="AJ89" s="90" t="n"/>
      <c r="AK89" s="90" t="n"/>
      <c r="AL89" s="90" t="n"/>
      <c r="AM89" s="90" t="n"/>
      <c r="AN89" s="90" t="n"/>
      <c r="AO89" s="90" t="n"/>
      <c r="AP89" s="90" t="n"/>
      <c r="AQ89" s="90" t="n"/>
      <c r="AR89" s="90" t="n"/>
      <c r="AS89" s="90" t="n"/>
      <c r="AT89" s="90" t="n"/>
      <c r="AU89" s="90" t="n"/>
      <c r="AV89" s="90" t="n"/>
      <c r="AW89" s="90" t="n"/>
      <c r="AX89" s="90" t="n"/>
      <c r="AY89" s="90" t="n"/>
    </row>
    <row r="90" ht="20" customHeight="1">
      <c r="A90" s="89">
        <f>IF(Roster!$A$88&lt;&gt;"",Roster!$A$88,"")</f>
        <v/>
      </c>
      <c r="B90" s="90" t="n"/>
      <c r="C90" s="90" t="n"/>
      <c r="D90" s="90" t="n"/>
      <c r="E90" s="90" t="n"/>
      <c r="F90" s="90" t="n"/>
      <c r="G90" s="90" t="n"/>
      <c r="H90" s="90" t="n"/>
      <c r="I90" s="90" t="n"/>
      <c r="J90" s="90" t="n"/>
      <c r="K90" s="90" t="n"/>
      <c r="L90" s="90" t="n"/>
      <c r="M90" s="90" t="n"/>
      <c r="N90" s="90" t="n"/>
      <c r="O90" s="90" t="n"/>
      <c r="P90" s="90" t="n"/>
      <c r="Q90" s="90" t="n"/>
      <c r="R90" s="90" t="n"/>
      <c r="S90" s="90" t="n"/>
      <c r="T90" s="90" t="n"/>
      <c r="U90" s="90" t="n"/>
      <c r="V90" s="90" t="n"/>
      <c r="W90" s="90" t="n"/>
      <c r="X90" s="90" t="n"/>
      <c r="Y90" s="90" t="n"/>
      <c r="Z90" s="90" t="n"/>
      <c r="AA90" s="90" t="n"/>
      <c r="AB90" s="90" t="n"/>
      <c r="AC90" s="90" t="n"/>
      <c r="AD90" s="90" t="n"/>
      <c r="AE90" s="90" t="n"/>
      <c r="AF90" s="90" t="n"/>
      <c r="AG90" s="90" t="n"/>
      <c r="AH90" s="90" t="n"/>
      <c r="AI90" s="90" t="n"/>
      <c r="AJ90" s="90" t="n"/>
      <c r="AK90" s="90" t="n"/>
      <c r="AL90" s="90" t="n"/>
      <c r="AM90" s="90" t="n"/>
      <c r="AN90" s="90" t="n"/>
      <c r="AO90" s="90" t="n"/>
      <c r="AP90" s="90" t="n"/>
      <c r="AQ90" s="90" t="n"/>
      <c r="AR90" s="90" t="n"/>
      <c r="AS90" s="90" t="n"/>
      <c r="AT90" s="90" t="n"/>
      <c r="AU90" s="90" t="n"/>
      <c r="AV90" s="90" t="n"/>
      <c r="AW90" s="90" t="n"/>
      <c r="AX90" s="90" t="n"/>
      <c r="AY90" s="90" t="n"/>
    </row>
    <row r="91" ht="20" customHeight="1">
      <c r="A91" s="89">
        <f>IF(Roster!$A$89&lt;&gt;"",Roster!$A$89,"")</f>
        <v/>
      </c>
      <c r="B91" s="90" t="n"/>
      <c r="C91" s="90" t="n"/>
      <c r="D91" s="90" t="n"/>
      <c r="E91" s="90" t="n"/>
      <c r="F91" s="90" t="n"/>
      <c r="G91" s="90" t="n"/>
      <c r="H91" s="90" t="n"/>
      <c r="I91" s="90" t="n"/>
      <c r="J91" s="90" t="n"/>
      <c r="K91" s="90" t="n"/>
      <c r="L91" s="90" t="n"/>
      <c r="M91" s="90" t="n"/>
      <c r="N91" s="90" t="n"/>
      <c r="O91" s="90" t="n"/>
      <c r="P91" s="90" t="n"/>
      <c r="Q91" s="90" t="n"/>
      <c r="R91" s="90" t="n"/>
      <c r="S91" s="90" t="n"/>
      <c r="T91" s="90" t="n"/>
      <c r="U91" s="90" t="n"/>
      <c r="V91" s="90" t="n"/>
      <c r="W91" s="90" t="n"/>
      <c r="X91" s="90" t="n"/>
      <c r="Y91" s="90" t="n"/>
      <c r="Z91" s="90" t="n"/>
      <c r="AA91" s="90" t="n"/>
      <c r="AB91" s="90" t="n"/>
      <c r="AC91" s="90" t="n"/>
      <c r="AD91" s="90" t="n"/>
      <c r="AE91" s="90" t="n"/>
      <c r="AF91" s="90" t="n"/>
      <c r="AG91" s="90" t="n"/>
      <c r="AH91" s="90" t="n"/>
      <c r="AI91" s="90" t="n"/>
      <c r="AJ91" s="90" t="n"/>
      <c r="AK91" s="90" t="n"/>
      <c r="AL91" s="90" t="n"/>
      <c r="AM91" s="90" t="n"/>
      <c r="AN91" s="90" t="n"/>
      <c r="AO91" s="90" t="n"/>
      <c r="AP91" s="90" t="n"/>
      <c r="AQ91" s="90" t="n"/>
      <c r="AR91" s="90" t="n"/>
      <c r="AS91" s="90" t="n"/>
      <c r="AT91" s="90" t="n"/>
      <c r="AU91" s="90" t="n"/>
      <c r="AV91" s="90" t="n"/>
      <c r="AW91" s="90" t="n"/>
      <c r="AX91" s="90" t="n"/>
      <c r="AY91" s="90" t="n"/>
    </row>
    <row r="92" ht="20" customHeight="1">
      <c r="A92" s="89">
        <f>IF(Roster!$A$90&lt;&gt;"",Roster!$A$90,"")</f>
        <v/>
      </c>
      <c r="B92" s="90" t="n"/>
      <c r="C92" s="90" t="n"/>
      <c r="D92" s="90" t="n"/>
      <c r="E92" s="90" t="n"/>
      <c r="F92" s="90" t="n"/>
      <c r="G92" s="90" t="n"/>
      <c r="H92" s="90" t="n"/>
      <c r="I92" s="90" t="n"/>
      <c r="J92" s="90" t="n"/>
      <c r="K92" s="90" t="n"/>
      <c r="L92" s="90" t="n"/>
      <c r="M92" s="90" t="n"/>
      <c r="N92" s="90" t="n"/>
      <c r="O92" s="90" t="n"/>
      <c r="P92" s="90" t="n"/>
      <c r="Q92" s="90" t="n"/>
      <c r="R92" s="90" t="n"/>
      <c r="S92" s="90" t="n"/>
      <c r="T92" s="90" t="n"/>
      <c r="U92" s="90" t="n"/>
      <c r="V92" s="90" t="n"/>
      <c r="W92" s="90" t="n"/>
      <c r="X92" s="90" t="n"/>
      <c r="Y92" s="90" t="n"/>
      <c r="Z92" s="90" t="n"/>
      <c r="AA92" s="90" t="n"/>
      <c r="AB92" s="90" t="n"/>
      <c r="AC92" s="90" t="n"/>
      <c r="AD92" s="90" t="n"/>
      <c r="AE92" s="90" t="n"/>
      <c r="AF92" s="90" t="n"/>
      <c r="AG92" s="90" t="n"/>
      <c r="AH92" s="90" t="n"/>
      <c r="AI92" s="90" t="n"/>
      <c r="AJ92" s="90" t="n"/>
      <c r="AK92" s="90" t="n"/>
      <c r="AL92" s="90" t="n"/>
      <c r="AM92" s="90" t="n"/>
      <c r="AN92" s="90" t="n"/>
      <c r="AO92" s="90" t="n"/>
      <c r="AP92" s="90" t="n"/>
      <c r="AQ92" s="90" t="n"/>
      <c r="AR92" s="90" t="n"/>
      <c r="AS92" s="90" t="n"/>
      <c r="AT92" s="90" t="n"/>
      <c r="AU92" s="90" t="n"/>
      <c r="AV92" s="90" t="n"/>
      <c r="AW92" s="90" t="n"/>
      <c r="AX92" s="90" t="n"/>
      <c r="AY92" s="90" t="n"/>
    </row>
    <row r="93" ht="20" customHeight="1">
      <c r="A93" s="89">
        <f>IF(Roster!$A$91&lt;&gt;"",Roster!$A$91,"")</f>
        <v/>
      </c>
      <c r="B93" s="90" t="n"/>
      <c r="C93" s="90" t="n"/>
      <c r="D93" s="90" t="n"/>
      <c r="E93" s="90" t="n"/>
      <c r="F93" s="90" t="n"/>
      <c r="G93" s="90" t="n"/>
      <c r="H93" s="90" t="n"/>
      <c r="I93" s="90" t="n"/>
      <c r="J93" s="90" t="n"/>
      <c r="K93" s="90" t="n"/>
      <c r="L93" s="90" t="n"/>
      <c r="M93" s="90" t="n"/>
      <c r="N93" s="90" t="n"/>
      <c r="O93" s="90" t="n"/>
      <c r="P93" s="90" t="n"/>
      <c r="Q93" s="90" t="n"/>
      <c r="R93" s="90" t="n"/>
      <c r="S93" s="90" t="n"/>
      <c r="T93" s="90" t="n"/>
      <c r="U93" s="90" t="n"/>
      <c r="V93" s="90" t="n"/>
      <c r="W93" s="90" t="n"/>
      <c r="X93" s="90" t="n"/>
      <c r="Y93" s="90" t="n"/>
      <c r="Z93" s="90" t="n"/>
      <c r="AA93" s="90" t="n"/>
      <c r="AB93" s="90" t="n"/>
      <c r="AC93" s="90" t="n"/>
      <c r="AD93" s="90" t="n"/>
      <c r="AE93" s="90" t="n"/>
      <c r="AF93" s="90" t="n"/>
      <c r="AG93" s="90" t="n"/>
      <c r="AH93" s="90" t="n"/>
      <c r="AI93" s="90" t="n"/>
      <c r="AJ93" s="90" t="n"/>
      <c r="AK93" s="90" t="n"/>
      <c r="AL93" s="90" t="n"/>
      <c r="AM93" s="90" t="n"/>
      <c r="AN93" s="90" t="n"/>
      <c r="AO93" s="90" t="n"/>
      <c r="AP93" s="90" t="n"/>
      <c r="AQ93" s="90" t="n"/>
      <c r="AR93" s="90" t="n"/>
      <c r="AS93" s="90" t="n"/>
      <c r="AT93" s="90" t="n"/>
      <c r="AU93" s="90" t="n"/>
      <c r="AV93" s="90" t="n"/>
      <c r="AW93" s="90" t="n"/>
      <c r="AX93" s="90" t="n"/>
      <c r="AY93" s="90" t="n"/>
    </row>
    <row r="94" ht="20" customHeight="1">
      <c r="A94" s="89">
        <f>IF(Roster!$A$92&lt;&gt;"",Roster!$A$92,"")</f>
        <v/>
      </c>
      <c r="B94" s="90" t="n"/>
      <c r="C94" s="90" t="n"/>
      <c r="D94" s="90" t="n"/>
      <c r="E94" s="90" t="n"/>
      <c r="F94" s="90" t="n"/>
      <c r="G94" s="90" t="n"/>
      <c r="H94" s="90" t="n"/>
      <c r="I94" s="90" t="n"/>
      <c r="J94" s="90" t="n"/>
      <c r="K94" s="90" t="n"/>
      <c r="L94" s="90" t="n"/>
      <c r="M94" s="90" t="n"/>
      <c r="N94" s="90" t="n"/>
      <c r="O94" s="90" t="n"/>
      <c r="P94" s="90" t="n"/>
      <c r="Q94" s="90" t="n"/>
      <c r="R94" s="90" t="n"/>
      <c r="S94" s="90" t="n"/>
      <c r="T94" s="90" t="n"/>
      <c r="U94" s="90" t="n"/>
      <c r="V94" s="90" t="n"/>
      <c r="W94" s="90" t="n"/>
      <c r="X94" s="90" t="n"/>
      <c r="Y94" s="90" t="n"/>
      <c r="Z94" s="90" t="n"/>
      <c r="AA94" s="90" t="n"/>
      <c r="AB94" s="90" t="n"/>
      <c r="AC94" s="90" t="n"/>
      <c r="AD94" s="90" t="n"/>
      <c r="AE94" s="90" t="n"/>
      <c r="AF94" s="90" t="n"/>
      <c r="AG94" s="90" t="n"/>
      <c r="AH94" s="90" t="n"/>
      <c r="AI94" s="90" t="n"/>
      <c r="AJ94" s="90" t="n"/>
      <c r="AK94" s="90" t="n"/>
      <c r="AL94" s="90" t="n"/>
      <c r="AM94" s="90" t="n"/>
      <c r="AN94" s="90" t="n"/>
      <c r="AO94" s="90" t="n"/>
      <c r="AP94" s="90" t="n"/>
      <c r="AQ94" s="90" t="n"/>
      <c r="AR94" s="90" t="n"/>
      <c r="AS94" s="90" t="n"/>
      <c r="AT94" s="90" t="n"/>
      <c r="AU94" s="90" t="n"/>
      <c r="AV94" s="90" t="n"/>
      <c r="AW94" s="90" t="n"/>
      <c r="AX94" s="90" t="n"/>
      <c r="AY94" s="90" t="n"/>
    </row>
    <row r="95" ht="20" customHeight="1">
      <c r="A95" s="89">
        <f>IF(Roster!$A$93&lt;&gt;"",Roster!$A$93,"")</f>
        <v/>
      </c>
      <c r="B95" s="90" t="n"/>
      <c r="C95" s="90" t="n"/>
      <c r="D95" s="90" t="n"/>
      <c r="E95" s="90" t="n"/>
      <c r="F95" s="90" t="n"/>
      <c r="G95" s="90" t="n"/>
      <c r="H95" s="90" t="n"/>
      <c r="I95" s="90" t="n"/>
      <c r="J95" s="90" t="n"/>
      <c r="K95" s="90" t="n"/>
      <c r="L95" s="90" t="n"/>
      <c r="M95" s="90" t="n"/>
      <c r="N95" s="90" t="n"/>
      <c r="O95" s="90" t="n"/>
      <c r="P95" s="90" t="n"/>
      <c r="Q95" s="90" t="n"/>
      <c r="R95" s="90" t="n"/>
      <c r="S95" s="90" t="n"/>
      <c r="T95" s="90" t="n"/>
      <c r="U95" s="90" t="n"/>
      <c r="V95" s="90" t="n"/>
      <c r="W95" s="90" t="n"/>
      <c r="X95" s="90" t="n"/>
      <c r="Y95" s="90" t="n"/>
      <c r="Z95" s="90" t="n"/>
      <c r="AA95" s="90" t="n"/>
      <c r="AB95" s="90" t="n"/>
      <c r="AC95" s="90" t="n"/>
      <c r="AD95" s="90" t="n"/>
      <c r="AE95" s="90" t="n"/>
      <c r="AF95" s="90" t="n"/>
      <c r="AG95" s="90" t="n"/>
      <c r="AH95" s="90" t="n"/>
      <c r="AI95" s="90" t="n"/>
      <c r="AJ95" s="90" t="n"/>
      <c r="AK95" s="90" t="n"/>
      <c r="AL95" s="90" t="n"/>
      <c r="AM95" s="90" t="n"/>
      <c r="AN95" s="90" t="n"/>
      <c r="AO95" s="90" t="n"/>
      <c r="AP95" s="90" t="n"/>
      <c r="AQ95" s="90" t="n"/>
      <c r="AR95" s="90" t="n"/>
      <c r="AS95" s="90" t="n"/>
      <c r="AT95" s="90" t="n"/>
      <c r="AU95" s="90" t="n"/>
      <c r="AV95" s="90" t="n"/>
      <c r="AW95" s="90" t="n"/>
      <c r="AX95" s="90" t="n"/>
      <c r="AY95" s="90" t="n"/>
    </row>
    <row r="96" ht="20" customHeight="1">
      <c r="A96" s="89">
        <f>IF(Roster!$A$94&lt;&gt;"",Roster!$A$94,"")</f>
        <v/>
      </c>
      <c r="B96" s="90" t="n"/>
      <c r="C96" s="90" t="n"/>
      <c r="D96" s="90" t="n"/>
      <c r="E96" s="90" t="n"/>
      <c r="F96" s="90" t="n"/>
      <c r="G96" s="90" t="n"/>
      <c r="H96" s="90" t="n"/>
      <c r="I96" s="90" t="n"/>
      <c r="J96" s="90" t="n"/>
      <c r="K96" s="90" t="n"/>
      <c r="L96" s="90" t="n"/>
      <c r="M96" s="90" t="n"/>
      <c r="N96" s="90" t="n"/>
      <c r="O96" s="90" t="n"/>
      <c r="P96" s="90" t="n"/>
      <c r="Q96" s="90" t="n"/>
      <c r="R96" s="90" t="n"/>
      <c r="S96" s="90" t="n"/>
      <c r="T96" s="90" t="n"/>
      <c r="U96" s="90" t="n"/>
      <c r="V96" s="90" t="n"/>
      <c r="W96" s="90" t="n"/>
      <c r="X96" s="90" t="n"/>
      <c r="Y96" s="90" t="n"/>
      <c r="Z96" s="90" t="n"/>
      <c r="AA96" s="90" t="n"/>
      <c r="AB96" s="90" t="n"/>
      <c r="AC96" s="90" t="n"/>
      <c r="AD96" s="90" t="n"/>
      <c r="AE96" s="90" t="n"/>
      <c r="AF96" s="90" t="n"/>
      <c r="AG96" s="90" t="n"/>
      <c r="AH96" s="90" t="n"/>
      <c r="AI96" s="90" t="n"/>
      <c r="AJ96" s="90" t="n"/>
      <c r="AK96" s="90" t="n"/>
      <c r="AL96" s="90" t="n"/>
      <c r="AM96" s="90" t="n"/>
      <c r="AN96" s="90" t="n"/>
      <c r="AO96" s="90" t="n"/>
      <c r="AP96" s="90" t="n"/>
      <c r="AQ96" s="90" t="n"/>
      <c r="AR96" s="90" t="n"/>
      <c r="AS96" s="90" t="n"/>
      <c r="AT96" s="90" t="n"/>
      <c r="AU96" s="90" t="n"/>
      <c r="AV96" s="90" t="n"/>
      <c r="AW96" s="90" t="n"/>
      <c r="AX96" s="90" t="n"/>
      <c r="AY96" s="90" t="n"/>
    </row>
    <row r="97" ht="20" customHeight="1">
      <c r="A97" s="89">
        <f>IF(Roster!$A$95&lt;&gt;"",Roster!$A$95,"")</f>
        <v/>
      </c>
      <c r="B97" s="90" t="n"/>
      <c r="C97" s="90" t="n"/>
      <c r="D97" s="90" t="n"/>
      <c r="E97" s="90" t="n"/>
      <c r="F97" s="90" t="n"/>
      <c r="G97" s="90" t="n"/>
      <c r="H97" s="90" t="n"/>
      <c r="I97" s="90" t="n"/>
      <c r="J97" s="90" t="n"/>
      <c r="K97" s="90" t="n"/>
      <c r="L97" s="90" t="n"/>
      <c r="M97" s="90" t="n"/>
      <c r="N97" s="90" t="n"/>
      <c r="O97" s="90" t="n"/>
      <c r="P97" s="90" t="n"/>
      <c r="Q97" s="90" t="n"/>
      <c r="R97" s="90" t="n"/>
      <c r="S97" s="90" t="n"/>
      <c r="T97" s="90" t="n"/>
      <c r="U97" s="90" t="n"/>
      <c r="V97" s="90" t="n"/>
      <c r="W97" s="90" t="n"/>
      <c r="X97" s="90" t="n"/>
      <c r="Y97" s="90" t="n"/>
      <c r="Z97" s="90" t="n"/>
      <c r="AA97" s="90" t="n"/>
      <c r="AB97" s="90" t="n"/>
      <c r="AC97" s="90" t="n"/>
      <c r="AD97" s="90" t="n"/>
      <c r="AE97" s="90" t="n"/>
      <c r="AF97" s="90" t="n"/>
      <c r="AG97" s="90" t="n"/>
      <c r="AH97" s="90" t="n"/>
      <c r="AI97" s="90" t="n"/>
      <c r="AJ97" s="90" t="n"/>
      <c r="AK97" s="90" t="n"/>
      <c r="AL97" s="90" t="n"/>
      <c r="AM97" s="90" t="n"/>
      <c r="AN97" s="90" t="n"/>
      <c r="AO97" s="90" t="n"/>
      <c r="AP97" s="90" t="n"/>
      <c r="AQ97" s="90" t="n"/>
      <c r="AR97" s="90" t="n"/>
      <c r="AS97" s="90" t="n"/>
      <c r="AT97" s="90" t="n"/>
      <c r="AU97" s="90" t="n"/>
      <c r="AV97" s="90" t="n"/>
      <c r="AW97" s="90" t="n"/>
      <c r="AX97" s="90" t="n"/>
      <c r="AY97" s="90" t="n"/>
    </row>
    <row r="98" ht="20" customHeight="1">
      <c r="A98" s="89">
        <f>IF(Roster!$A$96&lt;&gt;"",Roster!$A$96,"")</f>
        <v/>
      </c>
      <c r="B98" s="90" t="n"/>
      <c r="C98" s="90" t="n"/>
      <c r="D98" s="90" t="n"/>
      <c r="E98" s="90" t="n"/>
      <c r="F98" s="90" t="n"/>
      <c r="G98" s="90" t="n"/>
      <c r="H98" s="90" t="n"/>
      <c r="I98" s="90" t="n"/>
      <c r="J98" s="90" t="n"/>
      <c r="K98" s="90" t="n"/>
      <c r="L98" s="90" t="n"/>
      <c r="M98" s="90" t="n"/>
      <c r="N98" s="90" t="n"/>
      <c r="O98" s="90" t="n"/>
      <c r="P98" s="90" t="n"/>
      <c r="Q98" s="90" t="n"/>
      <c r="R98" s="90" t="n"/>
      <c r="S98" s="90" t="n"/>
      <c r="T98" s="90" t="n"/>
      <c r="U98" s="90" t="n"/>
      <c r="V98" s="90" t="n"/>
      <c r="W98" s="90" t="n"/>
      <c r="X98" s="90" t="n"/>
      <c r="Y98" s="90" t="n"/>
      <c r="Z98" s="90" t="n"/>
      <c r="AA98" s="90" t="n"/>
      <c r="AB98" s="90" t="n"/>
      <c r="AC98" s="90" t="n"/>
      <c r="AD98" s="90" t="n"/>
      <c r="AE98" s="90" t="n"/>
      <c r="AF98" s="90" t="n"/>
      <c r="AG98" s="90" t="n"/>
      <c r="AH98" s="90" t="n"/>
      <c r="AI98" s="90" t="n"/>
      <c r="AJ98" s="90" t="n"/>
      <c r="AK98" s="90" t="n"/>
      <c r="AL98" s="90" t="n"/>
      <c r="AM98" s="90" t="n"/>
      <c r="AN98" s="90" t="n"/>
      <c r="AO98" s="90" t="n"/>
      <c r="AP98" s="90" t="n"/>
      <c r="AQ98" s="90" t="n"/>
      <c r="AR98" s="90" t="n"/>
      <c r="AS98" s="90" t="n"/>
      <c r="AT98" s="90" t="n"/>
      <c r="AU98" s="90" t="n"/>
      <c r="AV98" s="90" t="n"/>
      <c r="AW98" s="90" t="n"/>
      <c r="AX98" s="90" t="n"/>
      <c r="AY98" s="90" t="n"/>
    </row>
    <row r="99" ht="20" customHeight="1">
      <c r="A99" s="89">
        <f>IF(Roster!$A$97&lt;&gt;"",Roster!$A$97,"")</f>
        <v/>
      </c>
      <c r="B99" s="90" t="n"/>
      <c r="C99" s="90" t="n"/>
      <c r="D99" s="90" t="n"/>
      <c r="E99" s="90" t="n"/>
      <c r="F99" s="90" t="n"/>
      <c r="G99" s="90" t="n"/>
      <c r="H99" s="90" t="n"/>
      <c r="I99" s="90" t="n"/>
      <c r="J99" s="90" t="n"/>
      <c r="K99" s="90" t="n"/>
      <c r="L99" s="90" t="n"/>
      <c r="M99" s="90" t="n"/>
      <c r="N99" s="90" t="n"/>
      <c r="O99" s="90" t="n"/>
      <c r="P99" s="90" t="n"/>
      <c r="Q99" s="90" t="n"/>
      <c r="R99" s="90" t="n"/>
      <c r="S99" s="90" t="n"/>
      <c r="T99" s="90" t="n"/>
      <c r="U99" s="90" t="n"/>
      <c r="V99" s="90" t="n"/>
      <c r="W99" s="90" t="n"/>
      <c r="X99" s="90" t="n"/>
      <c r="Y99" s="90" t="n"/>
      <c r="Z99" s="90" t="n"/>
      <c r="AA99" s="90" t="n"/>
      <c r="AB99" s="90" t="n"/>
      <c r="AC99" s="90" t="n"/>
      <c r="AD99" s="90" t="n"/>
      <c r="AE99" s="90" t="n"/>
      <c r="AF99" s="90" t="n"/>
      <c r="AG99" s="90" t="n"/>
      <c r="AH99" s="90" t="n"/>
      <c r="AI99" s="90" t="n"/>
      <c r="AJ99" s="90" t="n"/>
      <c r="AK99" s="90" t="n"/>
      <c r="AL99" s="90" t="n"/>
      <c r="AM99" s="90" t="n"/>
      <c r="AN99" s="90" t="n"/>
      <c r="AO99" s="90" t="n"/>
      <c r="AP99" s="90" t="n"/>
      <c r="AQ99" s="90" t="n"/>
      <c r="AR99" s="90" t="n"/>
      <c r="AS99" s="90" t="n"/>
      <c r="AT99" s="90" t="n"/>
      <c r="AU99" s="90" t="n"/>
      <c r="AV99" s="90" t="n"/>
      <c r="AW99" s="90" t="n"/>
      <c r="AX99" s="90" t="n"/>
      <c r="AY99" s="90" t="n"/>
    </row>
    <row r="100" ht="20" customHeight="1">
      <c r="A100" s="89">
        <f>IF(Roster!$A$98&lt;&gt;"",Roster!$A$98,"")</f>
        <v/>
      </c>
      <c r="B100" s="90" t="n"/>
      <c r="C100" s="90" t="n"/>
      <c r="D100" s="90" t="n"/>
      <c r="E100" s="90" t="n"/>
      <c r="F100" s="90" t="n"/>
      <c r="G100" s="90" t="n"/>
      <c r="H100" s="90" t="n"/>
      <c r="I100" s="90" t="n"/>
      <c r="J100" s="90" t="n"/>
      <c r="K100" s="90" t="n"/>
      <c r="L100" s="90" t="n"/>
      <c r="M100" s="90" t="n"/>
      <c r="N100" s="90" t="n"/>
      <c r="O100" s="90" t="n"/>
      <c r="P100" s="90" t="n"/>
      <c r="Q100" s="90" t="n"/>
      <c r="R100" s="90" t="n"/>
      <c r="S100" s="90" t="n"/>
      <c r="T100" s="90" t="n"/>
      <c r="U100" s="90" t="n"/>
      <c r="V100" s="90" t="n"/>
      <c r="W100" s="90" t="n"/>
      <c r="X100" s="90" t="n"/>
      <c r="Y100" s="90" t="n"/>
      <c r="Z100" s="90" t="n"/>
      <c r="AA100" s="90" t="n"/>
      <c r="AB100" s="90" t="n"/>
      <c r="AC100" s="90" t="n"/>
      <c r="AD100" s="90" t="n"/>
      <c r="AE100" s="90" t="n"/>
      <c r="AF100" s="90" t="n"/>
      <c r="AG100" s="90" t="n"/>
      <c r="AH100" s="90" t="n"/>
      <c r="AI100" s="90" t="n"/>
      <c r="AJ100" s="90" t="n"/>
      <c r="AK100" s="90" t="n"/>
      <c r="AL100" s="90" t="n"/>
      <c r="AM100" s="90" t="n"/>
      <c r="AN100" s="90" t="n"/>
      <c r="AO100" s="90" t="n"/>
      <c r="AP100" s="90" t="n"/>
      <c r="AQ100" s="90" t="n"/>
      <c r="AR100" s="90" t="n"/>
      <c r="AS100" s="90" t="n"/>
      <c r="AT100" s="90" t="n"/>
      <c r="AU100" s="90" t="n"/>
      <c r="AV100" s="90" t="n"/>
      <c r="AW100" s="90" t="n"/>
      <c r="AX100" s="90" t="n"/>
      <c r="AY100" s="90" t="n"/>
    </row>
    <row r="101" ht="20" customHeight="1">
      <c r="A101" s="89">
        <f>IF(Roster!$A$99&lt;&gt;"",Roster!$A$99,"")</f>
        <v/>
      </c>
      <c r="B101" s="90" t="n"/>
      <c r="C101" s="90" t="n"/>
      <c r="D101" s="90" t="n"/>
      <c r="E101" s="90" t="n"/>
      <c r="F101" s="90" t="n"/>
      <c r="G101" s="90" t="n"/>
      <c r="H101" s="90" t="n"/>
      <c r="I101" s="90" t="n"/>
      <c r="J101" s="90" t="n"/>
      <c r="K101" s="90" t="n"/>
      <c r="L101" s="90" t="n"/>
      <c r="M101" s="90" t="n"/>
      <c r="N101" s="90" t="n"/>
      <c r="O101" s="90" t="n"/>
      <c r="P101" s="90" t="n"/>
      <c r="Q101" s="90" t="n"/>
      <c r="R101" s="90" t="n"/>
      <c r="S101" s="90" t="n"/>
      <c r="T101" s="90" t="n"/>
      <c r="U101" s="90" t="n"/>
      <c r="V101" s="90" t="n"/>
      <c r="W101" s="90" t="n"/>
      <c r="X101" s="90" t="n"/>
      <c r="Y101" s="90" t="n"/>
      <c r="Z101" s="90" t="n"/>
      <c r="AA101" s="90" t="n"/>
      <c r="AB101" s="90" t="n"/>
      <c r="AC101" s="90" t="n"/>
      <c r="AD101" s="90" t="n"/>
      <c r="AE101" s="90" t="n"/>
      <c r="AF101" s="90" t="n"/>
      <c r="AG101" s="90" t="n"/>
      <c r="AH101" s="90" t="n"/>
      <c r="AI101" s="90" t="n"/>
      <c r="AJ101" s="90" t="n"/>
      <c r="AK101" s="90" t="n"/>
      <c r="AL101" s="90" t="n"/>
      <c r="AM101" s="90" t="n"/>
      <c r="AN101" s="90" t="n"/>
      <c r="AO101" s="90" t="n"/>
      <c r="AP101" s="90" t="n"/>
      <c r="AQ101" s="90" t="n"/>
      <c r="AR101" s="90" t="n"/>
      <c r="AS101" s="90" t="n"/>
      <c r="AT101" s="90" t="n"/>
      <c r="AU101" s="90" t="n"/>
      <c r="AV101" s="90" t="n"/>
      <c r="AW101" s="90" t="n"/>
      <c r="AX101" s="90" t="n"/>
      <c r="AY101" s="90" t="n"/>
    </row>
    <row r="102" ht="20" customHeight="1">
      <c r="A102" s="89">
        <f>IF(Roster!$A$100&lt;&gt;"",Roster!$A$100,"")</f>
        <v/>
      </c>
      <c r="B102" s="90" t="n"/>
      <c r="C102" s="90" t="n"/>
      <c r="D102" s="90" t="n"/>
      <c r="E102" s="90" t="n"/>
      <c r="F102" s="90" t="n"/>
      <c r="G102" s="90" t="n"/>
      <c r="H102" s="90" t="n"/>
      <c r="I102" s="90" t="n"/>
      <c r="J102" s="90" t="n"/>
      <c r="K102" s="90" t="n"/>
      <c r="L102" s="90" t="n"/>
      <c r="M102" s="90" t="n"/>
      <c r="N102" s="90" t="n"/>
      <c r="O102" s="90" t="n"/>
      <c r="P102" s="90" t="n"/>
      <c r="Q102" s="90" t="n"/>
      <c r="R102" s="90" t="n"/>
      <c r="S102" s="90" t="n"/>
      <c r="T102" s="90" t="n"/>
      <c r="U102" s="90" t="n"/>
      <c r="V102" s="90" t="n"/>
      <c r="W102" s="90" t="n"/>
      <c r="X102" s="90" t="n"/>
      <c r="Y102" s="90" t="n"/>
      <c r="Z102" s="90" t="n"/>
      <c r="AA102" s="90" t="n"/>
      <c r="AB102" s="90" t="n"/>
      <c r="AC102" s="90" t="n"/>
      <c r="AD102" s="90" t="n"/>
      <c r="AE102" s="90" t="n"/>
      <c r="AF102" s="90" t="n"/>
      <c r="AG102" s="90" t="n"/>
      <c r="AH102" s="90" t="n"/>
      <c r="AI102" s="90" t="n"/>
      <c r="AJ102" s="90" t="n"/>
      <c r="AK102" s="90" t="n"/>
      <c r="AL102" s="90" t="n"/>
      <c r="AM102" s="90" t="n"/>
      <c r="AN102" s="90" t="n"/>
      <c r="AO102" s="90" t="n"/>
      <c r="AP102" s="90" t="n"/>
      <c r="AQ102" s="90" t="n"/>
      <c r="AR102" s="90" t="n"/>
      <c r="AS102" s="90" t="n"/>
      <c r="AT102" s="90" t="n"/>
      <c r="AU102" s="90" t="n"/>
      <c r="AV102" s="90" t="n"/>
      <c r="AW102" s="90" t="n"/>
      <c r="AX102" s="90" t="n"/>
      <c r="AY102" s="90" t="n"/>
    </row>
    <row r="103" ht="20" customHeight="1">
      <c r="A103" s="89">
        <f>IF(Roster!$A$101&lt;&gt;"",Roster!$A$101,"")</f>
        <v/>
      </c>
      <c r="B103" s="90" t="n"/>
      <c r="C103" s="90" t="n"/>
      <c r="D103" s="90" t="n"/>
      <c r="E103" s="90" t="n"/>
      <c r="F103" s="90" t="n"/>
      <c r="G103" s="90" t="n"/>
      <c r="H103" s="90" t="n"/>
      <c r="I103" s="90" t="n"/>
      <c r="J103" s="90" t="n"/>
      <c r="K103" s="90" t="n"/>
      <c r="L103" s="90" t="n"/>
      <c r="M103" s="90" t="n"/>
      <c r="N103" s="90" t="n"/>
      <c r="O103" s="90" t="n"/>
      <c r="P103" s="90" t="n"/>
      <c r="Q103" s="90" t="n"/>
      <c r="R103" s="90" t="n"/>
      <c r="S103" s="90" t="n"/>
      <c r="T103" s="90" t="n"/>
      <c r="U103" s="90" t="n"/>
      <c r="V103" s="90" t="n"/>
      <c r="W103" s="90" t="n"/>
      <c r="X103" s="90" t="n"/>
      <c r="Y103" s="90" t="n"/>
      <c r="Z103" s="90" t="n"/>
      <c r="AA103" s="90" t="n"/>
      <c r="AB103" s="90" t="n"/>
      <c r="AC103" s="90" t="n"/>
      <c r="AD103" s="90" t="n"/>
      <c r="AE103" s="90" t="n"/>
      <c r="AF103" s="90" t="n"/>
      <c r="AG103" s="90" t="n"/>
      <c r="AH103" s="90" t="n"/>
      <c r="AI103" s="90" t="n"/>
      <c r="AJ103" s="90" t="n"/>
      <c r="AK103" s="90" t="n"/>
      <c r="AL103" s="90" t="n"/>
      <c r="AM103" s="90" t="n"/>
      <c r="AN103" s="90" t="n"/>
      <c r="AO103" s="90" t="n"/>
      <c r="AP103" s="90" t="n"/>
      <c r="AQ103" s="90" t="n"/>
      <c r="AR103" s="90" t="n"/>
      <c r="AS103" s="90" t="n"/>
      <c r="AT103" s="90" t="n"/>
      <c r="AU103" s="90" t="n"/>
      <c r="AV103" s="90" t="n"/>
      <c r="AW103" s="90" t="n"/>
      <c r="AX103" s="90" t="n"/>
      <c r="AY103" s="90" t="n"/>
    </row>
    <row r="104" ht="20" customHeight="1">
      <c r="A104" s="89">
        <f>IF(Roster!$A$102&lt;&gt;"",Roster!$A$102,"")</f>
        <v/>
      </c>
      <c r="B104" s="90" t="n"/>
      <c r="C104" s="90" t="n"/>
      <c r="D104" s="90" t="n"/>
      <c r="E104" s="90" t="n"/>
      <c r="F104" s="90" t="n"/>
      <c r="G104" s="90" t="n"/>
      <c r="H104" s="90" t="n"/>
      <c r="I104" s="90" t="n"/>
      <c r="J104" s="90" t="n"/>
      <c r="K104" s="90" t="n"/>
      <c r="L104" s="90" t="n"/>
      <c r="M104" s="90" t="n"/>
      <c r="N104" s="90" t="n"/>
      <c r="O104" s="90" t="n"/>
      <c r="P104" s="90" t="n"/>
      <c r="Q104" s="90" t="n"/>
      <c r="R104" s="90" t="n"/>
      <c r="S104" s="90" t="n"/>
      <c r="T104" s="90" t="n"/>
      <c r="U104" s="90" t="n"/>
      <c r="V104" s="90" t="n"/>
      <c r="W104" s="90" t="n"/>
      <c r="X104" s="90" t="n"/>
      <c r="Y104" s="90" t="n"/>
      <c r="Z104" s="90" t="n"/>
      <c r="AA104" s="90" t="n"/>
      <c r="AB104" s="90" t="n"/>
      <c r="AC104" s="90" t="n"/>
      <c r="AD104" s="90" t="n"/>
      <c r="AE104" s="90" t="n"/>
      <c r="AF104" s="90" t="n"/>
      <c r="AG104" s="90" t="n"/>
      <c r="AH104" s="90" t="n"/>
      <c r="AI104" s="90" t="n"/>
      <c r="AJ104" s="90" t="n"/>
      <c r="AK104" s="90" t="n"/>
      <c r="AL104" s="90" t="n"/>
      <c r="AM104" s="90" t="n"/>
      <c r="AN104" s="90" t="n"/>
      <c r="AO104" s="90" t="n"/>
      <c r="AP104" s="90" t="n"/>
      <c r="AQ104" s="90" t="n"/>
      <c r="AR104" s="90" t="n"/>
      <c r="AS104" s="90" t="n"/>
      <c r="AT104" s="90" t="n"/>
      <c r="AU104" s="90" t="n"/>
      <c r="AV104" s="90" t="n"/>
      <c r="AW104" s="90" t="n"/>
      <c r="AX104" s="90" t="n"/>
      <c r="AY104" s="90" t="n"/>
    </row>
    <row r="105" ht="20" customHeight="1">
      <c r="A105" s="89">
        <f>IF(Roster!$A$103&lt;&gt;"",Roster!$A$103,"")</f>
        <v/>
      </c>
      <c r="B105" s="90" t="n"/>
      <c r="C105" s="90" t="n"/>
      <c r="D105" s="90" t="n"/>
      <c r="E105" s="90" t="n"/>
      <c r="F105" s="90" t="n"/>
      <c r="G105" s="90" t="n"/>
      <c r="H105" s="90" t="n"/>
      <c r="I105" s="90" t="n"/>
      <c r="J105" s="90" t="n"/>
      <c r="K105" s="90" t="n"/>
      <c r="L105" s="90" t="n"/>
      <c r="M105" s="90" t="n"/>
      <c r="N105" s="90" t="n"/>
      <c r="O105" s="90" t="n"/>
      <c r="P105" s="90" t="n"/>
      <c r="Q105" s="90" t="n"/>
      <c r="R105" s="90" t="n"/>
      <c r="S105" s="90" t="n"/>
      <c r="T105" s="90" t="n"/>
      <c r="U105" s="90" t="n"/>
      <c r="V105" s="90" t="n"/>
      <c r="W105" s="90" t="n"/>
      <c r="X105" s="90" t="n"/>
      <c r="Y105" s="90" t="n"/>
      <c r="Z105" s="90" t="n"/>
      <c r="AA105" s="90" t="n"/>
      <c r="AB105" s="90" t="n"/>
      <c r="AC105" s="90" t="n"/>
      <c r="AD105" s="90" t="n"/>
      <c r="AE105" s="90" t="n"/>
      <c r="AF105" s="90" t="n"/>
      <c r="AG105" s="90" t="n"/>
      <c r="AH105" s="90" t="n"/>
      <c r="AI105" s="90" t="n"/>
      <c r="AJ105" s="90" t="n"/>
      <c r="AK105" s="90" t="n"/>
      <c r="AL105" s="90" t="n"/>
      <c r="AM105" s="90" t="n"/>
      <c r="AN105" s="90" t="n"/>
      <c r="AO105" s="90" t="n"/>
      <c r="AP105" s="90" t="n"/>
      <c r="AQ105" s="90" t="n"/>
      <c r="AR105" s="90" t="n"/>
      <c r="AS105" s="90" t="n"/>
      <c r="AT105" s="90" t="n"/>
      <c r="AU105" s="90" t="n"/>
      <c r="AV105" s="90" t="n"/>
      <c r="AW105" s="90" t="n"/>
      <c r="AX105" s="90" t="n"/>
      <c r="AY105" s="90" t="n"/>
    </row>
    <row r="106" ht="20" customHeight="1">
      <c r="A106" s="89">
        <f>IF(Roster!$A$104&lt;&gt;"",Roster!$A$104,"")</f>
        <v/>
      </c>
      <c r="B106" s="90" t="n"/>
      <c r="C106" s="90" t="n"/>
      <c r="D106" s="90" t="n"/>
      <c r="E106" s="90" t="n"/>
      <c r="F106" s="90" t="n"/>
      <c r="G106" s="90" t="n"/>
      <c r="H106" s="90" t="n"/>
      <c r="I106" s="90" t="n"/>
      <c r="J106" s="90" t="n"/>
      <c r="K106" s="90" t="n"/>
      <c r="L106" s="90" t="n"/>
      <c r="M106" s="90" t="n"/>
      <c r="N106" s="90" t="n"/>
      <c r="O106" s="90" t="n"/>
      <c r="P106" s="90" t="n"/>
      <c r="Q106" s="90" t="n"/>
      <c r="R106" s="90" t="n"/>
      <c r="S106" s="90" t="n"/>
      <c r="T106" s="90" t="n"/>
      <c r="U106" s="90" t="n"/>
      <c r="V106" s="90" t="n"/>
      <c r="W106" s="90" t="n"/>
      <c r="X106" s="90" t="n"/>
      <c r="Y106" s="90" t="n"/>
      <c r="Z106" s="90" t="n"/>
      <c r="AA106" s="90" t="n"/>
      <c r="AB106" s="90" t="n"/>
      <c r="AC106" s="90" t="n"/>
      <c r="AD106" s="90" t="n"/>
      <c r="AE106" s="90" t="n"/>
      <c r="AF106" s="90" t="n"/>
      <c r="AG106" s="90" t="n"/>
      <c r="AH106" s="90" t="n"/>
      <c r="AI106" s="90" t="n"/>
      <c r="AJ106" s="90" t="n"/>
      <c r="AK106" s="90" t="n"/>
      <c r="AL106" s="90" t="n"/>
      <c r="AM106" s="90" t="n"/>
      <c r="AN106" s="90" t="n"/>
      <c r="AO106" s="90" t="n"/>
      <c r="AP106" s="90" t="n"/>
      <c r="AQ106" s="90" t="n"/>
      <c r="AR106" s="90" t="n"/>
      <c r="AS106" s="90" t="n"/>
      <c r="AT106" s="90" t="n"/>
      <c r="AU106" s="90" t="n"/>
      <c r="AV106" s="90" t="n"/>
      <c r="AW106" s="90" t="n"/>
      <c r="AX106" s="90" t="n"/>
      <c r="AY106" s="90" t="n"/>
    </row>
    <row r="107" ht="20" customHeight="1">
      <c r="A107" s="89">
        <f>IF(Roster!$A$105&lt;&gt;"",Roster!$A$105,"")</f>
        <v/>
      </c>
      <c r="B107" s="90" t="n"/>
      <c r="C107" s="90" t="n"/>
      <c r="D107" s="90" t="n"/>
      <c r="E107" s="90" t="n"/>
      <c r="F107" s="90" t="n"/>
      <c r="G107" s="90" t="n"/>
      <c r="H107" s="90" t="n"/>
      <c r="I107" s="90" t="n"/>
      <c r="J107" s="90" t="n"/>
      <c r="K107" s="90" t="n"/>
      <c r="L107" s="90" t="n"/>
      <c r="M107" s="90" t="n"/>
      <c r="N107" s="90" t="n"/>
      <c r="O107" s="90" t="n"/>
      <c r="P107" s="90" t="n"/>
      <c r="Q107" s="90" t="n"/>
      <c r="R107" s="90" t="n"/>
      <c r="S107" s="90" t="n"/>
      <c r="T107" s="90" t="n"/>
      <c r="U107" s="90" t="n"/>
      <c r="V107" s="90" t="n"/>
      <c r="W107" s="90" t="n"/>
      <c r="X107" s="90" t="n"/>
      <c r="Y107" s="90" t="n"/>
      <c r="Z107" s="90" t="n"/>
      <c r="AA107" s="90" t="n"/>
      <c r="AB107" s="90" t="n"/>
      <c r="AC107" s="90" t="n"/>
      <c r="AD107" s="90" t="n"/>
      <c r="AE107" s="90" t="n"/>
      <c r="AF107" s="90" t="n"/>
      <c r="AG107" s="90" t="n"/>
      <c r="AH107" s="90" t="n"/>
      <c r="AI107" s="90" t="n"/>
      <c r="AJ107" s="90" t="n"/>
      <c r="AK107" s="90" t="n"/>
      <c r="AL107" s="90" t="n"/>
      <c r="AM107" s="90" t="n"/>
      <c r="AN107" s="90" t="n"/>
      <c r="AO107" s="90" t="n"/>
      <c r="AP107" s="90" t="n"/>
      <c r="AQ107" s="90" t="n"/>
      <c r="AR107" s="90" t="n"/>
      <c r="AS107" s="90" t="n"/>
      <c r="AT107" s="90" t="n"/>
      <c r="AU107" s="90" t="n"/>
      <c r="AV107" s="90" t="n"/>
      <c r="AW107" s="90" t="n"/>
      <c r="AX107" s="90" t="n"/>
      <c r="AY107" s="90" t="n"/>
    </row>
    <row r="108" ht="20" customHeight="1">
      <c r="A108" s="89">
        <f>IF(Roster!$A$106&lt;&gt;"",Roster!$A$106,"")</f>
        <v/>
      </c>
      <c r="B108" s="90" t="n"/>
      <c r="C108" s="90" t="n"/>
      <c r="D108" s="90" t="n"/>
      <c r="E108" s="90" t="n"/>
      <c r="F108" s="90" t="n"/>
      <c r="G108" s="90" t="n"/>
      <c r="H108" s="90" t="n"/>
      <c r="I108" s="90" t="n"/>
      <c r="J108" s="90" t="n"/>
      <c r="K108" s="90" t="n"/>
      <c r="L108" s="90" t="n"/>
      <c r="M108" s="90" t="n"/>
      <c r="N108" s="90" t="n"/>
      <c r="O108" s="90" t="n"/>
      <c r="P108" s="90" t="n"/>
      <c r="Q108" s="90" t="n"/>
      <c r="R108" s="90" t="n"/>
      <c r="S108" s="90" t="n"/>
      <c r="T108" s="90" t="n"/>
      <c r="U108" s="90" t="n"/>
      <c r="V108" s="90" t="n"/>
      <c r="W108" s="90" t="n"/>
      <c r="X108" s="90" t="n"/>
      <c r="Y108" s="90" t="n"/>
      <c r="Z108" s="90" t="n"/>
      <c r="AA108" s="90" t="n"/>
      <c r="AB108" s="90" t="n"/>
      <c r="AC108" s="90" t="n"/>
      <c r="AD108" s="90" t="n"/>
      <c r="AE108" s="90" t="n"/>
      <c r="AF108" s="90" t="n"/>
      <c r="AG108" s="90" t="n"/>
      <c r="AH108" s="90" t="n"/>
      <c r="AI108" s="90" t="n"/>
      <c r="AJ108" s="90" t="n"/>
      <c r="AK108" s="90" t="n"/>
      <c r="AL108" s="90" t="n"/>
      <c r="AM108" s="90" t="n"/>
      <c r="AN108" s="90" t="n"/>
      <c r="AO108" s="90" t="n"/>
      <c r="AP108" s="90" t="n"/>
      <c r="AQ108" s="90" t="n"/>
      <c r="AR108" s="90" t="n"/>
      <c r="AS108" s="90" t="n"/>
      <c r="AT108" s="90" t="n"/>
      <c r="AU108" s="90" t="n"/>
      <c r="AV108" s="90" t="n"/>
      <c r="AW108" s="90" t="n"/>
      <c r="AX108" s="90" t="n"/>
      <c r="AY108" s="90" t="n"/>
    </row>
    <row r="109" ht="20" customHeight="1">
      <c r="A109" s="89">
        <f>IF(Roster!$A$107&lt;&gt;"",Roster!$A$107,"")</f>
        <v/>
      </c>
      <c r="B109" s="90" t="n"/>
      <c r="C109" s="90" t="n"/>
      <c r="D109" s="90" t="n"/>
      <c r="E109" s="90" t="n"/>
      <c r="F109" s="90" t="n"/>
      <c r="G109" s="90" t="n"/>
      <c r="H109" s="90" t="n"/>
      <c r="I109" s="90" t="n"/>
      <c r="J109" s="90" t="n"/>
      <c r="K109" s="90" t="n"/>
      <c r="L109" s="90" t="n"/>
      <c r="M109" s="90" t="n"/>
      <c r="N109" s="90" t="n"/>
      <c r="O109" s="90" t="n"/>
      <c r="P109" s="90" t="n"/>
      <c r="Q109" s="90" t="n"/>
      <c r="R109" s="90" t="n"/>
      <c r="S109" s="90" t="n"/>
      <c r="T109" s="90" t="n"/>
      <c r="U109" s="90" t="n"/>
      <c r="V109" s="90" t="n"/>
      <c r="W109" s="90" t="n"/>
      <c r="X109" s="90" t="n"/>
      <c r="Y109" s="90" t="n"/>
      <c r="Z109" s="90" t="n"/>
      <c r="AA109" s="90" t="n"/>
      <c r="AB109" s="90" t="n"/>
      <c r="AC109" s="90" t="n"/>
      <c r="AD109" s="90" t="n"/>
      <c r="AE109" s="90" t="n"/>
      <c r="AF109" s="90" t="n"/>
      <c r="AG109" s="90" t="n"/>
      <c r="AH109" s="90" t="n"/>
      <c r="AI109" s="90" t="n"/>
      <c r="AJ109" s="90" t="n"/>
      <c r="AK109" s="90" t="n"/>
      <c r="AL109" s="90" t="n"/>
      <c r="AM109" s="90" t="n"/>
      <c r="AN109" s="90" t="n"/>
      <c r="AO109" s="90" t="n"/>
      <c r="AP109" s="90" t="n"/>
      <c r="AQ109" s="90" t="n"/>
      <c r="AR109" s="90" t="n"/>
      <c r="AS109" s="90" t="n"/>
      <c r="AT109" s="90" t="n"/>
      <c r="AU109" s="90" t="n"/>
      <c r="AV109" s="90" t="n"/>
      <c r="AW109" s="90" t="n"/>
      <c r="AX109" s="90" t="n"/>
      <c r="AY109" s="90" t="n"/>
    </row>
    <row r="110" ht="20" customHeight="1">
      <c r="A110" s="89">
        <f>IF(Roster!$A$108&lt;&gt;"",Roster!$A$108,"")</f>
        <v/>
      </c>
      <c r="B110" s="90" t="n"/>
      <c r="C110" s="90" t="n"/>
      <c r="D110" s="90" t="n"/>
      <c r="E110" s="90" t="n"/>
      <c r="F110" s="90" t="n"/>
      <c r="G110" s="90" t="n"/>
      <c r="H110" s="90" t="n"/>
      <c r="I110" s="90" t="n"/>
      <c r="J110" s="90" t="n"/>
      <c r="K110" s="90" t="n"/>
      <c r="L110" s="90" t="n"/>
      <c r="M110" s="90" t="n"/>
      <c r="N110" s="90" t="n"/>
      <c r="O110" s="90" t="n"/>
      <c r="P110" s="90" t="n"/>
      <c r="Q110" s="90" t="n"/>
      <c r="R110" s="90" t="n"/>
      <c r="S110" s="90" t="n"/>
      <c r="T110" s="90" t="n"/>
      <c r="U110" s="90" t="n"/>
      <c r="V110" s="90" t="n"/>
      <c r="W110" s="90" t="n"/>
      <c r="X110" s="90" t="n"/>
      <c r="Y110" s="90" t="n"/>
      <c r="Z110" s="90" t="n"/>
      <c r="AA110" s="90" t="n"/>
      <c r="AB110" s="90" t="n"/>
      <c r="AC110" s="90" t="n"/>
      <c r="AD110" s="90" t="n"/>
      <c r="AE110" s="90" t="n"/>
      <c r="AF110" s="90" t="n"/>
      <c r="AG110" s="90" t="n"/>
      <c r="AH110" s="90" t="n"/>
      <c r="AI110" s="90" t="n"/>
      <c r="AJ110" s="90" t="n"/>
      <c r="AK110" s="90" t="n"/>
      <c r="AL110" s="90" t="n"/>
      <c r="AM110" s="90" t="n"/>
      <c r="AN110" s="90" t="n"/>
      <c r="AO110" s="90" t="n"/>
      <c r="AP110" s="90" t="n"/>
      <c r="AQ110" s="90" t="n"/>
      <c r="AR110" s="90" t="n"/>
      <c r="AS110" s="90" t="n"/>
      <c r="AT110" s="90" t="n"/>
      <c r="AU110" s="90" t="n"/>
      <c r="AV110" s="90" t="n"/>
      <c r="AW110" s="90" t="n"/>
      <c r="AX110" s="90" t="n"/>
      <c r="AY110" s="90" t="n"/>
    </row>
    <row r="111" ht="20" customHeight="1">
      <c r="A111" s="89">
        <f>IF(Roster!$A$109&lt;&gt;"",Roster!$A$109,"")</f>
        <v/>
      </c>
      <c r="B111" s="90" t="n"/>
      <c r="C111" s="90" t="n"/>
      <c r="D111" s="90" t="n"/>
      <c r="E111" s="90" t="n"/>
      <c r="F111" s="90" t="n"/>
      <c r="G111" s="90" t="n"/>
      <c r="H111" s="90" t="n"/>
      <c r="I111" s="90" t="n"/>
      <c r="J111" s="90" t="n"/>
      <c r="K111" s="90" t="n"/>
      <c r="L111" s="90" t="n"/>
      <c r="M111" s="90" t="n"/>
      <c r="N111" s="90" t="n"/>
      <c r="O111" s="90" t="n"/>
      <c r="P111" s="90" t="n"/>
      <c r="Q111" s="90" t="n"/>
      <c r="R111" s="90" t="n"/>
      <c r="S111" s="90" t="n"/>
      <c r="T111" s="90" t="n"/>
      <c r="U111" s="90" t="n"/>
      <c r="V111" s="90" t="n"/>
      <c r="W111" s="90" t="n"/>
      <c r="X111" s="90" t="n"/>
      <c r="Y111" s="90" t="n"/>
      <c r="Z111" s="90" t="n"/>
      <c r="AA111" s="90" t="n"/>
      <c r="AB111" s="90" t="n"/>
      <c r="AC111" s="90" t="n"/>
      <c r="AD111" s="90" t="n"/>
      <c r="AE111" s="90" t="n"/>
      <c r="AF111" s="90" t="n"/>
      <c r="AG111" s="90" t="n"/>
      <c r="AH111" s="90" t="n"/>
      <c r="AI111" s="90" t="n"/>
      <c r="AJ111" s="90" t="n"/>
      <c r="AK111" s="90" t="n"/>
      <c r="AL111" s="90" t="n"/>
      <c r="AM111" s="90" t="n"/>
      <c r="AN111" s="90" t="n"/>
      <c r="AO111" s="90" t="n"/>
      <c r="AP111" s="90" t="n"/>
      <c r="AQ111" s="90" t="n"/>
      <c r="AR111" s="90" t="n"/>
      <c r="AS111" s="90" t="n"/>
      <c r="AT111" s="90" t="n"/>
      <c r="AU111" s="90" t="n"/>
      <c r="AV111" s="90" t="n"/>
      <c r="AW111" s="90" t="n"/>
      <c r="AX111" s="90" t="n"/>
      <c r="AY111" s="90" t="n"/>
    </row>
    <row r="112" ht="20" customHeight="1">
      <c r="A112" s="89">
        <f>IF(Roster!$A$110&lt;&gt;"",Roster!$A$110,"")</f>
        <v/>
      </c>
      <c r="B112" s="90" t="n"/>
      <c r="C112" s="90" t="n"/>
      <c r="D112" s="90" t="n"/>
      <c r="E112" s="90" t="n"/>
      <c r="F112" s="90" t="n"/>
      <c r="G112" s="90" t="n"/>
      <c r="H112" s="90" t="n"/>
      <c r="I112" s="90" t="n"/>
      <c r="J112" s="90" t="n"/>
      <c r="K112" s="90" t="n"/>
      <c r="L112" s="90" t="n"/>
      <c r="M112" s="90" t="n"/>
      <c r="N112" s="90" t="n"/>
      <c r="O112" s="90" t="n"/>
      <c r="P112" s="90" t="n"/>
      <c r="Q112" s="90" t="n"/>
      <c r="R112" s="90" t="n"/>
      <c r="S112" s="90" t="n"/>
      <c r="T112" s="90" t="n"/>
      <c r="U112" s="90" t="n"/>
      <c r="V112" s="90" t="n"/>
      <c r="W112" s="90" t="n"/>
      <c r="X112" s="90" t="n"/>
      <c r="Y112" s="90" t="n"/>
      <c r="Z112" s="90" t="n"/>
      <c r="AA112" s="90" t="n"/>
      <c r="AB112" s="90" t="n"/>
      <c r="AC112" s="90" t="n"/>
      <c r="AD112" s="90" t="n"/>
      <c r="AE112" s="90" t="n"/>
      <c r="AF112" s="90" t="n"/>
      <c r="AG112" s="90" t="n"/>
      <c r="AH112" s="90" t="n"/>
      <c r="AI112" s="90" t="n"/>
      <c r="AJ112" s="90" t="n"/>
      <c r="AK112" s="90" t="n"/>
      <c r="AL112" s="90" t="n"/>
      <c r="AM112" s="90" t="n"/>
      <c r="AN112" s="90" t="n"/>
      <c r="AO112" s="90" t="n"/>
      <c r="AP112" s="90" t="n"/>
      <c r="AQ112" s="90" t="n"/>
      <c r="AR112" s="90" t="n"/>
      <c r="AS112" s="90" t="n"/>
      <c r="AT112" s="90" t="n"/>
      <c r="AU112" s="90" t="n"/>
      <c r="AV112" s="90" t="n"/>
      <c r="AW112" s="90" t="n"/>
      <c r="AX112" s="90" t="n"/>
      <c r="AY112" s="90" t="n"/>
    </row>
    <row r="113" ht="20" customHeight="1">
      <c r="A113" s="89">
        <f>IF(Roster!$A$111&lt;&gt;"",Roster!$A$111,"")</f>
        <v/>
      </c>
      <c r="B113" s="90" t="n"/>
      <c r="C113" s="90" t="n"/>
      <c r="D113" s="90" t="n"/>
      <c r="E113" s="90" t="n"/>
      <c r="F113" s="90" t="n"/>
      <c r="G113" s="90" t="n"/>
      <c r="H113" s="90" t="n"/>
      <c r="I113" s="90" t="n"/>
      <c r="J113" s="90" t="n"/>
      <c r="K113" s="90" t="n"/>
      <c r="L113" s="90" t="n"/>
      <c r="M113" s="90" t="n"/>
      <c r="N113" s="90" t="n"/>
      <c r="O113" s="90" t="n"/>
      <c r="P113" s="90" t="n"/>
      <c r="Q113" s="90" t="n"/>
      <c r="R113" s="90" t="n"/>
      <c r="S113" s="90" t="n"/>
      <c r="T113" s="90" t="n"/>
      <c r="U113" s="90" t="n"/>
      <c r="V113" s="90" t="n"/>
      <c r="W113" s="90" t="n"/>
      <c r="X113" s="90" t="n"/>
      <c r="Y113" s="90" t="n"/>
      <c r="Z113" s="90" t="n"/>
      <c r="AA113" s="90" t="n"/>
      <c r="AB113" s="90" t="n"/>
      <c r="AC113" s="90" t="n"/>
      <c r="AD113" s="90" t="n"/>
      <c r="AE113" s="90" t="n"/>
      <c r="AF113" s="90" t="n"/>
      <c r="AG113" s="90" t="n"/>
      <c r="AH113" s="90" t="n"/>
      <c r="AI113" s="90" t="n"/>
      <c r="AJ113" s="90" t="n"/>
      <c r="AK113" s="90" t="n"/>
      <c r="AL113" s="90" t="n"/>
      <c r="AM113" s="90" t="n"/>
      <c r="AN113" s="90" t="n"/>
      <c r="AO113" s="90" t="n"/>
      <c r="AP113" s="90" t="n"/>
      <c r="AQ113" s="90" t="n"/>
      <c r="AR113" s="90" t="n"/>
      <c r="AS113" s="90" t="n"/>
      <c r="AT113" s="90" t="n"/>
      <c r="AU113" s="90" t="n"/>
      <c r="AV113" s="90" t="n"/>
      <c r="AW113" s="90" t="n"/>
      <c r="AX113" s="90" t="n"/>
      <c r="AY113" s="90" t="n"/>
    </row>
    <row r="114" ht="20" customHeight="1">
      <c r="A114" s="89">
        <f>IF(Roster!$A$112&lt;&gt;"",Roster!$A$112,"")</f>
        <v/>
      </c>
      <c r="B114" s="90" t="n"/>
      <c r="C114" s="90" t="n"/>
      <c r="D114" s="90" t="n"/>
      <c r="E114" s="90" t="n"/>
      <c r="F114" s="90" t="n"/>
      <c r="G114" s="90" t="n"/>
      <c r="H114" s="90" t="n"/>
      <c r="I114" s="90" t="n"/>
      <c r="J114" s="90" t="n"/>
      <c r="K114" s="90" t="n"/>
      <c r="L114" s="90" t="n"/>
      <c r="M114" s="90" t="n"/>
      <c r="N114" s="90" t="n"/>
      <c r="O114" s="90" t="n"/>
      <c r="P114" s="90" t="n"/>
      <c r="Q114" s="90" t="n"/>
      <c r="R114" s="90" t="n"/>
      <c r="S114" s="90" t="n"/>
      <c r="T114" s="90" t="n"/>
      <c r="U114" s="90" t="n"/>
      <c r="V114" s="90" t="n"/>
      <c r="W114" s="90" t="n"/>
      <c r="X114" s="90" t="n"/>
      <c r="Y114" s="90" t="n"/>
      <c r="Z114" s="90" t="n"/>
      <c r="AA114" s="90" t="n"/>
      <c r="AB114" s="90" t="n"/>
      <c r="AC114" s="90" t="n"/>
      <c r="AD114" s="90" t="n"/>
      <c r="AE114" s="90" t="n"/>
      <c r="AF114" s="90" t="n"/>
      <c r="AG114" s="90" t="n"/>
      <c r="AH114" s="90" t="n"/>
      <c r="AI114" s="90" t="n"/>
      <c r="AJ114" s="90" t="n"/>
      <c r="AK114" s="90" t="n"/>
      <c r="AL114" s="90" t="n"/>
      <c r="AM114" s="90" t="n"/>
      <c r="AN114" s="90" t="n"/>
      <c r="AO114" s="90" t="n"/>
      <c r="AP114" s="90" t="n"/>
      <c r="AQ114" s="90" t="n"/>
      <c r="AR114" s="90" t="n"/>
      <c r="AS114" s="90" t="n"/>
      <c r="AT114" s="90" t="n"/>
      <c r="AU114" s="90" t="n"/>
      <c r="AV114" s="90" t="n"/>
      <c r="AW114" s="90" t="n"/>
      <c r="AX114" s="90" t="n"/>
      <c r="AY114" s="90" t="n"/>
    </row>
    <row r="115" ht="20" customHeight="1">
      <c r="A115" s="89">
        <f>IF(Roster!$A$113&lt;&gt;"",Roster!$A$113,"")</f>
        <v/>
      </c>
      <c r="B115" s="90" t="n"/>
      <c r="C115" s="90" t="n"/>
      <c r="D115" s="90" t="n"/>
      <c r="E115" s="90" t="n"/>
      <c r="F115" s="90" t="n"/>
      <c r="G115" s="90" t="n"/>
      <c r="H115" s="90" t="n"/>
      <c r="I115" s="90" t="n"/>
      <c r="J115" s="90" t="n"/>
      <c r="K115" s="90" t="n"/>
      <c r="L115" s="90" t="n"/>
      <c r="M115" s="90" t="n"/>
      <c r="N115" s="90" t="n"/>
      <c r="O115" s="90" t="n"/>
      <c r="P115" s="90" t="n"/>
      <c r="Q115" s="90" t="n"/>
      <c r="R115" s="90" t="n"/>
      <c r="S115" s="90" t="n"/>
      <c r="T115" s="90" t="n"/>
      <c r="U115" s="90" t="n"/>
      <c r="V115" s="90" t="n"/>
      <c r="W115" s="90" t="n"/>
      <c r="X115" s="90" t="n"/>
      <c r="Y115" s="90" t="n"/>
      <c r="Z115" s="90" t="n"/>
      <c r="AA115" s="90" t="n"/>
      <c r="AB115" s="90" t="n"/>
      <c r="AC115" s="90" t="n"/>
      <c r="AD115" s="90" t="n"/>
      <c r="AE115" s="90" t="n"/>
      <c r="AF115" s="90" t="n"/>
      <c r="AG115" s="90" t="n"/>
      <c r="AH115" s="90" t="n"/>
      <c r="AI115" s="90" t="n"/>
      <c r="AJ115" s="90" t="n"/>
      <c r="AK115" s="90" t="n"/>
      <c r="AL115" s="90" t="n"/>
      <c r="AM115" s="90" t="n"/>
      <c r="AN115" s="90" t="n"/>
      <c r="AO115" s="90" t="n"/>
      <c r="AP115" s="90" t="n"/>
      <c r="AQ115" s="90" t="n"/>
      <c r="AR115" s="90" t="n"/>
      <c r="AS115" s="90" t="n"/>
      <c r="AT115" s="90" t="n"/>
      <c r="AU115" s="90" t="n"/>
      <c r="AV115" s="90" t="n"/>
      <c r="AW115" s="90" t="n"/>
      <c r="AX115" s="90" t="n"/>
      <c r="AY115" s="90" t="n"/>
    </row>
    <row r="116" ht="20" customHeight="1">
      <c r="A116" s="89">
        <f>IF(Roster!$A$114&lt;&gt;"",Roster!$A$114,"")</f>
        <v/>
      </c>
      <c r="B116" s="90" t="n"/>
      <c r="C116" s="90" t="n"/>
      <c r="D116" s="90" t="n"/>
      <c r="E116" s="90" t="n"/>
      <c r="F116" s="90" t="n"/>
      <c r="G116" s="90" t="n"/>
      <c r="H116" s="90" t="n"/>
      <c r="I116" s="90" t="n"/>
      <c r="J116" s="90" t="n"/>
      <c r="K116" s="90" t="n"/>
      <c r="L116" s="90" t="n"/>
      <c r="M116" s="90" t="n"/>
      <c r="N116" s="90" t="n"/>
      <c r="O116" s="90" t="n"/>
      <c r="P116" s="90" t="n"/>
      <c r="Q116" s="90" t="n"/>
      <c r="R116" s="90" t="n"/>
      <c r="S116" s="90" t="n"/>
      <c r="T116" s="90" t="n"/>
      <c r="U116" s="90" t="n"/>
      <c r="V116" s="90" t="n"/>
      <c r="W116" s="90" t="n"/>
      <c r="X116" s="90" t="n"/>
      <c r="Y116" s="90" t="n"/>
      <c r="Z116" s="90" t="n"/>
      <c r="AA116" s="90" t="n"/>
      <c r="AB116" s="90" t="n"/>
      <c r="AC116" s="90" t="n"/>
      <c r="AD116" s="90" t="n"/>
      <c r="AE116" s="90" t="n"/>
      <c r="AF116" s="90" t="n"/>
      <c r="AG116" s="90" t="n"/>
      <c r="AH116" s="90" t="n"/>
      <c r="AI116" s="90" t="n"/>
      <c r="AJ116" s="90" t="n"/>
      <c r="AK116" s="90" t="n"/>
      <c r="AL116" s="90" t="n"/>
      <c r="AM116" s="90" t="n"/>
      <c r="AN116" s="90" t="n"/>
      <c r="AO116" s="90" t="n"/>
      <c r="AP116" s="90" t="n"/>
      <c r="AQ116" s="90" t="n"/>
      <c r="AR116" s="90" t="n"/>
      <c r="AS116" s="90" t="n"/>
      <c r="AT116" s="90" t="n"/>
      <c r="AU116" s="90" t="n"/>
      <c r="AV116" s="90" t="n"/>
      <c r="AW116" s="90" t="n"/>
      <c r="AX116" s="90" t="n"/>
      <c r="AY116" s="90" t="n"/>
    </row>
    <row r="117" ht="20" customHeight="1">
      <c r="A117" s="89">
        <f>IF(Roster!$A$115&lt;&gt;"",Roster!$A$115,"")</f>
        <v/>
      </c>
      <c r="B117" s="90" t="n"/>
      <c r="C117" s="90" t="n"/>
      <c r="D117" s="90" t="n"/>
      <c r="E117" s="90" t="n"/>
      <c r="F117" s="90" t="n"/>
      <c r="G117" s="90" t="n"/>
      <c r="H117" s="90" t="n"/>
      <c r="I117" s="90" t="n"/>
      <c r="J117" s="90" t="n"/>
      <c r="K117" s="90" t="n"/>
      <c r="L117" s="90" t="n"/>
      <c r="M117" s="90" t="n"/>
      <c r="N117" s="90" t="n"/>
      <c r="O117" s="90" t="n"/>
      <c r="P117" s="90" t="n"/>
      <c r="Q117" s="90" t="n"/>
      <c r="R117" s="90" t="n"/>
      <c r="S117" s="90" t="n"/>
      <c r="T117" s="90" t="n"/>
      <c r="U117" s="90" t="n"/>
      <c r="V117" s="90" t="n"/>
      <c r="W117" s="90" t="n"/>
      <c r="X117" s="90" t="n"/>
      <c r="Y117" s="90" t="n"/>
      <c r="Z117" s="90" t="n"/>
      <c r="AA117" s="90" t="n"/>
      <c r="AB117" s="90" t="n"/>
      <c r="AC117" s="90" t="n"/>
      <c r="AD117" s="90" t="n"/>
      <c r="AE117" s="90" t="n"/>
      <c r="AF117" s="90" t="n"/>
      <c r="AG117" s="90" t="n"/>
      <c r="AH117" s="90" t="n"/>
      <c r="AI117" s="90" t="n"/>
      <c r="AJ117" s="90" t="n"/>
      <c r="AK117" s="90" t="n"/>
      <c r="AL117" s="90" t="n"/>
      <c r="AM117" s="90" t="n"/>
      <c r="AN117" s="90" t="n"/>
      <c r="AO117" s="90" t="n"/>
      <c r="AP117" s="90" t="n"/>
      <c r="AQ117" s="90" t="n"/>
      <c r="AR117" s="90" t="n"/>
      <c r="AS117" s="90" t="n"/>
      <c r="AT117" s="90" t="n"/>
      <c r="AU117" s="90" t="n"/>
      <c r="AV117" s="90" t="n"/>
      <c r="AW117" s="90" t="n"/>
      <c r="AX117" s="90" t="n"/>
      <c r="AY117" s="90" t="n"/>
    </row>
    <row r="118" ht="20" customHeight="1">
      <c r="A118" s="89">
        <f>IF(Roster!$A$116&lt;&gt;"",Roster!$A$116,"")</f>
        <v/>
      </c>
      <c r="B118" s="90" t="n"/>
      <c r="C118" s="90" t="n"/>
      <c r="D118" s="90" t="n"/>
      <c r="E118" s="90" t="n"/>
      <c r="F118" s="90" t="n"/>
      <c r="G118" s="90" t="n"/>
      <c r="H118" s="90" t="n"/>
      <c r="I118" s="90" t="n"/>
      <c r="J118" s="90" t="n"/>
      <c r="K118" s="90" t="n"/>
      <c r="L118" s="90" t="n"/>
      <c r="M118" s="90" t="n"/>
      <c r="N118" s="90" t="n"/>
      <c r="O118" s="90" t="n"/>
      <c r="P118" s="90" t="n"/>
      <c r="Q118" s="90" t="n"/>
      <c r="R118" s="90" t="n"/>
      <c r="S118" s="90" t="n"/>
      <c r="T118" s="90" t="n"/>
      <c r="U118" s="90" t="n"/>
      <c r="V118" s="90" t="n"/>
      <c r="W118" s="90" t="n"/>
      <c r="X118" s="90" t="n"/>
      <c r="Y118" s="90" t="n"/>
      <c r="Z118" s="90" t="n"/>
      <c r="AA118" s="90" t="n"/>
      <c r="AB118" s="90" t="n"/>
      <c r="AC118" s="90" t="n"/>
      <c r="AD118" s="90" t="n"/>
      <c r="AE118" s="90" t="n"/>
      <c r="AF118" s="90" t="n"/>
      <c r="AG118" s="90" t="n"/>
      <c r="AH118" s="90" t="n"/>
      <c r="AI118" s="90" t="n"/>
      <c r="AJ118" s="90" t="n"/>
      <c r="AK118" s="90" t="n"/>
      <c r="AL118" s="90" t="n"/>
      <c r="AM118" s="90" t="n"/>
      <c r="AN118" s="90" t="n"/>
      <c r="AO118" s="90" t="n"/>
      <c r="AP118" s="90" t="n"/>
      <c r="AQ118" s="90" t="n"/>
      <c r="AR118" s="90" t="n"/>
      <c r="AS118" s="90" t="n"/>
      <c r="AT118" s="90" t="n"/>
      <c r="AU118" s="90" t="n"/>
      <c r="AV118" s="90" t="n"/>
      <c r="AW118" s="90" t="n"/>
      <c r="AX118" s="90" t="n"/>
      <c r="AY118" s="90" t="n"/>
    </row>
    <row r="119" ht="20" customHeight="1">
      <c r="A119" s="89">
        <f>IF(Roster!$A$117&lt;&gt;"",Roster!$A$117,"")</f>
        <v/>
      </c>
      <c r="B119" s="90" t="n"/>
      <c r="C119" s="90" t="n"/>
      <c r="D119" s="90" t="n"/>
      <c r="E119" s="90" t="n"/>
      <c r="F119" s="90" t="n"/>
      <c r="G119" s="90" t="n"/>
      <c r="H119" s="90" t="n"/>
      <c r="I119" s="90" t="n"/>
      <c r="J119" s="90" t="n"/>
      <c r="K119" s="90" t="n"/>
      <c r="L119" s="90" t="n"/>
      <c r="M119" s="90" t="n"/>
      <c r="N119" s="90" t="n"/>
      <c r="O119" s="90" t="n"/>
      <c r="P119" s="90" t="n"/>
      <c r="Q119" s="90" t="n"/>
      <c r="R119" s="90" t="n"/>
      <c r="S119" s="90" t="n"/>
      <c r="T119" s="90" t="n"/>
      <c r="U119" s="90" t="n"/>
      <c r="V119" s="90" t="n"/>
      <c r="W119" s="90" t="n"/>
      <c r="X119" s="90" t="n"/>
      <c r="Y119" s="90" t="n"/>
      <c r="Z119" s="90" t="n"/>
      <c r="AA119" s="90" t="n"/>
      <c r="AB119" s="90" t="n"/>
      <c r="AC119" s="90" t="n"/>
      <c r="AD119" s="90" t="n"/>
      <c r="AE119" s="90" t="n"/>
      <c r="AF119" s="90" t="n"/>
      <c r="AG119" s="90" t="n"/>
      <c r="AH119" s="90" t="n"/>
      <c r="AI119" s="90" t="n"/>
      <c r="AJ119" s="90" t="n"/>
      <c r="AK119" s="90" t="n"/>
      <c r="AL119" s="90" t="n"/>
      <c r="AM119" s="90" t="n"/>
      <c r="AN119" s="90" t="n"/>
      <c r="AO119" s="90" t="n"/>
      <c r="AP119" s="90" t="n"/>
      <c r="AQ119" s="90" t="n"/>
      <c r="AR119" s="90" t="n"/>
      <c r="AS119" s="90" t="n"/>
      <c r="AT119" s="90" t="n"/>
      <c r="AU119" s="90" t="n"/>
      <c r="AV119" s="90" t="n"/>
      <c r="AW119" s="90" t="n"/>
      <c r="AX119" s="90" t="n"/>
      <c r="AY119" s="90" t="n"/>
    </row>
    <row r="120" ht="20" customHeight="1">
      <c r="A120" s="89">
        <f>IF(Roster!$A$118&lt;&gt;"",Roster!$A$118,"")</f>
        <v/>
      </c>
      <c r="B120" s="90" t="n"/>
      <c r="C120" s="90" t="n"/>
      <c r="D120" s="90" t="n"/>
      <c r="E120" s="90" t="n"/>
      <c r="F120" s="90" t="n"/>
      <c r="G120" s="90" t="n"/>
      <c r="H120" s="90" t="n"/>
      <c r="I120" s="90" t="n"/>
      <c r="J120" s="90" t="n"/>
      <c r="K120" s="90" t="n"/>
      <c r="L120" s="90" t="n"/>
      <c r="M120" s="90" t="n"/>
      <c r="N120" s="90" t="n"/>
      <c r="O120" s="90" t="n"/>
      <c r="P120" s="90" t="n"/>
      <c r="Q120" s="90" t="n"/>
      <c r="R120" s="90" t="n"/>
      <c r="S120" s="90" t="n"/>
      <c r="T120" s="90" t="n"/>
      <c r="U120" s="90" t="n"/>
      <c r="V120" s="90" t="n"/>
      <c r="W120" s="90" t="n"/>
      <c r="X120" s="90" t="n"/>
      <c r="Y120" s="90" t="n"/>
      <c r="Z120" s="90" t="n"/>
      <c r="AA120" s="90" t="n"/>
      <c r="AB120" s="90" t="n"/>
      <c r="AC120" s="90" t="n"/>
      <c r="AD120" s="90" t="n"/>
      <c r="AE120" s="90" t="n"/>
      <c r="AF120" s="90" t="n"/>
      <c r="AG120" s="90" t="n"/>
      <c r="AH120" s="90" t="n"/>
      <c r="AI120" s="90" t="n"/>
      <c r="AJ120" s="90" t="n"/>
      <c r="AK120" s="90" t="n"/>
      <c r="AL120" s="90" t="n"/>
      <c r="AM120" s="90" t="n"/>
      <c r="AN120" s="90" t="n"/>
      <c r="AO120" s="90" t="n"/>
      <c r="AP120" s="90" t="n"/>
      <c r="AQ120" s="90" t="n"/>
      <c r="AR120" s="90" t="n"/>
      <c r="AS120" s="90" t="n"/>
      <c r="AT120" s="90" t="n"/>
      <c r="AU120" s="90" t="n"/>
      <c r="AV120" s="90" t="n"/>
      <c r="AW120" s="90" t="n"/>
      <c r="AX120" s="90" t="n"/>
      <c r="AY120" s="90" t="n"/>
    </row>
    <row r="121" ht="20" customHeight="1">
      <c r="A121" s="89">
        <f>IF(Roster!$A$119&lt;&gt;"",Roster!$A$119,"")</f>
        <v/>
      </c>
      <c r="B121" s="90" t="n"/>
      <c r="C121" s="90" t="n"/>
      <c r="D121" s="90" t="n"/>
      <c r="E121" s="90" t="n"/>
      <c r="F121" s="90" t="n"/>
      <c r="G121" s="90" t="n"/>
      <c r="H121" s="90" t="n"/>
      <c r="I121" s="90" t="n"/>
      <c r="J121" s="90" t="n"/>
      <c r="K121" s="90" t="n"/>
      <c r="L121" s="90" t="n"/>
      <c r="M121" s="90" t="n"/>
      <c r="N121" s="90" t="n"/>
      <c r="O121" s="90" t="n"/>
      <c r="P121" s="90" t="n"/>
      <c r="Q121" s="90" t="n"/>
      <c r="R121" s="90" t="n"/>
      <c r="S121" s="90" t="n"/>
      <c r="T121" s="90" t="n"/>
      <c r="U121" s="90" t="n"/>
      <c r="V121" s="90" t="n"/>
      <c r="W121" s="90" t="n"/>
      <c r="X121" s="90" t="n"/>
      <c r="Y121" s="90" t="n"/>
      <c r="Z121" s="90" t="n"/>
      <c r="AA121" s="90" t="n"/>
      <c r="AB121" s="90" t="n"/>
      <c r="AC121" s="90" t="n"/>
      <c r="AD121" s="90" t="n"/>
      <c r="AE121" s="90" t="n"/>
      <c r="AF121" s="90" t="n"/>
      <c r="AG121" s="90" t="n"/>
      <c r="AH121" s="90" t="n"/>
      <c r="AI121" s="90" t="n"/>
      <c r="AJ121" s="90" t="n"/>
      <c r="AK121" s="90" t="n"/>
      <c r="AL121" s="90" t="n"/>
      <c r="AM121" s="90" t="n"/>
      <c r="AN121" s="90" t="n"/>
      <c r="AO121" s="90" t="n"/>
      <c r="AP121" s="90" t="n"/>
      <c r="AQ121" s="90" t="n"/>
      <c r="AR121" s="90" t="n"/>
      <c r="AS121" s="90" t="n"/>
      <c r="AT121" s="90" t="n"/>
      <c r="AU121" s="90" t="n"/>
      <c r="AV121" s="90" t="n"/>
      <c r="AW121" s="90" t="n"/>
      <c r="AX121" s="90" t="n"/>
      <c r="AY121" s="90" t="n"/>
    </row>
    <row r="122" ht="20" customHeight="1">
      <c r="A122" s="89">
        <f>IF(Roster!$A$120&lt;&gt;"",Roster!$A$120,"")</f>
        <v/>
      </c>
      <c r="B122" s="90" t="n"/>
      <c r="C122" s="90" t="n"/>
      <c r="D122" s="90" t="n"/>
      <c r="E122" s="90" t="n"/>
      <c r="F122" s="90" t="n"/>
      <c r="G122" s="90" t="n"/>
      <c r="H122" s="90" t="n"/>
      <c r="I122" s="90" t="n"/>
      <c r="J122" s="90" t="n"/>
      <c r="K122" s="90" t="n"/>
      <c r="L122" s="90" t="n"/>
      <c r="M122" s="90" t="n"/>
      <c r="N122" s="90" t="n"/>
      <c r="O122" s="90" t="n"/>
      <c r="P122" s="90" t="n"/>
      <c r="Q122" s="90" t="n"/>
      <c r="R122" s="90" t="n"/>
      <c r="S122" s="90" t="n"/>
      <c r="T122" s="90" t="n"/>
      <c r="U122" s="90" t="n"/>
      <c r="V122" s="90" t="n"/>
      <c r="W122" s="90" t="n"/>
      <c r="X122" s="90" t="n"/>
      <c r="Y122" s="90" t="n"/>
      <c r="Z122" s="90" t="n"/>
      <c r="AA122" s="90" t="n"/>
      <c r="AB122" s="90" t="n"/>
      <c r="AC122" s="90" t="n"/>
      <c r="AD122" s="90" t="n"/>
      <c r="AE122" s="90" t="n"/>
      <c r="AF122" s="90" t="n"/>
      <c r="AG122" s="90" t="n"/>
      <c r="AH122" s="90" t="n"/>
      <c r="AI122" s="90" t="n"/>
      <c r="AJ122" s="90" t="n"/>
      <c r="AK122" s="90" t="n"/>
      <c r="AL122" s="90" t="n"/>
      <c r="AM122" s="90" t="n"/>
      <c r="AN122" s="90" t="n"/>
      <c r="AO122" s="90" t="n"/>
      <c r="AP122" s="90" t="n"/>
      <c r="AQ122" s="90" t="n"/>
      <c r="AR122" s="90" t="n"/>
      <c r="AS122" s="90" t="n"/>
      <c r="AT122" s="90" t="n"/>
      <c r="AU122" s="90" t="n"/>
      <c r="AV122" s="90" t="n"/>
      <c r="AW122" s="90" t="n"/>
      <c r="AX122" s="90" t="n"/>
      <c r="AY122" s="90" t="n"/>
    </row>
    <row r="123" ht="20" customHeight="1">
      <c r="A123" s="89">
        <f>IF(Roster!$A$121&lt;&gt;"",Roster!$A$121,"")</f>
        <v/>
      </c>
      <c r="B123" s="90" t="n"/>
      <c r="C123" s="90" t="n"/>
      <c r="D123" s="90" t="n"/>
      <c r="E123" s="90" t="n"/>
      <c r="F123" s="90" t="n"/>
      <c r="G123" s="90" t="n"/>
      <c r="H123" s="90" t="n"/>
      <c r="I123" s="90" t="n"/>
      <c r="J123" s="90" t="n"/>
      <c r="K123" s="90" t="n"/>
      <c r="L123" s="90" t="n"/>
      <c r="M123" s="90" t="n"/>
      <c r="N123" s="90" t="n"/>
      <c r="O123" s="90" t="n"/>
      <c r="P123" s="90" t="n"/>
      <c r="Q123" s="90" t="n"/>
      <c r="R123" s="90" t="n"/>
      <c r="S123" s="90" t="n"/>
      <c r="T123" s="90" t="n"/>
      <c r="U123" s="90" t="n"/>
      <c r="V123" s="90" t="n"/>
      <c r="W123" s="90" t="n"/>
      <c r="X123" s="90" t="n"/>
      <c r="Y123" s="90" t="n"/>
      <c r="Z123" s="90" t="n"/>
      <c r="AA123" s="90" t="n"/>
      <c r="AB123" s="90" t="n"/>
      <c r="AC123" s="90" t="n"/>
      <c r="AD123" s="90" t="n"/>
      <c r="AE123" s="90" t="n"/>
      <c r="AF123" s="90" t="n"/>
      <c r="AG123" s="90" t="n"/>
      <c r="AH123" s="90" t="n"/>
      <c r="AI123" s="90" t="n"/>
      <c r="AJ123" s="90" t="n"/>
      <c r="AK123" s="90" t="n"/>
      <c r="AL123" s="90" t="n"/>
      <c r="AM123" s="90" t="n"/>
      <c r="AN123" s="90" t="n"/>
      <c r="AO123" s="90" t="n"/>
      <c r="AP123" s="90" t="n"/>
      <c r="AQ123" s="90" t="n"/>
      <c r="AR123" s="90" t="n"/>
      <c r="AS123" s="90" t="n"/>
      <c r="AT123" s="90" t="n"/>
      <c r="AU123" s="90" t="n"/>
      <c r="AV123" s="90" t="n"/>
      <c r="AW123" s="90" t="n"/>
      <c r="AX123" s="90" t="n"/>
      <c r="AY123" s="90" t="n"/>
    </row>
    <row r="124" ht="20" customHeight="1">
      <c r="A124" s="89">
        <f>IF(Roster!$A$122&lt;&gt;"",Roster!$A$122,"")</f>
        <v/>
      </c>
      <c r="B124" s="90" t="n"/>
      <c r="C124" s="90" t="n"/>
      <c r="D124" s="90" t="n"/>
      <c r="E124" s="90" t="n"/>
      <c r="F124" s="90" t="n"/>
      <c r="G124" s="90" t="n"/>
      <c r="H124" s="90" t="n"/>
      <c r="I124" s="90" t="n"/>
      <c r="J124" s="90" t="n"/>
      <c r="K124" s="90" t="n"/>
      <c r="L124" s="90" t="n"/>
      <c r="M124" s="90" t="n"/>
      <c r="N124" s="90" t="n"/>
      <c r="O124" s="90" t="n"/>
      <c r="P124" s="90" t="n"/>
      <c r="Q124" s="90" t="n"/>
      <c r="R124" s="90" t="n"/>
      <c r="S124" s="90" t="n"/>
      <c r="T124" s="90" t="n"/>
      <c r="U124" s="90" t="n"/>
      <c r="V124" s="90" t="n"/>
      <c r="W124" s="90" t="n"/>
      <c r="X124" s="90" t="n"/>
      <c r="Y124" s="90" t="n"/>
      <c r="Z124" s="90" t="n"/>
      <c r="AA124" s="90" t="n"/>
      <c r="AB124" s="90" t="n"/>
      <c r="AC124" s="90" t="n"/>
      <c r="AD124" s="90" t="n"/>
      <c r="AE124" s="90" t="n"/>
      <c r="AF124" s="90" t="n"/>
      <c r="AG124" s="90" t="n"/>
      <c r="AH124" s="90" t="n"/>
      <c r="AI124" s="90" t="n"/>
      <c r="AJ124" s="90" t="n"/>
      <c r="AK124" s="90" t="n"/>
      <c r="AL124" s="90" t="n"/>
      <c r="AM124" s="90" t="n"/>
      <c r="AN124" s="90" t="n"/>
      <c r="AO124" s="90" t="n"/>
      <c r="AP124" s="90" t="n"/>
      <c r="AQ124" s="90" t="n"/>
      <c r="AR124" s="90" t="n"/>
      <c r="AS124" s="90" t="n"/>
      <c r="AT124" s="90" t="n"/>
      <c r="AU124" s="90" t="n"/>
      <c r="AV124" s="90" t="n"/>
      <c r="AW124" s="90" t="n"/>
      <c r="AX124" s="90" t="n"/>
      <c r="AY124" s="90" t="n"/>
    </row>
    <row r="125" ht="20" customHeight="1">
      <c r="A125" s="89">
        <f>IF(Roster!$A$123&lt;&gt;"",Roster!$A$123,"")</f>
        <v/>
      </c>
      <c r="B125" s="90" t="n"/>
      <c r="C125" s="90" t="n"/>
      <c r="D125" s="90" t="n"/>
      <c r="E125" s="90" t="n"/>
      <c r="F125" s="90" t="n"/>
      <c r="G125" s="90" t="n"/>
      <c r="H125" s="90" t="n"/>
      <c r="I125" s="90" t="n"/>
      <c r="J125" s="90" t="n"/>
      <c r="K125" s="90" t="n"/>
      <c r="L125" s="90" t="n"/>
      <c r="M125" s="90" t="n"/>
      <c r="N125" s="90" t="n"/>
      <c r="O125" s="90" t="n"/>
      <c r="P125" s="90" t="n"/>
      <c r="Q125" s="90" t="n"/>
      <c r="R125" s="90" t="n"/>
      <c r="S125" s="90" t="n"/>
      <c r="T125" s="90" t="n"/>
      <c r="U125" s="90" t="n"/>
      <c r="V125" s="90" t="n"/>
      <c r="W125" s="90" t="n"/>
      <c r="X125" s="90" t="n"/>
      <c r="Y125" s="90" t="n"/>
      <c r="Z125" s="90" t="n"/>
      <c r="AA125" s="90" t="n"/>
      <c r="AB125" s="90" t="n"/>
      <c r="AC125" s="90" t="n"/>
      <c r="AD125" s="90" t="n"/>
      <c r="AE125" s="90" t="n"/>
      <c r="AF125" s="90" t="n"/>
      <c r="AG125" s="90" t="n"/>
      <c r="AH125" s="90" t="n"/>
      <c r="AI125" s="90" t="n"/>
      <c r="AJ125" s="90" t="n"/>
      <c r="AK125" s="90" t="n"/>
      <c r="AL125" s="90" t="n"/>
      <c r="AM125" s="90" t="n"/>
      <c r="AN125" s="90" t="n"/>
      <c r="AO125" s="90" t="n"/>
      <c r="AP125" s="90" t="n"/>
      <c r="AQ125" s="90" t="n"/>
      <c r="AR125" s="90" t="n"/>
      <c r="AS125" s="90" t="n"/>
      <c r="AT125" s="90" t="n"/>
      <c r="AU125" s="90" t="n"/>
      <c r="AV125" s="90" t="n"/>
      <c r="AW125" s="90" t="n"/>
      <c r="AX125" s="90" t="n"/>
      <c r="AY125" s="90" t="n"/>
    </row>
    <row r="126" ht="20" customHeight="1">
      <c r="A126" s="89">
        <f>IF(Roster!$A$124&lt;&gt;"",Roster!$A$124,"")</f>
        <v/>
      </c>
      <c r="B126" s="90" t="n"/>
      <c r="C126" s="90" t="n"/>
      <c r="D126" s="90" t="n"/>
      <c r="E126" s="90" t="n"/>
      <c r="F126" s="90" t="n"/>
      <c r="G126" s="90" t="n"/>
      <c r="H126" s="90" t="n"/>
      <c r="I126" s="90" t="n"/>
      <c r="J126" s="90" t="n"/>
      <c r="K126" s="90" t="n"/>
      <c r="L126" s="90" t="n"/>
      <c r="M126" s="90" t="n"/>
      <c r="N126" s="90" t="n"/>
      <c r="O126" s="90" t="n"/>
      <c r="P126" s="90" t="n"/>
      <c r="Q126" s="90" t="n"/>
      <c r="R126" s="90" t="n"/>
      <c r="S126" s="90" t="n"/>
      <c r="T126" s="90" t="n"/>
      <c r="U126" s="90" t="n"/>
      <c r="V126" s="90" t="n"/>
      <c r="W126" s="90" t="n"/>
      <c r="X126" s="90" t="n"/>
      <c r="Y126" s="90" t="n"/>
      <c r="Z126" s="90" t="n"/>
      <c r="AA126" s="90" t="n"/>
      <c r="AB126" s="90" t="n"/>
      <c r="AC126" s="90" t="n"/>
      <c r="AD126" s="90" t="n"/>
      <c r="AE126" s="90" t="n"/>
      <c r="AF126" s="90" t="n"/>
      <c r="AG126" s="90" t="n"/>
      <c r="AH126" s="90" t="n"/>
      <c r="AI126" s="90" t="n"/>
      <c r="AJ126" s="90" t="n"/>
      <c r="AK126" s="90" t="n"/>
      <c r="AL126" s="90" t="n"/>
      <c r="AM126" s="90" t="n"/>
      <c r="AN126" s="90" t="n"/>
      <c r="AO126" s="90" t="n"/>
      <c r="AP126" s="90" t="n"/>
      <c r="AQ126" s="90" t="n"/>
      <c r="AR126" s="90" t="n"/>
      <c r="AS126" s="90" t="n"/>
      <c r="AT126" s="90" t="n"/>
      <c r="AU126" s="90" t="n"/>
      <c r="AV126" s="90" t="n"/>
      <c r="AW126" s="90" t="n"/>
      <c r="AX126" s="90" t="n"/>
      <c r="AY126" s="90" t="n"/>
    </row>
    <row r="127" ht="20" customHeight="1">
      <c r="A127" s="89">
        <f>IF(Roster!$A$125&lt;&gt;"",Roster!$A$125,"")</f>
        <v/>
      </c>
      <c r="B127" s="90" t="n"/>
      <c r="C127" s="90" t="n"/>
      <c r="D127" s="90" t="n"/>
      <c r="E127" s="90" t="n"/>
      <c r="F127" s="90" t="n"/>
      <c r="G127" s="90" t="n"/>
      <c r="H127" s="90" t="n"/>
      <c r="I127" s="90" t="n"/>
      <c r="J127" s="90" t="n"/>
      <c r="K127" s="90" t="n"/>
      <c r="L127" s="90" t="n"/>
      <c r="M127" s="90" t="n"/>
      <c r="N127" s="90" t="n"/>
      <c r="O127" s="90" t="n"/>
      <c r="P127" s="90" t="n"/>
      <c r="Q127" s="90" t="n"/>
      <c r="R127" s="90" t="n"/>
      <c r="S127" s="90" t="n"/>
      <c r="T127" s="90" t="n"/>
      <c r="U127" s="90" t="n"/>
      <c r="V127" s="90" t="n"/>
      <c r="W127" s="90" t="n"/>
      <c r="X127" s="90" t="n"/>
      <c r="Y127" s="90" t="n"/>
      <c r="Z127" s="90" t="n"/>
      <c r="AA127" s="90" t="n"/>
      <c r="AB127" s="90" t="n"/>
      <c r="AC127" s="90" t="n"/>
      <c r="AD127" s="90" t="n"/>
      <c r="AE127" s="90" t="n"/>
      <c r="AF127" s="90" t="n"/>
      <c r="AG127" s="90" t="n"/>
      <c r="AH127" s="90" t="n"/>
      <c r="AI127" s="90" t="n"/>
      <c r="AJ127" s="90" t="n"/>
      <c r="AK127" s="90" t="n"/>
      <c r="AL127" s="90" t="n"/>
      <c r="AM127" s="90" t="n"/>
      <c r="AN127" s="90" t="n"/>
      <c r="AO127" s="90" t="n"/>
      <c r="AP127" s="90" t="n"/>
      <c r="AQ127" s="90" t="n"/>
      <c r="AR127" s="90" t="n"/>
      <c r="AS127" s="90" t="n"/>
      <c r="AT127" s="90" t="n"/>
      <c r="AU127" s="90" t="n"/>
      <c r="AV127" s="90" t="n"/>
      <c r="AW127" s="90" t="n"/>
      <c r="AX127" s="90" t="n"/>
      <c r="AY127" s="90" t="n"/>
    </row>
    <row r="128" ht="20" customHeight="1">
      <c r="A128" s="89">
        <f>IF(Roster!$A$126&lt;&gt;"",Roster!$A$126,"")</f>
        <v/>
      </c>
      <c r="B128" s="90" t="n"/>
      <c r="C128" s="90" t="n"/>
      <c r="D128" s="90" t="n"/>
      <c r="E128" s="90" t="n"/>
      <c r="F128" s="90" t="n"/>
      <c r="G128" s="90" t="n"/>
      <c r="H128" s="90" t="n"/>
      <c r="I128" s="90" t="n"/>
      <c r="J128" s="90" t="n"/>
      <c r="K128" s="90" t="n"/>
      <c r="L128" s="90" t="n"/>
      <c r="M128" s="90" t="n"/>
      <c r="N128" s="90" t="n"/>
      <c r="O128" s="90" t="n"/>
      <c r="P128" s="90" t="n"/>
      <c r="Q128" s="90" t="n"/>
      <c r="R128" s="90" t="n"/>
      <c r="S128" s="90" t="n"/>
      <c r="T128" s="90" t="n"/>
      <c r="U128" s="90" t="n"/>
      <c r="V128" s="90" t="n"/>
      <c r="W128" s="90" t="n"/>
      <c r="X128" s="90" t="n"/>
      <c r="Y128" s="90" t="n"/>
      <c r="Z128" s="90" t="n"/>
      <c r="AA128" s="90" t="n"/>
      <c r="AB128" s="90" t="n"/>
      <c r="AC128" s="90" t="n"/>
      <c r="AD128" s="90" t="n"/>
      <c r="AE128" s="90" t="n"/>
      <c r="AF128" s="90" t="n"/>
      <c r="AG128" s="90" t="n"/>
      <c r="AH128" s="90" t="n"/>
      <c r="AI128" s="90" t="n"/>
      <c r="AJ128" s="90" t="n"/>
      <c r="AK128" s="90" t="n"/>
      <c r="AL128" s="90" t="n"/>
      <c r="AM128" s="90" t="n"/>
      <c r="AN128" s="90" t="n"/>
      <c r="AO128" s="90" t="n"/>
      <c r="AP128" s="90" t="n"/>
      <c r="AQ128" s="90" t="n"/>
      <c r="AR128" s="90" t="n"/>
      <c r="AS128" s="90" t="n"/>
      <c r="AT128" s="90" t="n"/>
      <c r="AU128" s="90" t="n"/>
      <c r="AV128" s="90" t="n"/>
      <c r="AW128" s="90" t="n"/>
      <c r="AX128" s="90" t="n"/>
      <c r="AY128" s="90" t="n"/>
    </row>
    <row r="129" ht="20" customHeight="1">
      <c r="A129" s="89">
        <f>IF(Roster!$A$127&lt;&gt;"",Roster!$A$127,"")</f>
        <v/>
      </c>
      <c r="B129" s="90" t="n"/>
      <c r="C129" s="90" t="n"/>
      <c r="D129" s="90" t="n"/>
      <c r="E129" s="90" t="n"/>
      <c r="F129" s="90" t="n"/>
      <c r="G129" s="90" t="n"/>
      <c r="H129" s="90" t="n"/>
      <c r="I129" s="90" t="n"/>
      <c r="J129" s="90" t="n"/>
      <c r="K129" s="90" t="n"/>
      <c r="L129" s="90" t="n"/>
      <c r="M129" s="90" t="n"/>
      <c r="N129" s="90" t="n"/>
      <c r="O129" s="90" t="n"/>
      <c r="P129" s="90" t="n"/>
      <c r="Q129" s="90" t="n"/>
      <c r="R129" s="90" t="n"/>
      <c r="S129" s="90" t="n"/>
      <c r="T129" s="90" t="n"/>
      <c r="U129" s="90" t="n"/>
      <c r="V129" s="90" t="n"/>
      <c r="W129" s="90" t="n"/>
      <c r="X129" s="90" t="n"/>
      <c r="Y129" s="90" t="n"/>
      <c r="Z129" s="90" t="n"/>
      <c r="AA129" s="90" t="n"/>
      <c r="AB129" s="90" t="n"/>
      <c r="AC129" s="90" t="n"/>
      <c r="AD129" s="90" t="n"/>
      <c r="AE129" s="90" t="n"/>
      <c r="AF129" s="90" t="n"/>
      <c r="AG129" s="90" t="n"/>
      <c r="AH129" s="90" t="n"/>
      <c r="AI129" s="90" t="n"/>
      <c r="AJ129" s="90" t="n"/>
      <c r="AK129" s="90" t="n"/>
      <c r="AL129" s="90" t="n"/>
      <c r="AM129" s="90" t="n"/>
      <c r="AN129" s="90" t="n"/>
      <c r="AO129" s="90" t="n"/>
      <c r="AP129" s="90" t="n"/>
      <c r="AQ129" s="90" t="n"/>
      <c r="AR129" s="90" t="n"/>
      <c r="AS129" s="90" t="n"/>
      <c r="AT129" s="90" t="n"/>
      <c r="AU129" s="90" t="n"/>
      <c r="AV129" s="90" t="n"/>
      <c r="AW129" s="90" t="n"/>
      <c r="AX129" s="90" t="n"/>
      <c r="AY129" s="90" t="n"/>
    </row>
    <row r="130" ht="20" customHeight="1">
      <c r="A130" s="89">
        <f>IF(Roster!$A$128&lt;&gt;"",Roster!$A$128,"")</f>
        <v/>
      </c>
      <c r="B130" s="90" t="n"/>
      <c r="C130" s="90" t="n"/>
      <c r="D130" s="90" t="n"/>
      <c r="E130" s="90" t="n"/>
      <c r="F130" s="90" t="n"/>
      <c r="G130" s="90" t="n"/>
      <c r="H130" s="90" t="n"/>
      <c r="I130" s="90" t="n"/>
      <c r="J130" s="90" t="n"/>
      <c r="K130" s="90" t="n"/>
      <c r="L130" s="90" t="n"/>
      <c r="M130" s="90" t="n"/>
      <c r="N130" s="90" t="n"/>
      <c r="O130" s="90" t="n"/>
      <c r="P130" s="90" t="n"/>
      <c r="Q130" s="90" t="n"/>
      <c r="R130" s="90" t="n"/>
      <c r="S130" s="90" t="n"/>
      <c r="T130" s="90" t="n"/>
      <c r="U130" s="90" t="n"/>
      <c r="V130" s="90" t="n"/>
      <c r="W130" s="90" t="n"/>
      <c r="X130" s="90" t="n"/>
      <c r="Y130" s="90" t="n"/>
      <c r="Z130" s="90" t="n"/>
      <c r="AA130" s="90" t="n"/>
      <c r="AB130" s="90" t="n"/>
      <c r="AC130" s="90" t="n"/>
      <c r="AD130" s="90" t="n"/>
      <c r="AE130" s="90" t="n"/>
      <c r="AF130" s="90" t="n"/>
      <c r="AG130" s="90" t="n"/>
      <c r="AH130" s="90" t="n"/>
      <c r="AI130" s="90" t="n"/>
      <c r="AJ130" s="90" t="n"/>
      <c r="AK130" s="90" t="n"/>
      <c r="AL130" s="90" t="n"/>
      <c r="AM130" s="90" t="n"/>
      <c r="AN130" s="90" t="n"/>
      <c r="AO130" s="90" t="n"/>
      <c r="AP130" s="90" t="n"/>
      <c r="AQ130" s="90" t="n"/>
      <c r="AR130" s="90" t="n"/>
      <c r="AS130" s="90" t="n"/>
      <c r="AT130" s="90" t="n"/>
      <c r="AU130" s="90" t="n"/>
      <c r="AV130" s="90" t="n"/>
      <c r="AW130" s="90" t="n"/>
      <c r="AX130" s="90" t="n"/>
      <c r="AY130" s="90" t="n"/>
    </row>
    <row r="131" ht="20" customHeight="1">
      <c r="A131" s="89">
        <f>IF(Roster!$A$129&lt;&gt;"",Roster!$A$129,"")</f>
        <v/>
      </c>
      <c r="B131" s="90" t="n"/>
      <c r="C131" s="90" t="n"/>
      <c r="D131" s="90" t="n"/>
      <c r="E131" s="90" t="n"/>
      <c r="F131" s="90" t="n"/>
      <c r="G131" s="90" t="n"/>
      <c r="H131" s="90" t="n"/>
      <c r="I131" s="90" t="n"/>
      <c r="J131" s="90" t="n"/>
      <c r="K131" s="90" t="n"/>
      <c r="L131" s="90" t="n"/>
      <c r="M131" s="90" t="n"/>
      <c r="N131" s="90" t="n"/>
      <c r="O131" s="90" t="n"/>
      <c r="P131" s="90" t="n"/>
      <c r="Q131" s="90" t="n"/>
      <c r="R131" s="90" t="n"/>
      <c r="S131" s="90" t="n"/>
      <c r="T131" s="90" t="n"/>
      <c r="U131" s="90" t="n"/>
      <c r="V131" s="90" t="n"/>
      <c r="W131" s="90" t="n"/>
      <c r="X131" s="90" t="n"/>
      <c r="Y131" s="90" t="n"/>
      <c r="Z131" s="90" t="n"/>
      <c r="AA131" s="90" t="n"/>
      <c r="AB131" s="90" t="n"/>
      <c r="AC131" s="90" t="n"/>
      <c r="AD131" s="90" t="n"/>
      <c r="AE131" s="90" t="n"/>
      <c r="AF131" s="90" t="n"/>
      <c r="AG131" s="90" t="n"/>
      <c r="AH131" s="90" t="n"/>
      <c r="AI131" s="90" t="n"/>
      <c r="AJ131" s="90" t="n"/>
      <c r="AK131" s="90" t="n"/>
      <c r="AL131" s="90" t="n"/>
      <c r="AM131" s="90" t="n"/>
      <c r="AN131" s="90" t="n"/>
      <c r="AO131" s="90" t="n"/>
      <c r="AP131" s="90" t="n"/>
      <c r="AQ131" s="90" t="n"/>
      <c r="AR131" s="90" t="n"/>
      <c r="AS131" s="90" t="n"/>
      <c r="AT131" s="90" t="n"/>
      <c r="AU131" s="90" t="n"/>
      <c r="AV131" s="90" t="n"/>
      <c r="AW131" s="90" t="n"/>
      <c r="AX131" s="90" t="n"/>
      <c r="AY131" s="90" t="n"/>
    </row>
    <row r="132" ht="20" customHeight="1">
      <c r="A132" s="89">
        <f>IF(Roster!$A$130&lt;&gt;"",Roster!$A$130,"")</f>
        <v/>
      </c>
      <c r="B132" s="90" t="n"/>
      <c r="C132" s="90" t="n"/>
      <c r="D132" s="90" t="n"/>
      <c r="E132" s="90" t="n"/>
      <c r="F132" s="90" t="n"/>
      <c r="G132" s="90" t="n"/>
      <c r="H132" s="90" t="n"/>
      <c r="I132" s="90" t="n"/>
      <c r="J132" s="90" t="n"/>
      <c r="K132" s="90" t="n"/>
      <c r="L132" s="90" t="n"/>
      <c r="M132" s="90" t="n"/>
      <c r="N132" s="90" t="n"/>
      <c r="O132" s="90" t="n"/>
      <c r="P132" s="90" t="n"/>
      <c r="Q132" s="90" t="n"/>
      <c r="R132" s="90" t="n"/>
      <c r="S132" s="90" t="n"/>
      <c r="T132" s="90" t="n"/>
      <c r="U132" s="90" t="n"/>
      <c r="V132" s="90" t="n"/>
      <c r="W132" s="90" t="n"/>
      <c r="X132" s="90" t="n"/>
      <c r="Y132" s="90" t="n"/>
      <c r="Z132" s="90" t="n"/>
      <c r="AA132" s="90" t="n"/>
      <c r="AB132" s="90" t="n"/>
      <c r="AC132" s="90" t="n"/>
      <c r="AD132" s="90" t="n"/>
      <c r="AE132" s="90" t="n"/>
      <c r="AF132" s="90" t="n"/>
      <c r="AG132" s="90" t="n"/>
      <c r="AH132" s="90" t="n"/>
      <c r="AI132" s="90" t="n"/>
      <c r="AJ132" s="90" t="n"/>
      <c r="AK132" s="90" t="n"/>
      <c r="AL132" s="90" t="n"/>
      <c r="AM132" s="90" t="n"/>
      <c r="AN132" s="90" t="n"/>
      <c r="AO132" s="90" t="n"/>
      <c r="AP132" s="90" t="n"/>
      <c r="AQ132" s="90" t="n"/>
      <c r="AR132" s="90" t="n"/>
      <c r="AS132" s="90" t="n"/>
      <c r="AT132" s="90" t="n"/>
      <c r="AU132" s="90" t="n"/>
      <c r="AV132" s="90" t="n"/>
      <c r="AW132" s="90" t="n"/>
      <c r="AX132" s="90" t="n"/>
      <c r="AY132" s="90" t="n"/>
    </row>
    <row r="133" ht="20" customHeight="1">
      <c r="A133" s="89">
        <f>IF(Roster!$A$131&lt;&gt;"",Roster!$A$131,"")</f>
        <v/>
      </c>
      <c r="B133" s="90" t="n"/>
      <c r="C133" s="90" t="n"/>
      <c r="D133" s="90" t="n"/>
      <c r="E133" s="90" t="n"/>
      <c r="F133" s="90" t="n"/>
      <c r="G133" s="90" t="n"/>
      <c r="H133" s="90" t="n"/>
      <c r="I133" s="90" t="n"/>
      <c r="J133" s="90" t="n"/>
      <c r="K133" s="90" t="n"/>
      <c r="L133" s="90" t="n"/>
      <c r="M133" s="90" t="n"/>
      <c r="N133" s="90" t="n"/>
      <c r="O133" s="90" t="n"/>
      <c r="P133" s="90" t="n"/>
      <c r="Q133" s="90" t="n"/>
      <c r="R133" s="90" t="n"/>
      <c r="S133" s="90" t="n"/>
      <c r="T133" s="90" t="n"/>
      <c r="U133" s="90" t="n"/>
      <c r="V133" s="90" t="n"/>
      <c r="W133" s="90" t="n"/>
      <c r="X133" s="90" t="n"/>
      <c r="Y133" s="90" t="n"/>
      <c r="Z133" s="90" t="n"/>
      <c r="AA133" s="90" t="n"/>
      <c r="AB133" s="90" t="n"/>
      <c r="AC133" s="90" t="n"/>
      <c r="AD133" s="90" t="n"/>
      <c r="AE133" s="90" t="n"/>
      <c r="AF133" s="90" t="n"/>
      <c r="AG133" s="90" t="n"/>
      <c r="AH133" s="90" t="n"/>
      <c r="AI133" s="90" t="n"/>
      <c r="AJ133" s="90" t="n"/>
      <c r="AK133" s="90" t="n"/>
      <c r="AL133" s="90" t="n"/>
      <c r="AM133" s="90" t="n"/>
      <c r="AN133" s="90" t="n"/>
      <c r="AO133" s="90" t="n"/>
      <c r="AP133" s="90" t="n"/>
      <c r="AQ133" s="90" t="n"/>
      <c r="AR133" s="90" t="n"/>
      <c r="AS133" s="90" t="n"/>
      <c r="AT133" s="90" t="n"/>
      <c r="AU133" s="90" t="n"/>
      <c r="AV133" s="90" t="n"/>
      <c r="AW133" s="90" t="n"/>
      <c r="AX133" s="90" t="n"/>
      <c r="AY133" s="90" t="n"/>
    </row>
    <row r="134" ht="20" customHeight="1">
      <c r="A134" s="89">
        <f>IF(Roster!$A$132&lt;&gt;"",Roster!$A$132,"")</f>
        <v/>
      </c>
      <c r="B134" s="90" t="n"/>
      <c r="C134" s="90" t="n"/>
      <c r="D134" s="90" t="n"/>
      <c r="E134" s="90" t="n"/>
      <c r="F134" s="90" t="n"/>
      <c r="G134" s="90" t="n"/>
      <c r="H134" s="90" t="n"/>
      <c r="I134" s="90" t="n"/>
      <c r="J134" s="90" t="n"/>
      <c r="K134" s="90" t="n"/>
      <c r="L134" s="90" t="n"/>
      <c r="M134" s="90" t="n"/>
      <c r="N134" s="90" t="n"/>
      <c r="O134" s="90" t="n"/>
      <c r="P134" s="90" t="n"/>
      <c r="Q134" s="90" t="n"/>
      <c r="R134" s="90" t="n"/>
      <c r="S134" s="90" t="n"/>
      <c r="T134" s="90" t="n"/>
      <c r="U134" s="90" t="n"/>
      <c r="V134" s="90" t="n"/>
      <c r="W134" s="90" t="n"/>
      <c r="X134" s="90" t="n"/>
      <c r="Y134" s="90" t="n"/>
      <c r="Z134" s="90" t="n"/>
      <c r="AA134" s="90" t="n"/>
      <c r="AB134" s="90" t="n"/>
      <c r="AC134" s="90" t="n"/>
      <c r="AD134" s="90" t="n"/>
      <c r="AE134" s="90" t="n"/>
      <c r="AF134" s="90" t="n"/>
      <c r="AG134" s="90" t="n"/>
      <c r="AH134" s="90" t="n"/>
      <c r="AI134" s="90" t="n"/>
      <c r="AJ134" s="90" t="n"/>
      <c r="AK134" s="90" t="n"/>
      <c r="AL134" s="90" t="n"/>
      <c r="AM134" s="90" t="n"/>
      <c r="AN134" s="90" t="n"/>
      <c r="AO134" s="90" t="n"/>
      <c r="AP134" s="90" t="n"/>
      <c r="AQ134" s="90" t="n"/>
      <c r="AR134" s="90" t="n"/>
      <c r="AS134" s="90" t="n"/>
      <c r="AT134" s="90" t="n"/>
      <c r="AU134" s="90" t="n"/>
      <c r="AV134" s="90" t="n"/>
      <c r="AW134" s="90" t="n"/>
      <c r="AX134" s="90" t="n"/>
      <c r="AY134" s="90" t="n"/>
    </row>
    <row r="135" ht="20" customHeight="1">
      <c r="A135" s="89">
        <f>IF(Roster!$A$133&lt;&gt;"",Roster!$A$133,"")</f>
        <v/>
      </c>
      <c r="B135" s="90" t="n"/>
      <c r="C135" s="90" t="n"/>
      <c r="D135" s="90" t="n"/>
      <c r="E135" s="90" t="n"/>
      <c r="F135" s="90" t="n"/>
      <c r="G135" s="90" t="n"/>
      <c r="H135" s="90" t="n"/>
      <c r="I135" s="90" t="n"/>
      <c r="J135" s="90" t="n"/>
      <c r="K135" s="90" t="n"/>
      <c r="L135" s="90" t="n"/>
      <c r="M135" s="90" t="n"/>
      <c r="N135" s="90" t="n"/>
      <c r="O135" s="90" t="n"/>
      <c r="P135" s="90" t="n"/>
      <c r="Q135" s="90" t="n"/>
      <c r="R135" s="90" t="n"/>
      <c r="S135" s="90" t="n"/>
      <c r="T135" s="90" t="n"/>
      <c r="U135" s="90" t="n"/>
      <c r="V135" s="90" t="n"/>
      <c r="W135" s="90" t="n"/>
      <c r="X135" s="90" t="n"/>
      <c r="Y135" s="90" t="n"/>
      <c r="Z135" s="90" t="n"/>
      <c r="AA135" s="90" t="n"/>
      <c r="AB135" s="90" t="n"/>
      <c r="AC135" s="90" t="n"/>
      <c r="AD135" s="90" t="n"/>
      <c r="AE135" s="90" t="n"/>
      <c r="AF135" s="90" t="n"/>
      <c r="AG135" s="90" t="n"/>
      <c r="AH135" s="90" t="n"/>
      <c r="AI135" s="90" t="n"/>
      <c r="AJ135" s="90" t="n"/>
      <c r="AK135" s="90" t="n"/>
      <c r="AL135" s="90" t="n"/>
      <c r="AM135" s="90" t="n"/>
      <c r="AN135" s="90" t="n"/>
      <c r="AO135" s="90" t="n"/>
      <c r="AP135" s="90" t="n"/>
      <c r="AQ135" s="90" t="n"/>
      <c r="AR135" s="90" t="n"/>
      <c r="AS135" s="90" t="n"/>
      <c r="AT135" s="90" t="n"/>
      <c r="AU135" s="90" t="n"/>
      <c r="AV135" s="90" t="n"/>
      <c r="AW135" s="90" t="n"/>
      <c r="AX135" s="90" t="n"/>
      <c r="AY135" s="90" t="n"/>
    </row>
    <row r="136" ht="20" customHeight="1">
      <c r="A136" s="89">
        <f>IF(Roster!$A$134&lt;&gt;"",Roster!$A$134,"")</f>
        <v/>
      </c>
      <c r="B136" s="90" t="n"/>
      <c r="C136" s="90" t="n"/>
      <c r="D136" s="90" t="n"/>
      <c r="E136" s="90" t="n"/>
      <c r="F136" s="90" t="n"/>
      <c r="G136" s="90" t="n"/>
      <c r="H136" s="90" t="n"/>
      <c r="I136" s="90" t="n"/>
      <c r="J136" s="90" t="n"/>
      <c r="K136" s="90" t="n"/>
      <c r="L136" s="90" t="n"/>
      <c r="M136" s="90" t="n"/>
      <c r="N136" s="90" t="n"/>
      <c r="O136" s="90" t="n"/>
      <c r="P136" s="90" t="n"/>
      <c r="Q136" s="90" t="n"/>
      <c r="R136" s="90" t="n"/>
      <c r="S136" s="90" t="n"/>
      <c r="T136" s="90" t="n"/>
      <c r="U136" s="90" t="n"/>
      <c r="V136" s="90" t="n"/>
      <c r="W136" s="90" t="n"/>
      <c r="X136" s="90" t="n"/>
      <c r="Y136" s="90" t="n"/>
      <c r="Z136" s="90" t="n"/>
      <c r="AA136" s="90" t="n"/>
      <c r="AB136" s="90" t="n"/>
      <c r="AC136" s="90" t="n"/>
      <c r="AD136" s="90" t="n"/>
      <c r="AE136" s="90" t="n"/>
      <c r="AF136" s="90" t="n"/>
      <c r="AG136" s="90" t="n"/>
      <c r="AH136" s="90" t="n"/>
      <c r="AI136" s="90" t="n"/>
      <c r="AJ136" s="90" t="n"/>
      <c r="AK136" s="90" t="n"/>
      <c r="AL136" s="90" t="n"/>
      <c r="AM136" s="90" t="n"/>
      <c r="AN136" s="90" t="n"/>
      <c r="AO136" s="90" t="n"/>
      <c r="AP136" s="90" t="n"/>
      <c r="AQ136" s="90" t="n"/>
      <c r="AR136" s="90" t="n"/>
      <c r="AS136" s="90" t="n"/>
      <c r="AT136" s="90" t="n"/>
      <c r="AU136" s="90" t="n"/>
      <c r="AV136" s="90" t="n"/>
      <c r="AW136" s="90" t="n"/>
      <c r="AX136" s="90" t="n"/>
      <c r="AY136" s="90" t="n"/>
    </row>
    <row r="137" ht="20" customHeight="1">
      <c r="A137" s="89">
        <f>IF(Roster!$A$135&lt;&gt;"",Roster!$A$135,"")</f>
        <v/>
      </c>
      <c r="B137" s="90" t="n"/>
      <c r="C137" s="90" t="n"/>
      <c r="D137" s="90" t="n"/>
      <c r="E137" s="90" t="n"/>
      <c r="F137" s="90" t="n"/>
      <c r="G137" s="90" t="n"/>
      <c r="H137" s="90" t="n"/>
      <c r="I137" s="90" t="n"/>
      <c r="J137" s="90" t="n"/>
      <c r="K137" s="90" t="n"/>
      <c r="L137" s="90" t="n"/>
      <c r="M137" s="90" t="n"/>
      <c r="N137" s="90" t="n"/>
      <c r="O137" s="90" t="n"/>
      <c r="P137" s="90" t="n"/>
      <c r="Q137" s="90" t="n"/>
      <c r="R137" s="90" t="n"/>
      <c r="S137" s="90" t="n"/>
      <c r="T137" s="90" t="n"/>
      <c r="U137" s="90" t="n"/>
      <c r="V137" s="90" t="n"/>
      <c r="W137" s="90" t="n"/>
      <c r="X137" s="90" t="n"/>
      <c r="Y137" s="90" t="n"/>
      <c r="Z137" s="90" t="n"/>
      <c r="AA137" s="90" t="n"/>
      <c r="AB137" s="90" t="n"/>
      <c r="AC137" s="90" t="n"/>
      <c r="AD137" s="90" t="n"/>
      <c r="AE137" s="90" t="n"/>
      <c r="AF137" s="90" t="n"/>
      <c r="AG137" s="90" t="n"/>
      <c r="AH137" s="90" t="n"/>
      <c r="AI137" s="90" t="n"/>
      <c r="AJ137" s="90" t="n"/>
      <c r="AK137" s="90" t="n"/>
      <c r="AL137" s="90" t="n"/>
      <c r="AM137" s="90" t="n"/>
      <c r="AN137" s="90" t="n"/>
      <c r="AO137" s="90" t="n"/>
      <c r="AP137" s="90" t="n"/>
      <c r="AQ137" s="90" t="n"/>
      <c r="AR137" s="90" t="n"/>
      <c r="AS137" s="90" t="n"/>
      <c r="AT137" s="90" t="n"/>
      <c r="AU137" s="90" t="n"/>
      <c r="AV137" s="90" t="n"/>
      <c r="AW137" s="90" t="n"/>
      <c r="AX137" s="90" t="n"/>
      <c r="AY137" s="90" t="n"/>
    </row>
    <row r="138" ht="20" customHeight="1">
      <c r="A138" s="89">
        <f>IF(Roster!$A$136&lt;&gt;"",Roster!$A$136,"")</f>
        <v/>
      </c>
      <c r="B138" s="90" t="n"/>
      <c r="C138" s="90" t="n"/>
      <c r="D138" s="90" t="n"/>
      <c r="E138" s="90" t="n"/>
      <c r="F138" s="90" t="n"/>
      <c r="G138" s="90" t="n"/>
      <c r="H138" s="90" t="n"/>
      <c r="I138" s="90" t="n"/>
      <c r="J138" s="90" t="n"/>
      <c r="K138" s="90" t="n"/>
      <c r="L138" s="90" t="n"/>
      <c r="M138" s="90" t="n"/>
      <c r="N138" s="90" t="n"/>
      <c r="O138" s="90" t="n"/>
      <c r="P138" s="90" t="n"/>
      <c r="Q138" s="90" t="n"/>
      <c r="R138" s="90" t="n"/>
      <c r="S138" s="90" t="n"/>
      <c r="T138" s="90" t="n"/>
      <c r="U138" s="90" t="n"/>
      <c r="V138" s="90" t="n"/>
      <c r="W138" s="90" t="n"/>
      <c r="X138" s="90" t="n"/>
      <c r="Y138" s="90" t="n"/>
      <c r="Z138" s="90" t="n"/>
      <c r="AA138" s="90" t="n"/>
      <c r="AB138" s="90" t="n"/>
      <c r="AC138" s="90" t="n"/>
      <c r="AD138" s="90" t="n"/>
      <c r="AE138" s="90" t="n"/>
      <c r="AF138" s="90" t="n"/>
      <c r="AG138" s="90" t="n"/>
      <c r="AH138" s="90" t="n"/>
      <c r="AI138" s="90" t="n"/>
      <c r="AJ138" s="90" t="n"/>
      <c r="AK138" s="90" t="n"/>
      <c r="AL138" s="90" t="n"/>
      <c r="AM138" s="90" t="n"/>
      <c r="AN138" s="90" t="n"/>
      <c r="AO138" s="90" t="n"/>
      <c r="AP138" s="90" t="n"/>
      <c r="AQ138" s="90" t="n"/>
      <c r="AR138" s="90" t="n"/>
      <c r="AS138" s="90" t="n"/>
      <c r="AT138" s="90" t="n"/>
      <c r="AU138" s="90" t="n"/>
      <c r="AV138" s="90" t="n"/>
      <c r="AW138" s="90" t="n"/>
      <c r="AX138" s="90" t="n"/>
      <c r="AY138" s="90" t="n"/>
    </row>
    <row r="139" ht="20" customHeight="1">
      <c r="A139" s="89">
        <f>IF(Roster!$A$137&lt;&gt;"",Roster!$A$137,"")</f>
        <v/>
      </c>
      <c r="B139" s="90" t="n"/>
      <c r="C139" s="90" t="n"/>
      <c r="D139" s="90" t="n"/>
      <c r="E139" s="90" t="n"/>
      <c r="F139" s="90" t="n"/>
      <c r="G139" s="90" t="n"/>
      <c r="H139" s="90" t="n"/>
      <c r="I139" s="90" t="n"/>
      <c r="J139" s="90" t="n"/>
      <c r="K139" s="90" t="n"/>
      <c r="L139" s="90" t="n"/>
      <c r="M139" s="90" t="n"/>
      <c r="N139" s="90" t="n"/>
      <c r="O139" s="90" t="n"/>
      <c r="P139" s="90" t="n"/>
      <c r="Q139" s="90" t="n"/>
      <c r="R139" s="90" t="n"/>
      <c r="S139" s="90" t="n"/>
      <c r="T139" s="90" t="n"/>
      <c r="U139" s="90" t="n"/>
      <c r="V139" s="90" t="n"/>
      <c r="W139" s="90" t="n"/>
      <c r="X139" s="90" t="n"/>
      <c r="Y139" s="90" t="n"/>
      <c r="Z139" s="90" t="n"/>
      <c r="AA139" s="90" t="n"/>
      <c r="AB139" s="90" t="n"/>
      <c r="AC139" s="90" t="n"/>
      <c r="AD139" s="90" t="n"/>
      <c r="AE139" s="90" t="n"/>
      <c r="AF139" s="90" t="n"/>
      <c r="AG139" s="90" t="n"/>
      <c r="AH139" s="90" t="n"/>
      <c r="AI139" s="90" t="n"/>
      <c r="AJ139" s="90" t="n"/>
      <c r="AK139" s="90" t="n"/>
      <c r="AL139" s="90" t="n"/>
      <c r="AM139" s="90" t="n"/>
      <c r="AN139" s="90" t="n"/>
      <c r="AO139" s="90" t="n"/>
      <c r="AP139" s="90" t="n"/>
      <c r="AQ139" s="90" t="n"/>
      <c r="AR139" s="90" t="n"/>
      <c r="AS139" s="90" t="n"/>
      <c r="AT139" s="90" t="n"/>
      <c r="AU139" s="90" t="n"/>
      <c r="AV139" s="90" t="n"/>
      <c r="AW139" s="90" t="n"/>
      <c r="AX139" s="90" t="n"/>
      <c r="AY139" s="90" t="n"/>
    </row>
    <row r="140" ht="20" customHeight="1">
      <c r="A140" s="89">
        <f>IF(Roster!$A$138&lt;&gt;"",Roster!$A$138,"")</f>
        <v/>
      </c>
      <c r="B140" s="90" t="n"/>
      <c r="C140" s="90" t="n"/>
      <c r="D140" s="90" t="n"/>
      <c r="E140" s="90" t="n"/>
      <c r="F140" s="90" t="n"/>
      <c r="G140" s="90" t="n"/>
      <c r="H140" s="90" t="n"/>
      <c r="I140" s="90" t="n"/>
      <c r="J140" s="90" t="n"/>
      <c r="K140" s="90" t="n"/>
      <c r="L140" s="90" t="n"/>
      <c r="M140" s="90" t="n"/>
      <c r="N140" s="90" t="n"/>
      <c r="O140" s="90" t="n"/>
      <c r="P140" s="90" t="n"/>
      <c r="Q140" s="90" t="n"/>
      <c r="R140" s="90" t="n"/>
      <c r="S140" s="90" t="n"/>
      <c r="T140" s="90" t="n"/>
      <c r="U140" s="90" t="n"/>
      <c r="V140" s="90" t="n"/>
      <c r="W140" s="90" t="n"/>
      <c r="X140" s="90" t="n"/>
      <c r="Y140" s="90" t="n"/>
      <c r="Z140" s="90" t="n"/>
      <c r="AA140" s="90" t="n"/>
      <c r="AB140" s="90" t="n"/>
      <c r="AC140" s="90" t="n"/>
      <c r="AD140" s="90" t="n"/>
      <c r="AE140" s="90" t="n"/>
      <c r="AF140" s="90" t="n"/>
      <c r="AG140" s="90" t="n"/>
      <c r="AH140" s="90" t="n"/>
      <c r="AI140" s="90" t="n"/>
      <c r="AJ140" s="90" t="n"/>
      <c r="AK140" s="90" t="n"/>
      <c r="AL140" s="90" t="n"/>
      <c r="AM140" s="90" t="n"/>
      <c r="AN140" s="90" t="n"/>
      <c r="AO140" s="90" t="n"/>
      <c r="AP140" s="90" t="n"/>
      <c r="AQ140" s="90" t="n"/>
      <c r="AR140" s="90" t="n"/>
      <c r="AS140" s="90" t="n"/>
      <c r="AT140" s="90" t="n"/>
      <c r="AU140" s="90" t="n"/>
      <c r="AV140" s="90" t="n"/>
      <c r="AW140" s="90" t="n"/>
      <c r="AX140" s="90" t="n"/>
      <c r="AY140" s="90" t="n"/>
    </row>
    <row r="141" ht="20" customHeight="1">
      <c r="A141" s="89">
        <f>IF(Roster!$A$139&lt;&gt;"",Roster!$A$139,"")</f>
        <v/>
      </c>
      <c r="B141" s="90" t="n"/>
      <c r="C141" s="90" t="n"/>
      <c r="D141" s="90" t="n"/>
      <c r="E141" s="90" t="n"/>
      <c r="F141" s="90" t="n"/>
      <c r="G141" s="90" t="n"/>
      <c r="H141" s="90" t="n"/>
      <c r="I141" s="90" t="n"/>
      <c r="J141" s="90" t="n"/>
      <c r="K141" s="90" t="n"/>
      <c r="L141" s="90" t="n"/>
      <c r="M141" s="90" t="n"/>
      <c r="N141" s="90" t="n"/>
      <c r="O141" s="90" t="n"/>
      <c r="P141" s="90" t="n"/>
      <c r="Q141" s="90" t="n"/>
      <c r="R141" s="90" t="n"/>
      <c r="S141" s="90" t="n"/>
      <c r="T141" s="90" t="n"/>
      <c r="U141" s="90" t="n"/>
      <c r="V141" s="90" t="n"/>
      <c r="W141" s="90" t="n"/>
      <c r="X141" s="90" t="n"/>
      <c r="Y141" s="90" t="n"/>
      <c r="Z141" s="90" t="n"/>
      <c r="AA141" s="90" t="n"/>
      <c r="AB141" s="90" t="n"/>
      <c r="AC141" s="90" t="n"/>
      <c r="AD141" s="90" t="n"/>
      <c r="AE141" s="90" t="n"/>
      <c r="AF141" s="90" t="n"/>
      <c r="AG141" s="90" t="n"/>
      <c r="AH141" s="90" t="n"/>
      <c r="AI141" s="90" t="n"/>
      <c r="AJ141" s="90" t="n"/>
      <c r="AK141" s="90" t="n"/>
      <c r="AL141" s="90" t="n"/>
      <c r="AM141" s="90" t="n"/>
      <c r="AN141" s="90" t="n"/>
      <c r="AO141" s="90" t="n"/>
      <c r="AP141" s="90" t="n"/>
      <c r="AQ141" s="90" t="n"/>
      <c r="AR141" s="90" t="n"/>
      <c r="AS141" s="90" t="n"/>
      <c r="AT141" s="90" t="n"/>
      <c r="AU141" s="90" t="n"/>
      <c r="AV141" s="90" t="n"/>
      <c r="AW141" s="90" t="n"/>
      <c r="AX141" s="90" t="n"/>
      <c r="AY141" s="90" t="n"/>
    </row>
    <row r="142" ht="20" customHeight="1">
      <c r="A142" s="89">
        <f>IF(Roster!$A$140&lt;&gt;"",Roster!$A$140,"")</f>
        <v/>
      </c>
      <c r="B142" s="90" t="n"/>
      <c r="C142" s="90" t="n"/>
      <c r="D142" s="90" t="n"/>
      <c r="E142" s="90" t="n"/>
      <c r="F142" s="90" t="n"/>
      <c r="G142" s="90" t="n"/>
      <c r="H142" s="90" t="n"/>
      <c r="I142" s="90" t="n"/>
      <c r="J142" s="90" t="n"/>
      <c r="K142" s="90" t="n"/>
      <c r="L142" s="90" t="n"/>
      <c r="M142" s="90" t="n"/>
      <c r="N142" s="90" t="n"/>
      <c r="O142" s="90" t="n"/>
      <c r="P142" s="90" t="n"/>
      <c r="Q142" s="90" t="n"/>
      <c r="R142" s="90" t="n"/>
      <c r="S142" s="90" t="n"/>
      <c r="T142" s="90" t="n"/>
      <c r="U142" s="90" t="n"/>
      <c r="V142" s="90" t="n"/>
      <c r="W142" s="90" t="n"/>
      <c r="X142" s="90" t="n"/>
      <c r="Y142" s="90" t="n"/>
      <c r="Z142" s="90" t="n"/>
      <c r="AA142" s="90" t="n"/>
      <c r="AB142" s="90" t="n"/>
      <c r="AC142" s="90" t="n"/>
      <c r="AD142" s="90" t="n"/>
      <c r="AE142" s="90" t="n"/>
      <c r="AF142" s="90" t="n"/>
      <c r="AG142" s="90" t="n"/>
      <c r="AH142" s="90" t="n"/>
      <c r="AI142" s="90" t="n"/>
      <c r="AJ142" s="90" t="n"/>
      <c r="AK142" s="90" t="n"/>
      <c r="AL142" s="90" t="n"/>
      <c r="AM142" s="90" t="n"/>
      <c r="AN142" s="90" t="n"/>
      <c r="AO142" s="90" t="n"/>
      <c r="AP142" s="90" t="n"/>
      <c r="AQ142" s="90" t="n"/>
      <c r="AR142" s="90" t="n"/>
      <c r="AS142" s="90" t="n"/>
      <c r="AT142" s="90" t="n"/>
      <c r="AU142" s="90" t="n"/>
      <c r="AV142" s="90" t="n"/>
      <c r="AW142" s="90" t="n"/>
      <c r="AX142" s="90" t="n"/>
      <c r="AY142" s="90" t="n"/>
    </row>
    <row r="143" ht="20" customHeight="1">
      <c r="A143" s="89">
        <f>IF(Roster!$A$141&lt;&gt;"",Roster!$A$141,"")</f>
        <v/>
      </c>
      <c r="B143" s="90" t="n"/>
      <c r="C143" s="90" t="n"/>
      <c r="D143" s="90" t="n"/>
      <c r="E143" s="90" t="n"/>
      <c r="F143" s="90" t="n"/>
      <c r="G143" s="90" t="n"/>
      <c r="H143" s="90" t="n"/>
      <c r="I143" s="90" t="n"/>
      <c r="J143" s="90" t="n"/>
      <c r="K143" s="90" t="n"/>
      <c r="L143" s="90" t="n"/>
      <c r="M143" s="90" t="n"/>
      <c r="N143" s="90" t="n"/>
      <c r="O143" s="90" t="n"/>
      <c r="P143" s="90" t="n"/>
      <c r="Q143" s="90" t="n"/>
      <c r="R143" s="90" t="n"/>
      <c r="S143" s="90" t="n"/>
      <c r="T143" s="90" t="n"/>
      <c r="U143" s="90" t="n"/>
      <c r="V143" s="90" t="n"/>
      <c r="W143" s="90" t="n"/>
      <c r="X143" s="90" t="n"/>
      <c r="Y143" s="90" t="n"/>
      <c r="Z143" s="90" t="n"/>
      <c r="AA143" s="90" t="n"/>
      <c r="AB143" s="90" t="n"/>
      <c r="AC143" s="90" t="n"/>
      <c r="AD143" s="90" t="n"/>
      <c r="AE143" s="90" t="n"/>
      <c r="AF143" s="90" t="n"/>
      <c r="AG143" s="90" t="n"/>
      <c r="AH143" s="90" t="n"/>
      <c r="AI143" s="90" t="n"/>
      <c r="AJ143" s="90" t="n"/>
      <c r="AK143" s="90" t="n"/>
      <c r="AL143" s="90" t="n"/>
      <c r="AM143" s="90" t="n"/>
      <c r="AN143" s="90" t="n"/>
      <c r="AO143" s="90" t="n"/>
      <c r="AP143" s="90" t="n"/>
      <c r="AQ143" s="90" t="n"/>
      <c r="AR143" s="90" t="n"/>
      <c r="AS143" s="90" t="n"/>
      <c r="AT143" s="90" t="n"/>
      <c r="AU143" s="90" t="n"/>
      <c r="AV143" s="90" t="n"/>
      <c r="AW143" s="90" t="n"/>
      <c r="AX143" s="90" t="n"/>
      <c r="AY143" s="90" t="n"/>
    </row>
    <row r="144" ht="20" customHeight="1">
      <c r="A144" s="89">
        <f>IF(Roster!$A$142&lt;&gt;"",Roster!$A$142,"")</f>
        <v/>
      </c>
      <c r="B144" s="90" t="n"/>
      <c r="C144" s="90" t="n"/>
      <c r="D144" s="90" t="n"/>
      <c r="E144" s="90" t="n"/>
      <c r="F144" s="90" t="n"/>
      <c r="G144" s="90" t="n"/>
      <c r="H144" s="90" t="n"/>
      <c r="I144" s="90" t="n"/>
      <c r="J144" s="90" t="n"/>
      <c r="K144" s="90" t="n"/>
      <c r="L144" s="90" t="n"/>
      <c r="M144" s="90" t="n"/>
      <c r="N144" s="90" t="n"/>
      <c r="O144" s="90" t="n"/>
      <c r="P144" s="90" t="n"/>
      <c r="Q144" s="90" t="n"/>
      <c r="R144" s="90" t="n"/>
      <c r="S144" s="90" t="n"/>
      <c r="T144" s="90" t="n"/>
      <c r="U144" s="90" t="n"/>
      <c r="V144" s="90" t="n"/>
      <c r="W144" s="90" t="n"/>
      <c r="X144" s="90" t="n"/>
      <c r="Y144" s="90" t="n"/>
      <c r="Z144" s="90" t="n"/>
      <c r="AA144" s="90" t="n"/>
      <c r="AB144" s="90" t="n"/>
      <c r="AC144" s="90" t="n"/>
      <c r="AD144" s="90" t="n"/>
      <c r="AE144" s="90" t="n"/>
      <c r="AF144" s="90" t="n"/>
      <c r="AG144" s="90" t="n"/>
      <c r="AH144" s="90" t="n"/>
      <c r="AI144" s="90" t="n"/>
      <c r="AJ144" s="90" t="n"/>
      <c r="AK144" s="90" t="n"/>
      <c r="AL144" s="90" t="n"/>
      <c r="AM144" s="90" t="n"/>
      <c r="AN144" s="90" t="n"/>
      <c r="AO144" s="90" t="n"/>
      <c r="AP144" s="90" t="n"/>
      <c r="AQ144" s="90" t="n"/>
      <c r="AR144" s="90" t="n"/>
      <c r="AS144" s="90" t="n"/>
      <c r="AT144" s="90" t="n"/>
      <c r="AU144" s="90" t="n"/>
      <c r="AV144" s="90" t="n"/>
      <c r="AW144" s="90" t="n"/>
      <c r="AX144" s="90" t="n"/>
      <c r="AY144" s="90" t="n"/>
    </row>
    <row r="145" ht="20" customHeight="1">
      <c r="A145" s="89">
        <f>IF(Roster!$A$143&lt;&gt;"",Roster!$A$143,"")</f>
        <v/>
      </c>
      <c r="B145" s="90" t="n"/>
      <c r="C145" s="90" t="n"/>
      <c r="D145" s="90" t="n"/>
      <c r="E145" s="90" t="n"/>
      <c r="F145" s="90" t="n"/>
      <c r="G145" s="90" t="n"/>
      <c r="H145" s="90" t="n"/>
      <c r="I145" s="90" t="n"/>
      <c r="J145" s="90" t="n"/>
      <c r="K145" s="90" t="n"/>
      <c r="L145" s="90" t="n"/>
      <c r="M145" s="90" t="n"/>
      <c r="N145" s="90" t="n"/>
      <c r="O145" s="90" t="n"/>
      <c r="P145" s="90" t="n"/>
      <c r="Q145" s="90" t="n"/>
      <c r="R145" s="90" t="n"/>
      <c r="S145" s="90" t="n"/>
      <c r="T145" s="90" t="n"/>
      <c r="U145" s="90" t="n"/>
      <c r="V145" s="90" t="n"/>
      <c r="W145" s="90" t="n"/>
      <c r="X145" s="90" t="n"/>
      <c r="Y145" s="90" t="n"/>
      <c r="Z145" s="90" t="n"/>
      <c r="AA145" s="90" t="n"/>
      <c r="AB145" s="90" t="n"/>
      <c r="AC145" s="90" t="n"/>
      <c r="AD145" s="90" t="n"/>
      <c r="AE145" s="90" t="n"/>
      <c r="AF145" s="90" t="n"/>
      <c r="AG145" s="90" t="n"/>
      <c r="AH145" s="90" t="n"/>
      <c r="AI145" s="90" t="n"/>
      <c r="AJ145" s="90" t="n"/>
      <c r="AK145" s="90" t="n"/>
      <c r="AL145" s="90" t="n"/>
      <c r="AM145" s="90" t="n"/>
      <c r="AN145" s="90" t="n"/>
      <c r="AO145" s="90" t="n"/>
      <c r="AP145" s="90" t="n"/>
      <c r="AQ145" s="90" t="n"/>
      <c r="AR145" s="90" t="n"/>
      <c r="AS145" s="90" t="n"/>
      <c r="AT145" s="90" t="n"/>
      <c r="AU145" s="90" t="n"/>
      <c r="AV145" s="90" t="n"/>
      <c r="AW145" s="90" t="n"/>
      <c r="AX145" s="90" t="n"/>
      <c r="AY145" s="90" t="n"/>
    </row>
    <row r="146" ht="20" customHeight="1">
      <c r="A146" s="89">
        <f>IF(Roster!$A$144&lt;&gt;"",Roster!$A$144,"")</f>
        <v/>
      </c>
      <c r="B146" s="90" t="n"/>
      <c r="C146" s="90" t="n"/>
      <c r="D146" s="90" t="n"/>
      <c r="E146" s="90" t="n"/>
      <c r="F146" s="90" t="n"/>
      <c r="G146" s="90" t="n"/>
      <c r="H146" s="90" t="n"/>
      <c r="I146" s="90" t="n"/>
      <c r="J146" s="90" t="n"/>
      <c r="K146" s="90" t="n"/>
      <c r="L146" s="90" t="n"/>
      <c r="M146" s="90" t="n"/>
      <c r="N146" s="90" t="n"/>
      <c r="O146" s="90" t="n"/>
      <c r="P146" s="90" t="n"/>
      <c r="Q146" s="90" t="n"/>
      <c r="R146" s="90" t="n"/>
      <c r="S146" s="90" t="n"/>
      <c r="T146" s="90" t="n"/>
      <c r="U146" s="90" t="n"/>
      <c r="V146" s="90" t="n"/>
      <c r="W146" s="90" t="n"/>
      <c r="X146" s="90" t="n"/>
      <c r="Y146" s="90" t="n"/>
      <c r="Z146" s="90" t="n"/>
      <c r="AA146" s="90" t="n"/>
      <c r="AB146" s="90" t="n"/>
      <c r="AC146" s="90" t="n"/>
      <c r="AD146" s="90" t="n"/>
      <c r="AE146" s="90" t="n"/>
      <c r="AF146" s="90" t="n"/>
      <c r="AG146" s="90" t="n"/>
      <c r="AH146" s="90" t="n"/>
      <c r="AI146" s="90" t="n"/>
      <c r="AJ146" s="90" t="n"/>
      <c r="AK146" s="90" t="n"/>
      <c r="AL146" s="90" t="n"/>
      <c r="AM146" s="90" t="n"/>
      <c r="AN146" s="90" t="n"/>
      <c r="AO146" s="90" t="n"/>
      <c r="AP146" s="90" t="n"/>
      <c r="AQ146" s="90" t="n"/>
      <c r="AR146" s="90" t="n"/>
      <c r="AS146" s="90" t="n"/>
      <c r="AT146" s="90" t="n"/>
      <c r="AU146" s="90" t="n"/>
      <c r="AV146" s="90" t="n"/>
      <c r="AW146" s="90" t="n"/>
      <c r="AX146" s="90" t="n"/>
      <c r="AY146" s="90" t="n"/>
    </row>
    <row r="147" ht="20" customHeight="1">
      <c r="A147" s="89">
        <f>IF(Roster!$A$145&lt;&gt;"",Roster!$A$145,"")</f>
        <v/>
      </c>
      <c r="B147" s="90" t="n"/>
      <c r="C147" s="90" t="n"/>
      <c r="D147" s="90" t="n"/>
      <c r="E147" s="90" t="n"/>
      <c r="F147" s="90" t="n"/>
      <c r="G147" s="90" t="n"/>
      <c r="H147" s="90" t="n"/>
      <c r="I147" s="90" t="n"/>
      <c r="J147" s="90" t="n"/>
      <c r="K147" s="90" t="n"/>
      <c r="L147" s="90" t="n"/>
      <c r="M147" s="90" t="n"/>
      <c r="N147" s="90" t="n"/>
      <c r="O147" s="90" t="n"/>
      <c r="P147" s="90" t="n"/>
      <c r="Q147" s="90" t="n"/>
      <c r="R147" s="90" t="n"/>
      <c r="S147" s="90" t="n"/>
      <c r="T147" s="90" t="n"/>
      <c r="U147" s="90" t="n"/>
      <c r="V147" s="90" t="n"/>
      <c r="W147" s="90" t="n"/>
      <c r="X147" s="90" t="n"/>
      <c r="Y147" s="90" t="n"/>
      <c r="Z147" s="90" t="n"/>
      <c r="AA147" s="90" t="n"/>
      <c r="AB147" s="90" t="n"/>
      <c r="AC147" s="90" t="n"/>
      <c r="AD147" s="90" t="n"/>
      <c r="AE147" s="90" t="n"/>
      <c r="AF147" s="90" t="n"/>
      <c r="AG147" s="90" t="n"/>
      <c r="AH147" s="90" t="n"/>
      <c r="AI147" s="90" t="n"/>
      <c r="AJ147" s="90" t="n"/>
      <c r="AK147" s="90" t="n"/>
      <c r="AL147" s="90" t="n"/>
      <c r="AM147" s="90" t="n"/>
      <c r="AN147" s="90" t="n"/>
      <c r="AO147" s="90" t="n"/>
      <c r="AP147" s="90" t="n"/>
      <c r="AQ147" s="90" t="n"/>
      <c r="AR147" s="90" t="n"/>
      <c r="AS147" s="90" t="n"/>
      <c r="AT147" s="90" t="n"/>
      <c r="AU147" s="90" t="n"/>
      <c r="AV147" s="90" t="n"/>
      <c r="AW147" s="90" t="n"/>
      <c r="AX147" s="90" t="n"/>
      <c r="AY147" s="90" t="n"/>
    </row>
    <row r="148" ht="20" customHeight="1">
      <c r="A148" s="89">
        <f>IF(Roster!$A$146&lt;&gt;"",Roster!$A$146,"")</f>
        <v/>
      </c>
      <c r="B148" s="90" t="n"/>
      <c r="C148" s="90" t="n"/>
      <c r="D148" s="90" t="n"/>
      <c r="E148" s="90" t="n"/>
      <c r="F148" s="90" t="n"/>
      <c r="G148" s="90" t="n"/>
      <c r="H148" s="90" t="n"/>
      <c r="I148" s="90" t="n"/>
      <c r="J148" s="90" t="n"/>
      <c r="K148" s="90" t="n"/>
      <c r="L148" s="90" t="n"/>
      <c r="M148" s="90" t="n"/>
      <c r="N148" s="90" t="n"/>
      <c r="O148" s="90" t="n"/>
      <c r="P148" s="90" t="n"/>
      <c r="Q148" s="90" t="n"/>
      <c r="R148" s="90" t="n"/>
      <c r="S148" s="90" t="n"/>
      <c r="T148" s="90" t="n"/>
      <c r="U148" s="90" t="n"/>
      <c r="V148" s="90" t="n"/>
      <c r="W148" s="90" t="n"/>
      <c r="X148" s="90" t="n"/>
      <c r="Y148" s="90" t="n"/>
      <c r="Z148" s="90" t="n"/>
      <c r="AA148" s="90" t="n"/>
      <c r="AB148" s="90" t="n"/>
      <c r="AC148" s="90" t="n"/>
      <c r="AD148" s="90" t="n"/>
      <c r="AE148" s="90" t="n"/>
      <c r="AF148" s="90" t="n"/>
      <c r="AG148" s="90" t="n"/>
      <c r="AH148" s="90" t="n"/>
      <c r="AI148" s="90" t="n"/>
      <c r="AJ148" s="90" t="n"/>
      <c r="AK148" s="90" t="n"/>
      <c r="AL148" s="90" t="n"/>
      <c r="AM148" s="90" t="n"/>
      <c r="AN148" s="90" t="n"/>
      <c r="AO148" s="90" t="n"/>
      <c r="AP148" s="90" t="n"/>
      <c r="AQ148" s="90" t="n"/>
      <c r="AR148" s="90" t="n"/>
      <c r="AS148" s="90" t="n"/>
      <c r="AT148" s="90" t="n"/>
      <c r="AU148" s="90" t="n"/>
      <c r="AV148" s="90" t="n"/>
      <c r="AW148" s="90" t="n"/>
      <c r="AX148" s="90" t="n"/>
      <c r="AY148" s="90" t="n"/>
    </row>
    <row r="149" ht="20" customHeight="1">
      <c r="A149" s="89">
        <f>IF(Roster!$A$147&lt;&gt;"",Roster!$A$147,"")</f>
        <v/>
      </c>
      <c r="B149" s="90" t="n"/>
      <c r="C149" s="90" t="n"/>
      <c r="D149" s="90" t="n"/>
      <c r="E149" s="90" t="n"/>
      <c r="F149" s="90" t="n"/>
      <c r="G149" s="90" t="n"/>
      <c r="H149" s="90" t="n"/>
      <c r="I149" s="90" t="n"/>
      <c r="J149" s="90" t="n"/>
      <c r="K149" s="90" t="n"/>
      <c r="L149" s="90" t="n"/>
      <c r="M149" s="90" t="n"/>
      <c r="N149" s="90" t="n"/>
      <c r="O149" s="90" t="n"/>
      <c r="P149" s="90" t="n"/>
      <c r="Q149" s="90" t="n"/>
      <c r="R149" s="90" t="n"/>
      <c r="S149" s="90" t="n"/>
      <c r="T149" s="90" t="n"/>
      <c r="U149" s="90" t="n"/>
      <c r="V149" s="90" t="n"/>
      <c r="W149" s="90" t="n"/>
      <c r="X149" s="90" t="n"/>
      <c r="Y149" s="90" t="n"/>
      <c r="Z149" s="90" t="n"/>
      <c r="AA149" s="90" t="n"/>
      <c r="AB149" s="90" t="n"/>
      <c r="AC149" s="90" t="n"/>
      <c r="AD149" s="90" t="n"/>
      <c r="AE149" s="90" t="n"/>
      <c r="AF149" s="90" t="n"/>
      <c r="AG149" s="90" t="n"/>
      <c r="AH149" s="90" t="n"/>
      <c r="AI149" s="90" t="n"/>
      <c r="AJ149" s="90" t="n"/>
      <c r="AK149" s="90" t="n"/>
      <c r="AL149" s="90" t="n"/>
      <c r="AM149" s="90" t="n"/>
      <c r="AN149" s="90" t="n"/>
      <c r="AO149" s="90" t="n"/>
      <c r="AP149" s="90" t="n"/>
      <c r="AQ149" s="90" t="n"/>
      <c r="AR149" s="90" t="n"/>
      <c r="AS149" s="90" t="n"/>
      <c r="AT149" s="90" t="n"/>
      <c r="AU149" s="90" t="n"/>
      <c r="AV149" s="90" t="n"/>
      <c r="AW149" s="90" t="n"/>
      <c r="AX149" s="90" t="n"/>
      <c r="AY149" s="90" t="n"/>
    </row>
    <row r="150" ht="20" customHeight="1">
      <c r="A150" s="89">
        <f>IF(Roster!$A$148&lt;&gt;"",Roster!$A$148,"")</f>
        <v/>
      </c>
      <c r="B150" s="90" t="n"/>
      <c r="C150" s="90" t="n"/>
      <c r="D150" s="90" t="n"/>
      <c r="E150" s="90" t="n"/>
      <c r="F150" s="90" t="n"/>
      <c r="G150" s="90" t="n"/>
      <c r="H150" s="90" t="n"/>
      <c r="I150" s="90" t="n"/>
      <c r="J150" s="90" t="n"/>
      <c r="K150" s="90" t="n"/>
      <c r="L150" s="90" t="n"/>
      <c r="M150" s="90" t="n"/>
      <c r="N150" s="90" t="n"/>
      <c r="O150" s="90" t="n"/>
      <c r="P150" s="90" t="n"/>
      <c r="Q150" s="90" t="n"/>
      <c r="R150" s="90" t="n"/>
      <c r="S150" s="90" t="n"/>
      <c r="T150" s="90" t="n"/>
      <c r="U150" s="90" t="n"/>
      <c r="V150" s="90" t="n"/>
      <c r="W150" s="90" t="n"/>
      <c r="X150" s="90" t="n"/>
      <c r="Y150" s="90" t="n"/>
      <c r="Z150" s="90" t="n"/>
      <c r="AA150" s="90" t="n"/>
      <c r="AB150" s="90" t="n"/>
      <c r="AC150" s="90" t="n"/>
      <c r="AD150" s="90" t="n"/>
      <c r="AE150" s="90" t="n"/>
      <c r="AF150" s="90" t="n"/>
      <c r="AG150" s="90" t="n"/>
      <c r="AH150" s="90" t="n"/>
      <c r="AI150" s="90" t="n"/>
      <c r="AJ150" s="90" t="n"/>
      <c r="AK150" s="90" t="n"/>
      <c r="AL150" s="90" t="n"/>
      <c r="AM150" s="90" t="n"/>
      <c r="AN150" s="90" t="n"/>
      <c r="AO150" s="90" t="n"/>
      <c r="AP150" s="90" t="n"/>
      <c r="AQ150" s="90" t="n"/>
      <c r="AR150" s="90" t="n"/>
      <c r="AS150" s="90" t="n"/>
      <c r="AT150" s="90" t="n"/>
      <c r="AU150" s="90" t="n"/>
      <c r="AV150" s="90" t="n"/>
      <c r="AW150" s="90" t="n"/>
      <c r="AX150" s="90" t="n"/>
      <c r="AY150" s="90" t="n"/>
    </row>
    <row r="151" ht="20" customHeight="1">
      <c r="A151" s="89">
        <f>IF(Roster!$A$149&lt;&gt;"",Roster!$A$149,"")</f>
        <v/>
      </c>
      <c r="B151" s="90" t="n"/>
      <c r="C151" s="90" t="n"/>
      <c r="D151" s="90" t="n"/>
      <c r="E151" s="90" t="n"/>
      <c r="F151" s="90" t="n"/>
      <c r="G151" s="90" t="n"/>
      <c r="H151" s="90" t="n"/>
      <c r="I151" s="90" t="n"/>
      <c r="J151" s="90" t="n"/>
      <c r="K151" s="90" t="n"/>
      <c r="L151" s="90" t="n"/>
      <c r="M151" s="90" t="n"/>
      <c r="N151" s="90" t="n"/>
      <c r="O151" s="90" t="n"/>
      <c r="P151" s="90" t="n"/>
      <c r="Q151" s="90" t="n"/>
      <c r="R151" s="90" t="n"/>
      <c r="S151" s="90" t="n"/>
      <c r="T151" s="90" t="n"/>
      <c r="U151" s="90" t="n"/>
      <c r="V151" s="90" t="n"/>
      <c r="W151" s="90" t="n"/>
      <c r="X151" s="90" t="n"/>
      <c r="Y151" s="90" t="n"/>
      <c r="Z151" s="90" t="n"/>
      <c r="AA151" s="90" t="n"/>
      <c r="AB151" s="90" t="n"/>
      <c r="AC151" s="90" t="n"/>
      <c r="AD151" s="90" t="n"/>
      <c r="AE151" s="90" t="n"/>
      <c r="AF151" s="90" t="n"/>
      <c r="AG151" s="90" t="n"/>
      <c r="AH151" s="90" t="n"/>
      <c r="AI151" s="90" t="n"/>
      <c r="AJ151" s="90" t="n"/>
      <c r="AK151" s="90" t="n"/>
      <c r="AL151" s="90" t="n"/>
      <c r="AM151" s="90" t="n"/>
      <c r="AN151" s="90" t="n"/>
      <c r="AO151" s="90" t="n"/>
      <c r="AP151" s="90" t="n"/>
      <c r="AQ151" s="90" t="n"/>
      <c r="AR151" s="90" t="n"/>
      <c r="AS151" s="90" t="n"/>
      <c r="AT151" s="90" t="n"/>
      <c r="AU151" s="90" t="n"/>
      <c r="AV151" s="90" t="n"/>
      <c r="AW151" s="90" t="n"/>
      <c r="AX151" s="90" t="n"/>
      <c r="AY151" s="90" t="n"/>
    </row>
    <row r="152" ht="20" customHeight="1">
      <c r="A152" s="89">
        <f>IF(Roster!$A$150&lt;&gt;"",Roster!$A$150,"")</f>
        <v/>
      </c>
      <c r="B152" s="90" t="n"/>
      <c r="C152" s="90" t="n"/>
      <c r="D152" s="90" t="n"/>
      <c r="E152" s="90" t="n"/>
      <c r="F152" s="90" t="n"/>
      <c r="G152" s="90" t="n"/>
      <c r="H152" s="90" t="n"/>
      <c r="I152" s="90" t="n"/>
      <c r="J152" s="90" t="n"/>
      <c r="K152" s="90" t="n"/>
      <c r="L152" s="90" t="n"/>
      <c r="M152" s="90" t="n"/>
      <c r="N152" s="90" t="n"/>
      <c r="O152" s="90" t="n"/>
      <c r="P152" s="90" t="n"/>
      <c r="Q152" s="90" t="n"/>
      <c r="R152" s="90" t="n"/>
      <c r="S152" s="90" t="n"/>
      <c r="T152" s="90" t="n"/>
      <c r="U152" s="90" t="n"/>
      <c r="V152" s="90" t="n"/>
      <c r="W152" s="90" t="n"/>
      <c r="X152" s="90" t="n"/>
      <c r="Y152" s="90" t="n"/>
      <c r="Z152" s="90" t="n"/>
      <c r="AA152" s="90" t="n"/>
      <c r="AB152" s="90" t="n"/>
      <c r="AC152" s="90" t="n"/>
      <c r="AD152" s="90" t="n"/>
      <c r="AE152" s="90" t="n"/>
      <c r="AF152" s="90" t="n"/>
      <c r="AG152" s="90" t="n"/>
      <c r="AH152" s="90" t="n"/>
      <c r="AI152" s="90" t="n"/>
      <c r="AJ152" s="90" t="n"/>
      <c r="AK152" s="90" t="n"/>
      <c r="AL152" s="90" t="n"/>
      <c r="AM152" s="90" t="n"/>
      <c r="AN152" s="90" t="n"/>
      <c r="AO152" s="90" t="n"/>
      <c r="AP152" s="90" t="n"/>
      <c r="AQ152" s="90" t="n"/>
      <c r="AR152" s="90" t="n"/>
      <c r="AS152" s="90" t="n"/>
      <c r="AT152" s="90" t="n"/>
      <c r="AU152" s="90" t="n"/>
      <c r="AV152" s="90" t="n"/>
      <c r="AW152" s="90" t="n"/>
      <c r="AX152" s="90" t="n"/>
      <c r="AY152" s="90" t="n"/>
    </row>
    <row r="153" ht="20" customHeight="1">
      <c r="A153" s="89">
        <f>IF(Roster!$A$151&lt;&gt;"",Roster!$A$151,"")</f>
        <v/>
      </c>
      <c r="B153" s="90" t="n"/>
      <c r="C153" s="90" t="n"/>
      <c r="D153" s="90" t="n"/>
      <c r="E153" s="90" t="n"/>
      <c r="F153" s="90" t="n"/>
      <c r="G153" s="90" t="n"/>
      <c r="H153" s="90" t="n"/>
      <c r="I153" s="90" t="n"/>
      <c r="J153" s="90" t="n"/>
      <c r="K153" s="90" t="n"/>
      <c r="L153" s="90" t="n"/>
      <c r="M153" s="90" t="n"/>
      <c r="N153" s="90" t="n"/>
      <c r="O153" s="90" t="n"/>
      <c r="P153" s="90" t="n"/>
      <c r="Q153" s="90" t="n"/>
      <c r="R153" s="90" t="n"/>
      <c r="S153" s="90" t="n"/>
      <c r="T153" s="90" t="n"/>
      <c r="U153" s="90" t="n"/>
      <c r="V153" s="90" t="n"/>
      <c r="W153" s="90" t="n"/>
      <c r="X153" s="90" t="n"/>
      <c r="Y153" s="90" t="n"/>
      <c r="Z153" s="90" t="n"/>
      <c r="AA153" s="90" t="n"/>
      <c r="AB153" s="90" t="n"/>
      <c r="AC153" s="90" t="n"/>
      <c r="AD153" s="90" t="n"/>
      <c r="AE153" s="90" t="n"/>
      <c r="AF153" s="90" t="n"/>
      <c r="AG153" s="90" t="n"/>
      <c r="AH153" s="90" t="n"/>
      <c r="AI153" s="90" t="n"/>
      <c r="AJ153" s="90" t="n"/>
      <c r="AK153" s="90" t="n"/>
      <c r="AL153" s="90" t="n"/>
      <c r="AM153" s="90" t="n"/>
      <c r="AN153" s="90" t="n"/>
      <c r="AO153" s="90" t="n"/>
      <c r="AP153" s="90" t="n"/>
      <c r="AQ153" s="90" t="n"/>
      <c r="AR153" s="90" t="n"/>
      <c r="AS153" s="90" t="n"/>
      <c r="AT153" s="90" t="n"/>
      <c r="AU153" s="90" t="n"/>
      <c r="AV153" s="90" t="n"/>
      <c r="AW153" s="90" t="n"/>
      <c r="AX153" s="90" t="n"/>
      <c r="AY153" s="90" t="n"/>
    </row>
    <row r="154" ht="20" customHeight="1">
      <c r="A154" s="89">
        <f>IF(Roster!$A$152&lt;&gt;"",Roster!$A$152,"")</f>
        <v/>
      </c>
      <c r="B154" s="90" t="n"/>
      <c r="C154" s="90" t="n"/>
      <c r="D154" s="90" t="n"/>
      <c r="E154" s="90" t="n"/>
      <c r="F154" s="90" t="n"/>
      <c r="G154" s="90" t="n"/>
      <c r="H154" s="90" t="n"/>
      <c r="I154" s="90" t="n"/>
      <c r="J154" s="90" t="n"/>
      <c r="K154" s="90" t="n"/>
      <c r="L154" s="90" t="n"/>
      <c r="M154" s="90" t="n"/>
      <c r="N154" s="90" t="n"/>
      <c r="O154" s="90" t="n"/>
      <c r="P154" s="90" t="n"/>
      <c r="Q154" s="90" t="n"/>
      <c r="R154" s="90" t="n"/>
      <c r="S154" s="90" t="n"/>
      <c r="T154" s="90" t="n"/>
      <c r="U154" s="90" t="n"/>
      <c r="V154" s="90" t="n"/>
      <c r="W154" s="90" t="n"/>
      <c r="X154" s="90" t="n"/>
      <c r="Y154" s="90" t="n"/>
      <c r="Z154" s="90" t="n"/>
      <c r="AA154" s="90" t="n"/>
      <c r="AB154" s="90" t="n"/>
      <c r="AC154" s="90" t="n"/>
      <c r="AD154" s="90" t="n"/>
      <c r="AE154" s="90" t="n"/>
      <c r="AF154" s="90" t="n"/>
      <c r="AG154" s="90" t="n"/>
      <c r="AH154" s="90" t="n"/>
      <c r="AI154" s="90" t="n"/>
      <c r="AJ154" s="90" t="n"/>
      <c r="AK154" s="90" t="n"/>
      <c r="AL154" s="90" t="n"/>
      <c r="AM154" s="90" t="n"/>
      <c r="AN154" s="90" t="n"/>
      <c r="AO154" s="90" t="n"/>
      <c r="AP154" s="90" t="n"/>
      <c r="AQ154" s="90" t="n"/>
      <c r="AR154" s="90" t="n"/>
      <c r="AS154" s="90" t="n"/>
      <c r="AT154" s="90" t="n"/>
      <c r="AU154" s="90" t="n"/>
      <c r="AV154" s="90" t="n"/>
      <c r="AW154" s="90" t="n"/>
      <c r="AX154" s="90" t="n"/>
      <c r="AY154" s="90" t="n"/>
    </row>
    <row r="155" ht="20" customHeight="1">
      <c r="A155" s="89">
        <f>IF(Roster!$A$153&lt;&gt;"",Roster!$A$153,"")</f>
        <v/>
      </c>
      <c r="B155" s="90" t="n"/>
      <c r="C155" s="90" t="n"/>
      <c r="D155" s="90" t="n"/>
      <c r="E155" s="90" t="n"/>
      <c r="F155" s="90" t="n"/>
      <c r="G155" s="90" t="n"/>
      <c r="H155" s="90" t="n"/>
      <c r="I155" s="90" t="n"/>
      <c r="J155" s="90" t="n"/>
      <c r="K155" s="90" t="n"/>
      <c r="L155" s="90" t="n"/>
      <c r="M155" s="90" t="n"/>
      <c r="N155" s="90" t="n"/>
      <c r="O155" s="90" t="n"/>
      <c r="P155" s="90" t="n"/>
      <c r="Q155" s="90" t="n"/>
      <c r="R155" s="90" t="n"/>
      <c r="S155" s="90" t="n"/>
      <c r="T155" s="90" t="n"/>
      <c r="U155" s="90" t="n"/>
      <c r="V155" s="90" t="n"/>
      <c r="W155" s="90" t="n"/>
      <c r="X155" s="90" t="n"/>
      <c r="Y155" s="90" t="n"/>
      <c r="Z155" s="90" t="n"/>
      <c r="AA155" s="90" t="n"/>
      <c r="AB155" s="90" t="n"/>
      <c r="AC155" s="90" t="n"/>
      <c r="AD155" s="90" t="n"/>
      <c r="AE155" s="90" t="n"/>
      <c r="AF155" s="90" t="n"/>
      <c r="AG155" s="90" t="n"/>
      <c r="AH155" s="90" t="n"/>
      <c r="AI155" s="90" t="n"/>
      <c r="AJ155" s="90" t="n"/>
      <c r="AK155" s="90" t="n"/>
      <c r="AL155" s="90" t="n"/>
      <c r="AM155" s="90" t="n"/>
      <c r="AN155" s="90" t="n"/>
      <c r="AO155" s="90" t="n"/>
      <c r="AP155" s="90" t="n"/>
      <c r="AQ155" s="90" t="n"/>
      <c r="AR155" s="90" t="n"/>
      <c r="AS155" s="90" t="n"/>
      <c r="AT155" s="90" t="n"/>
      <c r="AU155" s="90" t="n"/>
      <c r="AV155" s="90" t="n"/>
      <c r="AW155" s="90" t="n"/>
      <c r="AX155" s="90" t="n"/>
      <c r="AY155" s="90" t="n"/>
    </row>
    <row r="156" ht="20" customHeight="1">
      <c r="A156" s="89">
        <f>IF(Roster!$A$154&lt;&gt;"",Roster!$A$154,"")</f>
        <v/>
      </c>
      <c r="B156" s="90" t="n"/>
      <c r="C156" s="90" t="n"/>
      <c r="D156" s="90" t="n"/>
      <c r="E156" s="90" t="n"/>
      <c r="F156" s="90" t="n"/>
      <c r="G156" s="90" t="n"/>
      <c r="H156" s="90" t="n"/>
      <c r="I156" s="90" t="n"/>
      <c r="J156" s="90" t="n"/>
      <c r="K156" s="90" t="n"/>
      <c r="L156" s="90" t="n"/>
      <c r="M156" s="90" t="n"/>
      <c r="N156" s="90" t="n"/>
      <c r="O156" s="90" t="n"/>
      <c r="P156" s="90" t="n"/>
      <c r="Q156" s="90" t="n"/>
      <c r="R156" s="90" t="n"/>
      <c r="S156" s="90" t="n"/>
      <c r="T156" s="90" t="n"/>
      <c r="U156" s="90" t="n"/>
      <c r="V156" s="90" t="n"/>
      <c r="W156" s="90" t="n"/>
      <c r="X156" s="90" t="n"/>
      <c r="Y156" s="90" t="n"/>
      <c r="Z156" s="90" t="n"/>
      <c r="AA156" s="90" t="n"/>
      <c r="AB156" s="90" t="n"/>
      <c r="AC156" s="90" t="n"/>
      <c r="AD156" s="90" t="n"/>
      <c r="AE156" s="90" t="n"/>
      <c r="AF156" s="90" t="n"/>
      <c r="AG156" s="90" t="n"/>
      <c r="AH156" s="90" t="n"/>
      <c r="AI156" s="90" t="n"/>
      <c r="AJ156" s="90" t="n"/>
      <c r="AK156" s="90" t="n"/>
      <c r="AL156" s="90" t="n"/>
      <c r="AM156" s="90" t="n"/>
      <c r="AN156" s="90" t="n"/>
      <c r="AO156" s="90" t="n"/>
      <c r="AP156" s="90" t="n"/>
      <c r="AQ156" s="90" t="n"/>
      <c r="AR156" s="90" t="n"/>
      <c r="AS156" s="90" t="n"/>
      <c r="AT156" s="90" t="n"/>
      <c r="AU156" s="90" t="n"/>
      <c r="AV156" s="90" t="n"/>
      <c r="AW156" s="90" t="n"/>
      <c r="AX156" s="90" t="n"/>
      <c r="AY156" s="90" t="n"/>
    </row>
    <row r="157" ht="20" customHeight="1">
      <c r="A157" s="89">
        <f>IF(Roster!$A$155&lt;&gt;"",Roster!$A$155,"")</f>
        <v/>
      </c>
      <c r="B157" s="90" t="n"/>
      <c r="C157" s="90" t="n"/>
      <c r="D157" s="90" t="n"/>
      <c r="E157" s="90" t="n"/>
      <c r="F157" s="90" t="n"/>
      <c r="G157" s="90" t="n"/>
      <c r="H157" s="90" t="n"/>
      <c r="I157" s="90" t="n"/>
      <c r="J157" s="90" t="n"/>
      <c r="K157" s="90" t="n"/>
      <c r="L157" s="90" t="n"/>
      <c r="M157" s="90" t="n"/>
      <c r="N157" s="90" t="n"/>
      <c r="O157" s="90" t="n"/>
      <c r="P157" s="90" t="n"/>
      <c r="Q157" s="90" t="n"/>
      <c r="R157" s="90" t="n"/>
      <c r="S157" s="90" t="n"/>
      <c r="T157" s="90" t="n"/>
      <c r="U157" s="90" t="n"/>
      <c r="V157" s="90" t="n"/>
      <c r="W157" s="90" t="n"/>
      <c r="X157" s="90" t="n"/>
      <c r="Y157" s="90" t="n"/>
      <c r="Z157" s="90" t="n"/>
      <c r="AA157" s="90" t="n"/>
      <c r="AB157" s="90" t="n"/>
      <c r="AC157" s="90" t="n"/>
      <c r="AD157" s="90" t="n"/>
      <c r="AE157" s="90" t="n"/>
      <c r="AF157" s="90" t="n"/>
      <c r="AG157" s="90" t="n"/>
      <c r="AH157" s="90" t="n"/>
      <c r="AI157" s="90" t="n"/>
      <c r="AJ157" s="90" t="n"/>
      <c r="AK157" s="90" t="n"/>
      <c r="AL157" s="90" t="n"/>
      <c r="AM157" s="90" t="n"/>
      <c r="AN157" s="90" t="n"/>
      <c r="AO157" s="90" t="n"/>
      <c r="AP157" s="90" t="n"/>
      <c r="AQ157" s="90" t="n"/>
      <c r="AR157" s="90" t="n"/>
      <c r="AS157" s="90" t="n"/>
      <c r="AT157" s="90" t="n"/>
      <c r="AU157" s="90" t="n"/>
      <c r="AV157" s="90" t="n"/>
      <c r="AW157" s="90" t="n"/>
      <c r="AX157" s="90" t="n"/>
      <c r="AY157" s="90" t="n"/>
    </row>
    <row r="158" ht="20" customHeight="1">
      <c r="A158" s="89">
        <f>IF(Roster!$A$156&lt;&gt;"",Roster!$A$156,"")</f>
        <v/>
      </c>
      <c r="B158" s="90" t="n"/>
      <c r="C158" s="90" t="n"/>
      <c r="D158" s="90" t="n"/>
      <c r="E158" s="90" t="n"/>
      <c r="F158" s="90" t="n"/>
      <c r="G158" s="90" t="n"/>
      <c r="H158" s="90" t="n"/>
      <c r="I158" s="90" t="n"/>
      <c r="J158" s="90" t="n"/>
      <c r="K158" s="90" t="n"/>
      <c r="L158" s="90" t="n"/>
      <c r="M158" s="90" t="n"/>
      <c r="N158" s="90" t="n"/>
      <c r="O158" s="90" t="n"/>
      <c r="P158" s="90" t="n"/>
      <c r="Q158" s="90" t="n"/>
      <c r="R158" s="90" t="n"/>
      <c r="S158" s="90" t="n"/>
      <c r="T158" s="90" t="n"/>
      <c r="U158" s="90" t="n"/>
      <c r="V158" s="90" t="n"/>
      <c r="W158" s="90" t="n"/>
      <c r="X158" s="90" t="n"/>
      <c r="Y158" s="90" t="n"/>
      <c r="Z158" s="90" t="n"/>
      <c r="AA158" s="90" t="n"/>
      <c r="AB158" s="90" t="n"/>
      <c r="AC158" s="90" t="n"/>
      <c r="AD158" s="90" t="n"/>
      <c r="AE158" s="90" t="n"/>
      <c r="AF158" s="90" t="n"/>
      <c r="AG158" s="90" t="n"/>
      <c r="AH158" s="90" t="n"/>
      <c r="AI158" s="90" t="n"/>
      <c r="AJ158" s="90" t="n"/>
      <c r="AK158" s="90" t="n"/>
      <c r="AL158" s="90" t="n"/>
      <c r="AM158" s="90" t="n"/>
      <c r="AN158" s="90" t="n"/>
      <c r="AO158" s="90" t="n"/>
      <c r="AP158" s="90" t="n"/>
      <c r="AQ158" s="90" t="n"/>
      <c r="AR158" s="90" t="n"/>
      <c r="AS158" s="90" t="n"/>
      <c r="AT158" s="90" t="n"/>
      <c r="AU158" s="90" t="n"/>
      <c r="AV158" s="90" t="n"/>
      <c r="AW158" s="90" t="n"/>
      <c r="AX158" s="90" t="n"/>
      <c r="AY158" s="90" t="n"/>
    </row>
    <row r="159" ht="20" customHeight="1">
      <c r="A159" s="89">
        <f>IF(Roster!$A$157&lt;&gt;"",Roster!$A$157,"")</f>
        <v/>
      </c>
      <c r="B159" s="90" t="n"/>
      <c r="C159" s="90" t="n"/>
      <c r="D159" s="90" t="n"/>
      <c r="E159" s="90" t="n"/>
      <c r="F159" s="90" t="n"/>
      <c r="G159" s="90" t="n"/>
      <c r="H159" s="90" t="n"/>
      <c r="I159" s="90" t="n"/>
      <c r="J159" s="90" t="n"/>
      <c r="K159" s="90" t="n"/>
      <c r="L159" s="90" t="n"/>
      <c r="M159" s="90" t="n"/>
      <c r="N159" s="90" t="n"/>
      <c r="O159" s="90" t="n"/>
      <c r="P159" s="90" t="n"/>
      <c r="Q159" s="90" t="n"/>
      <c r="R159" s="90" t="n"/>
      <c r="S159" s="90" t="n"/>
      <c r="T159" s="90" t="n"/>
      <c r="U159" s="90" t="n"/>
      <c r="V159" s="90" t="n"/>
      <c r="W159" s="90" t="n"/>
      <c r="X159" s="90" t="n"/>
      <c r="Y159" s="90" t="n"/>
      <c r="Z159" s="90" t="n"/>
      <c r="AA159" s="90" t="n"/>
      <c r="AB159" s="90" t="n"/>
      <c r="AC159" s="90" t="n"/>
      <c r="AD159" s="90" t="n"/>
      <c r="AE159" s="90" t="n"/>
      <c r="AF159" s="90" t="n"/>
      <c r="AG159" s="90" t="n"/>
      <c r="AH159" s="90" t="n"/>
      <c r="AI159" s="90" t="n"/>
      <c r="AJ159" s="90" t="n"/>
      <c r="AK159" s="90" t="n"/>
      <c r="AL159" s="90" t="n"/>
      <c r="AM159" s="90" t="n"/>
      <c r="AN159" s="90" t="n"/>
      <c r="AO159" s="90" t="n"/>
      <c r="AP159" s="90" t="n"/>
      <c r="AQ159" s="90" t="n"/>
      <c r="AR159" s="90" t="n"/>
      <c r="AS159" s="90" t="n"/>
      <c r="AT159" s="90" t="n"/>
      <c r="AU159" s="90" t="n"/>
      <c r="AV159" s="90" t="n"/>
      <c r="AW159" s="90" t="n"/>
      <c r="AX159" s="90" t="n"/>
      <c r="AY159" s="90" t="n"/>
    </row>
    <row r="160" ht="20" customHeight="1">
      <c r="A160" s="89">
        <f>IF(Roster!$A$158&lt;&gt;"",Roster!$A$158,"")</f>
        <v/>
      </c>
      <c r="B160" s="90" t="n"/>
      <c r="C160" s="90" t="n"/>
      <c r="D160" s="90" t="n"/>
      <c r="E160" s="90" t="n"/>
      <c r="F160" s="90" t="n"/>
      <c r="G160" s="90" t="n"/>
      <c r="H160" s="90" t="n"/>
      <c r="I160" s="90" t="n"/>
      <c r="J160" s="90" t="n"/>
      <c r="K160" s="90" t="n"/>
      <c r="L160" s="90" t="n"/>
      <c r="M160" s="90" t="n"/>
      <c r="N160" s="90" t="n"/>
      <c r="O160" s="90" t="n"/>
      <c r="P160" s="90" t="n"/>
      <c r="Q160" s="90" t="n"/>
      <c r="R160" s="90" t="n"/>
      <c r="S160" s="90" t="n"/>
      <c r="T160" s="90" t="n"/>
      <c r="U160" s="90" t="n"/>
      <c r="V160" s="90" t="n"/>
      <c r="W160" s="90" t="n"/>
      <c r="X160" s="90" t="n"/>
      <c r="Y160" s="90" t="n"/>
      <c r="Z160" s="90" t="n"/>
      <c r="AA160" s="90" t="n"/>
      <c r="AB160" s="90" t="n"/>
      <c r="AC160" s="90" t="n"/>
      <c r="AD160" s="90" t="n"/>
      <c r="AE160" s="90" t="n"/>
      <c r="AF160" s="90" t="n"/>
      <c r="AG160" s="90" t="n"/>
      <c r="AH160" s="90" t="n"/>
      <c r="AI160" s="90" t="n"/>
      <c r="AJ160" s="90" t="n"/>
      <c r="AK160" s="90" t="n"/>
      <c r="AL160" s="90" t="n"/>
      <c r="AM160" s="90" t="n"/>
      <c r="AN160" s="90" t="n"/>
      <c r="AO160" s="90" t="n"/>
      <c r="AP160" s="90" t="n"/>
      <c r="AQ160" s="90" t="n"/>
      <c r="AR160" s="90" t="n"/>
      <c r="AS160" s="90" t="n"/>
      <c r="AT160" s="90" t="n"/>
      <c r="AU160" s="90" t="n"/>
      <c r="AV160" s="90" t="n"/>
      <c r="AW160" s="90" t="n"/>
      <c r="AX160" s="90" t="n"/>
      <c r="AY160" s="90" t="n"/>
    </row>
    <row r="161" ht="20" customHeight="1">
      <c r="A161" s="89">
        <f>IF(Roster!$A$159&lt;&gt;"",Roster!$A$159,"")</f>
        <v/>
      </c>
      <c r="B161" s="90" t="n"/>
      <c r="C161" s="90" t="n"/>
      <c r="D161" s="90" t="n"/>
      <c r="E161" s="90" t="n"/>
      <c r="F161" s="90" t="n"/>
      <c r="G161" s="90" t="n"/>
      <c r="H161" s="90" t="n"/>
      <c r="I161" s="90" t="n"/>
      <c r="J161" s="90" t="n"/>
      <c r="K161" s="90" t="n"/>
      <c r="L161" s="90" t="n"/>
      <c r="M161" s="90" t="n"/>
      <c r="N161" s="90" t="n"/>
      <c r="O161" s="90" t="n"/>
      <c r="P161" s="90" t="n"/>
      <c r="Q161" s="90" t="n"/>
      <c r="R161" s="90" t="n"/>
      <c r="S161" s="90" t="n"/>
      <c r="T161" s="90" t="n"/>
      <c r="U161" s="90" t="n"/>
      <c r="V161" s="90" t="n"/>
      <c r="W161" s="90" t="n"/>
      <c r="X161" s="90" t="n"/>
      <c r="Y161" s="90" t="n"/>
      <c r="Z161" s="90" t="n"/>
      <c r="AA161" s="90" t="n"/>
      <c r="AB161" s="90" t="n"/>
      <c r="AC161" s="90" t="n"/>
      <c r="AD161" s="90" t="n"/>
      <c r="AE161" s="90" t="n"/>
      <c r="AF161" s="90" t="n"/>
      <c r="AG161" s="90" t="n"/>
      <c r="AH161" s="90" t="n"/>
      <c r="AI161" s="90" t="n"/>
      <c r="AJ161" s="90" t="n"/>
      <c r="AK161" s="90" t="n"/>
      <c r="AL161" s="90" t="n"/>
      <c r="AM161" s="90" t="n"/>
      <c r="AN161" s="90" t="n"/>
      <c r="AO161" s="90" t="n"/>
      <c r="AP161" s="90" t="n"/>
      <c r="AQ161" s="90" t="n"/>
      <c r="AR161" s="90" t="n"/>
      <c r="AS161" s="90" t="n"/>
      <c r="AT161" s="90" t="n"/>
      <c r="AU161" s="90" t="n"/>
      <c r="AV161" s="90" t="n"/>
      <c r="AW161" s="90" t="n"/>
      <c r="AX161" s="90" t="n"/>
      <c r="AY161" s="90" t="n"/>
    </row>
    <row r="162" ht="20" customHeight="1">
      <c r="A162" s="89">
        <f>IF(Roster!$A$160&lt;&gt;"",Roster!$A$160,"")</f>
        <v/>
      </c>
      <c r="B162" s="90" t="n"/>
      <c r="C162" s="90" t="n"/>
      <c r="D162" s="90" t="n"/>
      <c r="E162" s="90" t="n"/>
      <c r="F162" s="90" t="n"/>
      <c r="G162" s="90" t="n"/>
      <c r="H162" s="90" t="n"/>
      <c r="I162" s="90" t="n"/>
      <c r="J162" s="90" t="n"/>
      <c r="K162" s="90" t="n"/>
      <c r="L162" s="90" t="n"/>
      <c r="M162" s="90" t="n"/>
      <c r="N162" s="90" t="n"/>
      <c r="O162" s="90" t="n"/>
      <c r="P162" s="90" t="n"/>
      <c r="Q162" s="90" t="n"/>
      <c r="R162" s="90" t="n"/>
      <c r="S162" s="90" t="n"/>
      <c r="T162" s="90" t="n"/>
      <c r="U162" s="90" t="n"/>
      <c r="V162" s="90" t="n"/>
      <c r="W162" s="90" t="n"/>
      <c r="X162" s="90" t="n"/>
      <c r="Y162" s="90" t="n"/>
      <c r="Z162" s="90" t="n"/>
      <c r="AA162" s="90" t="n"/>
      <c r="AB162" s="90" t="n"/>
      <c r="AC162" s="90" t="n"/>
      <c r="AD162" s="90" t="n"/>
      <c r="AE162" s="90" t="n"/>
      <c r="AF162" s="90" t="n"/>
      <c r="AG162" s="90" t="n"/>
      <c r="AH162" s="90" t="n"/>
      <c r="AI162" s="90" t="n"/>
      <c r="AJ162" s="90" t="n"/>
      <c r="AK162" s="90" t="n"/>
      <c r="AL162" s="90" t="n"/>
      <c r="AM162" s="90" t="n"/>
      <c r="AN162" s="90" t="n"/>
      <c r="AO162" s="90" t="n"/>
      <c r="AP162" s="90" t="n"/>
      <c r="AQ162" s="90" t="n"/>
      <c r="AR162" s="90" t="n"/>
      <c r="AS162" s="90" t="n"/>
      <c r="AT162" s="90" t="n"/>
      <c r="AU162" s="90" t="n"/>
      <c r="AV162" s="90" t="n"/>
      <c r="AW162" s="90" t="n"/>
      <c r="AX162" s="90" t="n"/>
      <c r="AY162" s="90" t="n"/>
    </row>
    <row r="163" ht="20" customHeight="1">
      <c r="A163" s="89">
        <f>IF(Roster!$A$161&lt;&gt;"",Roster!$A$161,"")</f>
        <v/>
      </c>
      <c r="B163" s="90" t="n"/>
      <c r="C163" s="90" t="n"/>
      <c r="D163" s="90" t="n"/>
      <c r="E163" s="90" t="n"/>
      <c r="F163" s="90" t="n"/>
      <c r="G163" s="90" t="n"/>
      <c r="H163" s="90" t="n"/>
      <c r="I163" s="90" t="n"/>
      <c r="J163" s="90" t="n"/>
      <c r="K163" s="90" t="n"/>
      <c r="L163" s="90" t="n"/>
      <c r="M163" s="90" t="n"/>
      <c r="N163" s="90" t="n"/>
      <c r="O163" s="90" t="n"/>
      <c r="P163" s="90" t="n"/>
      <c r="Q163" s="90" t="n"/>
      <c r="R163" s="90" t="n"/>
      <c r="S163" s="90" t="n"/>
      <c r="T163" s="90" t="n"/>
      <c r="U163" s="90" t="n"/>
      <c r="V163" s="90" t="n"/>
      <c r="W163" s="90" t="n"/>
      <c r="X163" s="90" t="n"/>
      <c r="Y163" s="90" t="n"/>
      <c r="Z163" s="90" t="n"/>
      <c r="AA163" s="90" t="n"/>
      <c r="AB163" s="90" t="n"/>
      <c r="AC163" s="90" t="n"/>
      <c r="AD163" s="90" t="n"/>
      <c r="AE163" s="90" t="n"/>
      <c r="AF163" s="90" t="n"/>
      <c r="AG163" s="90" t="n"/>
      <c r="AH163" s="90" t="n"/>
      <c r="AI163" s="90" t="n"/>
      <c r="AJ163" s="90" t="n"/>
      <c r="AK163" s="90" t="n"/>
      <c r="AL163" s="90" t="n"/>
      <c r="AM163" s="90" t="n"/>
      <c r="AN163" s="90" t="n"/>
      <c r="AO163" s="90" t="n"/>
      <c r="AP163" s="90" t="n"/>
      <c r="AQ163" s="90" t="n"/>
      <c r="AR163" s="90" t="n"/>
      <c r="AS163" s="90" t="n"/>
      <c r="AT163" s="90" t="n"/>
      <c r="AU163" s="90" t="n"/>
      <c r="AV163" s="90" t="n"/>
      <c r="AW163" s="90" t="n"/>
      <c r="AX163" s="90" t="n"/>
      <c r="AY163" s="90" t="n"/>
    </row>
    <row r="164" ht="20" customHeight="1">
      <c r="A164" s="89">
        <f>IF(Roster!$A$162&lt;&gt;"",Roster!$A$162,"")</f>
        <v/>
      </c>
      <c r="B164" s="90" t="n"/>
      <c r="C164" s="90" t="n"/>
      <c r="D164" s="90" t="n"/>
      <c r="E164" s="90" t="n"/>
      <c r="F164" s="90" t="n"/>
      <c r="G164" s="90" t="n"/>
      <c r="H164" s="90" t="n"/>
      <c r="I164" s="90" t="n"/>
      <c r="J164" s="90" t="n"/>
      <c r="K164" s="90" t="n"/>
      <c r="L164" s="90" t="n"/>
      <c r="M164" s="90" t="n"/>
      <c r="N164" s="90" t="n"/>
      <c r="O164" s="90" t="n"/>
      <c r="P164" s="90" t="n"/>
      <c r="Q164" s="90" t="n"/>
      <c r="R164" s="90" t="n"/>
      <c r="S164" s="90" t="n"/>
      <c r="T164" s="90" t="n"/>
      <c r="U164" s="90" t="n"/>
      <c r="V164" s="90" t="n"/>
      <c r="W164" s="90" t="n"/>
      <c r="X164" s="90" t="n"/>
      <c r="Y164" s="90" t="n"/>
      <c r="Z164" s="90" t="n"/>
      <c r="AA164" s="90" t="n"/>
      <c r="AB164" s="90" t="n"/>
      <c r="AC164" s="90" t="n"/>
      <c r="AD164" s="90" t="n"/>
      <c r="AE164" s="90" t="n"/>
      <c r="AF164" s="90" t="n"/>
      <c r="AG164" s="90" t="n"/>
      <c r="AH164" s="90" t="n"/>
      <c r="AI164" s="90" t="n"/>
      <c r="AJ164" s="90" t="n"/>
      <c r="AK164" s="90" t="n"/>
      <c r="AL164" s="90" t="n"/>
      <c r="AM164" s="90" t="n"/>
      <c r="AN164" s="90" t="n"/>
      <c r="AO164" s="90" t="n"/>
      <c r="AP164" s="90" t="n"/>
      <c r="AQ164" s="90" t="n"/>
      <c r="AR164" s="90" t="n"/>
      <c r="AS164" s="90" t="n"/>
      <c r="AT164" s="90" t="n"/>
      <c r="AU164" s="90" t="n"/>
      <c r="AV164" s="90" t="n"/>
      <c r="AW164" s="90" t="n"/>
      <c r="AX164" s="90" t="n"/>
      <c r="AY164" s="90" t="n"/>
    </row>
    <row r="165" ht="20" customHeight="1">
      <c r="A165" s="89">
        <f>IF(Roster!$A$163&lt;&gt;"",Roster!$A$163,"")</f>
        <v/>
      </c>
      <c r="B165" s="90" t="n"/>
      <c r="C165" s="90" t="n"/>
      <c r="D165" s="90" t="n"/>
      <c r="E165" s="90" t="n"/>
      <c r="F165" s="90" t="n"/>
      <c r="G165" s="90" t="n"/>
      <c r="H165" s="90" t="n"/>
      <c r="I165" s="90" t="n"/>
      <c r="J165" s="90" t="n"/>
      <c r="K165" s="90" t="n"/>
      <c r="L165" s="90" t="n"/>
      <c r="M165" s="90" t="n"/>
      <c r="N165" s="90" t="n"/>
      <c r="O165" s="90" t="n"/>
      <c r="P165" s="90" t="n"/>
      <c r="Q165" s="90" t="n"/>
      <c r="R165" s="90" t="n"/>
      <c r="S165" s="90" t="n"/>
      <c r="T165" s="90" t="n"/>
      <c r="U165" s="90" t="n"/>
      <c r="V165" s="90" t="n"/>
      <c r="W165" s="90" t="n"/>
      <c r="X165" s="90" t="n"/>
      <c r="Y165" s="90" t="n"/>
      <c r="Z165" s="90" t="n"/>
      <c r="AA165" s="90" t="n"/>
      <c r="AB165" s="90" t="n"/>
      <c r="AC165" s="90" t="n"/>
      <c r="AD165" s="90" t="n"/>
      <c r="AE165" s="90" t="n"/>
      <c r="AF165" s="90" t="n"/>
      <c r="AG165" s="90" t="n"/>
      <c r="AH165" s="90" t="n"/>
      <c r="AI165" s="90" t="n"/>
      <c r="AJ165" s="90" t="n"/>
      <c r="AK165" s="90" t="n"/>
      <c r="AL165" s="90" t="n"/>
      <c r="AM165" s="90" t="n"/>
      <c r="AN165" s="90" t="n"/>
      <c r="AO165" s="90" t="n"/>
      <c r="AP165" s="90" t="n"/>
      <c r="AQ165" s="90" t="n"/>
      <c r="AR165" s="90" t="n"/>
      <c r="AS165" s="90" t="n"/>
      <c r="AT165" s="90" t="n"/>
      <c r="AU165" s="90" t="n"/>
      <c r="AV165" s="90" t="n"/>
      <c r="AW165" s="90" t="n"/>
      <c r="AX165" s="90" t="n"/>
      <c r="AY165" s="90" t="n"/>
    </row>
    <row r="166" ht="20" customHeight="1">
      <c r="A166" s="89">
        <f>IF(Roster!$A$164&lt;&gt;"",Roster!$A$164,"")</f>
        <v/>
      </c>
      <c r="B166" s="90" t="n"/>
      <c r="C166" s="90" t="n"/>
      <c r="D166" s="90" t="n"/>
      <c r="E166" s="90" t="n"/>
      <c r="F166" s="90" t="n"/>
      <c r="G166" s="90" t="n"/>
      <c r="H166" s="90" t="n"/>
      <c r="I166" s="90" t="n"/>
      <c r="J166" s="90" t="n"/>
      <c r="K166" s="90" t="n"/>
      <c r="L166" s="90" t="n"/>
      <c r="M166" s="90" t="n"/>
      <c r="N166" s="90" t="n"/>
      <c r="O166" s="90" t="n"/>
      <c r="P166" s="90" t="n"/>
      <c r="Q166" s="90" t="n"/>
      <c r="R166" s="90" t="n"/>
      <c r="S166" s="90" t="n"/>
      <c r="T166" s="90" t="n"/>
      <c r="U166" s="90" t="n"/>
      <c r="V166" s="90" t="n"/>
      <c r="W166" s="90" t="n"/>
      <c r="X166" s="90" t="n"/>
      <c r="Y166" s="90" t="n"/>
      <c r="Z166" s="90" t="n"/>
      <c r="AA166" s="90" t="n"/>
      <c r="AB166" s="90" t="n"/>
      <c r="AC166" s="90" t="n"/>
      <c r="AD166" s="90" t="n"/>
      <c r="AE166" s="90" t="n"/>
      <c r="AF166" s="90" t="n"/>
      <c r="AG166" s="90" t="n"/>
      <c r="AH166" s="90" t="n"/>
      <c r="AI166" s="90" t="n"/>
      <c r="AJ166" s="90" t="n"/>
      <c r="AK166" s="90" t="n"/>
      <c r="AL166" s="90" t="n"/>
      <c r="AM166" s="90" t="n"/>
      <c r="AN166" s="90" t="n"/>
      <c r="AO166" s="90" t="n"/>
      <c r="AP166" s="90" t="n"/>
      <c r="AQ166" s="90" t="n"/>
      <c r="AR166" s="90" t="n"/>
      <c r="AS166" s="90" t="n"/>
      <c r="AT166" s="90" t="n"/>
      <c r="AU166" s="90" t="n"/>
      <c r="AV166" s="90" t="n"/>
      <c r="AW166" s="90" t="n"/>
      <c r="AX166" s="90" t="n"/>
      <c r="AY166" s="90" t="n"/>
    </row>
    <row r="167" ht="20" customHeight="1">
      <c r="A167" s="89">
        <f>IF(Roster!$A$165&lt;&gt;"",Roster!$A$165,"")</f>
        <v/>
      </c>
      <c r="B167" s="90" t="n"/>
      <c r="C167" s="90" t="n"/>
      <c r="D167" s="90" t="n"/>
      <c r="E167" s="90" t="n"/>
      <c r="F167" s="90" t="n"/>
      <c r="G167" s="90" t="n"/>
      <c r="H167" s="90" t="n"/>
      <c r="I167" s="90" t="n"/>
      <c r="J167" s="90" t="n"/>
      <c r="K167" s="90" t="n"/>
      <c r="L167" s="90" t="n"/>
      <c r="M167" s="90" t="n"/>
      <c r="N167" s="90" t="n"/>
      <c r="O167" s="90" t="n"/>
      <c r="P167" s="90" t="n"/>
      <c r="Q167" s="90" t="n"/>
      <c r="R167" s="90" t="n"/>
      <c r="S167" s="90" t="n"/>
      <c r="T167" s="90" t="n"/>
      <c r="U167" s="90" t="n"/>
      <c r="V167" s="90" t="n"/>
      <c r="W167" s="90" t="n"/>
      <c r="X167" s="90" t="n"/>
      <c r="Y167" s="90" t="n"/>
      <c r="Z167" s="90" t="n"/>
      <c r="AA167" s="90" t="n"/>
      <c r="AB167" s="90" t="n"/>
      <c r="AC167" s="90" t="n"/>
      <c r="AD167" s="90" t="n"/>
      <c r="AE167" s="90" t="n"/>
      <c r="AF167" s="90" t="n"/>
      <c r="AG167" s="90" t="n"/>
      <c r="AH167" s="90" t="n"/>
      <c r="AI167" s="90" t="n"/>
      <c r="AJ167" s="90" t="n"/>
      <c r="AK167" s="90" t="n"/>
      <c r="AL167" s="90" t="n"/>
      <c r="AM167" s="90" t="n"/>
      <c r="AN167" s="90" t="n"/>
      <c r="AO167" s="90" t="n"/>
      <c r="AP167" s="90" t="n"/>
      <c r="AQ167" s="90" t="n"/>
      <c r="AR167" s="90" t="n"/>
      <c r="AS167" s="90" t="n"/>
      <c r="AT167" s="90" t="n"/>
      <c r="AU167" s="90" t="n"/>
      <c r="AV167" s="90" t="n"/>
      <c r="AW167" s="90" t="n"/>
      <c r="AX167" s="90" t="n"/>
      <c r="AY167" s="90" t="n"/>
    </row>
    <row r="168" ht="20" customHeight="1">
      <c r="A168" s="89">
        <f>IF(Roster!$A$166&lt;&gt;"",Roster!$A$166,"")</f>
        <v/>
      </c>
      <c r="B168" s="90" t="n"/>
      <c r="C168" s="90" t="n"/>
      <c r="D168" s="90" t="n"/>
      <c r="E168" s="90" t="n"/>
      <c r="F168" s="90" t="n"/>
      <c r="G168" s="90" t="n"/>
      <c r="H168" s="90" t="n"/>
      <c r="I168" s="90" t="n"/>
      <c r="J168" s="90" t="n"/>
      <c r="K168" s="90" t="n"/>
      <c r="L168" s="90" t="n"/>
      <c r="M168" s="90" t="n"/>
      <c r="N168" s="90" t="n"/>
      <c r="O168" s="90" t="n"/>
      <c r="P168" s="90" t="n"/>
      <c r="Q168" s="90" t="n"/>
      <c r="R168" s="90" t="n"/>
      <c r="S168" s="90" t="n"/>
      <c r="T168" s="90" t="n"/>
      <c r="U168" s="90" t="n"/>
      <c r="V168" s="90" t="n"/>
      <c r="W168" s="90" t="n"/>
      <c r="X168" s="90" t="n"/>
      <c r="Y168" s="90" t="n"/>
      <c r="Z168" s="90" t="n"/>
      <c r="AA168" s="90" t="n"/>
      <c r="AB168" s="90" t="n"/>
      <c r="AC168" s="90" t="n"/>
      <c r="AD168" s="90" t="n"/>
      <c r="AE168" s="90" t="n"/>
      <c r="AF168" s="90" t="n"/>
      <c r="AG168" s="90" t="n"/>
      <c r="AH168" s="90" t="n"/>
      <c r="AI168" s="90" t="n"/>
      <c r="AJ168" s="90" t="n"/>
      <c r="AK168" s="90" t="n"/>
      <c r="AL168" s="90" t="n"/>
      <c r="AM168" s="90" t="n"/>
      <c r="AN168" s="90" t="n"/>
      <c r="AO168" s="90" t="n"/>
      <c r="AP168" s="90" t="n"/>
      <c r="AQ168" s="90" t="n"/>
      <c r="AR168" s="90" t="n"/>
      <c r="AS168" s="90" t="n"/>
      <c r="AT168" s="90" t="n"/>
      <c r="AU168" s="90" t="n"/>
      <c r="AV168" s="90" t="n"/>
      <c r="AW168" s="90" t="n"/>
      <c r="AX168" s="90" t="n"/>
      <c r="AY168" s="90" t="n"/>
    </row>
    <row r="169" ht="20" customHeight="1">
      <c r="A169" s="89">
        <f>IF(Roster!$A$167&lt;&gt;"",Roster!$A$167,"")</f>
        <v/>
      </c>
      <c r="B169" s="90" t="n"/>
      <c r="C169" s="90" t="n"/>
      <c r="D169" s="90" t="n"/>
      <c r="E169" s="90" t="n"/>
      <c r="F169" s="90" t="n"/>
      <c r="G169" s="90" t="n"/>
      <c r="H169" s="90" t="n"/>
      <c r="I169" s="90" t="n"/>
      <c r="J169" s="90" t="n"/>
      <c r="K169" s="90" t="n"/>
      <c r="L169" s="90" t="n"/>
      <c r="M169" s="90" t="n"/>
      <c r="N169" s="90" t="n"/>
      <c r="O169" s="90" t="n"/>
      <c r="P169" s="90" t="n"/>
      <c r="Q169" s="90" t="n"/>
      <c r="R169" s="90" t="n"/>
      <c r="S169" s="90" t="n"/>
      <c r="T169" s="90" t="n"/>
      <c r="U169" s="90" t="n"/>
      <c r="V169" s="90" t="n"/>
      <c r="W169" s="90" t="n"/>
      <c r="X169" s="90" t="n"/>
      <c r="Y169" s="90" t="n"/>
      <c r="Z169" s="90" t="n"/>
      <c r="AA169" s="90" t="n"/>
      <c r="AB169" s="90" t="n"/>
      <c r="AC169" s="90" t="n"/>
      <c r="AD169" s="90" t="n"/>
      <c r="AE169" s="90" t="n"/>
      <c r="AF169" s="90" t="n"/>
      <c r="AG169" s="90" t="n"/>
      <c r="AH169" s="90" t="n"/>
      <c r="AI169" s="90" t="n"/>
      <c r="AJ169" s="90" t="n"/>
      <c r="AK169" s="90" t="n"/>
      <c r="AL169" s="90" t="n"/>
      <c r="AM169" s="90" t="n"/>
      <c r="AN169" s="90" t="n"/>
      <c r="AO169" s="90" t="n"/>
      <c r="AP169" s="90" t="n"/>
      <c r="AQ169" s="90" t="n"/>
      <c r="AR169" s="90" t="n"/>
      <c r="AS169" s="90" t="n"/>
      <c r="AT169" s="90" t="n"/>
      <c r="AU169" s="90" t="n"/>
      <c r="AV169" s="90" t="n"/>
      <c r="AW169" s="90" t="n"/>
      <c r="AX169" s="90" t="n"/>
      <c r="AY169" s="90" t="n"/>
    </row>
    <row r="170" ht="20" customHeight="1">
      <c r="A170" s="89">
        <f>IF(Roster!$A$168&lt;&gt;"",Roster!$A$168,"")</f>
        <v/>
      </c>
      <c r="B170" s="90" t="n"/>
      <c r="C170" s="90" t="n"/>
      <c r="D170" s="90" t="n"/>
      <c r="E170" s="90" t="n"/>
      <c r="F170" s="90" t="n"/>
      <c r="G170" s="90" t="n"/>
      <c r="H170" s="90" t="n"/>
      <c r="I170" s="90" t="n"/>
      <c r="J170" s="90" t="n"/>
      <c r="K170" s="90" t="n"/>
      <c r="L170" s="90" t="n"/>
      <c r="M170" s="90" t="n"/>
      <c r="N170" s="90" t="n"/>
      <c r="O170" s="90" t="n"/>
      <c r="P170" s="90" t="n"/>
      <c r="Q170" s="90" t="n"/>
      <c r="R170" s="90" t="n"/>
      <c r="S170" s="90" t="n"/>
      <c r="T170" s="90" t="n"/>
      <c r="U170" s="90" t="n"/>
      <c r="V170" s="90" t="n"/>
      <c r="W170" s="90" t="n"/>
      <c r="X170" s="90" t="n"/>
      <c r="Y170" s="90" t="n"/>
      <c r="Z170" s="90" t="n"/>
      <c r="AA170" s="90" t="n"/>
      <c r="AB170" s="90" t="n"/>
      <c r="AC170" s="90" t="n"/>
      <c r="AD170" s="90" t="n"/>
      <c r="AE170" s="90" t="n"/>
      <c r="AF170" s="90" t="n"/>
      <c r="AG170" s="90" t="n"/>
      <c r="AH170" s="90" t="n"/>
      <c r="AI170" s="90" t="n"/>
      <c r="AJ170" s="90" t="n"/>
      <c r="AK170" s="90" t="n"/>
      <c r="AL170" s="90" t="n"/>
      <c r="AM170" s="90" t="n"/>
      <c r="AN170" s="90" t="n"/>
      <c r="AO170" s="90" t="n"/>
      <c r="AP170" s="90" t="n"/>
      <c r="AQ170" s="90" t="n"/>
      <c r="AR170" s="90" t="n"/>
      <c r="AS170" s="90" t="n"/>
      <c r="AT170" s="90" t="n"/>
      <c r="AU170" s="90" t="n"/>
      <c r="AV170" s="90" t="n"/>
      <c r="AW170" s="90" t="n"/>
      <c r="AX170" s="90" t="n"/>
      <c r="AY170" s="90" t="n"/>
    </row>
    <row r="171" ht="20" customHeight="1">
      <c r="A171" s="89">
        <f>IF(Roster!$A$169&lt;&gt;"",Roster!$A$169,"")</f>
        <v/>
      </c>
      <c r="B171" s="90" t="n"/>
      <c r="C171" s="90" t="n"/>
      <c r="D171" s="90" t="n"/>
      <c r="E171" s="90" t="n"/>
      <c r="F171" s="90" t="n"/>
      <c r="G171" s="90" t="n"/>
      <c r="H171" s="90" t="n"/>
      <c r="I171" s="90" t="n"/>
      <c r="J171" s="90" t="n"/>
      <c r="K171" s="90" t="n"/>
      <c r="L171" s="90" t="n"/>
      <c r="M171" s="90" t="n"/>
      <c r="N171" s="90" t="n"/>
      <c r="O171" s="90" t="n"/>
      <c r="P171" s="90" t="n"/>
      <c r="Q171" s="90" t="n"/>
      <c r="R171" s="90" t="n"/>
      <c r="S171" s="90" t="n"/>
      <c r="T171" s="90" t="n"/>
      <c r="U171" s="90" t="n"/>
      <c r="V171" s="90" t="n"/>
      <c r="W171" s="90" t="n"/>
      <c r="X171" s="90" t="n"/>
      <c r="Y171" s="90" t="n"/>
      <c r="Z171" s="90" t="n"/>
      <c r="AA171" s="90" t="n"/>
      <c r="AB171" s="90" t="n"/>
      <c r="AC171" s="90" t="n"/>
      <c r="AD171" s="90" t="n"/>
      <c r="AE171" s="90" t="n"/>
      <c r="AF171" s="90" t="n"/>
      <c r="AG171" s="90" t="n"/>
      <c r="AH171" s="90" t="n"/>
      <c r="AI171" s="90" t="n"/>
      <c r="AJ171" s="90" t="n"/>
      <c r="AK171" s="90" t="n"/>
      <c r="AL171" s="90" t="n"/>
      <c r="AM171" s="90" t="n"/>
      <c r="AN171" s="90" t="n"/>
      <c r="AO171" s="90" t="n"/>
      <c r="AP171" s="90" t="n"/>
      <c r="AQ171" s="90" t="n"/>
      <c r="AR171" s="90" t="n"/>
      <c r="AS171" s="90" t="n"/>
      <c r="AT171" s="90" t="n"/>
      <c r="AU171" s="90" t="n"/>
      <c r="AV171" s="90" t="n"/>
      <c r="AW171" s="90" t="n"/>
      <c r="AX171" s="90" t="n"/>
      <c r="AY171" s="90" t="n"/>
    </row>
    <row r="172" ht="20" customHeight="1">
      <c r="A172" s="89">
        <f>IF(Roster!$A$170&lt;&gt;"",Roster!$A$170,"")</f>
        <v/>
      </c>
      <c r="B172" s="90" t="n"/>
      <c r="C172" s="90" t="n"/>
      <c r="D172" s="90" t="n"/>
      <c r="E172" s="90" t="n"/>
      <c r="F172" s="90" t="n"/>
      <c r="G172" s="90" t="n"/>
      <c r="H172" s="90" t="n"/>
      <c r="I172" s="90" t="n"/>
      <c r="J172" s="90" t="n"/>
      <c r="K172" s="90" t="n"/>
      <c r="L172" s="90" t="n"/>
      <c r="M172" s="90" t="n"/>
      <c r="N172" s="90" t="n"/>
      <c r="O172" s="90" t="n"/>
      <c r="P172" s="90" t="n"/>
      <c r="Q172" s="90" t="n"/>
      <c r="R172" s="90" t="n"/>
      <c r="S172" s="90" t="n"/>
      <c r="T172" s="90" t="n"/>
      <c r="U172" s="90" t="n"/>
      <c r="V172" s="90" t="n"/>
      <c r="W172" s="90" t="n"/>
      <c r="X172" s="90" t="n"/>
      <c r="Y172" s="90" t="n"/>
      <c r="Z172" s="90" t="n"/>
      <c r="AA172" s="90" t="n"/>
      <c r="AB172" s="90" t="n"/>
      <c r="AC172" s="90" t="n"/>
      <c r="AD172" s="90" t="n"/>
      <c r="AE172" s="90" t="n"/>
      <c r="AF172" s="90" t="n"/>
      <c r="AG172" s="90" t="n"/>
      <c r="AH172" s="90" t="n"/>
      <c r="AI172" s="90" t="n"/>
      <c r="AJ172" s="90" t="n"/>
      <c r="AK172" s="90" t="n"/>
      <c r="AL172" s="90" t="n"/>
      <c r="AM172" s="90" t="n"/>
      <c r="AN172" s="90" t="n"/>
      <c r="AO172" s="90" t="n"/>
      <c r="AP172" s="90" t="n"/>
      <c r="AQ172" s="90" t="n"/>
      <c r="AR172" s="90" t="n"/>
      <c r="AS172" s="90" t="n"/>
      <c r="AT172" s="90" t="n"/>
      <c r="AU172" s="90" t="n"/>
      <c r="AV172" s="90" t="n"/>
      <c r="AW172" s="90" t="n"/>
      <c r="AX172" s="90" t="n"/>
      <c r="AY172" s="90" t="n"/>
    </row>
    <row r="173" ht="20" customHeight="1">
      <c r="A173" s="89">
        <f>IF(Roster!$A$171&lt;&gt;"",Roster!$A$171,"")</f>
        <v/>
      </c>
      <c r="B173" s="90" t="n"/>
      <c r="C173" s="90" t="n"/>
      <c r="D173" s="90" t="n"/>
      <c r="E173" s="90" t="n"/>
      <c r="F173" s="90" t="n"/>
      <c r="G173" s="90" t="n"/>
      <c r="H173" s="90" t="n"/>
      <c r="I173" s="90" t="n"/>
      <c r="J173" s="90" t="n"/>
      <c r="K173" s="90" t="n"/>
      <c r="L173" s="90" t="n"/>
      <c r="M173" s="90" t="n"/>
      <c r="N173" s="90" t="n"/>
      <c r="O173" s="90" t="n"/>
      <c r="P173" s="90" t="n"/>
      <c r="Q173" s="90" t="n"/>
      <c r="R173" s="90" t="n"/>
      <c r="S173" s="90" t="n"/>
      <c r="T173" s="90" t="n"/>
      <c r="U173" s="90" t="n"/>
      <c r="V173" s="90" t="n"/>
      <c r="W173" s="90" t="n"/>
      <c r="X173" s="90" t="n"/>
      <c r="Y173" s="90" t="n"/>
      <c r="Z173" s="90" t="n"/>
      <c r="AA173" s="90" t="n"/>
      <c r="AB173" s="90" t="n"/>
      <c r="AC173" s="90" t="n"/>
      <c r="AD173" s="90" t="n"/>
      <c r="AE173" s="90" t="n"/>
      <c r="AF173" s="90" t="n"/>
      <c r="AG173" s="90" t="n"/>
      <c r="AH173" s="90" t="n"/>
      <c r="AI173" s="90" t="n"/>
      <c r="AJ173" s="90" t="n"/>
      <c r="AK173" s="90" t="n"/>
      <c r="AL173" s="90" t="n"/>
      <c r="AM173" s="90" t="n"/>
      <c r="AN173" s="90" t="n"/>
      <c r="AO173" s="90" t="n"/>
      <c r="AP173" s="90" t="n"/>
      <c r="AQ173" s="90" t="n"/>
      <c r="AR173" s="90" t="n"/>
      <c r="AS173" s="90" t="n"/>
      <c r="AT173" s="90" t="n"/>
      <c r="AU173" s="90" t="n"/>
      <c r="AV173" s="90" t="n"/>
      <c r="AW173" s="90" t="n"/>
      <c r="AX173" s="90" t="n"/>
      <c r="AY173" s="90" t="n"/>
    </row>
    <row r="174" ht="20" customHeight="1">
      <c r="A174" s="89">
        <f>IF(Roster!$A$172&lt;&gt;"",Roster!$A$172,"")</f>
        <v/>
      </c>
      <c r="B174" s="90" t="n"/>
      <c r="C174" s="90" t="n"/>
      <c r="D174" s="90" t="n"/>
      <c r="E174" s="90" t="n"/>
      <c r="F174" s="90" t="n"/>
      <c r="G174" s="90" t="n"/>
      <c r="H174" s="90" t="n"/>
      <c r="I174" s="90" t="n"/>
      <c r="J174" s="90" t="n"/>
      <c r="K174" s="90" t="n"/>
      <c r="L174" s="90" t="n"/>
      <c r="M174" s="90" t="n"/>
      <c r="N174" s="90" t="n"/>
      <c r="O174" s="90" t="n"/>
      <c r="P174" s="90" t="n"/>
      <c r="Q174" s="90" t="n"/>
      <c r="R174" s="90" t="n"/>
      <c r="S174" s="90" t="n"/>
      <c r="T174" s="90" t="n"/>
      <c r="U174" s="90" t="n"/>
      <c r="V174" s="90" t="n"/>
      <c r="W174" s="90" t="n"/>
      <c r="X174" s="90" t="n"/>
      <c r="Y174" s="90" t="n"/>
      <c r="Z174" s="90" t="n"/>
      <c r="AA174" s="90" t="n"/>
      <c r="AB174" s="90" t="n"/>
      <c r="AC174" s="90" t="n"/>
      <c r="AD174" s="90" t="n"/>
      <c r="AE174" s="90" t="n"/>
      <c r="AF174" s="90" t="n"/>
      <c r="AG174" s="90" t="n"/>
      <c r="AH174" s="90" t="n"/>
      <c r="AI174" s="90" t="n"/>
      <c r="AJ174" s="90" t="n"/>
      <c r="AK174" s="90" t="n"/>
      <c r="AL174" s="90" t="n"/>
      <c r="AM174" s="90" t="n"/>
      <c r="AN174" s="90" t="n"/>
      <c r="AO174" s="90" t="n"/>
      <c r="AP174" s="90" t="n"/>
      <c r="AQ174" s="90" t="n"/>
      <c r="AR174" s="90" t="n"/>
      <c r="AS174" s="90" t="n"/>
      <c r="AT174" s="90" t="n"/>
      <c r="AU174" s="90" t="n"/>
      <c r="AV174" s="90" t="n"/>
      <c r="AW174" s="90" t="n"/>
      <c r="AX174" s="90" t="n"/>
      <c r="AY174" s="90" t="n"/>
    </row>
    <row r="175" ht="20" customHeight="1">
      <c r="A175" s="89">
        <f>IF(Roster!$A$173&lt;&gt;"",Roster!$A$173,"")</f>
        <v/>
      </c>
      <c r="B175" s="90" t="n"/>
      <c r="C175" s="90" t="n"/>
      <c r="D175" s="90" t="n"/>
      <c r="E175" s="90" t="n"/>
      <c r="F175" s="90" t="n"/>
      <c r="G175" s="90" t="n"/>
      <c r="H175" s="90" t="n"/>
      <c r="I175" s="90" t="n"/>
      <c r="J175" s="90" t="n"/>
      <c r="K175" s="90" t="n"/>
      <c r="L175" s="90" t="n"/>
      <c r="M175" s="90" t="n"/>
      <c r="N175" s="90" t="n"/>
      <c r="O175" s="90" t="n"/>
      <c r="P175" s="90" t="n"/>
      <c r="Q175" s="90" t="n"/>
      <c r="R175" s="90" t="n"/>
      <c r="S175" s="90" t="n"/>
      <c r="T175" s="90" t="n"/>
      <c r="U175" s="90" t="n"/>
      <c r="V175" s="90" t="n"/>
      <c r="W175" s="90" t="n"/>
      <c r="X175" s="90" t="n"/>
      <c r="Y175" s="90" t="n"/>
      <c r="Z175" s="90" t="n"/>
      <c r="AA175" s="90" t="n"/>
      <c r="AB175" s="90" t="n"/>
      <c r="AC175" s="90" t="n"/>
      <c r="AD175" s="90" t="n"/>
      <c r="AE175" s="90" t="n"/>
      <c r="AF175" s="90" t="n"/>
      <c r="AG175" s="90" t="n"/>
      <c r="AH175" s="90" t="n"/>
      <c r="AI175" s="90" t="n"/>
      <c r="AJ175" s="90" t="n"/>
      <c r="AK175" s="90" t="n"/>
      <c r="AL175" s="90" t="n"/>
      <c r="AM175" s="90" t="n"/>
      <c r="AN175" s="90" t="n"/>
      <c r="AO175" s="90" t="n"/>
      <c r="AP175" s="90" t="n"/>
      <c r="AQ175" s="90" t="n"/>
      <c r="AR175" s="90" t="n"/>
      <c r="AS175" s="90" t="n"/>
      <c r="AT175" s="90" t="n"/>
      <c r="AU175" s="90" t="n"/>
      <c r="AV175" s="90" t="n"/>
      <c r="AW175" s="90" t="n"/>
      <c r="AX175" s="90" t="n"/>
      <c r="AY175" s="90" t="n"/>
    </row>
    <row r="176" ht="20" customHeight="1">
      <c r="A176" s="89">
        <f>IF(Roster!$A$174&lt;&gt;"",Roster!$A$174,"")</f>
        <v/>
      </c>
      <c r="B176" s="90" t="n"/>
      <c r="C176" s="90" t="n"/>
      <c r="D176" s="90" t="n"/>
      <c r="E176" s="90" t="n"/>
      <c r="F176" s="90" t="n"/>
      <c r="G176" s="90" t="n"/>
      <c r="H176" s="90" t="n"/>
      <c r="I176" s="90" t="n"/>
      <c r="J176" s="90" t="n"/>
      <c r="K176" s="90" t="n"/>
      <c r="L176" s="90" t="n"/>
      <c r="M176" s="90" t="n"/>
      <c r="N176" s="90" t="n"/>
      <c r="O176" s="90" t="n"/>
      <c r="P176" s="90" t="n"/>
      <c r="Q176" s="90" t="n"/>
      <c r="R176" s="90" t="n"/>
      <c r="S176" s="90" t="n"/>
      <c r="T176" s="90" t="n"/>
      <c r="U176" s="90" t="n"/>
      <c r="V176" s="90" t="n"/>
      <c r="W176" s="90" t="n"/>
      <c r="X176" s="90" t="n"/>
      <c r="Y176" s="90" t="n"/>
      <c r="Z176" s="90" t="n"/>
      <c r="AA176" s="90" t="n"/>
      <c r="AB176" s="90" t="n"/>
      <c r="AC176" s="90" t="n"/>
      <c r="AD176" s="90" t="n"/>
      <c r="AE176" s="90" t="n"/>
      <c r="AF176" s="90" t="n"/>
      <c r="AG176" s="90" t="n"/>
      <c r="AH176" s="90" t="n"/>
      <c r="AI176" s="90" t="n"/>
      <c r="AJ176" s="90" t="n"/>
      <c r="AK176" s="90" t="n"/>
      <c r="AL176" s="90" t="n"/>
      <c r="AM176" s="90" t="n"/>
      <c r="AN176" s="90" t="n"/>
      <c r="AO176" s="90" t="n"/>
      <c r="AP176" s="90" t="n"/>
      <c r="AQ176" s="90" t="n"/>
      <c r="AR176" s="90" t="n"/>
      <c r="AS176" s="90" t="n"/>
      <c r="AT176" s="90" t="n"/>
      <c r="AU176" s="90" t="n"/>
      <c r="AV176" s="90" t="n"/>
      <c r="AW176" s="90" t="n"/>
      <c r="AX176" s="90" t="n"/>
      <c r="AY176" s="90" t="n"/>
    </row>
    <row r="177" ht="20" customHeight="1">
      <c r="A177" s="89">
        <f>IF(Roster!$A$175&lt;&gt;"",Roster!$A$175,"")</f>
        <v/>
      </c>
      <c r="B177" s="90" t="n"/>
      <c r="C177" s="90" t="n"/>
      <c r="D177" s="90" t="n"/>
      <c r="E177" s="90" t="n"/>
      <c r="F177" s="90" t="n"/>
      <c r="G177" s="90" t="n"/>
      <c r="H177" s="90" t="n"/>
      <c r="I177" s="90" t="n"/>
      <c r="J177" s="90" t="n"/>
      <c r="K177" s="90" t="n"/>
      <c r="L177" s="90" t="n"/>
      <c r="M177" s="90" t="n"/>
      <c r="N177" s="90" t="n"/>
      <c r="O177" s="90" t="n"/>
      <c r="P177" s="90" t="n"/>
      <c r="Q177" s="90" t="n"/>
      <c r="R177" s="90" t="n"/>
      <c r="S177" s="90" t="n"/>
      <c r="T177" s="90" t="n"/>
      <c r="U177" s="90" t="n"/>
      <c r="V177" s="90" t="n"/>
      <c r="W177" s="90" t="n"/>
      <c r="X177" s="90" t="n"/>
      <c r="Y177" s="90" t="n"/>
      <c r="Z177" s="90" t="n"/>
      <c r="AA177" s="90" t="n"/>
      <c r="AB177" s="90" t="n"/>
      <c r="AC177" s="90" t="n"/>
      <c r="AD177" s="90" t="n"/>
      <c r="AE177" s="90" t="n"/>
      <c r="AF177" s="90" t="n"/>
      <c r="AG177" s="90" t="n"/>
      <c r="AH177" s="90" t="n"/>
      <c r="AI177" s="90" t="n"/>
      <c r="AJ177" s="90" t="n"/>
      <c r="AK177" s="90" t="n"/>
      <c r="AL177" s="90" t="n"/>
      <c r="AM177" s="90" t="n"/>
      <c r="AN177" s="90" t="n"/>
      <c r="AO177" s="90" t="n"/>
      <c r="AP177" s="90" t="n"/>
      <c r="AQ177" s="90" t="n"/>
      <c r="AR177" s="90" t="n"/>
      <c r="AS177" s="90" t="n"/>
      <c r="AT177" s="90" t="n"/>
      <c r="AU177" s="90" t="n"/>
      <c r="AV177" s="90" t="n"/>
      <c r="AW177" s="90" t="n"/>
      <c r="AX177" s="90" t="n"/>
      <c r="AY177" s="90" t="n"/>
    </row>
    <row r="178" ht="20" customHeight="1">
      <c r="A178" s="89">
        <f>IF(Roster!$A$176&lt;&gt;"",Roster!$A$176,"")</f>
        <v/>
      </c>
      <c r="B178" s="90" t="n"/>
      <c r="C178" s="90" t="n"/>
      <c r="D178" s="90" t="n"/>
      <c r="E178" s="90" t="n"/>
      <c r="F178" s="90" t="n"/>
      <c r="G178" s="90" t="n"/>
      <c r="H178" s="90" t="n"/>
      <c r="I178" s="90" t="n"/>
      <c r="J178" s="90" t="n"/>
      <c r="K178" s="90" t="n"/>
      <c r="L178" s="90" t="n"/>
      <c r="M178" s="90" t="n"/>
      <c r="N178" s="90" t="n"/>
      <c r="O178" s="90" t="n"/>
      <c r="P178" s="90" t="n"/>
      <c r="Q178" s="90" t="n"/>
      <c r="R178" s="90" t="n"/>
      <c r="S178" s="90" t="n"/>
      <c r="T178" s="90" t="n"/>
      <c r="U178" s="90" t="n"/>
      <c r="V178" s="90" t="n"/>
      <c r="W178" s="90" t="n"/>
      <c r="X178" s="90" t="n"/>
      <c r="Y178" s="90" t="n"/>
      <c r="Z178" s="90" t="n"/>
      <c r="AA178" s="90" t="n"/>
      <c r="AB178" s="90" t="n"/>
      <c r="AC178" s="90" t="n"/>
      <c r="AD178" s="90" t="n"/>
      <c r="AE178" s="90" t="n"/>
      <c r="AF178" s="90" t="n"/>
      <c r="AG178" s="90" t="n"/>
      <c r="AH178" s="90" t="n"/>
      <c r="AI178" s="90" t="n"/>
      <c r="AJ178" s="90" t="n"/>
      <c r="AK178" s="90" t="n"/>
      <c r="AL178" s="90" t="n"/>
      <c r="AM178" s="90" t="n"/>
      <c r="AN178" s="90" t="n"/>
      <c r="AO178" s="90" t="n"/>
      <c r="AP178" s="90" t="n"/>
      <c r="AQ178" s="90" t="n"/>
      <c r="AR178" s="90" t="n"/>
      <c r="AS178" s="90" t="n"/>
      <c r="AT178" s="90" t="n"/>
      <c r="AU178" s="90" t="n"/>
      <c r="AV178" s="90" t="n"/>
      <c r="AW178" s="90" t="n"/>
      <c r="AX178" s="90" t="n"/>
      <c r="AY178" s="90" t="n"/>
    </row>
    <row r="179" ht="20" customHeight="1">
      <c r="A179" s="89">
        <f>IF(Roster!$A$177&lt;&gt;"",Roster!$A$177,"")</f>
        <v/>
      </c>
      <c r="B179" s="90" t="n"/>
      <c r="C179" s="90" t="n"/>
      <c r="D179" s="90" t="n"/>
      <c r="E179" s="90" t="n"/>
      <c r="F179" s="90" t="n"/>
      <c r="G179" s="90" t="n"/>
      <c r="H179" s="90" t="n"/>
      <c r="I179" s="90" t="n"/>
      <c r="J179" s="90" t="n"/>
      <c r="K179" s="90" t="n"/>
      <c r="L179" s="90" t="n"/>
      <c r="M179" s="90" t="n"/>
      <c r="N179" s="90" t="n"/>
      <c r="O179" s="90" t="n"/>
      <c r="P179" s="90" t="n"/>
      <c r="Q179" s="90" t="n"/>
      <c r="R179" s="90" t="n"/>
      <c r="S179" s="90" t="n"/>
      <c r="T179" s="90" t="n"/>
      <c r="U179" s="90" t="n"/>
      <c r="V179" s="90" t="n"/>
      <c r="W179" s="90" t="n"/>
      <c r="X179" s="90" t="n"/>
      <c r="Y179" s="90" t="n"/>
      <c r="Z179" s="90" t="n"/>
      <c r="AA179" s="90" t="n"/>
      <c r="AB179" s="90" t="n"/>
      <c r="AC179" s="90" t="n"/>
      <c r="AD179" s="90" t="n"/>
      <c r="AE179" s="90" t="n"/>
      <c r="AF179" s="90" t="n"/>
      <c r="AG179" s="90" t="n"/>
      <c r="AH179" s="90" t="n"/>
      <c r="AI179" s="90" t="n"/>
      <c r="AJ179" s="90" t="n"/>
      <c r="AK179" s="90" t="n"/>
      <c r="AL179" s="90" t="n"/>
      <c r="AM179" s="90" t="n"/>
      <c r="AN179" s="90" t="n"/>
      <c r="AO179" s="90" t="n"/>
      <c r="AP179" s="90" t="n"/>
      <c r="AQ179" s="90" t="n"/>
      <c r="AR179" s="90" t="n"/>
      <c r="AS179" s="90" t="n"/>
      <c r="AT179" s="90" t="n"/>
      <c r="AU179" s="90" t="n"/>
      <c r="AV179" s="90" t="n"/>
      <c r="AW179" s="90" t="n"/>
      <c r="AX179" s="90" t="n"/>
      <c r="AY179" s="90" t="n"/>
    </row>
    <row r="180" ht="20" customHeight="1">
      <c r="A180" s="89">
        <f>IF(Roster!$A$178&lt;&gt;"",Roster!$A$178,"")</f>
        <v/>
      </c>
      <c r="B180" s="90" t="n"/>
      <c r="C180" s="90" t="n"/>
      <c r="D180" s="90" t="n"/>
      <c r="E180" s="90" t="n"/>
      <c r="F180" s="90" t="n"/>
      <c r="G180" s="90" t="n"/>
      <c r="H180" s="90" t="n"/>
      <c r="I180" s="90" t="n"/>
      <c r="J180" s="90" t="n"/>
      <c r="K180" s="90" t="n"/>
      <c r="L180" s="90" t="n"/>
      <c r="M180" s="90" t="n"/>
      <c r="N180" s="90" t="n"/>
      <c r="O180" s="90" t="n"/>
      <c r="P180" s="90" t="n"/>
      <c r="Q180" s="90" t="n"/>
      <c r="R180" s="90" t="n"/>
      <c r="S180" s="90" t="n"/>
      <c r="T180" s="90" t="n"/>
      <c r="U180" s="90" t="n"/>
      <c r="V180" s="90" t="n"/>
      <c r="W180" s="90" t="n"/>
      <c r="X180" s="90" t="n"/>
      <c r="Y180" s="90" t="n"/>
      <c r="Z180" s="90" t="n"/>
      <c r="AA180" s="90" t="n"/>
      <c r="AB180" s="90" t="n"/>
      <c r="AC180" s="90" t="n"/>
      <c r="AD180" s="90" t="n"/>
      <c r="AE180" s="90" t="n"/>
      <c r="AF180" s="90" t="n"/>
      <c r="AG180" s="90" t="n"/>
      <c r="AH180" s="90" t="n"/>
      <c r="AI180" s="90" t="n"/>
      <c r="AJ180" s="90" t="n"/>
      <c r="AK180" s="90" t="n"/>
      <c r="AL180" s="90" t="n"/>
      <c r="AM180" s="90" t="n"/>
      <c r="AN180" s="90" t="n"/>
      <c r="AO180" s="90" t="n"/>
      <c r="AP180" s="90" t="n"/>
      <c r="AQ180" s="90" t="n"/>
      <c r="AR180" s="90" t="n"/>
      <c r="AS180" s="90" t="n"/>
      <c r="AT180" s="90" t="n"/>
      <c r="AU180" s="90" t="n"/>
      <c r="AV180" s="90" t="n"/>
      <c r="AW180" s="90" t="n"/>
      <c r="AX180" s="90" t="n"/>
      <c r="AY180" s="90" t="n"/>
    </row>
    <row r="181" ht="20" customHeight="1">
      <c r="A181" s="89">
        <f>IF(Roster!$A$179&lt;&gt;"",Roster!$A$179,"")</f>
        <v/>
      </c>
      <c r="B181" s="90" t="n"/>
      <c r="C181" s="90" t="n"/>
      <c r="D181" s="90" t="n"/>
      <c r="E181" s="90" t="n"/>
      <c r="F181" s="90" t="n"/>
      <c r="G181" s="90" t="n"/>
      <c r="H181" s="90" t="n"/>
      <c r="I181" s="90" t="n"/>
      <c r="J181" s="90" t="n"/>
      <c r="K181" s="90" t="n"/>
      <c r="L181" s="90" t="n"/>
      <c r="M181" s="90" t="n"/>
      <c r="N181" s="90" t="n"/>
      <c r="O181" s="90" t="n"/>
      <c r="P181" s="90" t="n"/>
      <c r="Q181" s="90" t="n"/>
      <c r="R181" s="90" t="n"/>
      <c r="S181" s="90" t="n"/>
      <c r="T181" s="90" t="n"/>
      <c r="U181" s="90" t="n"/>
      <c r="V181" s="90" t="n"/>
      <c r="W181" s="90" t="n"/>
      <c r="X181" s="90" t="n"/>
      <c r="Y181" s="90" t="n"/>
      <c r="Z181" s="90" t="n"/>
      <c r="AA181" s="90" t="n"/>
      <c r="AB181" s="90" t="n"/>
      <c r="AC181" s="90" t="n"/>
      <c r="AD181" s="90" t="n"/>
      <c r="AE181" s="90" t="n"/>
      <c r="AF181" s="90" t="n"/>
      <c r="AG181" s="90" t="n"/>
      <c r="AH181" s="90" t="n"/>
      <c r="AI181" s="90" t="n"/>
      <c r="AJ181" s="90" t="n"/>
      <c r="AK181" s="90" t="n"/>
      <c r="AL181" s="90" t="n"/>
      <c r="AM181" s="90" t="n"/>
      <c r="AN181" s="90" t="n"/>
      <c r="AO181" s="90" t="n"/>
      <c r="AP181" s="90" t="n"/>
      <c r="AQ181" s="90" t="n"/>
      <c r="AR181" s="90" t="n"/>
      <c r="AS181" s="90" t="n"/>
      <c r="AT181" s="90" t="n"/>
      <c r="AU181" s="90" t="n"/>
      <c r="AV181" s="90" t="n"/>
      <c r="AW181" s="90" t="n"/>
      <c r="AX181" s="90" t="n"/>
      <c r="AY181" s="90" t="n"/>
    </row>
    <row r="182" ht="20" customHeight="1">
      <c r="A182" s="89">
        <f>IF(Roster!$A$180&lt;&gt;"",Roster!$A$180,"")</f>
        <v/>
      </c>
      <c r="B182" s="90" t="n"/>
      <c r="C182" s="90" t="n"/>
      <c r="D182" s="90" t="n"/>
      <c r="E182" s="90" t="n"/>
      <c r="F182" s="90" t="n"/>
      <c r="G182" s="90" t="n"/>
      <c r="H182" s="90" t="n"/>
      <c r="I182" s="90" t="n"/>
      <c r="J182" s="90" t="n"/>
      <c r="K182" s="90" t="n"/>
      <c r="L182" s="90" t="n"/>
      <c r="M182" s="90" t="n"/>
      <c r="N182" s="90" t="n"/>
      <c r="O182" s="90" t="n"/>
      <c r="P182" s="90" t="n"/>
      <c r="Q182" s="90" t="n"/>
      <c r="R182" s="90" t="n"/>
      <c r="S182" s="90" t="n"/>
      <c r="T182" s="90" t="n"/>
      <c r="U182" s="90" t="n"/>
      <c r="V182" s="90" t="n"/>
      <c r="W182" s="90" t="n"/>
      <c r="X182" s="90" t="n"/>
      <c r="Y182" s="90" t="n"/>
      <c r="Z182" s="90" t="n"/>
      <c r="AA182" s="90" t="n"/>
      <c r="AB182" s="90" t="n"/>
      <c r="AC182" s="90" t="n"/>
      <c r="AD182" s="90" t="n"/>
      <c r="AE182" s="90" t="n"/>
      <c r="AF182" s="90" t="n"/>
      <c r="AG182" s="90" t="n"/>
      <c r="AH182" s="90" t="n"/>
      <c r="AI182" s="90" t="n"/>
      <c r="AJ182" s="90" t="n"/>
      <c r="AK182" s="90" t="n"/>
      <c r="AL182" s="90" t="n"/>
      <c r="AM182" s="90" t="n"/>
      <c r="AN182" s="90" t="n"/>
      <c r="AO182" s="90" t="n"/>
      <c r="AP182" s="90" t="n"/>
      <c r="AQ182" s="90" t="n"/>
      <c r="AR182" s="90" t="n"/>
      <c r="AS182" s="90" t="n"/>
      <c r="AT182" s="90" t="n"/>
      <c r="AU182" s="90" t="n"/>
      <c r="AV182" s="90" t="n"/>
      <c r="AW182" s="90" t="n"/>
      <c r="AX182" s="90" t="n"/>
      <c r="AY182" s="90" t="n"/>
    </row>
    <row r="183" ht="20" customHeight="1">
      <c r="A183" s="89">
        <f>IF(Roster!$A$181&lt;&gt;"",Roster!$A$181,"")</f>
        <v/>
      </c>
      <c r="B183" s="90" t="n"/>
      <c r="C183" s="90" t="n"/>
      <c r="D183" s="90" t="n"/>
      <c r="E183" s="90" t="n"/>
      <c r="F183" s="90" t="n"/>
      <c r="G183" s="90" t="n"/>
      <c r="H183" s="90" t="n"/>
      <c r="I183" s="90" t="n"/>
      <c r="J183" s="90" t="n"/>
      <c r="K183" s="90" t="n"/>
      <c r="L183" s="90" t="n"/>
      <c r="M183" s="90" t="n"/>
      <c r="N183" s="90" t="n"/>
      <c r="O183" s="90" t="n"/>
      <c r="P183" s="90" t="n"/>
      <c r="Q183" s="90" t="n"/>
      <c r="R183" s="90" t="n"/>
      <c r="S183" s="90" t="n"/>
      <c r="T183" s="90" t="n"/>
      <c r="U183" s="90" t="n"/>
      <c r="V183" s="90" t="n"/>
      <c r="W183" s="90" t="n"/>
      <c r="X183" s="90" t="n"/>
      <c r="Y183" s="90" t="n"/>
      <c r="Z183" s="90" t="n"/>
      <c r="AA183" s="90" t="n"/>
      <c r="AB183" s="90" t="n"/>
      <c r="AC183" s="90" t="n"/>
      <c r="AD183" s="90" t="n"/>
      <c r="AE183" s="90" t="n"/>
      <c r="AF183" s="90" t="n"/>
      <c r="AG183" s="90" t="n"/>
      <c r="AH183" s="90" t="n"/>
      <c r="AI183" s="90" t="n"/>
      <c r="AJ183" s="90" t="n"/>
      <c r="AK183" s="90" t="n"/>
      <c r="AL183" s="90" t="n"/>
      <c r="AM183" s="90" t="n"/>
      <c r="AN183" s="90" t="n"/>
      <c r="AO183" s="90" t="n"/>
      <c r="AP183" s="90" t="n"/>
      <c r="AQ183" s="90" t="n"/>
      <c r="AR183" s="90" t="n"/>
      <c r="AS183" s="90" t="n"/>
      <c r="AT183" s="90" t="n"/>
      <c r="AU183" s="90" t="n"/>
      <c r="AV183" s="90" t="n"/>
      <c r="AW183" s="90" t="n"/>
      <c r="AX183" s="90" t="n"/>
      <c r="AY183" s="90" t="n"/>
    </row>
    <row r="184" ht="20" customHeight="1">
      <c r="A184" s="89">
        <f>IF(Roster!$A$182&lt;&gt;"",Roster!$A$182,"")</f>
        <v/>
      </c>
      <c r="B184" s="90" t="n"/>
      <c r="C184" s="90" t="n"/>
      <c r="D184" s="90" t="n"/>
      <c r="E184" s="90" t="n"/>
      <c r="F184" s="90" t="n"/>
      <c r="G184" s="90" t="n"/>
      <c r="H184" s="90" t="n"/>
      <c r="I184" s="90" t="n"/>
      <c r="J184" s="90" t="n"/>
      <c r="K184" s="90" t="n"/>
      <c r="L184" s="90" t="n"/>
      <c r="M184" s="90" t="n"/>
      <c r="N184" s="90" t="n"/>
      <c r="O184" s="90" t="n"/>
      <c r="P184" s="90" t="n"/>
      <c r="Q184" s="90" t="n"/>
      <c r="R184" s="90" t="n"/>
      <c r="S184" s="90" t="n"/>
      <c r="T184" s="90" t="n"/>
      <c r="U184" s="90" t="n"/>
      <c r="V184" s="90" t="n"/>
      <c r="W184" s="90" t="n"/>
      <c r="X184" s="90" t="n"/>
      <c r="Y184" s="90" t="n"/>
      <c r="Z184" s="90" t="n"/>
      <c r="AA184" s="90" t="n"/>
      <c r="AB184" s="90" t="n"/>
      <c r="AC184" s="90" t="n"/>
      <c r="AD184" s="90" t="n"/>
      <c r="AE184" s="90" t="n"/>
      <c r="AF184" s="90" t="n"/>
      <c r="AG184" s="90" t="n"/>
      <c r="AH184" s="90" t="n"/>
      <c r="AI184" s="90" t="n"/>
      <c r="AJ184" s="90" t="n"/>
      <c r="AK184" s="90" t="n"/>
      <c r="AL184" s="90" t="n"/>
      <c r="AM184" s="90" t="n"/>
      <c r="AN184" s="90" t="n"/>
      <c r="AO184" s="90" t="n"/>
      <c r="AP184" s="90" t="n"/>
      <c r="AQ184" s="90" t="n"/>
      <c r="AR184" s="90" t="n"/>
      <c r="AS184" s="90" t="n"/>
      <c r="AT184" s="90" t="n"/>
      <c r="AU184" s="90" t="n"/>
      <c r="AV184" s="90" t="n"/>
      <c r="AW184" s="90" t="n"/>
      <c r="AX184" s="90" t="n"/>
      <c r="AY184" s="90" t="n"/>
    </row>
    <row r="185" ht="20" customHeight="1">
      <c r="A185" s="89">
        <f>IF(Roster!$A$183&lt;&gt;"",Roster!$A$183,"")</f>
        <v/>
      </c>
      <c r="B185" s="90" t="n"/>
      <c r="C185" s="90" t="n"/>
      <c r="D185" s="90" t="n"/>
      <c r="E185" s="90" t="n"/>
      <c r="F185" s="90" t="n"/>
      <c r="G185" s="90" t="n"/>
      <c r="H185" s="90" t="n"/>
      <c r="I185" s="90" t="n"/>
      <c r="J185" s="90" t="n"/>
      <c r="K185" s="90" t="n"/>
      <c r="L185" s="90" t="n"/>
      <c r="M185" s="90" t="n"/>
      <c r="N185" s="90" t="n"/>
      <c r="O185" s="90" t="n"/>
      <c r="P185" s="90" t="n"/>
      <c r="Q185" s="90" t="n"/>
      <c r="R185" s="90" t="n"/>
      <c r="S185" s="90" t="n"/>
      <c r="T185" s="90" t="n"/>
      <c r="U185" s="90" t="n"/>
      <c r="V185" s="90" t="n"/>
      <c r="W185" s="90" t="n"/>
      <c r="X185" s="90" t="n"/>
      <c r="Y185" s="90" t="n"/>
      <c r="Z185" s="90" t="n"/>
      <c r="AA185" s="90" t="n"/>
      <c r="AB185" s="90" t="n"/>
      <c r="AC185" s="90" t="n"/>
      <c r="AD185" s="90" t="n"/>
      <c r="AE185" s="90" t="n"/>
      <c r="AF185" s="90" t="n"/>
      <c r="AG185" s="90" t="n"/>
      <c r="AH185" s="90" t="n"/>
      <c r="AI185" s="90" t="n"/>
      <c r="AJ185" s="90" t="n"/>
      <c r="AK185" s="90" t="n"/>
      <c r="AL185" s="90" t="n"/>
      <c r="AM185" s="90" t="n"/>
      <c r="AN185" s="90" t="n"/>
      <c r="AO185" s="90" t="n"/>
      <c r="AP185" s="90" t="n"/>
      <c r="AQ185" s="90" t="n"/>
      <c r="AR185" s="90" t="n"/>
      <c r="AS185" s="90" t="n"/>
      <c r="AT185" s="90" t="n"/>
      <c r="AU185" s="90" t="n"/>
      <c r="AV185" s="90" t="n"/>
      <c r="AW185" s="90" t="n"/>
      <c r="AX185" s="90" t="n"/>
      <c r="AY185" s="90" t="n"/>
    </row>
    <row r="186" ht="20" customHeight="1">
      <c r="A186" s="89">
        <f>IF(Roster!$A$184&lt;&gt;"",Roster!$A$184,"")</f>
        <v/>
      </c>
      <c r="B186" s="90" t="n"/>
      <c r="C186" s="90" t="n"/>
      <c r="D186" s="90" t="n"/>
      <c r="E186" s="90" t="n"/>
      <c r="F186" s="90" t="n"/>
      <c r="G186" s="90" t="n"/>
      <c r="H186" s="90" t="n"/>
      <c r="I186" s="90" t="n"/>
      <c r="J186" s="90" t="n"/>
      <c r="K186" s="90" t="n"/>
      <c r="L186" s="90" t="n"/>
      <c r="M186" s="90" t="n"/>
      <c r="N186" s="90" t="n"/>
      <c r="O186" s="90" t="n"/>
      <c r="P186" s="90" t="n"/>
      <c r="Q186" s="90" t="n"/>
      <c r="R186" s="90" t="n"/>
      <c r="S186" s="90" t="n"/>
      <c r="T186" s="90" t="n"/>
      <c r="U186" s="90" t="n"/>
      <c r="V186" s="90" t="n"/>
      <c r="W186" s="90" t="n"/>
      <c r="X186" s="90" t="n"/>
      <c r="Y186" s="90" t="n"/>
      <c r="Z186" s="90" t="n"/>
      <c r="AA186" s="90" t="n"/>
      <c r="AB186" s="90" t="n"/>
      <c r="AC186" s="90" t="n"/>
      <c r="AD186" s="90" t="n"/>
      <c r="AE186" s="90" t="n"/>
      <c r="AF186" s="90" t="n"/>
      <c r="AG186" s="90" t="n"/>
      <c r="AH186" s="90" t="n"/>
      <c r="AI186" s="90" t="n"/>
      <c r="AJ186" s="90" t="n"/>
      <c r="AK186" s="90" t="n"/>
      <c r="AL186" s="90" t="n"/>
      <c r="AM186" s="90" t="n"/>
      <c r="AN186" s="90" t="n"/>
      <c r="AO186" s="90" t="n"/>
      <c r="AP186" s="90" t="n"/>
      <c r="AQ186" s="90" t="n"/>
      <c r="AR186" s="90" t="n"/>
      <c r="AS186" s="90" t="n"/>
      <c r="AT186" s="90" t="n"/>
      <c r="AU186" s="90" t="n"/>
      <c r="AV186" s="90" t="n"/>
      <c r="AW186" s="90" t="n"/>
      <c r="AX186" s="90" t="n"/>
      <c r="AY186" s="90" t="n"/>
    </row>
    <row r="187" ht="20" customHeight="1">
      <c r="A187" s="89">
        <f>IF(Roster!$A$185&lt;&gt;"",Roster!$A$185,"")</f>
        <v/>
      </c>
      <c r="B187" s="90" t="n"/>
      <c r="C187" s="90" t="n"/>
      <c r="D187" s="90" t="n"/>
      <c r="E187" s="90" t="n"/>
      <c r="F187" s="90" t="n"/>
      <c r="G187" s="90" t="n"/>
      <c r="H187" s="90" t="n"/>
      <c r="I187" s="90" t="n"/>
      <c r="J187" s="90" t="n"/>
      <c r="K187" s="90" t="n"/>
      <c r="L187" s="90" t="n"/>
      <c r="M187" s="90" t="n"/>
      <c r="N187" s="90" t="n"/>
      <c r="O187" s="90" t="n"/>
      <c r="P187" s="90" t="n"/>
      <c r="Q187" s="90" t="n"/>
      <c r="R187" s="90" t="n"/>
      <c r="S187" s="90" t="n"/>
      <c r="T187" s="90" t="n"/>
      <c r="U187" s="90" t="n"/>
      <c r="V187" s="90" t="n"/>
      <c r="W187" s="90" t="n"/>
      <c r="X187" s="90" t="n"/>
      <c r="Y187" s="90" t="n"/>
      <c r="Z187" s="90" t="n"/>
      <c r="AA187" s="90" t="n"/>
      <c r="AB187" s="90" t="n"/>
      <c r="AC187" s="90" t="n"/>
      <c r="AD187" s="90" t="n"/>
      <c r="AE187" s="90" t="n"/>
      <c r="AF187" s="90" t="n"/>
      <c r="AG187" s="90" t="n"/>
      <c r="AH187" s="90" t="n"/>
      <c r="AI187" s="90" t="n"/>
      <c r="AJ187" s="90" t="n"/>
      <c r="AK187" s="90" t="n"/>
      <c r="AL187" s="90" t="n"/>
      <c r="AM187" s="90" t="n"/>
      <c r="AN187" s="90" t="n"/>
      <c r="AO187" s="90" t="n"/>
      <c r="AP187" s="90" t="n"/>
      <c r="AQ187" s="90" t="n"/>
      <c r="AR187" s="90" t="n"/>
      <c r="AS187" s="90" t="n"/>
      <c r="AT187" s="90" t="n"/>
      <c r="AU187" s="90" t="n"/>
      <c r="AV187" s="90" t="n"/>
      <c r="AW187" s="90" t="n"/>
      <c r="AX187" s="90" t="n"/>
      <c r="AY187" s="90" t="n"/>
    </row>
    <row r="188" ht="20" customHeight="1">
      <c r="A188" s="89">
        <f>IF(Roster!$A$186&lt;&gt;"",Roster!$A$186,"")</f>
        <v/>
      </c>
      <c r="B188" s="90" t="n"/>
      <c r="C188" s="90" t="n"/>
      <c r="D188" s="90" t="n"/>
      <c r="E188" s="90" t="n"/>
      <c r="F188" s="90" t="n"/>
      <c r="G188" s="90" t="n"/>
      <c r="H188" s="90" t="n"/>
      <c r="I188" s="90" t="n"/>
      <c r="J188" s="90" t="n"/>
      <c r="K188" s="90" t="n"/>
      <c r="L188" s="90" t="n"/>
      <c r="M188" s="90" t="n"/>
      <c r="N188" s="90" t="n"/>
      <c r="O188" s="90" t="n"/>
      <c r="P188" s="90" t="n"/>
      <c r="Q188" s="90" t="n"/>
      <c r="R188" s="90" t="n"/>
      <c r="S188" s="90" t="n"/>
      <c r="T188" s="90" t="n"/>
      <c r="U188" s="90" t="n"/>
      <c r="V188" s="90" t="n"/>
      <c r="W188" s="90" t="n"/>
      <c r="X188" s="90" t="n"/>
      <c r="Y188" s="90" t="n"/>
      <c r="Z188" s="90" t="n"/>
      <c r="AA188" s="90" t="n"/>
      <c r="AB188" s="90" t="n"/>
      <c r="AC188" s="90" t="n"/>
      <c r="AD188" s="90" t="n"/>
      <c r="AE188" s="90" t="n"/>
      <c r="AF188" s="90" t="n"/>
      <c r="AG188" s="90" t="n"/>
      <c r="AH188" s="90" t="n"/>
      <c r="AI188" s="90" t="n"/>
      <c r="AJ188" s="90" t="n"/>
      <c r="AK188" s="90" t="n"/>
      <c r="AL188" s="90" t="n"/>
      <c r="AM188" s="90" t="n"/>
      <c r="AN188" s="90" t="n"/>
      <c r="AO188" s="90" t="n"/>
      <c r="AP188" s="90" t="n"/>
      <c r="AQ188" s="90" t="n"/>
      <c r="AR188" s="90" t="n"/>
      <c r="AS188" s="90" t="n"/>
      <c r="AT188" s="90" t="n"/>
      <c r="AU188" s="90" t="n"/>
      <c r="AV188" s="90" t="n"/>
      <c r="AW188" s="90" t="n"/>
      <c r="AX188" s="90" t="n"/>
      <c r="AY188" s="90" t="n"/>
    </row>
    <row r="189" ht="20" customHeight="1">
      <c r="A189" s="89">
        <f>IF(Roster!$A$187&lt;&gt;"",Roster!$A$187,"")</f>
        <v/>
      </c>
      <c r="B189" s="90" t="n"/>
      <c r="C189" s="90" t="n"/>
      <c r="D189" s="90" t="n"/>
      <c r="E189" s="90" t="n"/>
      <c r="F189" s="90" t="n"/>
      <c r="G189" s="90" t="n"/>
      <c r="H189" s="90" t="n"/>
      <c r="I189" s="90" t="n"/>
      <c r="J189" s="90" t="n"/>
      <c r="K189" s="90" t="n"/>
      <c r="L189" s="90" t="n"/>
      <c r="M189" s="90" t="n"/>
      <c r="N189" s="90" t="n"/>
      <c r="O189" s="90" t="n"/>
      <c r="P189" s="90" t="n"/>
      <c r="Q189" s="90" t="n"/>
      <c r="R189" s="90" t="n"/>
      <c r="S189" s="90" t="n"/>
      <c r="T189" s="90" t="n"/>
      <c r="U189" s="90" t="n"/>
      <c r="V189" s="90" t="n"/>
      <c r="W189" s="90" t="n"/>
      <c r="X189" s="90" t="n"/>
      <c r="Y189" s="90" t="n"/>
      <c r="Z189" s="90" t="n"/>
      <c r="AA189" s="90" t="n"/>
      <c r="AB189" s="90" t="n"/>
      <c r="AC189" s="90" t="n"/>
      <c r="AD189" s="90" t="n"/>
      <c r="AE189" s="90" t="n"/>
      <c r="AF189" s="90" t="n"/>
      <c r="AG189" s="90" t="n"/>
      <c r="AH189" s="90" t="n"/>
      <c r="AI189" s="90" t="n"/>
      <c r="AJ189" s="90" t="n"/>
      <c r="AK189" s="90" t="n"/>
      <c r="AL189" s="90" t="n"/>
      <c r="AM189" s="90" t="n"/>
      <c r="AN189" s="90" t="n"/>
      <c r="AO189" s="90" t="n"/>
      <c r="AP189" s="90" t="n"/>
      <c r="AQ189" s="90" t="n"/>
      <c r="AR189" s="90" t="n"/>
      <c r="AS189" s="90" t="n"/>
      <c r="AT189" s="90" t="n"/>
      <c r="AU189" s="90" t="n"/>
      <c r="AV189" s="90" t="n"/>
      <c r="AW189" s="90" t="n"/>
      <c r="AX189" s="90" t="n"/>
      <c r="AY189" s="90" t="n"/>
    </row>
    <row r="190" ht="20" customHeight="1">
      <c r="A190" s="89">
        <f>IF(Roster!$A$188&lt;&gt;"",Roster!$A$188,"")</f>
        <v/>
      </c>
      <c r="B190" s="90" t="n"/>
      <c r="C190" s="90" t="n"/>
      <c r="D190" s="90" t="n"/>
      <c r="E190" s="90" t="n"/>
      <c r="F190" s="90" t="n"/>
      <c r="G190" s="90" t="n"/>
      <c r="H190" s="90" t="n"/>
      <c r="I190" s="90" t="n"/>
      <c r="J190" s="90" t="n"/>
      <c r="K190" s="90" t="n"/>
      <c r="L190" s="90" t="n"/>
      <c r="M190" s="90" t="n"/>
      <c r="N190" s="90" t="n"/>
      <c r="O190" s="90" t="n"/>
      <c r="P190" s="90" t="n"/>
      <c r="Q190" s="90" t="n"/>
      <c r="R190" s="90" t="n"/>
      <c r="S190" s="90" t="n"/>
      <c r="T190" s="90" t="n"/>
      <c r="U190" s="90" t="n"/>
      <c r="V190" s="90" t="n"/>
      <c r="W190" s="90" t="n"/>
      <c r="X190" s="90" t="n"/>
      <c r="Y190" s="90" t="n"/>
      <c r="Z190" s="90" t="n"/>
      <c r="AA190" s="90" t="n"/>
      <c r="AB190" s="90" t="n"/>
      <c r="AC190" s="90" t="n"/>
      <c r="AD190" s="90" t="n"/>
      <c r="AE190" s="90" t="n"/>
      <c r="AF190" s="90" t="n"/>
      <c r="AG190" s="90" t="n"/>
      <c r="AH190" s="90" t="n"/>
      <c r="AI190" s="90" t="n"/>
      <c r="AJ190" s="90" t="n"/>
      <c r="AK190" s="90" t="n"/>
      <c r="AL190" s="90" t="n"/>
      <c r="AM190" s="90" t="n"/>
      <c r="AN190" s="90" t="n"/>
      <c r="AO190" s="90" t="n"/>
      <c r="AP190" s="90" t="n"/>
      <c r="AQ190" s="90" t="n"/>
      <c r="AR190" s="90" t="n"/>
      <c r="AS190" s="90" t="n"/>
      <c r="AT190" s="90" t="n"/>
      <c r="AU190" s="90" t="n"/>
      <c r="AV190" s="90" t="n"/>
      <c r="AW190" s="90" t="n"/>
      <c r="AX190" s="90" t="n"/>
      <c r="AY190" s="90" t="n"/>
    </row>
    <row r="191" ht="20" customHeight="1">
      <c r="A191" s="89">
        <f>IF(Roster!$A$189&lt;&gt;"",Roster!$A$189,"")</f>
        <v/>
      </c>
      <c r="B191" s="90" t="n"/>
      <c r="C191" s="90" t="n"/>
      <c r="D191" s="90" t="n"/>
      <c r="E191" s="90" t="n"/>
      <c r="F191" s="90" t="n"/>
      <c r="G191" s="90" t="n"/>
      <c r="H191" s="90" t="n"/>
      <c r="I191" s="90" t="n"/>
      <c r="J191" s="90" t="n"/>
      <c r="K191" s="90" t="n"/>
      <c r="L191" s="90" t="n"/>
      <c r="M191" s="90" t="n"/>
      <c r="N191" s="90" t="n"/>
      <c r="O191" s="90" t="n"/>
      <c r="P191" s="90" t="n"/>
      <c r="Q191" s="90" t="n"/>
      <c r="R191" s="90" t="n"/>
      <c r="S191" s="90" t="n"/>
      <c r="T191" s="90" t="n"/>
      <c r="U191" s="90" t="n"/>
      <c r="V191" s="90" t="n"/>
      <c r="W191" s="90" t="n"/>
      <c r="X191" s="90" t="n"/>
      <c r="Y191" s="90" t="n"/>
      <c r="Z191" s="90" t="n"/>
      <c r="AA191" s="90" t="n"/>
      <c r="AB191" s="90" t="n"/>
      <c r="AC191" s="90" t="n"/>
      <c r="AD191" s="90" t="n"/>
      <c r="AE191" s="90" t="n"/>
      <c r="AF191" s="90" t="n"/>
      <c r="AG191" s="90" t="n"/>
      <c r="AH191" s="90" t="n"/>
      <c r="AI191" s="90" t="n"/>
      <c r="AJ191" s="90" t="n"/>
      <c r="AK191" s="90" t="n"/>
      <c r="AL191" s="90" t="n"/>
      <c r="AM191" s="90" t="n"/>
      <c r="AN191" s="90" t="n"/>
      <c r="AO191" s="90" t="n"/>
      <c r="AP191" s="90" t="n"/>
      <c r="AQ191" s="90" t="n"/>
      <c r="AR191" s="90" t="n"/>
      <c r="AS191" s="90" t="n"/>
      <c r="AT191" s="90" t="n"/>
      <c r="AU191" s="90" t="n"/>
      <c r="AV191" s="90" t="n"/>
      <c r="AW191" s="90" t="n"/>
      <c r="AX191" s="90" t="n"/>
      <c r="AY191" s="90" t="n"/>
    </row>
    <row r="192" ht="20" customHeight="1">
      <c r="A192" s="89">
        <f>IF(Roster!$A$190&lt;&gt;"",Roster!$A$190,"")</f>
        <v/>
      </c>
      <c r="B192" s="90" t="n"/>
      <c r="C192" s="90" t="n"/>
      <c r="D192" s="90" t="n"/>
      <c r="E192" s="90" t="n"/>
      <c r="F192" s="90" t="n"/>
      <c r="G192" s="90" t="n"/>
      <c r="H192" s="90" t="n"/>
      <c r="I192" s="90" t="n"/>
      <c r="J192" s="90" t="n"/>
      <c r="K192" s="90" t="n"/>
      <c r="L192" s="90" t="n"/>
      <c r="M192" s="90" t="n"/>
      <c r="N192" s="90" t="n"/>
      <c r="O192" s="90" t="n"/>
      <c r="P192" s="90" t="n"/>
      <c r="Q192" s="90" t="n"/>
      <c r="R192" s="90" t="n"/>
      <c r="S192" s="90" t="n"/>
      <c r="T192" s="90" t="n"/>
      <c r="U192" s="90" t="n"/>
      <c r="V192" s="90" t="n"/>
      <c r="W192" s="90" t="n"/>
      <c r="X192" s="90" t="n"/>
      <c r="Y192" s="90" t="n"/>
      <c r="Z192" s="90" t="n"/>
      <c r="AA192" s="90" t="n"/>
      <c r="AB192" s="90" t="n"/>
      <c r="AC192" s="90" t="n"/>
      <c r="AD192" s="90" t="n"/>
      <c r="AE192" s="90" t="n"/>
      <c r="AF192" s="90" t="n"/>
      <c r="AG192" s="90" t="n"/>
      <c r="AH192" s="90" t="n"/>
      <c r="AI192" s="90" t="n"/>
      <c r="AJ192" s="90" t="n"/>
      <c r="AK192" s="90" t="n"/>
      <c r="AL192" s="90" t="n"/>
      <c r="AM192" s="90" t="n"/>
      <c r="AN192" s="90" t="n"/>
      <c r="AO192" s="90" t="n"/>
      <c r="AP192" s="90" t="n"/>
      <c r="AQ192" s="90" t="n"/>
      <c r="AR192" s="90" t="n"/>
      <c r="AS192" s="90" t="n"/>
      <c r="AT192" s="90" t="n"/>
      <c r="AU192" s="90" t="n"/>
      <c r="AV192" s="90" t="n"/>
      <c r="AW192" s="90" t="n"/>
      <c r="AX192" s="90" t="n"/>
      <c r="AY192" s="90" t="n"/>
    </row>
    <row r="193" ht="20" customHeight="1">
      <c r="A193" s="89">
        <f>IF(Roster!$A$191&lt;&gt;"",Roster!$A$191,"")</f>
        <v/>
      </c>
      <c r="B193" s="90" t="n"/>
      <c r="C193" s="90" t="n"/>
      <c r="D193" s="90" t="n"/>
      <c r="E193" s="90" t="n"/>
      <c r="F193" s="90" t="n"/>
      <c r="G193" s="90" t="n"/>
      <c r="H193" s="90" t="n"/>
      <c r="I193" s="90" t="n"/>
      <c r="J193" s="90" t="n"/>
      <c r="K193" s="90" t="n"/>
      <c r="L193" s="90" t="n"/>
      <c r="M193" s="90" t="n"/>
      <c r="N193" s="90" t="n"/>
      <c r="O193" s="90" t="n"/>
      <c r="P193" s="90" t="n"/>
      <c r="Q193" s="90" t="n"/>
      <c r="R193" s="90" t="n"/>
      <c r="S193" s="90" t="n"/>
      <c r="T193" s="90" t="n"/>
      <c r="U193" s="90" t="n"/>
      <c r="V193" s="90" t="n"/>
      <c r="W193" s="90" t="n"/>
      <c r="X193" s="90" t="n"/>
      <c r="Y193" s="90" t="n"/>
      <c r="Z193" s="90" t="n"/>
      <c r="AA193" s="90" t="n"/>
      <c r="AB193" s="90" t="n"/>
      <c r="AC193" s="90" t="n"/>
      <c r="AD193" s="90" t="n"/>
      <c r="AE193" s="90" t="n"/>
      <c r="AF193" s="90" t="n"/>
      <c r="AG193" s="90" t="n"/>
      <c r="AH193" s="90" t="n"/>
      <c r="AI193" s="90" t="n"/>
      <c r="AJ193" s="90" t="n"/>
      <c r="AK193" s="90" t="n"/>
      <c r="AL193" s="90" t="n"/>
      <c r="AM193" s="90" t="n"/>
      <c r="AN193" s="90" t="n"/>
      <c r="AO193" s="90" t="n"/>
      <c r="AP193" s="90" t="n"/>
      <c r="AQ193" s="90" t="n"/>
      <c r="AR193" s="90" t="n"/>
      <c r="AS193" s="90" t="n"/>
      <c r="AT193" s="90" t="n"/>
      <c r="AU193" s="90" t="n"/>
      <c r="AV193" s="90" t="n"/>
      <c r="AW193" s="90" t="n"/>
      <c r="AX193" s="90" t="n"/>
      <c r="AY193" s="90" t="n"/>
    </row>
    <row r="194" ht="20" customHeight="1">
      <c r="A194" s="89">
        <f>IF(Roster!$A$192&lt;&gt;"",Roster!$A$192,"")</f>
        <v/>
      </c>
      <c r="B194" s="90" t="n"/>
      <c r="C194" s="90" t="n"/>
      <c r="D194" s="90" t="n"/>
      <c r="E194" s="90" t="n"/>
      <c r="F194" s="90" t="n"/>
      <c r="G194" s="90" t="n"/>
      <c r="H194" s="90" t="n"/>
      <c r="I194" s="90" t="n"/>
      <c r="J194" s="90" t="n"/>
      <c r="K194" s="90" t="n"/>
      <c r="L194" s="90" t="n"/>
      <c r="M194" s="90" t="n"/>
      <c r="N194" s="90" t="n"/>
      <c r="O194" s="90" t="n"/>
      <c r="P194" s="90" t="n"/>
      <c r="Q194" s="90" t="n"/>
      <c r="R194" s="90" t="n"/>
      <c r="S194" s="90" t="n"/>
      <c r="T194" s="90" t="n"/>
      <c r="U194" s="90" t="n"/>
      <c r="V194" s="90" t="n"/>
      <c r="W194" s="90" t="n"/>
      <c r="X194" s="90" t="n"/>
      <c r="Y194" s="90" t="n"/>
      <c r="Z194" s="90" t="n"/>
      <c r="AA194" s="90" t="n"/>
      <c r="AB194" s="90" t="n"/>
      <c r="AC194" s="90" t="n"/>
      <c r="AD194" s="90" t="n"/>
      <c r="AE194" s="90" t="n"/>
      <c r="AF194" s="90" t="n"/>
      <c r="AG194" s="90" t="n"/>
      <c r="AH194" s="90" t="n"/>
      <c r="AI194" s="90" t="n"/>
      <c r="AJ194" s="90" t="n"/>
      <c r="AK194" s="90" t="n"/>
      <c r="AL194" s="90" t="n"/>
      <c r="AM194" s="90" t="n"/>
      <c r="AN194" s="90" t="n"/>
      <c r="AO194" s="90" t="n"/>
      <c r="AP194" s="90" t="n"/>
      <c r="AQ194" s="90" t="n"/>
      <c r="AR194" s="90" t="n"/>
      <c r="AS194" s="90" t="n"/>
      <c r="AT194" s="90" t="n"/>
      <c r="AU194" s="90" t="n"/>
      <c r="AV194" s="90" t="n"/>
      <c r="AW194" s="90" t="n"/>
      <c r="AX194" s="90" t="n"/>
      <c r="AY194" s="90" t="n"/>
    </row>
    <row r="195" ht="20" customHeight="1">
      <c r="A195" s="89">
        <f>IF(Roster!$A$193&lt;&gt;"",Roster!$A$193,"")</f>
        <v/>
      </c>
      <c r="B195" s="90" t="n"/>
      <c r="C195" s="90" t="n"/>
      <c r="D195" s="90" t="n"/>
      <c r="E195" s="90" t="n"/>
      <c r="F195" s="90" t="n"/>
      <c r="G195" s="90" t="n"/>
      <c r="H195" s="90" t="n"/>
      <c r="I195" s="90" t="n"/>
      <c r="J195" s="90" t="n"/>
      <c r="K195" s="90" t="n"/>
      <c r="L195" s="90" t="n"/>
      <c r="M195" s="90" t="n"/>
      <c r="N195" s="90" t="n"/>
      <c r="O195" s="90" t="n"/>
      <c r="P195" s="90" t="n"/>
      <c r="Q195" s="90" t="n"/>
      <c r="R195" s="90" t="n"/>
      <c r="S195" s="90" t="n"/>
      <c r="T195" s="90" t="n"/>
      <c r="U195" s="90" t="n"/>
      <c r="V195" s="90" t="n"/>
      <c r="W195" s="90" t="n"/>
      <c r="X195" s="90" t="n"/>
      <c r="Y195" s="90" t="n"/>
      <c r="Z195" s="90" t="n"/>
      <c r="AA195" s="90" t="n"/>
      <c r="AB195" s="90" t="n"/>
      <c r="AC195" s="90" t="n"/>
      <c r="AD195" s="90" t="n"/>
      <c r="AE195" s="90" t="n"/>
      <c r="AF195" s="90" t="n"/>
      <c r="AG195" s="90" t="n"/>
      <c r="AH195" s="90" t="n"/>
      <c r="AI195" s="90" t="n"/>
      <c r="AJ195" s="90" t="n"/>
      <c r="AK195" s="90" t="n"/>
      <c r="AL195" s="90" t="n"/>
      <c r="AM195" s="90" t="n"/>
      <c r="AN195" s="90" t="n"/>
      <c r="AO195" s="90" t="n"/>
      <c r="AP195" s="90" t="n"/>
      <c r="AQ195" s="90" t="n"/>
      <c r="AR195" s="90" t="n"/>
      <c r="AS195" s="90" t="n"/>
      <c r="AT195" s="90" t="n"/>
      <c r="AU195" s="90" t="n"/>
      <c r="AV195" s="90" t="n"/>
      <c r="AW195" s="90" t="n"/>
      <c r="AX195" s="90" t="n"/>
      <c r="AY195" s="90" t="n"/>
    </row>
    <row r="196" ht="20" customHeight="1">
      <c r="A196" s="89">
        <f>IF(Roster!$A$194&lt;&gt;"",Roster!$A$194,"")</f>
        <v/>
      </c>
      <c r="B196" s="90" t="n"/>
      <c r="C196" s="90" t="n"/>
      <c r="D196" s="90" t="n"/>
      <c r="E196" s="90" t="n"/>
      <c r="F196" s="90" t="n"/>
      <c r="G196" s="90" t="n"/>
      <c r="H196" s="90" t="n"/>
      <c r="I196" s="90" t="n"/>
      <c r="J196" s="90" t="n"/>
      <c r="K196" s="90" t="n"/>
      <c r="L196" s="90" t="n"/>
      <c r="M196" s="90" t="n"/>
      <c r="N196" s="90" t="n"/>
      <c r="O196" s="90" t="n"/>
      <c r="P196" s="90" t="n"/>
      <c r="Q196" s="90" t="n"/>
      <c r="R196" s="90" t="n"/>
      <c r="S196" s="90" t="n"/>
      <c r="T196" s="90" t="n"/>
      <c r="U196" s="90" t="n"/>
      <c r="V196" s="90" t="n"/>
      <c r="W196" s="90" t="n"/>
      <c r="X196" s="90" t="n"/>
      <c r="Y196" s="90" t="n"/>
      <c r="Z196" s="90" t="n"/>
      <c r="AA196" s="90" t="n"/>
      <c r="AB196" s="90" t="n"/>
      <c r="AC196" s="90" t="n"/>
      <c r="AD196" s="90" t="n"/>
      <c r="AE196" s="90" t="n"/>
      <c r="AF196" s="90" t="n"/>
      <c r="AG196" s="90" t="n"/>
      <c r="AH196" s="90" t="n"/>
      <c r="AI196" s="90" t="n"/>
      <c r="AJ196" s="90" t="n"/>
      <c r="AK196" s="90" t="n"/>
      <c r="AL196" s="90" t="n"/>
      <c r="AM196" s="90" t="n"/>
      <c r="AN196" s="90" t="n"/>
      <c r="AO196" s="90" t="n"/>
      <c r="AP196" s="90" t="n"/>
      <c r="AQ196" s="90" t="n"/>
      <c r="AR196" s="90" t="n"/>
      <c r="AS196" s="90" t="n"/>
      <c r="AT196" s="90" t="n"/>
      <c r="AU196" s="90" t="n"/>
      <c r="AV196" s="90" t="n"/>
      <c r="AW196" s="90" t="n"/>
      <c r="AX196" s="90" t="n"/>
      <c r="AY196" s="90" t="n"/>
    </row>
    <row r="197" ht="20" customHeight="1">
      <c r="A197" s="89">
        <f>IF(Roster!$A$195&lt;&gt;"",Roster!$A$195,"")</f>
        <v/>
      </c>
      <c r="B197" s="90" t="n"/>
      <c r="C197" s="90" t="n"/>
      <c r="D197" s="90" t="n"/>
      <c r="E197" s="90" t="n"/>
      <c r="F197" s="90" t="n"/>
      <c r="G197" s="90" t="n"/>
      <c r="H197" s="90" t="n"/>
      <c r="I197" s="90" t="n"/>
      <c r="J197" s="90" t="n"/>
      <c r="K197" s="90" t="n"/>
      <c r="L197" s="90" t="n"/>
      <c r="M197" s="90" t="n"/>
      <c r="N197" s="90" t="n"/>
      <c r="O197" s="90" t="n"/>
      <c r="P197" s="90" t="n"/>
      <c r="Q197" s="90" t="n"/>
      <c r="R197" s="90" t="n"/>
      <c r="S197" s="90" t="n"/>
      <c r="T197" s="90" t="n"/>
      <c r="U197" s="90" t="n"/>
      <c r="V197" s="90" t="n"/>
      <c r="W197" s="90" t="n"/>
      <c r="X197" s="90" t="n"/>
      <c r="Y197" s="90" t="n"/>
      <c r="Z197" s="90" t="n"/>
      <c r="AA197" s="90" t="n"/>
      <c r="AB197" s="90" t="n"/>
      <c r="AC197" s="90" t="n"/>
      <c r="AD197" s="90" t="n"/>
      <c r="AE197" s="90" t="n"/>
      <c r="AF197" s="90" t="n"/>
      <c r="AG197" s="90" t="n"/>
      <c r="AH197" s="90" t="n"/>
      <c r="AI197" s="90" t="n"/>
      <c r="AJ197" s="90" t="n"/>
      <c r="AK197" s="90" t="n"/>
      <c r="AL197" s="90" t="n"/>
      <c r="AM197" s="90" t="n"/>
      <c r="AN197" s="90" t="n"/>
      <c r="AO197" s="90" t="n"/>
      <c r="AP197" s="90" t="n"/>
      <c r="AQ197" s="90" t="n"/>
      <c r="AR197" s="90" t="n"/>
      <c r="AS197" s="90" t="n"/>
      <c r="AT197" s="90" t="n"/>
      <c r="AU197" s="90" t="n"/>
      <c r="AV197" s="90" t="n"/>
      <c r="AW197" s="90" t="n"/>
      <c r="AX197" s="90" t="n"/>
      <c r="AY197" s="90" t="n"/>
    </row>
    <row r="198" ht="20" customHeight="1">
      <c r="A198" s="89">
        <f>IF(Roster!$A$196&lt;&gt;"",Roster!$A$196,"")</f>
        <v/>
      </c>
      <c r="B198" s="90" t="n"/>
      <c r="C198" s="90" t="n"/>
      <c r="D198" s="90" t="n"/>
      <c r="E198" s="90" t="n"/>
      <c r="F198" s="90" t="n"/>
      <c r="G198" s="90" t="n"/>
      <c r="H198" s="90" t="n"/>
      <c r="I198" s="90" t="n"/>
      <c r="J198" s="90" t="n"/>
      <c r="K198" s="90" t="n"/>
      <c r="L198" s="90" t="n"/>
      <c r="M198" s="90" t="n"/>
      <c r="N198" s="90" t="n"/>
      <c r="O198" s="90" t="n"/>
      <c r="P198" s="90" t="n"/>
      <c r="Q198" s="90" t="n"/>
      <c r="R198" s="90" t="n"/>
      <c r="S198" s="90" t="n"/>
      <c r="T198" s="90" t="n"/>
      <c r="U198" s="90" t="n"/>
      <c r="V198" s="90" t="n"/>
      <c r="W198" s="90" t="n"/>
      <c r="X198" s="90" t="n"/>
      <c r="Y198" s="90" t="n"/>
      <c r="Z198" s="90" t="n"/>
      <c r="AA198" s="90" t="n"/>
      <c r="AB198" s="90" t="n"/>
      <c r="AC198" s="90" t="n"/>
      <c r="AD198" s="90" t="n"/>
      <c r="AE198" s="90" t="n"/>
      <c r="AF198" s="90" t="n"/>
      <c r="AG198" s="90" t="n"/>
      <c r="AH198" s="90" t="n"/>
      <c r="AI198" s="90" t="n"/>
      <c r="AJ198" s="90" t="n"/>
      <c r="AK198" s="90" t="n"/>
      <c r="AL198" s="90" t="n"/>
      <c r="AM198" s="90" t="n"/>
      <c r="AN198" s="90" t="n"/>
      <c r="AO198" s="90" t="n"/>
      <c r="AP198" s="90" t="n"/>
      <c r="AQ198" s="90" t="n"/>
      <c r="AR198" s="90" t="n"/>
      <c r="AS198" s="90" t="n"/>
      <c r="AT198" s="90" t="n"/>
      <c r="AU198" s="90" t="n"/>
      <c r="AV198" s="90" t="n"/>
      <c r="AW198" s="90" t="n"/>
      <c r="AX198" s="90" t="n"/>
      <c r="AY198" s="90" t="n"/>
    </row>
    <row r="199" ht="20" customHeight="1">
      <c r="A199" s="89">
        <f>IF(Roster!$A$197&lt;&gt;"",Roster!$A$197,"")</f>
        <v/>
      </c>
      <c r="B199" s="90" t="n"/>
      <c r="C199" s="90" t="n"/>
      <c r="D199" s="90" t="n"/>
      <c r="E199" s="90" t="n"/>
      <c r="F199" s="90" t="n"/>
      <c r="G199" s="90" t="n"/>
      <c r="H199" s="90" t="n"/>
      <c r="I199" s="90" t="n"/>
      <c r="J199" s="90" t="n"/>
      <c r="K199" s="90" t="n"/>
      <c r="L199" s="90" t="n"/>
      <c r="M199" s="90" t="n"/>
      <c r="N199" s="90" t="n"/>
      <c r="O199" s="90" t="n"/>
      <c r="P199" s="90" t="n"/>
      <c r="Q199" s="90" t="n"/>
      <c r="R199" s="90" t="n"/>
      <c r="S199" s="90" t="n"/>
      <c r="T199" s="90" t="n"/>
      <c r="U199" s="90" t="n"/>
      <c r="V199" s="90" t="n"/>
      <c r="W199" s="90" t="n"/>
      <c r="X199" s="90" t="n"/>
      <c r="Y199" s="90" t="n"/>
      <c r="Z199" s="90" t="n"/>
      <c r="AA199" s="90" t="n"/>
      <c r="AB199" s="90" t="n"/>
      <c r="AC199" s="90" t="n"/>
      <c r="AD199" s="90" t="n"/>
      <c r="AE199" s="90" t="n"/>
      <c r="AF199" s="90" t="n"/>
      <c r="AG199" s="90" t="n"/>
      <c r="AH199" s="90" t="n"/>
      <c r="AI199" s="90" t="n"/>
      <c r="AJ199" s="90" t="n"/>
      <c r="AK199" s="90" t="n"/>
      <c r="AL199" s="90" t="n"/>
      <c r="AM199" s="90" t="n"/>
      <c r="AN199" s="90" t="n"/>
      <c r="AO199" s="90" t="n"/>
      <c r="AP199" s="90" t="n"/>
      <c r="AQ199" s="90" t="n"/>
      <c r="AR199" s="90" t="n"/>
      <c r="AS199" s="90" t="n"/>
      <c r="AT199" s="90" t="n"/>
      <c r="AU199" s="90" t="n"/>
      <c r="AV199" s="90" t="n"/>
      <c r="AW199" s="90" t="n"/>
      <c r="AX199" s="90" t="n"/>
      <c r="AY199" s="90" t="n"/>
    </row>
    <row r="200" ht="20" customHeight="1">
      <c r="A200" s="89">
        <f>IF(Roster!$A$198&lt;&gt;"",Roster!$A$198,"")</f>
        <v/>
      </c>
      <c r="B200" s="90" t="n"/>
      <c r="C200" s="90" t="n"/>
      <c r="D200" s="90" t="n"/>
      <c r="E200" s="90" t="n"/>
      <c r="F200" s="90" t="n"/>
      <c r="G200" s="90" t="n"/>
      <c r="H200" s="90" t="n"/>
      <c r="I200" s="90" t="n"/>
      <c r="J200" s="90" t="n"/>
      <c r="K200" s="90" t="n"/>
      <c r="L200" s="90" t="n"/>
      <c r="M200" s="90" t="n"/>
      <c r="N200" s="90" t="n"/>
      <c r="O200" s="90" t="n"/>
      <c r="P200" s="90" t="n"/>
      <c r="Q200" s="90" t="n"/>
      <c r="R200" s="90" t="n"/>
      <c r="S200" s="90" t="n"/>
      <c r="T200" s="90" t="n"/>
      <c r="U200" s="90" t="n"/>
      <c r="V200" s="90" t="n"/>
      <c r="W200" s="90" t="n"/>
      <c r="X200" s="90" t="n"/>
      <c r="Y200" s="90" t="n"/>
      <c r="Z200" s="90" t="n"/>
      <c r="AA200" s="90" t="n"/>
      <c r="AB200" s="90" t="n"/>
      <c r="AC200" s="90" t="n"/>
      <c r="AD200" s="90" t="n"/>
      <c r="AE200" s="90" t="n"/>
      <c r="AF200" s="90" t="n"/>
      <c r="AG200" s="90" t="n"/>
      <c r="AH200" s="90" t="n"/>
      <c r="AI200" s="90" t="n"/>
      <c r="AJ200" s="90" t="n"/>
      <c r="AK200" s="90" t="n"/>
      <c r="AL200" s="90" t="n"/>
      <c r="AM200" s="90" t="n"/>
      <c r="AN200" s="90" t="n"/>
      <c r="AO200" s="90" t="n"/>
      <c r="AP200" s="90" t="n"/>
      <c r="AQ200" s="90" t="n"/>
      <c r="AR200" s="90" t="n"/>
      <c r="AS200" s="90" t="n"/>
      <c r="AT200" s="90" t="n"/>
      <c r="AU200" s="90" t="n"/>
      <c r="AV200" s="90" t="n"/>
      <c r="AW200" s="90" t="n"/>
      <c r="AX200" s="90" t="n"/>
      <c r="AY200" s="90" t="n"/>
    </row>
    <row r="201" ht="20" customHeight="1">
      <c r="A201" s="89">
        <f>IF(Roster!$A$199&lt;&gt;"",Roster!$A$199,"")</f>
        <v/>
      </c>
      <c r="B201" s="90" t="n"/>
      <c r="C201" s="90" t="n"/>
      <c r="D201" s="90" t="n"/>
      <c r="E201" s="90" t="n"/>
      <c r="F201" s="90" t="n"/>
      <c r="G201" s="90" t="n"/>
      <c r="H201" s="90" t="n"/>
      <c r="I201" s="90" t="n"/>
      <c r="J201" s="90" t="n"/>
      <c r="K201" s="90" t="n"/>
      <c r="L201" s="90" t="n"/>
      <c r="M201" s="90" t="n"/>
      <c r="N201" s="90" t="n"/>
      <c r="O201" s="90" t="n"/>
      <c r="P201" s="90" t="n"/>
      <c r="Q201" s="90" t="n"/>
      <c r="R201" s="90" t="n"/>
      <c r="S201" s="90" t="n"/>
      <c r="T201" s="90" t="n"/>
      <c r="U201" s="90" t="n"/>
      <c r="V201" s="90" t="n"/>
      <c r="W201" s="90" t="n"/>
      <c r="X201" s="90" t="n"/>
      <c r="Y201" s="90" t="n"/>
      <c r="Z201" s="90" t="n"/>
      <c r="AA201" s="90" t="n"/>
      <c r="AB201" s="90" t="n"/>
      <c r="AC201" s="90" t="n"/>
      <c r="AD201" s="90" t="n"/>
      <c r="AE201" s="90" t="n"/>
      <c r="AF201" s="90" t="n"/>
      <c r="AG201" s="90" t="n"/>
      <c r="AH201" s="90" t="n"/>
      <c r="AI201" s="90" t="n"/>
      <c r="AJ201" s="90" t="n"/>
      <c r="AK201" s="90" t="n"/>
      <c r="AL201" s="90" t="n"/>
      <c r="AM201" s="90" t="n"/>
      <c r="AN201" s="90" t="n"/>
      <c r="AO201" s="90" t="n"/>
      <c r="AP201" s="90" t="n"/>
      <c r="AQ201" s="90" t="n"/>
      <c r="AR201" s="90" t="n"/>
      <c r="AS201" s="90" t="n"/>
      <c r="AT201" s="90" t="n"/>
      <c r="AU201" s="90" t="n"/>
      <c r="AV201" s="90" t="n"/>
      <c r="AW201" s="90" t="n"/>
      <c r="AX201" s="90" t="n"/>
      <c r="AY201" s="90" t="n"/>
    </row>
    <row r="202" ht="20" customHeight="1">
      <c r="A202" s="89">
        <f>IF(Roster!$A$200&lt;&gt;"",Roster!$A$200,"")</f>
        <v/>
      </c>
      <c r="B202" s="90" t="n"/>
      <c r="C202" s="90" t="n"/>
      <c r="D202" s="90" t="n"/>
      <c r="E202" s="90" t="n"/>
      <c r="F202" s="90" t="n"/>
      <c r="G202" s="90" t="n"/>
      <c r="H202" s="90" t="n"/>
      <c r="I202" s="90" t="n"/>
      <c r="J202" s="90" t="n"/>
      <c r="K202" s="90" t="n"/>
      <c r="L202" s="90" t="n"/>
      <c r="M202" s="90" t="n"/>
      <c r="N202" s="90" t="n"/>
      <c r="O202" s="90" t="n"/>
      <c r="P202" s="90" t="n"/>
      <c r="Q202" s="90" t="n"/>
      <c r="R202" s="90" t="n"/>
      <c r="S202" s="90" t="n"/>
      <c r="T202" s="90" t="n"/>
      <c r="U202" s="90" t="n"/>
      <c r="V202" s="90" t="n"/>
      <c r="W202" s="90" t="n"/>
      <c r="X202" s="90" t="n"/>
      <c r="Y202" s="90" t="n"/>
      <c r="Z202" s="90" t="n"/>
      <c r="AA202" s="90" t="n"/>
      <c r="AB202" s="90" t="n"/>
      <c r="AC202" s="90" t="n"/>
      <c r="AD202" s="90" t="n"/>
      <c r="AE202" s="90" t="n"/>
      <c r="AF202" s="90" t="n"/>
      <c r="AG202" s="90" t="n"/>
      <c r="AH202" s="90" t="n"/>
      <c r="AI202" s="90" t="n"/>
      <c r="AJ202" s="90" t="n"/>
      <c r="AK202" s="90" t="n"/>
      <c r="AL202" s="90" t="n"/>
      <c r="AM202" s="90" t="n"/>
      <c r="AN202" s="90" t="n"/>
      <c r="AO202" s="90" t="n"/>
      <c r="AP202" s="90" t="n"/>
      <c r="AQ202" s="90" t="n"/>
      <c r="AR202" s="90" t="n"/>
      <c r="AS202" s="90" t="n"/>
      <c r="AT202" s="90" t="n"/>
      <c r="AU202" s="90" t="n"/>
      <c r="AV202" s="90" t="n"/>
      <c r="AW202" s="90" t="n"/>
      <c r="AX202" s="90" t="n"/>
      <c r="AY202" s="90" t="n"/>
    </row>
    <row r="203" ht="20" customHeight="1">
      <c r="A203" s="89">
        <f>IF(Roster!$A$201&lt;&gt;"",Roster!$A$201,"")</f>
        <v/>
      </c>
      <c r="B203" s="90" t="n"/>
      <c r="C203" s="90" t="n"/>
      <c r="D203" s="90" t="n"/>
      <c r="E203" s="90" t="n"/>
      <c r="F203" s="90" t="n"/>
      <c r="G203" s="90" t="n"/>
      <c r="H203" s="90" t="n"/>
      <c r="I203" s="90" t="n"/>
      <c r="J203" s="90" t="n"/>
      <c r="K203" s="90" t="n"/>
      <c r="L203" s="90" t="n"/>
      <c r="M203" s="90" t="n"/>
      <c r="N203" s="90" t="n"/>
      <c r="O203" s="90" t="n"/>
      <c r="P203" s="90" t="n"/>
      <c r="Q203" s="90" t="n"/>
      <c r="R203" s="90" t="n"/>
      <c r="S203" s="90" t="n"/>
      <c r="T203" s="90" t="n"/>
      <c r="U203" s="90" t="n"/>
      <c r="V203" s="90" t="n"/>
      <c r="W203" s="90" t="n"/>
      <c r="X203" s="90" t="n"/>
      <c r="Y203" s="90" t="n"/>
      <c r="Z203" s="90" t="n"/>
      <c r="AA203" s="90" t="n"/>
      <c r="AB203" s="90" t="n"/>
      <c r="AC203" s="90" t="n"/>
      <c r="AD203" s="90" t="n"/>
      <c r="AE203" s="90" t="n"/>
      <c r="AF203" s="90" t="n"/>
      <c r="AG203" s="90" t="n"/>
      <c r="AH203" s="90" t="n"/>
      <c r="AI203" s="90" t="n"/>
      <c r="AJ203" s="90" t="n"/>
      <c r="AK203" s="90" t="n"/>
      <c r="AL203" s="90" t="n"/>
      <c r="AM203" s="90" t="n"/>
      <c r="AN203" s="90" t="n"/>
      <c r="AO203" s="90" t="n"/>
      <c r="AP203" s="90" t="n"/>
      <c r="AQ203" s="90" t="n"/>
      <c r="AR203" s="90" t="n"/>
      <c r="AS203" s="90" t="n"/>
      <c r="AT203" s="90" t="n"/>
      <c r="AU203" s="90" t="n"/>
      <c r="AV203" s="90" t="n"/>
      <c r="AW203" s="90" t="n"/>
      <c r="AX203" s="90" t="n"/>
      <c r="AY203" s="90" t="n"/>
    </row>
    <row r="204" ht="20" customHeight="1">
      <c r="A204" s="89">
        <f>IF(Roster!$A$202&lt;&gt;"",Roster!$A$202,"")</f>
        <v/>
      </c>
      <c r="B204" s="90" t="n"/>
      <c r="C204" s="90" t="n"/>
      <c r="D204" s="90" t="n"/>
      <c r="E204" s="90" t="n"/>
      <c r="F204" s="90" t="n"/>
      <c r="G204" s="90" t="n"/>
      <c r="H204" s="90" t="n"/>
      <c r="I204" s="90" t="n"/>
      <c r="J204" s="90" t="n"/>
      <c r="K204" s="90" t="n"/>
      <c r="L204" s="90" t="n"/>
      <c r="M204" s="90" t="n"/>
      <c r="N204" s="90" t="n"/>
      <c r="O204" s="90" t="n"/>
      <c r="P204" s="90" t="n"/>
      <c r="Q204" s="90" t="n"/>
      <c r="R204" s="90" t="n"/>
      <c r="S204" s="90" t="n"/>
      <c r="T204" s="90" t="n"/>
      <c r="U204" s="90" t="n"/>
      <c r="V204" s="90" t="n"/>
      <c r="W204" s="90" t="n"/>
      <c r="X204" s="90" t="n"/>
      <c r="Y204" s="90" t="n"/>
      <c r="Z204" s="90" t="n"/>
      <c r="AA204" s="90" t="n"/>
      <c r="AB204" s="90" t="n"/>
      <c r="AC204" s="90" t="n"/>
      <c r="AD204" s="90" t="n"/>
      <c r="AE204" s="90" t="n"/>
      <c r="AF204" s="90" t="n"/>
      <c r="AG204" s="90" t="n"/>
      <c r="AH204" s="90" t="n"/>
      <c r="AI204" s="90" t="n"/>
      <c r="AJ204" s="90" t="n"/>
      <c r="AK204" s="90" t="n"/>
      <c r="AL204" s="90" t="n"/>
      <c r="AM204" s="90" t="n"/>
      <c r="AN204" s="90" t="n"/>
      <c r="AO204" s="90" t="n"/>
      <c r="AP204" s="90" t="n"/>
      <c r="AQ204" s="90" t="n"/>
      <c r="AR204" s="90" t="n"/>
      <c r="AS204" s="90" t="n"/>
      <c r="AT204" s="90" t="n"/>
      <c r="AU204" s="90" t="n"/>
      <c r="AV204" s="90" t="n"/>
      <c r="AW204" s="90" t="n"/>
      <c r="AX204" s="90" t="n"/>
      <c r="AY204" s="90" t="n"/>
    </row>
    <row r="205" ht="20" customHeight="1">
      <c r="A205" s="89">
        <f>IF(Roster!$A$203&lt;&gt;"",Roster!$A$203,"")</f>
        <v/>
      </c>
      <c r="B205" s="90" t="n"/>
      <c r="C205" s="90" t="n"/>
      <c r="D205" s="90" t="n"/>
      <c r="E205" s="90" t="n"/>
      <c r="F205" s="90" t="n"/>
      <c r="G205" s="90" t="n"/>
      <c r="H205" s="90" t="n"/>
      <c r="I205" s="90" t="n"/>
      <c r="J205" s="90" t="n"/>
      <c r="K205" s="90" t="n"/>
      <c r="L205" s="90" t="n"/>
      <c r="M205" s="90" t="n"/>
      <c r="N205" s="90" t="n"/>
      <c r="O205" s="90" t="n"/>
      <c r="P205" s="90" t="n"/>
      <c r="Q205" s="90" t="n"/>
      <c r="R205" s="90" t="n"/>
      <c r="S205" s="90" t="n"/>
      <c r="T205" s="90" t="n"/>
      <c r="U205" s="90" t="n"/>
      <c r="V205" s="90" t="n"/>
      <c r="W205" s="90" t="n"/>
      <c r="X205" s="90" t="n"/>
      <c r="Y205" s="90" t="n"/>
      <c r="Z205" s="90" t="n"/>
      <c r="AA205" s="90" t="n"/>
      <c r="AB205" s="90" t="n"/>
      <c r="AC205" s="90" t="n"/>
      <c r="AD205" s="90" t="n"/>
      <c r="AE205" s="90" t="n"/>
      <c r="AF205" s="90" t="n"/>
      <c r="AG205" s="90" t="n"/>
      <c r="AH205" s="90" t="n"/>
      <c r="AI205" s="90" t="n"/>
      <c r="AJ205" s="90" t="n"/>
      <c r="AK205" s="90" t="n"/>
      <c r="AL205" s="90" t="n"/>
      <c r="AM205" s="90" t="n"/>
      <c r="AN205" s="90" t="n"/>
      <c r="AO205" s="90" t="n"/>
      <c r="AP205" s="90" t="n"/>
      <c r="AQ205" s="90" t="n"/>
      <c r="AR205" s="90" t="n"/>
      <c r="AS205" s="90" t="n"/>
      <c r="AT205" s="90" t="n"/>
      <c r="AU205" s="90" t="n"/>
      <c r="AV205" s="90" t="n"/>
      <c r="AW205" s="90" t="n"/>
      <c r="AX205" s="90" t="n"/>
      <c r="AY205" s="90" t="n"/>
    </row>
    <row r="206" ht="20" customHeight="1">
      <c r="A206" s="89">
        <f>IF(Roster!$A$204&lt;&gt;"",Roster!$A$204,"")</f>
        <v/>
      </c>
      <c r="B206" s="90" t="n"/>
      <c r="C206" s="90" t="n"/>
      <c r="D206" s="90" t="n"/>
      <c r="E206" s="90" t="n"/>
      <c r="F206" s="90" t="n"/>
      <c r="G206" s="90" t="n"/>
      <c r="H206" s="90" t="n"/>
      <c r="I206" s="90" t="n"/>
      <c r="J206" s="90" t="n"/>
      <c r="K206" s="90" t="n"/>
      <c r="L206" s="90" t="n"/>
      <c r="M206" s="90" t="n"/>
      <c r="N206" s="90" t="n"/>
      <c r="O206" s="90" t="n"/>
      <c r="P206" s="90" t="n"/>
      <c r="Q206" s="90" t="n"/>
      <c r="R206" s="90" t="n"/>
      <c r="S206" s="90" t="n"/>
      <c r="T206" s="90" t="n"/>
      <c r="U206" s="90" t="n"/>
      <c r="V206" s="90" t="n"/>
      <c r="W206" s="90" t="n"/>
      <c r="X206" s="90" t="n"/>
      <c r="Y206" s="90" t="n"/>
      <c r="Z206" s="90" t="n"/>
      <c r="AA206" s="90" t="n"/>
      <c r="AB206" s="90" t="n"/>
      <c r="AC206" s="90" t="n"/>
      <c r="AD206" s="90" t="n"/>
      <c r="AE206" s="90" t="n"/>
      <c r="AF206" s="90" t="n"/>
      <c r="AG206" s="90" t="n"/>
      <c r="AH206" s="90" t="n"/>
      <c r="AI206" s="90" t="n"/>
      <c r="AJ206" s="90" t="n"/>
      <c r="AK206" s="90" t="n"/>
      <c r="AL206" s="90" t="n"/>
      <c r="AM206" s="90" t="n"/>
      <c r="AN206" s="90" t="n"/>
      <c r="AO206" s="90" t="n"/>
      <c r="AP206" s="90" t="n"/>
      <c r="AQ206" s="90" t="n"/>
      <c r="AR206" s="90" t="n"/>
      <c r="AS206" s="90" t="n"/>
      <c r="AT206" s="90" t="n"/>
      <c r="AU206" s="90" t="n"/>
      <c r="AV206" s="90" t="n"/>
      <c r="AW206" s="90" t="n"/>
      <c r="AX206" s="90" t="n"/>
      <c r="AY206" s="90" t="n"/>
    </row>
    <row r="207" ht="20" customHeight="1"/>
    <row r="208" ht="20" customHeight="1"/>
    <row r="209" ht="20" customHeight="1"/>
  </sheetData>
  <mergeCells count="1">
    <mergeCell ref="A1:F1"/>
  </mergeCells>
  <dataValidations count="1">
    <dataValidation sqref="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N103 N104 N105 N106 N107 N108 N109 N110 N111 N112 N113 N114 N115 N116 N117 N118 N119 N120 N121 N122 N123 N124 N125 N126 N127 N128 N129 N130 N131 N132 N133 N134 N135 N136 N137 N138 N139 N140 N141 N142 N143 N144 N145 N146 N147 N148 N149 N150 N151 N152 N153 N154 N155 N156 N157 N158 N159 N160 N161 N162 N163 N164 N165 N166 N167 N168 N169 N170 N171 N172 N173 N174 N175 N176 N177 N178 N179 N180 N181 N182 N183 N184 N185 N186 N187 N188 N189 N190 N191 N192 N193 N194 N195 N196 N197 N198 N199 N200 N201 N202 N203 N204 N205 N206 N207 N208 N20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R144 R145 R146 R147 R148 R149 R150 R151 R152 R153 R154 R155 R156 R157 R158 R159 R160 R161 R162 R163 R164 R165 R166 R167 R168 R169 R170 R171 R172 R173 R174 R175 R176 R177 R178 R179 R180 R181 R182 R183 R184 R185 R186 R187 R188 R189 R190 R191 R192 R193 R194 R195 R196 R197 R198 R199 R200 R201 R202 R203 R204 R205 R206 R207 R208 R209 S10 S11 S12 S13 S14 S15 S16 S17 S18 S19 S20 S21 S22 S23 S24 S25 S26 S27 S28 S29 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101 S102 S103 S104 S105 S106 S107 S108 S109 S110 S111 S112 S113 S114 S115 S116 S117 S118 S119 S120 S121 S122 S123 S124 S125 S126 S127 S128 S129 S130 S131 S132 S133 S134 S135 S136 S137 S138 S139 S140 S141 S142 S143 S144 S145 S146 S147 S148 S149 S150 S151 S152 S153 S154 S155 S156 S157 S158 S159 S160 S161 S162 S163 S164 S165 S166 S167 S168 S169 S170 S171 S172 S173 S174 S175 S176 S177 S178 S179 S180 S181 S182 S183 S184 S185 S186 S187 S188 S189 S190 S191 S192 S193 S194 S195 S196 S197 S198 S199 S200 S201 S202 S203 S204 S205 S206 S207 S208 S20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T101 T102 T103 T104 T105 T106 T107 T108 T109 T110 T111 T112 T113 T114 T115 T116 T117 T118 T119 T120 T121 T122 T123 T124 T125 T126 T127 T128 T129 T130 T131 T132 T133 T134 T135 T136 T137 T138 T139 T140 T141 T142 T143 T144 T145 T146 T147 T148 T149 T150 T151 T152 T153 T154 T155 T156 T157 T158 T159 T160 T161 T162 T163 T164 T165 T166 T167 T168 T169 T170 T171 T172 T173 T174 T175 T176 T177 T178 T179 T180 T181 T182 T183 T184 T185 T186 T187 T188 T189 T190 T191 T192 T193 T194 T195 T196 T197 T198 T199 T200 T201 T202 T203 T204 T205 T206 T207 T208 T20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V105 V106 V107 V108 V109 V110 V111 V112 V113 V114 V115 V116 V117 V118 V119 V120 V121 V122 V123 V124 V125 V126 V127 V128 V129 V130 V131 V132 V133 V134 V135 V136 V137 V138 V139 V140 V141 V142 V143 V144 V145 V146 V147 V148 V149 V150 V151 V152 V153 V154 V155 V156 V157 V158 V159 V160 V161 V162 V163 V164 V165 V166 V167 V168 V169 V170 V171 V172 V173 V174 V175 V176 V177 V178 V179 V180 V181 V182 V183 V184 V185 V186 V187 V188 V189 V190 V191 V192 V193 V194 V195 V196 V197 V198 V199 V200 V201 V202 V203 V204 V205 V206 V207 V208 V20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W105 W106 W107 W108 W109 W110 W111 W112 W113 W114 W115 W116 W117 W118 W119 W120 W121 W122 W123 W124 W125 W126 W127 W128 W129 W130 W131 W132 W133 W134 W135 W136 W137 W138 W139 W140 W141 W142 W143 W144 W145 W146 W147 W148 W149 W150 W151 W152 W153 W154 W155 W156 W157 W158 W159 W160 W161 W162 W163 W164 W165 W166 W167 W168 W169 W170 W171 W172 W173 W174 W175 W176 W177 W178 W179 W180 W181 W182 W183 W184 W185 W186 W187 W188 W189 W190 W191 W192 W193 W194 W195 W196 W197 W198 W199 W200 W201 W202 W203 W204 W205 W206 W207 W208 W209 X10 X11 X12 X13 X14 X15 X16 X17 X18 X19 X20 X21 X22 X23 X24 X25 X26 X27 X28 X29 X30 X31 X32 X33 X34 X35 X36 X37 X38 X39 X40 X41 X42 X43 X44 X45 X46 X47 X48 X49 X50 X51 X52 X53 X54 X55 X56 X57 X58 X59 X60 X61 X62 X63 X64 X65 X66 X67 X68 X69 X70 X71 X72 X73 X74 X75 X76 X77 X78 X79 X80 X81 X82 X83 X84 X85 X86 X87 X88 X89 X90 X91 X92 X93 X94 X95 X96 X97 X98 X99 X100 X101 X102 X103 X104 X105 X106 X107 X108 X109 X110 X111 X112 X113 X114 X115 X116 X117 X118 X119 X120 X121 X122 X123 X124 X125 X126 X127 X128 X129 X130 X131 X132 X133 X134 X135 X136 X137 X138 X139 X140 X141 X142 X143 X144 X145 X146 X147 X148 X149 X150 X151 X152 X153 X154 X155 X156 X157 X158 X159 X160 X161 X162 X163 X164 X165 X166 X167 X168 X169 X170 X171 X172 X173 X174 X175 X176 X177 X178 X179 X180 X181 X182 X183 X184 X185 X186 X187 X188 X189 X190 X191 X192 X193 X194 X195 X196 X197 X198 X199 X200 X201 X202 X203 X204 X205 X206 X207 X208 X209 Y10 Y11 Y12 Y13 Y14 Y15 Y16 Y17 Y18 Y19 Y20 Y21 Y22 Y23 Y24 Y25 Y26 Y27 Y28 Y29 Y30 Y31 Y32 Y33 Y34 Y35 Y36 Y37 Y38 Y39 Y40 Y41 Y42 Y43 Y44 Y45 Y46 Y47 Y48 Y49 Y50 Y51 Y52 Y53 Y54 Y55 Y56 Y57 Y58 Y59 Y60 Y61 Y62 Y63 Y64 Y65 Y66 Y67 Y68 Y69 Y70 Y71 Y72 Y73 Y74 Y75 Y76 Y77 Y78 Y79 Y80 Y81 Y82 Y83 Y84 Y85 Y86 Y87 Y88 Y89 Y90 Y91 Y92 Y93 Y94 Y95 Y96 Y97 Y98 Y99 Y100 Y101 Y102 Y103 Y104 Y105 Y106 Y107 Y108 Y109 Y110 Y111 Y112 Y113 Y114 Y115 Y116 Y117 Y118 Y119 Y120 Y121 Y122 Y123 Y124 Y125 Y126 Y127 Y128 Y129 Y130 Y131 Y132 Y133 Y134 Y135 Y136 Y137 Y138 Y139 Y140 Y141 Y142 Y143 Y144 Y145 Y146 Y147 Y148 Y149 Y150 Y151 Y152 Y153 Y154 Y155 Y156 Y157 Y158 Y159 Y160 Y161 Y162 Y163 Y164 Y165 Y166 Y167 Y168 Y169 Y170 Y171 Y172 Y173 Y174 Y175 Y176 Y177 Y178 Y179 Y180 Y181 Y182 Y183 Y184 Y185 Y186 Y187 Y188 Y189 Y190 Y191 Y192 Y193 Y194 Y195 Y196 Y197 Y198 Y199 Y200 Y201 Y202 Y203 Y204 Y205 Y206 Y207 Y208 Y209 Z10 Z11 Z12 Z13 Z14 Z15 Z16 Z17 Z18 Z19 Z20 Z21 Z22 Z23 Z24 Z25 Z26 Z27 Z28 Z29 Z30 Z31 Z32 Z33 Z34 Z35 Z36 Z37 Z38 Z39 Z40 Z41 Z42 Z43 Z44 Z45 Z46 Z47 Z48 Z49 Z50 Z51 Z52 Z53 Z54 Z55 Z56 Z57 Z58 Z59 Z60 Z61 Z62 Z63 Z64 Z65 Z66 Z67 Z68 Z69 Z70 Z71 Z72 Z73 Z74 Z75 Z76 Z77 Z78 Z79 Z80 Z81 Z82 Z83 Z84 Z85 Z86 Z87 Z88 Z89 Z90 Z91 Z92 Z93 Z94 Z95 Z96 Z97 Z98 Z99 Z100 Z101 Z102 Z103 Z104 Z105 Z106 Z107 Z108 Z109 Z110 Z111 Z112 Z113 Z114 Z115 Z116 Z117 Z118 Z119 Z120 Z121 Z122 Z123 Z124 Z125 Z126 Z127 Z128 Z129 Z130 Z131 Z132 Z133 Z134 Z135 Z136 Z137 Z138 Z139 Z140 Z141 Z142 Z143 Z144 Z145 Z146 Z147 Z148 Z149 Z150 Z151 Z152 Z153 Z154 Z155 Z156 Z157 Z158 Z159 Z160 Z161 Z162 Z163 Z164 Z165 Z166 Z167 Z168 Z169 Z170 Z171 Z172 Z173 Z174 Z175 Z176 Z177 Z178 Z179 Z180 Z181 Z182 Z183 Z184 Z185 Z186 Z187 Z188 Z189 Z190 Z191 Z192 Z193 Z194 Z195 Z196 Z197 Z198 Z199 Z200 Z201 Z202 Z203 Z204 Z205 Z206 Z207 Z208 Z209 AA10 AA11 AA12 AA13 AA14 AA15 AA16 AA17 AA18 AA19 AA20 AA21 AA22 AA23 AA24 AA25 AA26 AA27 AA28 AA29 AA30 AA31 AA32 AA33 AA34 AA35 AA36 AA37 AA38 AA39 AA40 AA41 AA42 AA43 AA44 AA45 AA46 AA47 AA48 AA49 AA50 AA51 AA52 AA53 AA54 AA55 AA56 AA57 AA58 AA59 AA60 AA61 AA62 AA63 AA64 AA65 AA66 AA67 AA68 AA69 AA70 AA71 AA72 AA73 AA74 AA75 AA76 AA77 AA78 AA79 AA80 AA81 AA82 AA83 AA84 AA85 AA86 AA87 AA88 AA89 AA90 AA91 AA92 AA93 AA94 AA95 AA96 AA97 AA98 AA99 AA100 AA101 AA102 AA103 AA104 AA105 AA106 AA107 AA108 AA109 AA110 AA111 AA112 AA113 AA114 AA115 AA116 AA117 AA118 AA119 AA120 AA121 AA122 AA123 AA124 AA125 AA126 AA127 AA128 AA129 AA130 AA131 AA132 AA133 AA134 AA135 AA136 AA137 AA138 AA139 AA140 AA141 AA142 AA143 AA144 AA145 AA146 AA147 AA148 AA149 AA150 AA151 AA152 AA153 AA154 AA155 AA156 AA157 AA158 AA159 AA160 AA161 AA162 AA163 AA164 AA165 AA166 AA167 AA168 AA169 AA170 AA171 AA172 AA173 AA174 AA175 AA176 AA177 AA178 AA179 AA180 AA181 AA182 AA183 AA184 AA185 AA186 AA187 AA188 AA189 AA190 AA191 AA192 AA193 AA194 AA195 AA196 AA197 AA198 AA199 AA200 AA201 AA202 AA203 AA204 AA205 AA206 AA207 AA208 AA20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AC105 AC106 AC107 AC108 AC109 AC110 AC111 AC112 AC113 AC114 AC115 AC116 AC117 AC118 AC119 AC120 AC121 AC122 AC123 AC124 AC125 AC126 AC127 AC128 AC129 AC130 AC131 AC132 AC133 AC134 AC135 AC136 AC137 AC138 AC139 AC140 AC141 AC142 AC143 AC144 AC145 AC146 AC147 AC148 AC149 AC150 AC151 AC152 AC153 AC154 AC155 AC156 AC157 AC158 AC159 AC160 AC161 AC162 AC163 AC164 AC165 AC166 AC167 AC168 AC169 AC170 AC171 AC172 AC173 AC174 AC175 AC176 AC177 AC178 AC179 AC180 AC181 AC182 AC183 AC184 AC185 AC186 AC187 AC188 AC189 AC190 AC191 AC192 AC193 AC194 AC195 AC196 AC197 AC198 AC199 AC200 AC201 AC202 AC203 AC204 AC205 AC206 AC207 AC208 AC209 AD10 AD11 AD12 AD13 AD14 AD15 AD16 AD17 AD18 AD19 AD20 AD21 AD22 AD23 AD24 AD25 AD26 AD27 AD28 AD29 AD30 AD31 AD32 AD33 AD34 AD35 AD36 AD37 AD38 AD39 AD40 AD41 AD42 AD43 AD44 AD45 AD46 AD47 AD48 AD49 AD50 AD51 AD52 AD53 AD54 AD55 AD56 AD57 AD58 AD59 AD60 AD61 AD62 AD63 AD64 AD65 AD66 AD67 AD68 AD69 AD70 AD71 AD72 AD73 AD74 AD75 AD76 AD77 AD78 AD79 AD80 AD81 AD82 AD83 AD84 AD85 AD86 AD87 AD88 AD89 AD90 AD91 AD92 AD93 AD94 AD95 AD96 AD97 AD98 AD99 AD100 AD101 AD102 AD103 AD104 AD105 AD106 AD107 AD108 AD109 AD110 AD111 AD112 AD113 AD114 AD115 AD116 AD117 AD118 AD119 AD120 AD121 AD122 AD123 AD124 AD125 AD126 AD127 AD128 AD129 AD130 AD131 AD132 AD133 AD134 AD135 AD136 AD137 AD138 AD139 AD140 AD141 AD142 AD143 AD144 AD145 AD146 AD147 AD148 AD149 AD150 AD151 AD152 AD153 AD154 AD155 AD156 AD157 AD158 AD159 AD160 AD161 AD162 AD163 AD164 AD165 AD166 AD167 AD168 AD169 AD170 AD171 AD172 AD173 AD174 AD175 AD176 AD177 AD178 AD179 AD180 AD181 AD182 AD183 AD184 AD185 AD186 AD187 AD188 AD189 AD190 AD191 AD192 AD193 AD194 AD195 AD196 AD197 AD198 AD199 AD200 AD201 AD202 AD203 AD204 AD205 AD206 AD207 AD208 AD209 AE10 AE11 AE12 AE13 AE14 AE15 AE16 AE17 AE18 AE19 AE20 AE21 AE22 AE23 AE24 AE25 AE26 AE27 AE28 AE29 AE30 AE31 AE32 AE33 AE34 AE35 AE36 AE37 AE38 AE39 AE40 AE41 AE42 AE43 AE44 AE45 AE46 AE47 AE48 AE49 AE50 AE51 AE52 AE53 AE54 AE55 AE56 AE57 AE58 AE59 AE60 AE61 AE62 AE63 AE64 AE65 AE66 AE67 AE68 AE69 AE70 AE71 AE72 AE73 AE74 AE75 AE76 AE77 AE78 AE79 AE80 AE81 AE82 AE83 AE84 AE85 AE86 AE87 AE88 AE89 AE90 AE91 AE92 AE93 AE94 AE95 AE96 AE97 AE98 AE99 AE100 AE101 AE102 AE103 AE104 AE105 AE106 AE107 AE108 AE109 AE110 AE111 AE112 AE113 AE114 AE115 AE116 AE117 AE118 AE119 AE120 AE121 AE122 AE123 AE124 AE125 AE126 AE127 AE128 AE129 AE130 AE131 AE132 AE133 AE134 AE135 AE136 AE137 AE138 AE139 AE140 AE141 AE142 AE143 AE144 AE145 AE146 AE147 AE148 AE149 AE150 AE151 AE152 AE153 AE154 AE155 AE156 AE157 AE158 AE159 AE160 AE161 AE162 AE163 AE164 AE165 AE166 AE167 AE168 AE169 AE170 AE171 AE172 AE173 AE174 AE175 AE176 AE177 AE178 AE179 AE180 AE181 AE182 AE183 AE184 AE185 AE186 AE187 AE188 AE189 AE190 AE191 AE192 AE193 AE194 AE195 AE196 AE197 AE198 AE199 AE200 AE201 AE202 AE203 AE204 AE205 AE206 AE207 AE208 AE209 AF10 AF11 AF12 AF13 AF14 AF15 AF16 AF17 AF18 AF19 AF20 AF21 AF22 AF23 AF24 AF25 AF26 AF27 AF28 AF29 AF30 AF31 AF32 AF33 AF34 AF35 AF36 AF37 AF38 AF39 AF40 AF41 AF42 AF43 AF44 AF45 AF46 AF47 AF48 AF49 AF50 AF51 AF52 AF53 AF54 AF55 AF56 AF57 AF58 AF59 AF60 AF61 AF62 AF63 AF64 AF65 AF66 AF67 AF68 AF69 AF70 AF71 AF72 AF73 AF74 AF75 AF76 AF77 AF78 AF79 AF80 AF81 AF82 AF83 AF84 AF85 AF86 AF87 AF88 AF89 AF90 AF91 AF92 AF93 AF94 AF95 AF96 AF97 AF98 AF99 AF100 AF101 AF102 AF103 AF104 AF105 AF106 AF107 AF108 AF109 AF110 AF111 AF112 AF113 AF114 AF115 AF116 AF117 AF118 AF119 AF120 AF121 AF122 AF123 AF124 AF125 AF126 AF127 AF128 AF129 AF130 AF131 AF132 AF133 AF134 AF135 AF136 AF137 AF138 AF139 AF140 AF141 AF142 AF143 AF144 AF145 AF146 AF147 AF148 AF149 AF150 AF151 AF152 AF153 AF154 AF155 AF156 AF157 AF158 AF159 AF160 AF161 AF162 AF163 AF164 AF165 AF166 AF167 AF168 AF169 AF170 AF171 AF172 AF173 AF174 AF175 AF176 AF177 AF178 AF179 AF180 AF181 AF182 AF183 AF184 AF185 AF186 AF187 AF188 AF189 AF190 AF191 AF192 AF193 AF194 AF195 AF196 AF197 AF198 AF199 AF200 AF201 AF202 AF203 AF204 AF205 AF206 AF207 AF208 AF209 AG10 AG11 AG12 AG13 AG14 AG15 AG16 AG17 AG18 AG19 AG20 AG21 AG22 AG23 AG24 AG25 AG26 AG27 AG28 AG29 AG30 AG31 AG32 AG33 AG34 AG35 AG36 AG37 AG38 AG39 AG40 AG41 AG42 AG43 AG44 AG45 AG46 AG47 AG48 AG49 AG50 AG51 AG52 AG53 AG54 AG55 AG56 AG57 AG58 AG59 AG60 AG61 AG62 AG63 AG64 AG65 AG66 AG67 AG68 AG69 AG70 AG71 AG72 AG73 AG74 AG75 AG76 AG77 AG78 AG79 AG80 AG81 AG82 AG83 AG84 AG85 AG86 AG87 AG88 AG89 AG90 AG91 AG92 AG93 AG94 AG95 AG96 AG97 AG98 AG99 AG100 AG101 AG102 AG103 AG104 AG105 AG106 AG107 AG108 AG109 AG110 AG111 AG112 AG113 AG114 AG115 AG116 AG117 AG118 AG119 AG120 AG121 AG122 AG123 AG124 AG125 AG126 AG127 AG128 AG129 AG130 AG131 AG132 AG133 AG134 AG135 AG136 AG137 AG138 AG139 AG140 AG141 AG142 AG143 AG144 AG145 AG146 AG147 AG148 AG149 AG150 AG151 AG152 AG153 AG154 AG155 AG156 AG157 AG158 AG159 AG160 AG161 AG162 AG163 AG164 AG165 AG166 AG167 AG168 AG169 AG170 AG171 AG172 AG173 AG174 AG175 AG176 AG177 AG178 AG179 AG180 AG181 AG182 AG183 AG184 AG185 AG186 AG187 AG188 AG189 AG190 AG191 AG192 AG193 AG194 AG195 AG196 AG197 AG198 AG199 AG200 AG201 AG202 AG203 AG204 AG205 AG206 AG207 AG208 AG209 AH10 AH11 AH12 AH13 AH14 AH15 AH16 AH17 AH18 AH19 AH20 AH21 AH22 AH23 AH24 AH25 AH26 AH27 AH28 AH29 AH30 AH31 AH32 AH33 AH34 AH35 AH36 AH37 AH38 AH39 AH40 AH41 AH42 AH43 AH44 AH45 AH46 AH47 AH48 AH49 AH50 AH51 AH52 AH53 AH54 AH55 AH56 AH57 AH58 AH59 AH60 AH61 AH62 AH63 AH64 AH65 AH66 AH67 AH68 AH69 AH70 AH71 AH72 AH73 AH74 AH75 AH76 AH77 AH78 AH79 AH80 AH81 AH82 AH83 AH84 AH85 AH86 AH87 AH88 AH89 AH90 AH91 AH92 AH93 AH94 AH95 AH96 AH97 AH98 AH99 AH100 AH101 AH102 AH103 AH104 AH105 AH106 AH107 AH108 AH109 AH110 AH111 AH112 AH113 AH114 AH115 AH116 AH117 AH118 AH119 AH120 AH121 AH122 AH123 AH124 AH125 AH126 AH127 AH128 AH129 AH130 AH131 AH132 AH133 AH134 AH135 AH136 AH137 AH138 AH139 AH140 AH141 AH142 AH143 AH144 AH145 AH146 AH147 AH148 AH149 AH150 AH151 AH152 AH153 AH154 AH155 AH156 AH157 AH158 AH159 AH160 AH161 AH162 AH163 AH164 AH165 AH166 AH167 AH168 AH169 AH170 AH171 AH172 AH173 AH174 AH175 AH176 AH177 AH178 AH179 AH180 AH181 AH182 AH183 AH184 AH185 AH186 AH187 AH188 AH189 AH190 AH191 AH192 AH193 AH194 AH195 AH196 AH197 AH198 AH199 AH200 AH201 AH202 AH203 AH204 AH205 AH206 AH207 AH208 AH209 AI10 AI11 AI12 AI13 AI14 AI15 AI16 AI17 AI18 AI19 AI20 AI21 AI22 AI23 AI24 AI25 AI26 AI27 AI28 AI29 AI30 AI31 AI32 AI33 AI34 AI35 AI36 AI37 AI38 AI39 AI40 AI41 AI42 AI43 AI44 AI45 AI46 AI47 AI48 AI49 AI50 AI51 AI52 AI53 AI54 AI55 AI56 AI57 AI58 AI59 AI60 AI61 AI62 AI63 AI64 AI65 AI66 AI67 AI68 AI69 AI70 AI71 AI72 AI73 AI74 AI75 AI76 AI77 AI78 AI79 AI80 AI81 AI82 AI83 AI84 AI85 AI86 AI87 AI88 AI89 AI90 AI91 AI92 AI93 AI94 AI95 AI96 AI97 AI98 AI99 AI100 AI101 AI102 AI103 AI104 AI105 AI106 AI107 AI108 AI109 AI110 AI111 AI112 AI113 AI114 AI115 AI116 AI117 AI118 AI119 AI120 AI121 AI122 AI123 AI124 AI125 AI126 AI127 AI128 AI129 AI130 AI131 AI132 AI133 AI134 AI135 AI136 AI137 AI138 AI139 AI140 AI141 AI142 AI143 AI144 AI145 AI146 AI147 AI148 AI149 AI150 AI151 AI152 AI153 AI154 AI155 AI156 AI157 AI158 AI159 AI160 AI161 AI162 AI163 AI164 AI165 AI166 AI167 AI168 AI169 AI170 AI171 AI172 AI173 AI174 AI175 AI176 AI177 AI178 AI179 AI180 AI181 AI182 AI183 AI184 AI185 AI186 AI187 AI188 AI189 AI190 AI191 AI192 AI193 AI194 AI195 AI196 AI197 AI198 AI199 AI200 AI201 AI202 AI203 AI204 AI205 AI206 AI207 AI208 AI209 AJ10 AJ11 AJ12 AJ13 AJ14 AJ15 AJ16 AJ17 AJ18 AJ19 AJ20 AJ21 AJ22 AJ23 AJ24 AJ25 AJ26 AJ27 AJ28 AJ29 AJ30 AJ31 AJ32 AJ33 AJ34 AJ35 AJ36 AJ37 AJ38 AJ39 AJ40 AJ41 AJ42 AJ43 AJ44 AJ45 AJ46 AJ47 AJ48 AJ49 AJ50 AJ51 AJ52 AJ53 AJ54 AJ55 AJ56 AJ57 AJ58 AJ59 AJ60 AJ61 AJ62 AJ63 AJ64 AJ65 AJ66 AJ67 AJ68 AJ69 AJ70 AJ71 AJ72 AJ73 AJ74 AJ75 AJ76 AJ77 AJ78 AJ79 AJ80 AJ81 AJ82 AJ83 AJ84 AJ85 AJ86 AJ87 AJ88 AJ89 AJ90 AJ91 AJ92 AJ93 AJ94 AJ95 AJ96 AJ97 AJ98 AJ99 AJ100 AJ101 AJ102 AJ103 AJ104 AJ105 AJ106 AJ107 AJ108 AJ109 AJ110 AJ111 AJ112 AJ113 AJ114 AJ115 AJ116 AJ117 AJ118 AJ119 AJ120 AJ121 AJ122 AJ123 AJ124 AJ125 AJ126 AJ127 AJ128 AJ129 AJ130 AJ131 AJ132 AJ133 AJ134 AJ135 AJ136 AJ137 AJ138 AJ139 AJ140 AJ141 AJ142 AJ143 AJ144 AJ145 AJ146 AJ147 AJ148 AJ149 AJ150 AJ151 AJ152 AJ153 AJ154 AJ155 AJ156 AJ157 AJ158 AJ159 AJ160 AJ161 AJ162 AJ163 AJ164 AJ165 AJ166 AJ167 AJ168 AJ169 AJ170 AJ171 AJ172 AJ173 AJ174 AJ175 AJ176 AJ177 AJ178 AJ179 AJ180 AJ181 AJ182 AJ183 AJ184 AJ185 AJ186 AJ187 AJ188 AJ189 AJ190 AJ191 AJ192 AJ193 AJ194 AJ195 AJ196 AJ197 AJ198 AJ199 AJ200 AJ201 AJ202 AJ203 AJ204 AJ205 AJ206 AJ207 AJ208 AJ209 AK10 AK11 AK12 AK13 AK14 AK15 AK16 AK17 AK18 AK19 AK20 AK21 AK22 AK23 AK24 AK25 AK26 AK27 AK28 AK29 AK30 AK31 AK32 AK33 AK34 AK35 AK36 AK37 AK38 AK39 AK40 AK41 AK42 AK43 AK44 AK45 AK46 AK47 AK48 AK49 AK50 AK51 AK52 AK53 AK54 AK55 AK56 AK57 AK58 AK59 AK60 AK61 AK62 AK63 AK64 AK65 AK66 AK67 AK68 AK69 AK70 AK71 AK72 AK73 AK74 AK75 AK76 AK77 AK78 AK79 AK80 AK81 AK82 AK83 AK84 AK85 AK86 AK87 AK88 AK89 AK90 AK91 AK92 AK93 AK94 AK95 AK96 AK97 AK98 AK99 AK100 AK101 AK102 AK103 AK104 AK105 AK106 AK107 AK108 AK109 AK110 AK111 AK112 AK113 AK114 AK115 AK116 AK117 AK118 AK119 AK120 AK121 AK122 AK123 AK124 AK125 AK126 AK127 AK128 AK129 AK130 AK131 AK132 AK133 AK134 AK135 AK136 AK137 AK138 AK139 AK140 AK141 AK142 AK143 AK144 AK145 AK146 AK147 AK148 AK149 AK150 AK151 AK152 AK153 AK154 AK155 AK156 AK157 AK158 AK159 AK160 AK161 AK162 AK163 AK164 AK165 AK166 AK167 AK168 AK169 AK170 AK171 AK172 AK173 AK174 AK175 AK176 AK177 AK178 AK179 AK180 AK181 AK182 AK183 AK184 AK185 AK186 AK187 AK188 AK189 AK190 AK191 AK192 AK193 AK194 AK195 AK196 AK197 AK198 AK199 AK200 AK201 AK202 AK203 AK204 AK205 AK206 AK207 AK208 AK209 AL10 AL11 AL12 AL13 AL14 AL15 AL16 AL17 AL18 AL19 AL20 AL21 AL22 AL23 AL24 AL25 AL26 AL27 AL28 AL29 AL30 AL31 AL32 AL33 AL34 AL35 AL36 AL37 AL38 AL39 AL40 AL41 AL42 AL43 AL44 AL45 AL46 AL47 AL48 AL49 AL50 AL51 AL52 AL53 AL54 AL55 AL56 AL57 AL58 AL59 AL60 AL61 AL62 AL63 AL64 AL65 AL66 AL67 AL68 AL69 AL70 AL71 AL72 AL73 AL74 AL75 AL76 AL77 AL78 AL79 AL80 AL81 AL82 AL83 AL84 AL85 AL86 AL87 AL88 AL89 AL90 AL91 AL92 AL93 AL94 AL95 AL96 AL97 AL98 AL99 AL100 AL101 AL102 AL103 AL104 AL105 AL106 AL107 AL108 AL109 AL110 AL111 AL112 AL113 AL114 AL115 AL116 AL117 AL118 AL119 AL120 AL121 AL122 AL123 AL124 AL125 AL126 AL127 AL128 AL129 AL130 AL131 AL132 AL133 AL134 AL135 AL136 AL137 AL138 AL139 AL140 AL141 AL142 AL143 AL144 AL145 AL146 AL147 AL148 AL149 AL150 AL151 AL152 AL153 AL154 AL155 AL156 AL157 AL158 AL159 AL160 AL161 AL162 AL163 AL164 AL165 AL166 AL167 AL168 AL169 AL170 AL171 AL172 AL173 AL174 AL175 AL176 AL177 AL178 AL179 AL180 AL181 AL182 AL183 AL184 AL185 AL186 AL187 AL188 AL189 AL190 AL191 AL192 AL193 AL194 AL195 AL196 AL197 AL198 AL199 AL200 AL201 AL202 AL203 AL204 AL205 AL206 AL207 AL208 AL209 AM10 AM11 AM12 AM13 AM14 AM15 AM16 AM17 AM18 AM19 AM20 AM21 AM22 AM23 AM24 AM25 AM26 AM27 AM28 AM29 AM30 AM31 AM32 AM33 AM34 AM35 AM36 AM37 AM38 AM39 AM40 AM41 AM42 AM43 AM44 AM45 AM46 AM47 AM48 AM49 AM50 AM51 AM52 AM53 AM54 AM55 AM56 AM57 AM58 AM59 AM60 AM61 AM62 AM63 AM64 AM65 AM66 AM67 AM68 AM69 AM70 AM71 AM72 AM73 AM74 AM75 AM76 AM77 AM78 AM79 AM80 AM81 AM82 AM83 AM84 AM85 AM86 AM87 AM88 AM89 AM90 AM91 AM92 AM93 AM94 AM95 AM96 AM97 AM98 AM99 AM100 AM101 AM102 AM103 AM104 AM105 AM106 AM107 AM108 AM109 AM110 AM111 AM112 AM113 AM114 AM115 AM116 AM117 AM118 AM119 AM120 AM121 AM122 AM123 AM124 AM125 AM126 AM127 AM128 AM129 AM130 AM131 AM132 AM133 AM134 AM135 AM136 AM137 AM138 AM139 AM140 AM141 AM142 AM143 AM144 AM145 AM146 AM147 AM148 AM149 AM150 AM151 AM152 AM153 AM154 AM155 AM156 AM157 AM158 AM159 AM160 AM161 AM162 AM163 AM164 AM165 AM166 AM167 AM168 AM169 AM170 AM171 AM172 AM173 AM174 AM175 AM176 AM177 AM178 AM179 AM180 AM181 AM182 AM183 AM184 AM185 AM186 AM187 AM188 AM189 AM190 AM191 AM192 AM193 AM194 AM195 AM196 AM197 AM198 AM199 AM200 AM201 AM202 AM203 AM204 AM205 AM206 AM207 AM208 AM209 AN10 AN11 AN12 AN13 AN14 AN15 AN16 AN17 AN18 AN19 AN20 AN21 AN22 AN23 AN24 AN25 AN26 AN27 AN28 AN29 AN30 AN31 AN32 AN33 AN34 AN35 AN36 AN37 AN38 AN39 AN40 AN41 AN42 AN43 AN44 AN45 AN46 AN47 AN48 AN49 AN50 AN51 AN52 AN53 AN54 AN55 AN56 AN57 AN58 AN59 AN60 AN61 AN62 AN63 AN64 AN65 AN66 AN67 AN68 AN69 AN70 AN71 AN72 AN73 AN74 AN75 AN76 AN77 AN78 AN79 AN80 AN81 AN82 AN83 AN84 AN85 AN86 AN87 AN88 AN89 AN90 AN91 AN92 AN93 AN94 AN95 AN96 AN97 AN98 AN99 AN100 AN101 AN102 AN103 AN104 AN105 AN106 AN107 AN108 AN109 AN110 AN111 AN112 AN113 AN114 AN115 AN116 AN117 AN118 AN119 AN120 AN121 AN122 AN123 AN124 AN125 AN126 AN127 AN128 AN129 AN130 AN131 AN132 AN133 AN134 AN135 AN136 AN137 AN138 AN139 AN140 AN141 AN142 AN143 AN144 AN145 AN146 AN147 AN148 AN149 AN150 AN151 AN152 AN153 AN154 AN155 AN156 AN157 AN158 AN159 AN160 AN161 AN162 AN163 AN164 AN165 AN166 AN167 AN168 AN169 AN170 AN171 AN172 AN173 AN174 AN175 AN176 AN177 AN178 AN179 AN180 AN181 AN182 AN183 AN184 AN185 AN186 AN187 AN188 AN189 AN190 AN191 AN192 AN193 AN194 AN195 AN196 AN197 AN198 AN199 AN200 AN201 AN202 AN203 AN204 AN205 AN206 AN207 AN208 AN209 AO10 AO11 AO12 AO13 AO14 AO15 AO16 AO17 AO18 AO19 AO20 AO21 AO22 AO23 AO24 AO25 AO26 AO27 AO28 AO29 AO30 AO31 AO32 AO33 AO34 AO35 AO36 AO37 AO38 AO39 AO40 AO41 AO42 AO43 AO44 AO45 AO46 AO47 AO48 AO49 AO50 AO51 AO52 AO53 AO54 AO55 AO56 AO57 AO58 AO59 AO60 AO61 AO62 AO63 AO64 AO65 AO66 AO67 AO68 AO69 AO70 AO71 AO72 AO73 AO74 AO75 AO76 AO77 AO78 AO79 AO80 AO81 AO82 AO83 AO84 AO85 AO86 AO87 AO88 AO89 AO90 AO91 AO92 AO93 AO94 AO95 AO96 AO97 AO98 AO99 AO100 AO101 AO102 AO103 AO104 AO105 AO106 AO107 AO108 AO109 AO110 AO111 AO112 AO113 AO114 AO115 AO116 AO117 AO118 AO119 AO120 AO121 AO122 AO123 AO124 AO125 AO126 AO127 AO128 AO129 AO130 AO131 AO132 AO133 AO134 AO135 AO136 AO137 AO138 AO139 AO140 AO141 AO142 AO143 AO144 AO145 AO146 AO147 AO148 AO149 AO150 AO151 AO152 AO153 AO154 AO155 AO156 AO157 AO158 AO159 AO160 AO161 AO162 AO163 AO164 AO165 AO166 AO167 AO168 AO169 AO170 AO171 AO172 AO173 AO174 AO175 AO176 AO177 AO178 AO179 AO180 AO181 AO182 AO183 AO184 AO185 AO186 AO187 AO188 AO189 AO190 AO191 AO192 AO193 AO194 AO195 AO196 AO197 AO198 AO199 AO200 AO201 AO202 AO203 AO204 AO205 AO206 AO207 AO208 AO209 AP10 AP11 AP12 AP13 AP14 AP15 AP16 AP17 AP18 AP19 AP20 AP21 AP22 AP23 AP24 AP25 AP26 AP27 AP28 AP29 AP30 AP31 AP32 AP33 AP34 AP35 AP36 AP37 AP38 AP39 AP40 AP41 AP42 AP43 AP44 AP45 AP46 AP47 AP48 AP49 AP50 AP51 AP52 AP53 AP54 AP55 AP56 AP57 AP58 AP59 AP60 AP61 AP62 AP63 AP64 AP65 AP66 AP67 AP68 AP69 AP70 AP71 AP72 AP73 AP74 AP75 AP76 AP77 AP78 AP79 AP80 AP81 AP82 AP83 AP84 AP85 AP86 AP87 AP88 AP89 AP90 AP91 AP92 AP93 AP94 AP95 AP96 AP97 AP98 AP99 AP100 AP101 AP102 AP103 AP104 AP105 AP106 AP107 AP108 AP109 AP110 AP111 AP112 AP113 AP114 AP115 AP116 AP117 AP118 AP119 AP120 AP121 AP122 AP123 AP124 AP125 AP126 AP127 AP128 AP129 AP130 AP131 AP132 AP133 AP134 AP135 AP136 AP137 AP138 AP139 AP140 AP141 AP142 AP143 AP144 AP145 AP146 AP147 AP148 AP149 AP150 AP151 AP152 AP153 AP154 AP155 AP156 AP157 AP158 AP159 AP160 AP161 AP162 AP163 AP164 AP165 AP166 AP167 AP168 AP169 AP170 AP171 AP172 AP173 AP174 AP175 AP176 AP177 AP178 AP179 AP180 AP181 AP182 AP183 AP184 AP185 AP186 AP187 AP188 AP189 AP190 AP191 AP192 AP193 AP194 AP195 AP196 AP197 AP198 AP199 AP200 AP201 AP202 AP203 AP204 AP205 AP206 AP207 AP208 AP209 AQ10 AQ11 AQ12 AQ13 AQ14 AQ15 AQ16 AQ17 AQ18 AQ19 AQ20 AQ21 AQ22 AQ23 AQ24 AQ25 AQ26 AQ27 AQ28 AQ29 AQ30 AQ31 AQ32 AQ33 AQ34 AQ35 AQ36 AQ37 AQ38 AQ39 AQ40 AQ41 AQ42 AQ43 AQ44 AQ45 AQ46 AQ47 AQ48 AQ49 AQ50 AQ51 AQ52 AQ53 AQ54 AQ55 AQ56 AQ57 AQ58 AQ59 AQ60 AQ61 AQ62 AQ63 AQ64 AQ65 AQ66 AQ67 AQ68 AQ69 AQ70 AQ71 AQ72 AQ73 AQ74 AQ75 AQ76 AQ77 AQ78 AQ79 AQ80 AQ81 AQ82 AQ83 AQ84 AQ85 AQ86 AQ87 AQ88 AQ89 AQ90 AQ91 AQ92 AQ93 AQ94 AQ95 AQ96 AQ97 AQ98 AQ99 AQ100 AQ101 AQ102 AQ103 AQ104 AQ105 AQ106 AQ107 AQ108 AQ109 AQ110 AQ111 AQ112 AQ113 AQ114 AQ115 AQ116 AQ117 AQ118 AQ119 AQ120 AQ121 AQ122 AQ123 AQ124 AQ125 AQ126 AQ127 AQ128 AQ129 AQ130 AQ131 AQ132 AQ133 AQ134 AQ135 AQ136 AQ137 AQ138 AQ139 AQ140 AQ141 AQ142 AQ143 AQ144 AQ145 AQ146 AQ147 AQ148 AQ149 AQ150 AQ151 AQ152 AQ153 AQ154 AQ155 AQ156 AQ157 AQ158 AQ159 AQ160 AQ161 AQ162 AQ163 AQ164 AQ165 AQ166 AQ167 AQ168 AQ169 AQ170 AQ171 AQ172 AQ173 AQ174 AQ175 AQ176 AQ177 AQ178 AQ179 AQ180 AQ181 AQ182 AQ183 AQ184 AQ185 AQ186 AQ187 AQ188 AQ189 AQ190 AQ191 AQ192 AQ193 AQ194 AQ195 AQ196 AQ197 AQ198 AQ199 AQ200 AQ201 AQ202 AQ203 AQ204 AQ205 AQ206 AQ207 AQ208 AQ209 AR10 AR11 AR12 AR13 AR14 AR15 AR16 AR17 AR18 AR19 AR20 AR21 AR22 AR23 AR24 AR25 AR26 AR27 AR28 AR29 AR30 AR31 AR32 AR33 AR34 AR35 AR36 AR37 AR38 AR39 AR40 AR41 AR42 AR43 AR44 AR45 AR46 AR47 AR48 AR49 AR50 AR51 AR52 AR53 AR54 AR55 AR56 AR57 AR58 AR59 AR60 AR61 AR62 AR63 AR64 AR65 AR66 AR67 AR68 AR69 AR70 AR71 AR72 AR73 AR74 AR75 AR76 AR77 AR78 AR79 AR80 AR81 AR82 AR83 AR84 AR85 AR86 AR87 AR88 AR89 AR90 AR91 AR92 AR93 AR94 AR95 AR96 AR97 AR98 AR99 AR100 AR101 AR102 AR103 AR104 AR105 AR106 AR107 AR108 AR109 AR110 AR111 AR112 AR113 AR114 AR115 AR116 AR117 AR118 AR119 AR120 AR121 AR122 AR123 AR124 AR125 AR126 AR127 AR128 AR129 AR130 AR131 AR132 AR133 AR134 AR135 AR136 AR137 AR138 AR139 AR140 AR141 AR142 AR143 AR144 AR145 AR146 AR147 AR148 AR149 AR150 AR151 AR152 AR153 AR154 AR155 AR156 AR157 AR158 AR159 AR160 AR161 AR162 AR163 AR164 AR165 AR166 AR167 AR168 AR169 AR170 AR171 AR172 AR173 AR174 AR175 AR176 AR177 AR178 AR179 AR180 AR181 AR182 AR183 AR184 AR185 AR186 AR187 AR188 AR189 AR190 AR191 AR192 AR193 AR194 AR195 AR196 AR197 AR198 AR199 AR200 AR201 AR202 AR203 AR204 AR205 AR206 AR207 AR208 AR209 AS10 AS11 AS12 AS13 AS14 AS15 AS16 AS17 AS18 AS19 AS20 AS21 AS22 AS23 AS24 AS25 AS26 AS27 AS28 AS29 AS30 AS31 AS32 AS33 AS34 AS35 AS36 AS37 AS38 AS39 AS40 AS41 AS42 AS43 AS44 AS45 AS46 AS47 AS48 AS49 AS50 AS51 AS52 AS53 AS54 AS55 AS56 AS57 AS58 AS59 AS60 AS61 AS62 AS63 AS64 AS65 AS66 AS67 AS68 AS69 AS70 AS71 AS72 AS73 AS74 AS75 AS76 AS77 AS78 AS79 AS80 AS81 AS82 AS83 AS84 AS85 AS86 AS87 AS88 AS89 AS90 AS91 AS92 AS93 AS94 AS95 AS96 AS97 AS98 AS99 AS100 AS101 AS102 AS103 AS104 AS105 AS106 AS107 AS108 AS109 AS110 AS111 AS112 AS113 AS114 AS115 AS116 AS117 AS118 AS119 AS120 AS121 AS122 AS123 AS124 AS125 AS126 AS127 AS128 AS129 AS130 AS131 AS132 AS133 AS134 AS135 AS136 AS137 AS138 AS139 AS140 AS141 AS142 AS143 AS144 AS145 AS146 AS147 AS148 AS149 AS150 AS151 AS152 AS153 AS154 AS155 AS156 AS157 AS158 AS159 AS160 AS161 AS162 AS163 AS164 AS165 AS166 AS167 AS168 AS169 AS170 AS171 AS172 AS173 AS174 AS175 AS176 AS177 AS178 AS179 AS180 AS181 AS182 AS183 AS184 AS185 AS186 AS187 AS188 AS189 AS190 AS191 AS192 AS193 AS194 AS195 AS196 AS197 AS198 AS199 AS200 AS201 AS202 AS203 AS204 AS205 AS206 AS207 AS208 AS209 AT10 AT11 AT12 AT13 AT14 AT15 AT16 AT17 AT18 AT19 AT20 AT21 AT22 AT23 AT24 AT25 AT26 AT27 AT28 AT29 AT30 AT31 AT32 AT33 AT34 AT35 AT36 AT37 AT38 AT39 AT40 AT41 AT42 AT43 AT44 AT45 AT46 AT47 AT48 AT49 AT50 AT51 AT52 AT53 AT54 AT55 AT56 AT57 AT58 AT59 AT60 AT61 AT62 AT63 AT64 AT65 AT66 AT67 AT68 AT69 AT70 AT71 AT72 AT73 AT74 AT75 AT76 AT77 AT78 AT79 AT80 AT81 AT82 AT83 AT84 AT85 AT86 AT87 AT88 AT89 AT90 AT91 AT92 AT93 AT94 AT95 AT96 AT97 AT98 AT99 AT100 AT101 AT102 AT103 AT104 AT105 AT106 AT107 AT108 AT109 AT110 AT111 AT112 AT113 AT114 AT115 AT116 AT117 AT118 AT119 AT120 AT121 AT122 AT123 AT124 AT125 AT126 AT127 AT128 AT129 AT130 AT131 AT132 AT133 AT134 AT135 AT136 AT137 AT138 AT139 AT140 AT141 AT142 AT143 AT144 AT145 AT146 AT147 AT148 AT149 AT150 AT151 AT152 AT153 AT154 AT155 AT156 AT157 AT158 AT159 AT160 AT161 AT162 AT163 AT164 AT165 AT166 AT167 AT168 AT169 AT170 AT171 AT172 AT173 AT174 AT175 AT176 AT177 AT178 AT179 AT180 AT181 AT182 AT183 AT184 AT185 AT186 AT187 AT188 AT189 AT190 AT191 AT192 AT193 AT194 AT195 AT196 AT197 AT198 AT199 AT200 AT201 AT202 AT203 AT204 AT205 AT206 AT207 AT208 AT209 AU10 AU11 AU12 AU13 AU14 AU15 AU16 AU17 AU18 AU19 AU20 AU21 AU22 AU23 AU24 AU25 AU26 AU27 AU28 AU29 AU30 AU31 AU32 AU33 AU34 AU35 AU36 AU37 AU38 AU39 AU40 AU41 AU42 AU43 AU44 AU45 AU46 AU47 AU48 AU49 AU50 AU51 AU52 AU53 AU54 AU55 AU56 AU57 AU58 AU59 AU60 AU61 AU62 AU63 AU64 AU65 AU66 AU67 AU68 AU69 AU70 AU71 AU72 AU73 AU74 AU75 AU76 AU77 AU78 AU79 AU80 AU81 AU82 AU83 AU84 AU85 AU86 AU87 AU88 AU89 AU90 AU91 AU92 AU93 AU94 AU95 AU96 AU97 AU98 AU99 AU100 AU101 AU102 AU103 AU104 AU105 AU106 AU107 AU108 AU109 AU110 AU111 AU112 AU113 AU114 AU115 AU116 AU117 AU118 AU119 AU120 AU121 AU122 AU123 AU124 AU125 AU126 AU127 AU128 AU129 AU130 AU131 AU132 AU133 AU134 AU135 AU136 AU137 AU138 AU139 AU140 AU141 AU142 AU143 AU144 AU145 AU146 AU147 AU148 AU149 AU150 AU151 AU152 AU153 AU154 AU155 AU156 AU157 AU158 AU159 AU160 AU161 AU162 AU163 AU164 AU165 AU166 AU167 AU168 AU169 AU170 AU171 AU172 AU173 AU174 AU175 AU176 AU177 AU178 AU179 AU180 AU181 AU182 AU183 AU184 AU185 AU186 AU187 AU188 AU189 AU190 AU191 AU192 AU193 AU194 AU195 AU196 AU197 AU198 AU199 AU200 AU201 AU202 AU203 AU204 AU205 AU206 AU207 AU208 AU209 AV10 AV11 AV12 AV13 AV14 AV15 AV16 AV17 AV18 AV19 AV20 AV21 AV22 AV23 AV24 AV25 AV26 AV27 AV28 AV29 AV30 AV31 AV32 AV33 AV34 AV35 AV36 AV37 AV38 AV39 AV40 AV41 AV42 AV43 AV44 AV45 AV46 AV47 AV48 AV49 AV50 AV51 AV52 AV53 AV54 AV55 AV56 AV57 AV58 AV59 AV60 AV61 AV62 AV63 AV64 AV65 AV66 AV67 AV68 AV69 AV70 AV71 AV72 AV73 AV74 AV75 AV76 AV77 AV78 AV79 AV80 AV81 AV82 AV83 AV84 AV85 AV86 AV87 AV88 AV89 AV90 AV91 AV92 AV93 AV94 AV95 AV96 AV97 AV98 AV99 AV100 AV101 AV102 AV103 AV104 AV105 AV106 AV107 AV108 AV109 AV110 AV111 AV112 AV113 AV114 AV115 AV116 AV117 AV118 AV119 AV120 AV121 AV122 AV123 AV124 AV125 AV126 AV127 AV128 AV129 AV130 AV131 AV132 AV133 AV134 AV135 AV136 AV137 AV138 AV139 AV140 AV141 AV142 AV143 AV144 AV145 AV146 AV147 AV148 AV149 AV150 AV151 AV152 AV153 AV154 AV155 AV156 AV157 AV158 AV159 AV160 AV161 AV162 AV163 AV164 AV165 AV166 AV167 AV168 AV169 AV170 AV171 AV172 AV173 AV174 AV175 AV176 AV177 AV178 AV179 AV180 AV181 AV182 AV183 AV184 AV185 AV186 AV187 AV188 AV189 AV190 AV191 AV192 AV193 AV194 AV195 AV196 AV197 AV198 AV199 AV200 AV201 AV202 AV203 AV204 AV205 AV206 AV207 AV208 AV209 AW10 AW11 AW12 AW13 AW14 AW15 AW16 AW17 AW18 AW19 AW20 AW21 AW22 AW23 AW24 AW25 AW26 AW27 AW28 AW29 AW30 AW31 AW32 AW33 AW34 AW35 AW36 AW37 AW38 AW39 AW40 AW41 AW42 AW43 AW44 AW45 AW46 AW47 AW48 AW49 AW50 AW51 AW52 AW53 AW54 AW55 AW56 AW57 AW58 AW59 AW60 AW61 AW62 AW63 AW64 AW65 AW66 AW67 AW68 AW69 AW70 AW71 AW72 AW73 AW74 AW75 AW76 AW77 AW78 AW79 AW80 AW81 AW82 AW83 AW84 AW85 AW86 AW87 AW88 AW89 AW90 AW91 AW92 AW93 AW94 AW95 AW96 AW97 AW98 AW99 AW100 AW101 AW102 AW103 AW104 AW105 AW106 AW107 AW108 AW109 AW110 AW111 AW112 AW113 AW114 AW115 AW116 AW117 AW118 AW119 AW120 AW121 AW122 AW123 AW124 AW125 AW126 AW127 AW128 AW129 AW130 AW131 AW132 AW133 AW134 AW135 AW136 AW137 AW138 AW139 AW140 AW141 AW142 AW143 AW144 AW145 AW146 AW147 AW148 AW149 AW150 AW151 AW152 AW153 AW154 AW155 AW156 AW157 AW158 AW159 AW160 AW161 AW162 AW163 AW164 AW165 AW166 AW167 AW168 AW169 AW170 AW171 AW172 AW173 AW174 AW175 AW176 AW177 AW178 AW179 AW180 AW181 AW182 AW183 AW184 AW185 AW186 AW187 AW188 AW189 AW190 AW191 AW192 AW193 AW194 AW195 AW196 AW197 AW198 AW199 AW200 AW201 AW202 AW203 AW204 AW205 AW206 AW207 AW208 AW209 AX10 AX11 AX12 AX13 AX14 AX15 AX16 AX17 AX18 AX19 AX20 AX21 AX22 AX23 AX24 AX25 AX26 AX27 AX28 AX29 AX30 AX31 AX32 AX33 AX34 AX35 AX36 AX37 AX38 AX39 AX40 AX41 AX42 AX43 AX44 AX45 AX46 AX47 AX48 AX49 AX50 AX51 AX52 AX53 AX54 AX55 AX56 AX57 AX58 AX59 AX60 AX61 AX62 AX63 AX64 AX65 AX66 AX67 AX68 AX69 AX70 AX71 AX72 AX73 AX74 AX75 AX76 AX77 AX78 AX79 AX80 AX81 AX82 AX83 AX84 AX85 AX86 AX87 AX88 AX89 AX90 AX91 AX92 AX93 AX94 AX95 AX96 AX97 AX98 AX99 AX100 AX101 AX102 AX103 AX104 AX105 AX106 AX107 AX108 AX109 AX110 AX111 AX112 AX113 AX114 AX115 AX116 AX117 AX118 AX119 AX120 AX121 AX122 AX123 AX124 AX125 AX126 AX127 AX128 AX129 AX130 AX131 AX132 AX133 AX134 AX135 AX136 AX137 AX138 AX139 AX140 AX141 AX142 AX143 AX144 AX145 AX146 AX147 AX148 AX149 AX150 AX151 AX152 AX153 AX154 AX155 AX156 AX157 AX158 AX159 AX160 AX161 AX162 AX163 AX164 AX165 AX166 AX167 AX168 AX169 AX170 AX171 AX172 AX173 AX174 AX175 AX176 AX177 AX178 AX179 AX180 AX181 AX182 AX183 AX184 AX185 AX186 AX187 AX188 AX189 AX190 AX191 AX192 AX193 AX194 AX195 AX196 AX197 AX198 AX199 AX200 AX201 AX202 AX203 AX204 AX205 AX206 AX207 AX208 AX209 AY10 AY11 AY12 AY13 AY14 AY15 AY16 AY17 AY18 AY19 AY20 AY21 AY22 AY23 AY24 AY25 AY26 AY27 AY28 AY29 AY30 AY31 AY32 AY33 AY34 AY35 AY36 AY37 AY38 AY39 AY40 AY41 AY42 AY43 AY44 AY45 AY46 AY47 AY48 AY49 AY50 AY51 AY52 AY53 AY54 AY55 AY56 AY57 AY58 AY59 AY60 AY61 AY62 AY63 AY64 AY65 AY66 AY67 AY68 AY69 AY70 AY71 AY72 AY73 AY74 AY75 AY76 AY77 AY78 AY79 AY80 AY81 AY82 AY83 AY84 AY85 AY86 AY87 AY88 AY89 AY90 AY91 AY92 AY93 AY94 AY95 AY96 AY97 AY98 AY99 AY100 AY101 AY102 AY103 AY104 AY105 AY106 AY107 AY108 AY109 AY110 AY111 AY112 AY113 AY114 AY115 AY116 AY117 AY118 AY119 AY120 AY121 AY122 AY123 AY124 AY125 AY126 AY127 AY128 AY129 AY130 AY131 AY132 AY133 AY134 AY135 AY136 AY137 AY138 AY139 AY140 AY141 AY142 AY143 AY144 AY145 AY146 AY147 AY148 AY149 AY150 AY151 AY152 AY153 AY154 AY155 AY156 AY157 AY158 AY159 AY160 AY161 AY162 AY163 AY164 AY165 AY166 AY167 AY168 AY169 AY170 AY171 AY172 AY173 AY174 AY175 AY176 AY177 AY178 AY179 AY180 AY181 AY182 AY183 AY184 AY185 AY186 AY187 AY188 AY189 AY190 AY191 AY192 AY193 AY194 AY195 AY196 AY197 AY198 AY199 AY200 AY201 AY202 AY203 AY204 AY205 AY206 AY207 AY208 AY209 AZ10 AZ11 AZ12 AZ13 AZ14 AZ15 AZ16 AZ17 AZ18 AZ19 AZ20 AZ21 AZ22 AZ23 AZ24 AZ25 AZ26 AZ27 AZ28 AZ29 AZ30 AZ31 AZ32 AZ33 AZ34 AZ35 AZ36 AZ37 AZ38 AZ39 AZ40 AZ41 AZ42 AZ43 AZ44 AZ45 AZ46 AZ47 AZ48 AZ49 AZ50 AZ51 AZ52 AZ53 AZ54 AZ55 AZ56 AZ57 AZ58 AZ59 AZ60 AZ61 AZ62 AZ63 AZ64 AZ65 AZ66 AZ67 AZ68 AZ69 AZ70 AZ71 AZ72 AZ73 AZ74 AZ75 AZ76 AZ77 AZ78 AZ79 AZ80 AZ81 AZ82 AZ83 AZ84 AZ85 AZ86 AZ87 AZ88 AZ89 AZ90 AZ91 AZ92 AZ93 AZ94 AZ95 AZ96 AZ97 AZ98 AZ99 AZ100 AZ101 AZ102 AZ103 AZ104 AZ105 AZ106 AZ107 AZ108 AZ109 AZ110 AZ111 AZ112 AZ113 AZ114 AZ115 AZ116 AZ117 AZ118 AZ119 AZ120 AZ121 AZ122 AZ123 AZ124 AZ125 AZ126 AZ127 AZ128 AZ129 AZ130 AZ131 AZ132 AZ133 AZ134 AZ135 AZ136 AZ137 AZ138 AZ139 AZ140 AZ141 AZ142 AZ143 AZ144 AZ145 AZ146 AZ147 AZ148 AZ149 AZ150 AZ151 AZ152 AZ153 AZ154 AZ155 AZ156 AZ157 AZ158 AZ159 AZ160 AZ161 AZ162 AZ163 AZ164 AZ165 AZ166 AZ167 AZ168 AZ169 AZ170 AZ171 AZ172 AZ173 AZ174 AZ175 AZ176 AZ177 AZ178 AZ179 AZ180 AZ181 AZ182 AZ183 AZ184 AZ185 AZ186 AZ187 AZ188 AZ189 AZ190 AZ191 AZ192 AZ193 AZ194 AZ195 AZ196 AZ197 AZ198 AZ199 AZ200 AZ201 AZ202 AZ203 AZ204 AZ205 AZ206 AZ207 AZ208 AZ209" showDropDown="0" showInputMessage="0" showErrorMessage="0" allowBlank="1" type="list">
      <formula1>"1,0,X"</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00"/>
  <sheetViews>
    <sheetView showGridLines="0" workbookViewId="0">
      <pane ySplit="6" topLeftCell="A7" activePane="bottomLeft" state="frozen"/>
      <selection pane="bottomLeft" activeCell="A1" sqref="A1"/>
    </sheetView>
  </sheetViews>
  <sheetFormatPr baseColWidth="8" defaultRowHeight="15"/>
  <cols>
    <col width="14" customWidth="1" min="1" max="1"/>
    <col width="24" customWidth="1" min="2" max="2"/>
    <col width="18" customWidth="1" min="3" max="3"/>
    <col width="18" customWidth="1" min="4" max="4"/>
    <col width="16" customWidth="1" min="5" max="5"/>
    <col width="16" customWidth="1" min="6" max="6"/>
    <col width="16" customWidth="1" min="7" max="7"/>
    <col width="20" customWidth="1" min="8" max="8"/>
    <col width="16" customWidth="1" min="9" max="9"/>
    <col width="22" customWidth="1" min="10" max="10"/>
  </cols>
  <sheetData>
    <row r="1" ht="38" customHeight="1">
      <c r="A1" s="1" t="inlineStr">
        <is>
          <t>TRANSACTIONS — All Money In &amp; Out</t>
        </is>
      </c>
      <c r="B1" s="53" t="n"/>
      <c r="C1" s="53" t="n"/>
      <c r="D1" s="53" t="n"/>
      <c r="E1" s="53" t="n"/>
      <c r="F1" s="53" t="n"/>
      <c r="G1" s="53" t="n"/>
      <c r="H1" s="53" t="n"/>
      <c r="I1" s="54" t="n"/>
    </row>
    <row r="2" ht="14" customHeight="1"/>
    <row r="3" ht="22" customHeight="1">
      <c r="A3" s="2" t="inlineStr">
        <is>
          <t>Total In</t>
        </is>
      </c>
      <c r="B3" s="2" t="inlineStr">
        <is>
          <t>Total Out</t>
        </is>
      </c>
      <c r="C3" s="2" t="inlineStr">
        <is>
          <t>Net Balance</t>
        </is>
      </c>
      <c r="D3" s="2" t="inlineStr">
        <is>
          <t>Avg Transaction</t>
        </is>
      </c>
      <c r="E3" s="2" t="inlineStr">
        <is>
          <t>Pending</t>
        </is>
      </c>
      <c r="F3" s="2" t="inlineStr"/>
      <c r="G3" s="2" t="inlineStr"/>
      <c r="H3" s="2" t="inlineStr"/>
      <c r="I3" s="2" t="inlineStr"/>
    </row>
    <row r="4" ht="22" customHeight="1">
      <c r="A4" s="35">
        <f>SUMIF(D7:D1000,"Income",F7:F1000)+SUMIF(D7:D1000,"Fundraiser",F7:F1000)</f>
        <v/>
      </c>
      <c r="B4" s="36">
        <f>SUMIF(D7:D1000,"Expense",F7:F1000)</f>
        <v/>
      </c>
      <c r="C4" s="37">
        <f>A4-B4</f>
        <v/>
      </c>
      <c r="D4" s="4">
        <f>IFERROR(AVERAGE(F7:F1000),0)</f>
        <v/>
      </c>
      <c r="E4" s="3">
        <f>COUNTIF(I7:I1000,"Pending")</f>
        <v/>
      </c>
    </row>
    <row r="5" ht="8" customHeight="1"/>
    <row r="6" ht="22" customHeight="1">
      <c r="A6" s="5" t="inlineStr">
        <is>
          <t>Date</t>
        </is>
      </c>
      <c r="B6" s="5" t="inlineStr">
        <is>
          <t>Description</t>
        </is>
      </c>
      <c r="C6" s="5" t="inlineStr">
        <is>
          <t>Category</t>
        </is>
      </c>
      <c r="D6" s="5" t="inlineStr">
        <is>
          <t>Type</t>
        </is>
      </c>
      <c r="E6" s="5" t="inlineStr">
        <is>
          <t>Paid By</t>
        </is>
      </c>
      <c r="F6" s="5" t="inlineStr">
        <is>
          <t>Amount ($)</t>
        </is>
      </c>
      <c r="G6" s="5" t="inlineStr">
        <is>
          <t>Linked Event</t>
        </is>
      </c>
      <c r="H6" s="5" t="inlineStr">
        <is>
          <t>Reimbursed To</t>
        </is>
      </c>
      <c r="I6" s="5" t="inlineStr">
        <is>
          <t>Status</t>
        </is>
      </c>
      <c r="J6" s="78" t="inlineStr">
        <is>
          <t>Cost per Attendee ($)</t>
        </is>
      </c>
    </row>
    <row r="7" ht="20" customHeight="1">
      <c r="A7" s="18" t="inlineStr">
        <is>
          <t>03/15/2025</t>
        </is>
      </c>
      <c r="B7" s="6" t="inlineStr">
        <is>
          <t>Spring Tournament Entry Fee</t>
        </is>
      </c>
      <c r="C7" s="6" t="inlineStr">
        <is>
          <t>Tournament Fee</t>
        </is>
      </c>
      <c r="D7" s="6" t="inlineStr">
        <is>
          <t>Expense</t>
        </is>
      </c>
      <c r="E7" s="6" t="inlineStr">
        <is>
          <t>Coach Kim</t>
        </is>
      </c>
      <c r="F7" s="9" t="n">
        <v>920</v>
      </c>
      <c r="G7" s="6" t="inlineStr">
        <is>
          <t>Spring Kickoff Tournament</t>
        </is>
      </c>
      <c r="H7" s="6" t="n"/>
      <c r="I7" s="6" t="inlineStr">
        <is>
          <t>Cleared</t>
        </is>
      </c>
      <c r="J7" s="108">
        <f>IF(G7="","",IFERROR(LET(ev_cost,INDEX(Events!$G$5:$G$505,MATCH(G7,Events!$A$5:$A$505,0)),ev_split,INDEX(Events!$I$5:$I$505,MATCH(G7,Events!$A$5:$A$505,0)),att_offset,MATCH(G7,Attendance!$B$3:$AY$3,0),attendees,COUNTIF(INDEX(Attendance!$B$7:$AY$206,0,att_offset),"1"),IF(ev_split="Equal Split",ev_cost/MAX(1,COUNTA(Roster!$A$5:$A$204)),ev_cost/MAX(1,attendees))),"N/A"))</f>
        <v/>
      </c>
    </row>
    <row r="8" ht="20" customHeight="1">
      <c r="A8" s="18" t="inlineStr">
        <is>
          <t>03/14/2025</t>
        </is>
      </c>
      <c r="B8" s="6" t="inlineStr">
        <is>
          <t>Hotel - Spring Tournament</t>
        </is>
      </c>
      <c r="C8" s="6" t="inlineStr">
        <is>
          <t>Hotel</t>
        </is>
      </c>
      <c r="D8" s="6" t="inlineStr">
        <is>
          <t>Expense</t>
        </is>
      </c>
      <c r="E8" s="6" t="inlineStr">
        <is>
          <t>Sam Rivera</t>
        </is>
      </c>
      <c r="F8" s="9" t="n">
        <v>1150</v>
      </c>
      <c r="G8" s="6" t="inlineStr">
        <is>
          <t>Hotel - Spring Tournament</t>
        </is>
      </c>
      <c r="H8" s="6" t="inlineStr">
        <is>
          <t>Sam Rivera</t>
        </is>
      </c>
      <c r="I8" s="6" t="inlineStr">
        <is>
          <t>Cleared</t>
        </is>
      </c>
      <c r="J8" s="108">
        <f>IF(G8="","",IFERROR(LET(ev_cost,INDEX(Events!$G$5:$G$505,MATCH(G8,Events!$A$5:$A$505,0)),ev_split,INDEX(Events!$I$5:$I$505,MATCH(G8,Events!$A$5:$A$505,0)),att_offset,MATCH(G8,Attendance!$B$3:$AY$3,0),attendees,COUNTIF(INDEX(Attendance!$B$7:$AY$206,0,att_offset),"1"),IF(ev_split="Equal Split",ev_cost/MAX(1,COUNTA(Roster!$A$5:$A$204)),ev_cost/MAX(1,attendees))),"N/A"))</f>
        <v/>
      </c>
    </row>
    <row r="9" ht="20" customHeight="1">
      <c r="A9" s="18" t="inlineStr">
        <is>
          <t>03/14/2025</t>
        </is>
      </c>
      <c r="B9" s="6" t="inlineStr">
        <is>
          <t>Travel Reimbursement</t>
        </is>
      </c>
      <c r="C9" s="6" t="inlineStr">
        <is>
          <t>Travel</t>
        </is>
      </c>
      <c r="D9" s="6" t="inlineStr">
        <is>
          <t>Expense</t>
        </is>
      </c>
      <c r="E9" s="6" t="inlineStr">
        <is>
          <t>Jordan Lee</t>
        </is>
      </c>
      <c r="F9" s="9" t="n">
        <v>280</v>
      </c>
      <c r="G9" s="6" t="inlineStr">
        <is>
          <t>Travel - Spring Tournament</t>
        </is>
      </c>
      <c r="H9" s="6" t="inlineStr">
        <is>
          <t>Jordan Lee</t>
        </is>
      </c>
      <c r="I9" s="6" t="inlineStr">
        <is>
          <t>Cleared</t>
        </is>
      </c>
      <c r="J9" s="108">
        <f>IF(G9="","",IFERROR(LET(ev_cost,INDEX(Events!$G$5:$G$505,MATCH(G9,Events!$A$5:$A$505,0)),ev_split,INDEX(Events!$I$5:$I$505,MATCH(G9,Events!$A$5:$A$505,0)),att_offset,MATCH(G9,Attendance!$B$3:$AY$3,0),attendees,COUNTIF(INDEX(Attendance!$B$7:$AY$206,0,att_offset),"1"),IF(ev_split="Equal Split",ev_cost/MAX(1,COUNTA(Roster!$A$5:$A$204)),ev_cost/MAX(1,attendees))),"N/A"))</f>
        <v/>
      </c>
    </row>
    <row r="10" ht="20" customHeight="1">
      <c r="A10" s="18" t="inlineStr">
        <is>
          <t>03/01/2025</t>
        </is>
      </c>
      <c r="B10" s="6" t="inlineStr">
        <is>
          <t>Player Dues - Alex Johnson</t>
        </is>
      </c>
      <c r="C10" s="6" t="inlineStr">
        <is>
          <t>Dues</t>
        </is>
      </c>
      <c r="D10" s="6" t="inlineStr">
        <is>
          <t>Income</t>
        </is>
      </c>
      <c r="E10" s="6" t="inlineStr">
        <is>
          <t>Alex Johnson</t>
        </is>
      </c>
      <c r="F10" s="9" t="n">
        <v>150</v>
      </c>
      <c r="G10" s="6" t="n"/>
      <c r="H10" s="6" t="n"/>
      <c r="I10" s="6" t="inlineStr">
        <is>
          <t>Cleared</t>
        </is>
      </c>
      <c r="J10" s="108">
        <f>IF(G10="","",IFERROR(LET(ev_cost,INDEX(Events!$G$5:$G$505,MATCH(G10,Events!$A$5:$A$505,0)),ev_split,INDEX(Events!$I$5:$I$505,MATCH(G10,Events!$A$5:$A$505,0)),att_offset,MATCH(G10,Attendance!$B$3:$AY$3,0),attendees,COUNTIF(INDEX(Attendance!$B$7:$AY$206,0,att_offset),"1"),IF(ev_split="Equal Split",ev_cost/MAX(1,COUNTA(Roster!$A$5:$A$204)),ev_cost/MAX(1,attendees))),"N/A"))</f>
        <v/>
      </c>
    </row>
    <row r="11" ht="20" customHeight="1">
      <c r="A11" s="18" t="inlineStr">
        <is>
          <t>03/01/2025</t>
        </is>
      </c>
      <c r="B11" s="6" t="inlineStr">
        <is>
          <t>Player Dues - Taylor Smith</t>
        </is>
      </c>
      <c r="C11" s="6" t="inlineStr">
        <is>
          <t>Dues</t>
        </is>
      </c>
      <c r="D11" s="6" t="inlineStr">
        <is>
          <t>Income</t>
        </is>
      </c>
      <c r="E11" s="6" t="inlineStr">
        <is>
          <t>Taylor Smith</t>
        </is>
      </c>
      <c r="F11" s="9" t="n">
        <v>150</v>
      </c>
      <c r="G11" s="6" t="n"/>
      <c r="H11" s="6" t="n"/>
      <c r="I11" s="6" t="inlineStr">
        <is>
          <t>Cleared</t>
        </is>
      </c>
      <c r="J11" s="108">
        <f>IF(G11="","",IFERROR(LET(ev_cost,INDEX(Events!$G$5:$G$505,MATCH(G11,Events!$A$5:$A$505,0)),ev_split,INDEX(Events!$I$5:$I$505,MATCH(G11,Events!$A$5:$A$505,0)),att_offset,MATCH(G11,Attendance!$B$3:$AY$3,0),attendees,COUNTIF(INDEX(Attendance!$B$7:$AY$206,0,att_offset),"1"),IF(ev_split="Equal Split",ev_cost/MAX(1,COUNTA(Roster!$A$5:$A$204)),ev_cost/MAX(1,attendees))),"N/A"))</f>
        <v/>
      </c>
    </row>
    <row r="12" ht="20" customHeight="1">
      <c r="A12" s="18" t="inlineStr">
        <is>
          <t>03/22/2025</t>
        </is>
      </c>
      <c r="B12" s="6" t="inlineStr">
        <is>
          <t>Car Wash Fundraiser</t>
        </is>
      </c>
      <c r="C12" s="6" t="inlineStr">
        <is>
          <t>Fundraiser Income</t>
        </is>
      </c>
      <c r="D12" s="6" t="inlineStr">
        <is>
          <t>Income</t>
        </is>
      </c>
      <c r="E12" s="6" t="inlineStr">
        <is>
          <t>Team</t>
        </is>
      </c>
      <c r="F12" s="9" t="n">
        <v>450</v>
      </c>
      <c r="G12" s="6" t="inlineStr">
        <is>
          <t>Car Wash Fundraiser</t>
        </is>
      </c>
      <c r="H12" s="6" t="n"/>
      <c r="I12" s="6" t="inlineStr">
        <is>
          <t>Cleared</t>
        </is>
      </c>
      <c r="J12" s="108">
        <f>IF(G12="","",IFERROR(LET(ev_cost,INDEX(Events!$G$5:$G$505,MATCH(G12,Events!$A$5:$A$505,0)),ev_split,INDEX(Events!$I$5:$I$505,MATCH(G12,Events!$A$5:$A$505,0)),att_offset,MATCH(G12,Attendance!$B$3:$AY$3,0),attendees,COUNTIF(INDEX(Attendance!$B$7:$AY$206,0,att_offset),"1"),IF(ev_split="Equal Split",ev_cost/MAX(1,COUNTA(Roster!$A$5:$A$204)),ev_cost/MAX(1,attendees))),"N/A"))</f>
        <v/>
      </c>
    </row>
    <row r="13" ht="20" customHeight="1">
      <c r="A13" s="18" t="inlineStr">
        <is>
          <t>04/01/2025</t>
        </is>
      </c>
      <c r="B13" s="6" t="inlineStr">
        <is>
          <t>Summer League Entry</t>
        </is>
      </c>
      <c r="C13" s="6" t="inlineStr">
        <is>
          <t>Tournament Fee</t>
        </is>
      </c>
      <c r="D13" s="6" t="inlineStr">
        <is>
          <t>Expense</t>
        </is>
      </c>
      <c r="E13" s="6" t="inlineStr">
        <is>
          <t>Coach Kim</t>
        </is>
      </c>
      <c r="F13" s="9" t="n">
        <v>600</v>
      </c>
      <c r="G13" s="6" t="inlineStr">
        <is>
          <t>Summer League Entry</t>
        </is>
      </c>
      <c r="H13" s="6" t="n"/>
      <c r="I13" s="6" t="inlineStr">
        <is>
          <t>Pending</t>
        </is>
      </c>
      <c r="J13" s="108">
        <f>IF(G13="","",IFERROR(LET(ev_cost,INDEX(Events!$G$5:$G$505,MATCH(G13,Events!$A$5:$A$505,0)),ev_split,INDEX(Events!$I$5:$I$505,MATCH(G13,Events!$A$5:$A$505,0)),att_offset,MATCH(G13,Attendance!$B$3:$AY$3,0),attendees,COUNTIF(INDEX(Attendance!$B$7:$AY$206,0,att_offset),"1"),IF(ev_split="Equal Split",ev_cost/MAX(1,COUNTA(Roster!$A$5:$A$204)),ev_cost/MAX(1,attendees))),"N/A"))</f>
        <v/>
      </c>
    </row>
    <row r="14" ht="20" customHeight="1">
      <c r="A14" s="12" t="n"/>
      <c r="B14" s="10" t="n"/>
      <c r="C14" s="10" t="n"/>
      <c r="D14" s="10" t="n"/>
      <c r="E14" s="10" t="n"/>
      <c r="F14" s="13" t="n"/>
      <c r="G14" s="10" t="n"/>
      <c r="H14" s="10" t="n"/>
      <c r="I14" s="10" t="n"/>
      <c r="J14" s="108">
        <f>IF(G14="","",IFERROR(LET(ev_cost,INDEX(Events!$G$5:$G$505,MATCH(G14,Events!$A$5:$A$505,0)),ev_split,INDEX(Events!$I$5:$I$505,MATCH(G14,Events!$A$5:$A$505,0)),att_offset,MATCH(G14,Attendance!$B$3:$AY$3,0),attendees,COUNTIF(INDEX(Attendance!$B$7:$AY$206,0,att_offset),"1"),IF(ev_split="Equal Split",ev_cost/MAX(1,COUNTA(Roster!$A$5:$A$204)),ev_cost/MAX(1,attendees))),"N/A"))</f>
        <v/>
      </c>
    </row>
    <row r="15" ht="20" customHeight="1">
      <c r="A15" s="16" t="n"/>
      <c r="B15" s="14" t="n"/>
      <c r="C15" s="14" t="n"/>
      <c r="D15" s="14" t="n"/>
      <c r="E15" s="14" t="n"/>
      <c r="F15" s="17" t="n"/>
      <c r="G15" s="14" t="n"/>
      <c r="H15" s="14" t="n"/>
      <c r="I15" s="14" t="n"/>
      <c r="J15" s="108">
        <f>IF(G15="","",IFERROR(LET(ev_cost,INDEX(Events!$G$5:$G$505,MATCH(G15,Events!$A$5:$A$505,0)),ev_split,INDEX(Events!$I$5:$I$505,MATCH(G15,Events!$A$5:$A$505,0)),att_offset,MATCH(G15,Attendance!$B$3:$AY$3,0),attendees,COUNTIF(INDEX(Attendance!$B$7:$AY$206,0,att_offset),"1"),IF(ev_split="Equal Split",ev_cost/MAX(1,COUNTA(Roster!$A$5:$A$204)),ev_cost/MAX(1,attendees))),"N/A"))</f>
        <v/>
      </c>
    </row>
    <row r="16" ht="20" customHeight="1">
      <c r="A16" s="12" t="n"/>
      <c r="B16" s="10" t="n"/>
      <c r="C16" s="10" t="n"/>
      <c r="D16" s="10" t="n"/>
      <c r="E16" s="10" t="n"/>
      <c r="F16" s="13" t="n"/>
      <c r="G16" s="10" t="n"/>
      <c r="H16" s="10" t="n"/>
      <c r="I16" s="10" t="n"/>
      <c r="J16" s="108">
        <f>IF(G16="","",IFERROR(LET(ev_cost,INDEX(Events!$G$5:$G$505,MATCH(G16,Events!$A$5:$A$505,0)),ev_split,INDEX(Events!$I$5:$I$505,MATCH(G16,Events!$A$5:$A$505,0)),att_offset,MATCH(G16,Attendance!$B$3:$AY$3,0),attendees,COUNTIF(INDEX(Attendance!$B$7:$AY$206,0,att_offset),"1"),IF(ev_split="Equal Split",ev_cost/MAX(1,COUNTA(Roster!$A$5:$A$204)),ev_cost/MAX(1,attendees))),"N/A"))</f>
        <v/>
      </c>
    </row>
    <row r="17" ht="20" customHeight="1">
      <c r="A17" s="16" t="n"/>
      <c r="B17" s="14" t="n"/>
      <c r="C17" s="14" t="n"/>
      <c r="D17" s="14" t="n"/>
      <c r="E17" s="14" t="n"/>
      <c r="F17" s="17" t="n"/>
      <c r="G17" s="14" t="n"/>
      <c r="H17" s="14" t="n"/>
      <c r="I17" s="14" t="n"/>
      <c r="J17" s="108">
        <f>IF(G17="","",IFERROR(LET(ev_cost,INDEX(Events!$G$5:$G$505,MATCH(G17,Events!$A$5:$A$505,0)),ev_split,INDEX(Events!$I$5:$I$505,MATCH(G17,Events!$A$5:$A$505,0)),att_offset,MATCH(G17,Attendance!$B$3:$AY$3,0),attendees,COUNTIF(INDEX(Attendance!$B$7:$AY$206,0,att_offset),"1"),IF(ev_split="Equal Split",ev_cost/MAX(1,COUNTA(Roster!$A$5:$A$204)),ev_cost/MAX(1,attendees))),"N/A"))</f>
        <v/>
      </c>
    </row>
    <row r="18" ht="20" customHeight="1">
      <c r="A18" s="12" t="n"/>
      <c r="B18" s="10" t="n"/>
      <c r="C18" s="10" t="n"/>
      <c r="D18" s="10" t="n"/>
      <c r="E18" s="10" t="n"/>
      <c r="F18" s="13" t="n"/>
      <c r="G18" s="10" t="n"/>
      <c r="H18" s="10" t="n"/>
      <c r="I18" s="10" t="n"/>
      <c r="J18" s="108">
        <f>IF(G18="","",IFERROR(LET(ev_cost,INDEX(Events!$G$5:$G$505,MATCH(G18,Events!$A$5:$A$505,0)),ev_split,INDEX(Events!$I$5:$I$505,MATCH(G18,Events!$A$5:$A$505,0)),att_offset,MATCH(G18,Attendance!$B$3:$AY$3,0),attendees,COUNTIF(INDEX(Attendance!$B$7:$AY$206,0,att_offset),"1"),IF(ev_split="Equal Split",ev_cost/MAX(1,COUNTA(Roster!$A$5:$A$204)),ev_cost/MAX(1,attendees))),"N/A"))</f>
        <v/>
      </c>
    </row>
    <row r="19" ht="20" customHeight="1">
      <c r="A19" s="16" t="n"/>
      <c r="B19" s="14" t="n"/>
      <c r="C19" s="14" t="n"/>
      <c r="D19" s="14" t="n"/>
      <c r="E19" s="14" t="n"/>
      <c r="F19" s="17" t="n"/>
      <c r="G19" s="14" t="n"/>
      <c r="H19" s="14" t="n"/>
      <c r="I19" s="14" t="n"/>
      <c r="J19" s="108">
        <f>IF(G19="","",IFERROR(LET(ev_cost,INDEX(Events!$G$5:$G$505,MATCH(G19,Events!$A$5:$A$505,0)),ev_split,INDEX(Events!$I$5:$I$505,MATCH(G19,Events!$A$5:$A$505,0)),att_offset,MATCH(G19,Attendance!$B$3:$AY$3,0),attendees,COUNTIF(INDEX(Attendance!$B$7:$AY$206,0,att_offset),"1"),IF(ev_split="Equal Split",ev_cost/MAX(1,COUNTA(Roster!$A$5:$A$204)),ev_cost/MAX(1,attendees))),"N/A"))</f>
        <v/>
      </c>
    </row>
    <row r="20" ht="20" customHeight="1">
      <c r="A20" s="12" t="n"/>
      <c r="B20" s="10" t="n"/>
      <c r="C20" s="10" t="n"/>
      <c r="D20" s="10" t="n"/>
      <c r="E20" s="10" t="n"/>
      <c r="F20" s="13" t="n"/>
      <c r="G20" s="10" t="n"/>
      <c r="H20" s="10" t="n"/>
      <c r="I20" s="10" t="n"/>
      <c r="J20" s="108">
        <f>IF(G20="","",IFERROR(LET(ev_cost,INDEX(Events!$G$5:$G$505,MATCH(G20,Events!$A$5:$A$505,0)),ev_split,INDEX(Events!$I$5:$I$505,MATCH(G20,Events!$A$5:$A$505,0)),att_offset,MATCH(G20,Attendance!$B$3:$AY$3,0),attendees,COUNTIF(INDEX(Attendance!$B$7:$AY$206,0,att_offset),"1"),IF(ev_split="Equal Split",ev_cost/MAX(1,COUNTA(Roster!$A$5:$A$204)),ev_cost/MAX(1,attendees))),"N/A"))</f>
        <v/>
      </c>
    </row>
    <row r="21" ht="20" customHeight="1">
      <c r="A21" s="16" t="n"/>
      <c r="B21" s="14" t="n"/>
      <c r="C21" s="14" t="n"/>
      <c r="D21" s="14" t="n"/>
      <c r="E21" s="14" t="n"/>
      <c r="F21" s="17" t="n"/>
      <c r="G21" s="14" t="n"/>
      <c r="H21" s="14" t="n"/>
      <c r="I21" s="14" t="n"/>
      <c r="J21" s="108">
        <f>IF(G21="","",IFERROR(LET(ev_cost,INDEX(Events!$G$5:$G$505,MATCH(G21,Events!$A$5:$A$505,0)),ev_split,INDEX(Events!$I$5:$I$505,MATCH(G21,Events!$A$5:$A$505,0)),att_offset,MATCH(G21,Attendance!$B$3:$AY$3,0),attendees,COUNTIF(INDEX(Attendance!$B$7:$AY$206,0,att_offset),"1"),IF(ev_split="Equal Split",ev_cost/MAX(1,COUNTA(Roster!$A$5:$A$204)),ev_cost/MAX(1,attendees))),"N/A"))</f>
        <v/>
      </c>
    </row>
    <row r="22" ht="20" customHeight="1">
      <c r="A22" s="12" t="n"/>
      <c r="B22" s="10" t="n"/>
      <c r="C22" s="10" t="n"/>
      <c r="D22" s="10" t="n"/>
      <c r="E22" s="10" t="n"/>
      <c r="F22" s="13" t="n"/>
      <c r="G22" s="10" t="n"/>
      <c r="H22" s="10" t="n"/>
      <c r="I22" s="10" t="n"/>
      <c r="J22" s="108">
        <f>IF(G22="","",IFERROR(LET(ev_cost,INDEX(Events!$G$5:$G$505,MATCH(G22,Events!$A$5:$A$505,0)),ev_split,INDEX(Events!$I$5:$I$505,MATCH(G22,Events!$A$5:$A$505,0)),att_offset,MATCH(G22,Attendance!$B$3:$AY$3,0),attendees,COUNTIF(INDEX(Attendance!$B$7:$AY$206,0,att_offset),"1"),IF(ev_split="Equal Split",ev_cost/MAX(1,COUNTA(Roster!$A$5:$A$204)),ev_cost/MAX(1,attendees))),"N/A"))</f>
        <v/>
      </c>
    </row>
    <row r="23" ht="20" customHeight="1">
      <c r="A23" s="16" t="n"/>
      <c r="B23" s="14" t="n"/>
      <c r="C23" s="14" t="n"/>
      <c r="D23" s="14" t="n"/>
      <c r="E23" s="14" t="n"/>
      <c r="F23" s="17" t="n"/>
      <c r="G23" s="14" t="n"/>
      <c r="H23" s="14" t="n"/>
      <c r="I23" s="14" t="n"/>
      <c r="J23" s="108">
        <f>IF(G23="","",IFERROR(LET(ev_cost,INDEX(Events!$G$5:$G$505,MATCH(G23,Events!$A$5:$A$505,0)),ev_split,INDEX(Events!$I$5:$I$505,MATCH(G23,Events!$A$5:$A$505,0)),att_offset,MATCH(G23,Attendance!$B$3:$AY$3,0),attendees,COUNTIF(INDEX(Attendance!$B$7:$AY$206,0,att_offset),"1"),IF(ev_split="Equal Split",ev_cost/MAX(1,COUNTA(Roster!$A$5:$A$204)),ev_cost/MAX(1,attendees))),"N/A"))</f>
        <v/>
      </c>
    </row>
    <row r="24" ht="20" customHeight="1">
      <c r="A24" s="12" t="n"/>
      <c r="B24" s="10" t="n"/>
      <c r="C24" s="10" t="n"/>
      <c r="D24" s="10" t="n"/>
      <c r="E24" s="10" t="n"/>
      <c r="F24" s="13" t="n"/>
      <c r="G24" s="10" t="n"/>
      <c r="H24" s="10" t="n"/>
      <c r="I24" s="10" t="n"/>
      <c r="J24" s="108">
        <f>IF(G24="","",IFERROR(LET(ev_cost,INDEX(Events!$G$5:$G$505,MATCH(G24,Events!$A$5:$A$505,0)),ev_split,INDEX(Events!$I$5:$I$505,MATCH(G24,Events!$A$5:$A$505,0)),att_offset,MATCH(G24,Attendance!$B$3:$AY$3,0),attendees,COUNTIF(INDEX(Attendance!$B$7:$AY$206,0,att_offset),"1"),IF(ev_split="Equal Split",ev_cost/MAX(1,COUNTA(Roster!$A$5:$A$204)),ev_cost/MAX(1,attendees))),"N/A"))</f>
        <v/>
      </c>
    </row>
    <row r="25" ht="20" customHeight="1">
      <c r="A25" s="16" t="n"/>
      <c r="B25" s="14" t="n"/>
      <c r="C25" s="14" t="n"/>
      <c r="D25" s="14" t="n"/>
      <c r="E25" s="14" t="n"/>
      <c r="F25" s="17" t="n"/>
      <c r="G25" s="14" t="n"/>
      <c r="H25" s="14" t="n"/>
      <c r="I25" s="14" t="n"/>
      <c r="J25" s="108">
        <f>IF(G25="","",IFERROR(LET(ev_cost,INDEX(Events!$G$5:$G$505,MATCH(G25,Events!$A$5:$A$505,0)),ev_split,INDEX(Events!$I$5:$I$505,MATCH(G25,Events!$A$5:$A$505,0)),att_offset,MATCH(G25,Attendance!$B$3:$AY$3,0),attendees,COUNTIF(INDEX(Attendance!$B$7:$AY$206,0,att_offset),"1"),IF(ev_split="Equal Split",ev_cost/MAX(1,COUNTA(Roster!$A$5:$A$204)),ev_cost/MAX(1,attendees))),"N/A"))</f>
        <v/>
      </c>
    </row>
    <row r="26" ht="20" customHeight="1">
      <c r="A26" s="12" t="n"/>
      <c r="B26" s="10" t="n"/>
      <c r="C26" s="10" t="n"/>
      <c r="D26" s="10" t="n"/>
      <c r="E26" s="10" t="n"/>
      <c r="F26" s="13" t="n"/>
      <c r="G26" s="10" t="n"/>
      <c r="H26" s="10" t="n"/>
      <c r="I26" s="10" t="n"/>
      <c r="J26" s="108">
        <f>IF(G26="","",IFERROR(LET(ev_cost,INDEX(Events!$G$5:$G$505,MATCH(G26,Events!$A$5:$A$505,0)),ev_split,INDEX(Events!$I$5:$I$505,MATCH(G26,Events!$A$5:$A$505,0)),att_offset,MATCH(G26,Attendance!$B$3:$AY$3,0),attendees,COUNTIF(INDEX(Attendance!$B$7:$AY$206,0,att_offset),"1"),IF(ev_split="Equal Split",ev_cost/MAX(1,COUNTA(Roster!$A$5:$A$204)),ev_cost/MAX(1,attendees))),"N/A"))</f>
        <v/>
      </c>
    </row>
    <row r="27" ht="20" customHeight="1">
      <c r="A27" s="16" t="n"/>
      <c r="B27" s="14" t="n"/>
      <c r="C27" s="14" t="n"/>
      <c r="D27" s="14" t="n"/>
      <c r="E27" s="14" t="n"/>
      <c r="F27" s="17" t="n"/>
      <c r="G27" s="14" t="n"/>
      <c r="H27" s="14" t="n"/>
      <c r="I27" s="14" t="n"/>
      <c r="J27" s="108">
        <f>IF(G27="","",IFERROR(LET(ev_cost,INDEX(Events!$G$5:$G$505,MATCH(G27,Events!$A$5:$A$505,0)),ev_split,INDEX(Events!$I$5:$I$505,MATCH(G27,Events!$A$5:$A$505,0)),att_offset,MATCH(G27,Attendance!$B$3:$AY$3,0),attendees,COUNTIF(INDEX(Attendance!$B$7:$AY$206,0,att_offset),"1"),IF(ev_split="Equal Split",ev_cost/MAX(1,COUNTA(Roster!$A$5:$A$204)),ev_cost/MAX(1,attendees))),"N/A"))</f>
        <v/>
      </c>
    </row>
    <row r="28" ht="20" customHeight="1">
      <c r="A28" s="12" t="n"/>
      <c r="B28" s="10" t="n"/>
      <c r="C28" s="10" t="n"/>
      <c r="D28" s="10" t="n"/>
      <c r="E28" s="10" t="n"/>
      <c r="F28" s="13" t="n"/>
      <c r="G28" s="10" t="n"/>
      <c r="H28" s="10" t="n"/>
      <c r="I28" s="10" t="n"/>
      <c r="J28" s="108">
        <f>IF(G28="","",IFERROR(LET(ev_cost,INDEX(Events!$G$5:$G$505,MATCH(G28,Events!$A$5:$A$505,0)),ev_split,INDEX(Events!$I$5:$I$505,MATCH(G28,Events!$A$5:$A$505,0)),att_offset,MATCH(G28,Attendance!$B$3:$AY$3,0),attendees,COUNTIF(INDEX(Attendance!$B$7:$AY$206,0,att_offset),"1"),IF(ev_split="Equal Split",ev_cost/MAX(1,COUNTA(Roster!$A$5:$A$204)),ev_cost/MAX(1,attendees))),"N/A"))</f>
        <v/>
      </c>
    </row>
    <row r="29" ht="20" customHeight="1">
      <c r="A29" s="16" t="n"/>
      <c r="B29" s="14" t="n"/>
      <c r="C29" s="14" t="n"/>
      <c r="D29" s="14" t="n"/>
      <c r="E29" s="14" t="n"/>
      <c r="F29" s="17" t="n"/>
      <c r="G29" s="14" t="n"/>
      <c r="H29" s="14" t="n"/>
      <c r="I29" s="14" t="n"/>
      <c r="J29" s="108">
        <f>IF(G29="","",IFERROR(LET(ev_cost,INDEX(Events!$G$5:$G$505,MATCH(G29,Events!$A$5:$A$505,0)),ev_split,INDEX(Events!$I$5:$I$505,MATCH(G29,Events!$A$5:$A$505,0)),att_offset,MATCH(G29,Attendance!$B$3:$AY$3,0),attendees,COUNTIF(INDEX(Attendance!$B$7:$AY$206,0,att_offset),"1"),IF(ev_split="Equal Split",ev_cost/MAX(1,COUNTA(Roster!$A$5:$A$204)),ev_cost/MAX(1,attendees))),"N/A"))</f>
        <v/>
      </c>
    </row>
    <row r="30" ht="20" customHeight="1">
      <c r="A30" s="12" t="n"/>
      <c r="B30" s="10" t="n"/>
      <c r="C30" s="10" t="n"/>
      <c r="D30" s="10" t="n"/>
      <c r="E30" s="10" t="n"/>
      <c r="F30" s="13" t="n"/>
      <c r="G30" s="10" t="n"/>
      <c r="H30" s="10" t="n"/>
      <c r="I30" s="10" t="n"/>
      <c r="J30" s="108">
        <f>IF(G30="","",IFERROR(LET(ev_cost,INDEX(Events!$G$5:$G$505,MATCH(G30,Events!$A$5:$A$505,0)),ev_split,INDEX(Events!$I$5:$I$505,MATCH(G30,Events!$A$5:$A$505,0)),att_offset,MATCH(G30,Attendance!$B$3:$AY$3,0),attendees,COUNTIF(INDEX(Attendance!$B$7:$AY$206,0,att_offset),"1"),IF(ev_split="Equal Split",ev_cost/MAX(1,COUNTA(Roster!$A$5:$A$204)),ev_cost/MAX(1,attendees))),"N/A"))</f>
        <v/>
      </c>
    </row>
    <row r="31" ht="20" customHeight="1">
      <c r="A31" s="16" t="n"/>
      <c r="B31" s="14" t="n"/>
      <c r="C31" s="14" t="n"/>
      <c r="D31" s="14" t="n"/>
      <c r="E31" s="14" t="n"/>
      <c r="F31" s="17" t="n"/>
      <c r="G31" s="14" t="n"/>
      <c r="H31" s="14" t="n"/>
      <c r="I31" s="14" t="n"/>
      <c r="J31" s="108">
        <f>IF(G31="","",IFERROR(LET(ev_cost,INDEX(Events!$G$5:$G$505,MATCH(G31,Events!$A$5:$A$505,0)),ev_split,INDEX(Events!$I$5:$I$505,MATCH(G31,Events!$A$5:$A$505,0)),att_offset,MATCH(G31,Attendance!$B$3:$AY$3,0),attendees,COUNTIF(INDEX(Attendance!$B$7:$AY$206,0,att_offset),"1"),IF(ev_split="Equal Split",ev_cost/MAX(1,COUNTA(Roster!$A$5:$A$204)),ev_cost/MAX(1,attendees))),"N/A"))</f>
        <v/>
      </c>
    </row>
    <row r="32" ht="20" customHeight="1">
      <c r="A32" s="12" t="n"/>
      <c r="B32" s="10" t="n"/>
      <c r="C32" s="10" t="n"/>
      <c r="D32" s="10" t="n"/>
      <c r="E32" s="10" t="n"/>
      <c r="F32" s="13" t="n"/>
      <c r="G32" s="10" t="n"/>
      <c r="H32" s="10" t="n"/>
      <c r="I32" s="10" t="n"/>
      <c r="J32" s="108">
        <f>IF(G32="","",IFERROR(LET(ev_cost,INDEX(Events!$G$5:$G$505,MATCH(G32,Events!$A$5:$A$505,0)),ev_split,INDEX(Events!$I$5:$I$505,MATCH(G32,Events!$A$5:$A$505,0)),att_offset,MATCH(G32,Attendance!$B$3:$AY$3,0),attendees,COUNTIF(INDEX(Attendance!$B$7:$AY$206,0,att_offset),"1"),IF(ev_split="Equal Split",ev_cost/MAX(1,COUNTA(Roster!$A$5:$A$204)),ev_cost/MAX(1,attendees))),"N/A"))</f>
        <v/>
      </c>
    </row>
    <row r="33" ht="20" customHeight="1">
      <c r="A33" s="16" t="n"/>
      <c r="B33" s="14" t="n"/>
      <c r="C33" s="14" t="n"/>
      <c r="D33" s="14" t="n"/>
      <c r="E33" s="14" t="n"/>
      <c r="F33" s="17" t="n"/>
      <c r="G33" s="14" t="n"/>
      <c r="H33" s="14" t="n"/>
      <c r="I33" s="14" t="n"/>
      <c r="J33" s="108">
        <f>IF(G33="","",IFERROR(LET(ev_cost,INDEX(Events!$G$5:$G$505,MATCH(G33,Events!$A$5:$A$505,0)),ev_split,INDEX(Events!$I$5:$I$505,MATCH(G33,Events!$A$5:$A$505,0)),att_offset,MATCH(G33,Attendance!$B$3:$AY$3,0),attendees,COUNTIF(INDEX(Attendance!$B$7:$AY$206,0,att_offset),"1"),IF(ev_split="Equal Split",ev_cost/MAX(1,COUNTA(Roster!$A$5:$A$204)),ev_cost/MAX(1,attendees))),"N/A"))</f>
        <v/>
      </c>
    </row>
    <row r="34" ht="20" customHeight="1">
      <c r="A34" s="12" t="n"/>
      <c r="B34" s="10" t="n"/>
      <c r="C34" s="10" t="n"/>
      <c r="D34" s="10" t="n"/>
      <c r="E34" s="10" t="n"/>
      <c r="F34" s="13" t="n"/>
      <c r="G34" s="10" t="n"/>
      <c r="H34" s="10" t="n"/>
      <c r="I34" s="10" t="n"/>
      <c r="J34" s="108">
        <f>IF(G34="","",IFERROR(LET(ev_cost,INDEX(Events!$G$5:$G$505,MATCH(G34,Events!$A$5:$A$505,0)),ev_split,INDEX(Events!$I$5:$I$505,MATCH(G34,Events!$A$5:$A$505,0)),att_offset,MATCH(G34,Attendance!$B$3:$AY$3,0),attendees,COUNTIF(INDEX(Attendance!$B$7:$AY$206,0,att_offset),"1"),IF(ev_split="Equal Split",ev_cost/MAX(1,COUNTA(Roster!$A$5:$A$204)),ev_cost/MAX(1,attendees))),"N/A"))</f>
        <v/>
      </c>
    </row>
    <row r="35" ht="20" customHeight="1">
      <c r="A35" s="16" t="n"/>
      <c r="B35" s="14" t="n"/>
      <c r="C35" s="14" t="n"/>
      <c r="D35" s="14" t="n"/>
      <c r="E35" s="14" t="n"/>
      <c r="F35" s="17" t="n"/>
      <c r="G35" s="14" t="n"/>
      <c r="H35" s="14" t="n"/>
      <c r="I35" s="14" t="n"/>
      <c r="J35" s="108">
        <f>IF(G35="","",IFERROR(LET(ev_cost,INDEX(Events!$G$5:$G$505,MATCH(G35,Events!$A$5:$A$505,0)),ev_split,INDEX(Events!$I$5:$I$505,MATCH(G35,Events!$A$5:$A$505,0)),att_offset,MATCH(G35,Attendance!$B$3:$AY$3,0),attendees,COUNTIF(INDEX(Attendance!$B$7:$AY$206,0,att_offset),"1"),IF(ev_split="Equal Split",ev_cost/MAX(1,COUNTA(Roster!$A$5:$A$204)),ev_cost/MAX(1,attendees))),"N/A"))</f>
        <v/>
      </c>
    </row>
    <row r="36" ht="20" customHeight="1">
      <c r="A36" s="12" t="n"/>
      <c r="B36" s="10" t="n"/>
      <c r="C36" s="10" t="n"/>
      <c r="D36" s="10" t="n"/>
      <c r="E36" s="10" t="n"/>
      <c r="F36" s="13" t="n"/>
      <c r="G36" s="10" t="n"/>
      <c r="H36" s="10" t="n"/>
      <c r="I36" s="10" t="n"/>
      <c r="J36" s="108">
        <f>IF(G36="","",IFERROR(LET(ev_cost,INDEX(Events!$G$5:$G$505,MATCH(G36,Events!$A$5:$A$505,0)),ev_split,INDEX(Events!$I$5:$I$505,MATCH(G36,Events!$A$5:$A$505,0)),att_offset,MATCH(G36,Attendance!$B$3:$AY$3,0),attendees,COUNTIF(INDEX(Attendance!$B$7:$AY$206,0,att_offset),"1"),IF(ev_split="Equal Split",ev_cost/MAX(1,COUNTA(Roster!$A$5:$A$204)),ev_cost/MAX(1,attendees))),"N/A"))</f>
        <v/>
      </c>
    </row>
    <row r="37" ht="20" customHeight="1">
      <c r="A37" s="16" t="n"/>
      <c r="B37" s="14" t="n"/>
      <c r="C37" s="14" t="n"/>
      <c r="D37" s="14" t="n"/>
      <c r="E37" s="14" t="n"/>
      <c r="F37" s="17" t="n"/>
      <c r="G37" s="14" t="n"/>
      <c r="H37" s="14" t="n"/>
      <c r="I37" s="14" t="n"/>
      <c r="J37" s="108">
        <f>IF(G37="","",IFERROR(LET(ev_cost,INDEX(Events!$G$5:$G$505,MATCH(G37,Events!$A$5:$A$505,0)),ev_split,INDEX(Events!$I$5:$I$505,MATCH(G37,Events!$A$5:$A$505,0)),att_offset,MATCH(G37,Attendance!$B$3:$AY$3,0),attendees,COUNTIF(INDEX(Attendance!$B$7:$AY$206,0,att_offset),"1"),IF(ev_split="Equal Split",ev_cost/MAX(1,COUNTA(Roster!$A$5:$A$204)),ev_cost/MAX(1,attendees))),"N/A"))</f>
        <v/>
      </c>
    </row>
    <row r="38" ht="20" customHeight="1">
      <c r="A38" s="12" t="n"/>
      <c r="B38" s="10" t="n"/>
      <c r="C38" s="10" t="n"/>
      <c r="D38" s="10" t="n"/>
      <c r="E38" s="10" t="n"/>
      <c r="F38" s="13" t="n"/>
      <c r="G38" s="10" t="n"/>
      <c r="H38" s="10" t="n"/>
      <c r="I38" s="10" t="n"/>
      <c r="J38" s="108">
        <f>IF(G38="","",IFERROR(LET(ev_cost,INDEX(Events!$G$5:$G$505,MATCH(G38,Events!$A$5:$A$505,0)),ev_split,INDEX(Events!$I$5:$I$505,MATCH(G38,Events!$A$5:$A$505,0)),att_offset,MATCH(G38,Attendance!$B$3:$AY$3,0),attendees,COUNTIF(INDEX(Attendance!$B$7:$AY$206,0,att_offset),"1"),IF(ev_split="Equal Split",ev_cost/MAX(1,COUNTA(Roster!$A$5:$A$204)),ev_cost/MAX(1,attendees))),"N/A"))</f>
        <v/>
      </c>
    </row>
    <row r="39" ht="20" customHeight="1">
      <c r="A39" s="16" t="n"/>
      <c r="B39" s="14" t="n"/>
      <c r="C39" s="14" t="n"/>
      <c r="D39" s="14" t="n"/>
      <c r="E39" s="14" t="n"/>
      <c r="F39" s="17" t="n"/>
      <c r="G39" s="14" t="n"/>
      <c r="H39" s="14" t="n"/>
      <c r="I39" s="14" t="n"/>
      <c r="J39" s="108">
        <f>IF(G39="","",IFERROR(LET(ev_cost,INDEX(Events!$G$5:$G$505,MATCH(G39,Events!$A$5:$A$505,0)),ev_split,INDEX(Events!$I$5:$I$505,MATCH(G39,Events!$A$5:$A$505,0)),att_offset,MATCH(G39,Attendance!$B$3:$AY$3,0),attendees,COUNTIF(INDEX(Attendance!$B$7:$AY$206,0,att_offset),"1"),IF(ev_split="Equal Split",ev_cost/MAX(1,COUNTA(Roster!$A$5:$A$204)),ev_cost/MAX(1,attendees))),"N/A"))</f>
        <v/>
      </c>
    </row>
    <row r="40" ht="20" customHeight="1">
      <c r="A40" s="12" t="n"/>
      <c r="B40" s="10" t="n"/>
      <c r="C40" s="10" t="n"/>
      <c r="D40" s="10" t="n"/>
      <c r="E40" s="10" t="n"/>
      <c r="F40" s="13" t="n"/>
      <c r="G40" s="10" t="n"/>
      <c r="H40" s="10" t="n"/>
      <c r="I40" s="10" t="n"/>
      <c r="J40" s="108">
        <f>IF(G40="","",IFERROR(LET(ev_cost,INDEX(Events!$G$5:$G$505,MATCH(G40,Events!$A$5:$A$505,0)),ev_split,INDEX(Events!$I$5:$I$505,MATCH(G40,Events!$A$5:$A$505,0)),att_offset,MATCH(G40,Attendance!$B$3:$AY$3,0),attendees,COUNTIF(INDEX(Attendance!$B$7:$AY$206,0,att_offset),"1"),IF(ev_split="Equal Split",ev_cost/MAX(1,COUNTA(Roster!$A$5:$A$204)),ev_cost/MAX(1,attendees))),"N/A"))</f>
        <v/>
      </c>
    </row>
    <row r="41" ht="20" customHeight="1">
      <c r="A41" s="16" t="n"/>
      <c r="B41" s="14" t="n"/>
      <c r="C41" s="14" t="n"/>
      <c r="D41" s="14" t="n"/>
      <c r="E41" s="14" t="n"/>
      <c r="F41" s="17" t="n"/>
      <c r="G41" s="14" t="n"/>
      <c r="H41" s="14" t="n"/>
      <c r="I41" s="14" t="n"/>
      <c r="J41" s="108">
        <f>IF(G41="","",IFERROR(LET(ev_cost,INDEX(Events!$G$5:$G$505,MATCH(G41,Events!$A$5:$A$505,0)),ev_split,INDEX(Events!$I$5:$I$505,MATCH(G41,Events!$A$5:$A$505,0)),att_offset,MATCH(G41,Attendance!$B$3:$AY$3,0),attendees,COUNTIF(INDEX(Attendance!$B$7:$AY$206,0,att_offset),"1"),IF(ev_split="Equal Split",ev_cost/MAX(1,COUNTA(Roster!$A$5:$A$204)),ev_cost/MAX(1,attendees))),"N/A"))</f>
        <v/>
      </c>
    </row>
    <row r="42" ht="20" customHeight="1">
      <c r="A42" s="12" t="n"/>
      <c r="B42" s="10" t="n"/>
      <c r="C42" s="10" t="n"/>
      <c r="D42" s="10" t="n"/>
      <c r="E42" s="10" t="n"/>
      <c r="F42" s="13" t="n"/>
      <c r="G42" s="10" t="n"/>
      <c r="H42" s="10" t="n"/>
      <c r="I42" s="10" t="n"/>
      <c r="J42" s="108">
        <f>IF(G42="","",IFERROR(LET(ev_cost,INDEX(Events!$G$5:$G$505,MATCH(G42,Events!$A$5:$A$505,0)),ev_split,INDEX(Events!$I$5:$I$505,MATCH(G42,Events!$A$5:$A$505,0)),att_offset,MATCH(G42,Attendance!$B$3:$AY$3,0),attendees,COUNTIF(INDEX(Attendance!$B$7:$AY$206,0,att_offset),"1"),IF(ev_split="Equal Split",ev_cost/MAX(1,COUNTA(Roster!$A$5:$A$204)),ev_cost/MAX(1,attendees))),"N/A"))</f>
        <v/>
      </c>
    </row>
    <row r="43" ht="20" customHeight="1">
      <c r="A43" s="16" t="n"/>
      <c r="B43" s="14" t="n"/>
      <c r="C43" s="14" t="n"/>
      <c r="D43" s="14" t="n"/>
      <c r="E43" s="14" t="n"/>
      <c r="F43" s="17" t="n"/>
      <c r="G43" s="14" t="n"/>
      <c r="H43" s="14" t="n"/>
      <c r="I43" s="14" t="n"/>
      <c r="J43" s="108">
        <f>IF(G43="","",IFERROR(LET(ev_cost,INDEX(Events!$G$5:$G$505,MATCH(G43,Events!$A$5:$A$505,0)),ev_split,INDEX(Events!$I$5:$I$505,MATCH(G43,Events!$A$5:$A$505,0)),att_offset,MATCH(G43,Attendance!$B$3:$AY$3,0),attendees,COUNTIF(INDEX(Attendance!$B$7:$AY$206,0,att_offset),"1"),IF(ev_split="Equal Split",ev_cost/MAX(1,COUNTA(Roster!$A$5:$A$204)),ev_cost/MAX(1,attendees))),"N/A"))</f>
        <v/>
      </c>
    </row>
    <row r="44" ht="20" customHeight="1">
      <c r="A44" s="12" t="n"/>
      <c r="B44" s="10" t="n"/>
      <c r="C44" s="10" t="n"/>
      <c r="D44" s="10" t="n"/>
      <c r="E44" s="10" t="n"/>
      <c r="F44" s="13" t="n"/>
      <c r="G44" s="10" t="n"/>
      <c r="H44" s="10" t="n"/>
      <c r="I44" s="10" t="n"/>
      <c r="J44" s="108">
        <f>IF(G44="","",IFERROR(LET(ev_cost,INDEX(Events!$G$5:$G$505,MATCH(G44,Events!$A$5:$A$505,0)),ev_split,INDEX(Events!$I$5:$I$505,MATCH(G44,Events!$A$5:$A$505,0)),att_offset,MATCH(G44,Attendance!$B$3:$AY$3,0),attendees,COUNTIF(INDEX(Attendance!$B$7:$AY$206,0,att_offset),"1"),IF(ev_split="Equal Split",ev_cost/MAX(1,COUNTA(Roster!$A$5:$A$204)),ev_cost/MAX(1,attendees))),"N/A"))</f>
        <v/>
      </c>
    </row>
    <row r="45" ht="20" customHeight="1">
      <c r="A45" s="16" t="n"/>
      <c r="B45" s="14" t="n"/>
      <c r="C45" s="14" t="n"/>
      <c r="D45" s="14" t="n"/>
      <c r="E45" s="14" t="n"/>
      <c r="F45" s="17" t="n"/>
      <c r="G45" s="14" t="n"/>
      <c r="H45" s="14" t="n"/>
      <c r="I45" s="14" t="n"/>
      <c r="J45" s="108">
        <f>IF(G45="","",IFERROR(LET(ev_cost,INDEX(Events!$G$5:$G$505,MATCH(G45,Events!$A$5:$A$505,0)),ev_split,INDEX(Events!$I$5:$I$505,MATCH(G45,Events!$A$5:$A$505,0)),att_offset,MATCH(G45,Attendance!$B$3:$AY$3,0),attendees,COUNTIF(INDEX(Attendance!$B$7:$AY$206,0,att_offset),"1"),IF(ev_split="Equal Split",ev_cost/MAX(1,COUNTA(Roster!$A$5:$A$204)),ev_cost/MAX(1,attendees))),"N/A"))</f>
        <v/>
      </c>
    </row>
    <row r="46" ht="20" customHeight="1">
      <c r="A46" s="12" t="n"/>
      <c r="B46" s="10" t="n"/>
      <c r="C46" s="10" t="n"/>
      <c r="D46" s="10" t="n"/>
      <c r="E46" s="10" t="n"/>
      <c r="F46" s="13" t="n"/>
      <c r="G46" s="10" t="n"/>
      <c r="H46" s="10" t="n"/>
      <c r="I46" s="10" t="n"/>
      <c r="J46" s="108">
        <f>IF(G46="","",IFERROR(LET(ev_cost,INDEX(Events!$G$5:$G$505,MATCH(G46,Events!$A$5:$A$505,0)),ev_split,INDEX(Events!$I$5:$I$505,MATCH(G46,Events!$A$5:$A$505,0)),att_offset,MATCH(G46,Attendance!$B$3:$AY$3,0),attendees,COUNTIF(INDEX(Attendance!$B$7:$AY$206,0,att_offset),"1"),IF(ev_split="Equal Split",ev_cost/MAX(1,COUNTA(Roster!$A$5:$A$204)),ev_cost/MAX(1,attendees))),"N/A"))</f>
        <v/>
      </c>
    </row>
    <row r="47" ht="20" customHeight="1">
      <c r="A47" s="16" t="n"/>
      <c r="B47" s="14" t="n"/>
      <c r="C47" s="14" t="n"/>
      <c r="D47" s="14" t="n"/>
      <c r="E47" s="14" t="n"/>
      <c r="F47" s="17" t="n"/>
      <c r="G47" s="14" t="n"/>
      <c r="H47" s="14" t="n"/>
      <c r="I47" s="14" t="n"/>
      <c r="J47" s="108">
        <f>IF(G47="","",IFERROR(LET(ev_cost,INDEX(Events!$G$5:$G$505,MATCH(G47,Events!$A$5:$A$505,0)),ev_split,INDEX(Events!$I$5:$I$505,MATCH(G47,Events!$A$5:$A$505,0)),att_offset,MATCH(G47,Attendance!$B$3:$AY$3,0),attendees,COUNTIF(INDEX(Attendance!$B$7:$AY$206,0,att_offset),"1"),IF(ev_split="Equal Split",ev_cost/MAX(1,COUNTA(Roster!$A$5:$A$204)),ev_cost/MAX(1,attendees))),"N/A"))</f>
        <v/>
      </c>
    </row>
    <row r="48" ht="20" customHeight="1">
      <c r="A48" s="12" t="n"/>
      <c r="B48" s="10" t="n"/>
      <c r="C48" s="10" t="n"/>
      <c r="D48" s="10" t="n"/>
      <c r="E48" s="10" t="n"/>
      <c r="F48" s="13" t="n"/>
      <c r="G48" s="10" t="n"/>
      <c r="H48" s="10" t="n"/>
      <c r="I48" s="10" t="n"/>
      <c r="J48" s="108">
        <f>IF(G48="","",IFERROR(LET(ev_cost,INDEX(Events!$G$5:$G$505,MATCH(G48,Events!$A$5:$A$505,0)),ev_split,INDEX(Events!$I$5:$I$505,MATCH(G48,Events!$A$5:$A$505,0)),att_offset,MATCH(G48,Attendance!$B$3:$AY$3,0),attendees,COUNTIF(INDEX(Attendance!$B$7:$AY$206,0,att_offset),"1"),IF(ev_split="Equal Split",ev_cost/MAX(1,COUNTA(Roster!$A$5:$A$204)),ev_cost/MAX(1,attendees))),"N/A"))</f>
        <v/>
      </c>
    </row>
    <row r="49" ht="20" customHeight="1">
      <c r="A49" s="16" t="n"/>
      <c r="B49" s="14" t="n"/>
      <c r="C49" s="14" t="n"/>
      <c r="D49" s="14" t="n"/>
      <c r="E49" s="14" t="n"/>
      <c r="F49" s="17" t="n"/>
      <c r="G49" s="14" t="n"/>
      <c r="H49" s="14" t="n"/>
      <c r="I49" s="14" t="n"/>
      <c r="J49" s="108">
        <f>IF(G49="","",IFERROR(LET(ev_cost,INDEX(Events!$G$5:$G$505,MATCH(G49,Events!$A$5:$A$505,0)),ev_split,INDEX(Events!$I$5:$I$505,MATCH(G49,Events!$A$5:$A$505,0)),att_offset,MATCH(G49,Attendance!$B$3:$AY$3,0),attendees,COUNTIF(INDEX(Attendance!$B$7:$AY$206,0,att_offset),"1"),IF(ev_split="Equal Split",ev_cost/MAX(1,COUNTA(Roster!$A$5:$A$204)),ev_cost/MAX(1,attendees))),"N/A"))</f>
        <v/>
      </c>
    </row>
    <row r="50" ht="20" customHeight="1">
      <c r="A50" s="12" t="n"/>
      <c r="B50" s="10" t="n"/>
      <c r="C50" s="10" t="n"/>
      <c r="D50" s="10" t="n"/>
      <c r="E50" s="10" t="n"/>
      <c r="F50" s="13" t="n"/>
      <c r="G50" s="10" t="n"/>
      <c r="H50" s="10" t="n"/>
      <c r="I50" s="10" t="n"/>
      <c r="J50" s="108">
        <f>IF(G50="","",IFERROR(LET(ev_cost,INDEX(Events!$G$5:$G$505,MATCH(G50,Events!$A$5:$A$505,0)),ev_split,INDEX(Events!$I$5:$I$505,MATCH(G50,Events!$A$5:$A$505,0)),att_offset,MATCH(G50,Attendance!$B$3:$AY$3,0),attendees,COUNTIF(INDEX(Attendance!$B$7:$AY$206,0,att_offset),"1"),IF(ev_split="Equal Split",ev_cost/MAX(1,COUNTA(Roster!$A$5:$A$204)),ev_cost/MAX(1,attendees))),"N/A"))</f>
        <v/>
      </c>
    </row>
    <row r="51" ht="20" customHeight="1">
      <c r="A51" s="16" t="n"/>
      <c r="B51" s="14" t="n"/>
      <c r="C51" s="14" t="n"/>
      <c r="D51" s="14" t="n"/>
      <c r="E51" s="14" t="n"/>
      <c r="F51" s="17" t="n"/>
      <c r="G51" s="14" t="n"/>
      <c r="H51" s="14" t="n"/>
      <c r="I51" s="14" t="n"/>
      <c r="J51" s="108">
        <f>IF(G51="","",IFERROR(LET(ev_cost,INDEX(Events!$G$5:$G$505,MATCH(G51,Events!$A$5:$A$505,0)),ev_split,INDEX(Events!$I$5:$I$505,MATCH(G51,Events!$A$5:$A$505,0)),att_offset,MATCH(G51,Attendance!$B$3:$AY$3,0),attendees,COUNTIF(INDEX(Attendance!$B$7:$AY$206,0,att_offset),"1"),IF(ev_split="Equal Split",ev_cost/MAX(1,COUNTA(Roster!$A$5:$A$204)),ev_cost/MAX(1,attendees))),"N/A"))</f>
        <v/>
      </c>
    </row>
    <row r="52" ht="20" customHeight="1">
      <c r="A52" s="12" t="n"/>
      <c r="B52" s="10" t="n"/>
      <c r="C52" s="10" t="n"/>
      <c r="D52" s="10" t="n"/>
      <c r="E52" s="10" t="n"/>
      <c r="F52" s="13" t="n"/>
      <c r="G52" s="10" t="n"/>
      <c r="H52" s="10" t="n"/>
      <c r="I52" s="10" t="n"/>
      <c r="J52" s="108">
        <f>IF(G52="","",IFERROR(LET(ev_cost,INDEX(Events!$G$5:$G$505,MATCH(G52,Events!$A$5:$A$505,0)),ev_split,INDEX(Events!$I$5:$I$505,MATCH(G52,Events!$A$5:$A$505,0)),att_offset,MATCH(G52,Attendance!$B$3:$AY$3,0),attendees,COUNTIF(INDEX(Attendance!$B$7:$AY$206,0,att_offset),"1"),IF(ev_split="Equal Split",ev_cost/MAX(1,COUNTA(Roster!$A$5:$A$204)),ev_cost/MAX(1,attendees))),"N/A"))</f>
        <v/>
      </c>
    </row>
    <row r="53" ht="20" customHeight="1">
      <c r="A53" s="16" t="n"/>
      <c r="B53" s="14" t="n"/>
      <c r="C53" s="14" t="n"/>
      <c r="D53" s="14" t="n"/>
      <c r="E53" s="14" t="n"/>
      <c r="F53" s="17" t="n"/>
      <c r="G53" s="14" t="n"/>
      <c r="H53" s="14" t="n"/>
      <c r="I53" s="14" t="n"/>
      <c r="J53" s="108">
        <f>IF(G53="","",IFERROR(LET(ev_cost,INDEX(Events!$G$5:$G$505,MATCH(G53,Events!$A$5:$A$505,0)),ev_split,INDEX(Events!$I$5:$I$505,MATCH(G53,Events!$A$5:$A$505,0)),att_offset,MATCH(G53,Attendance!$B$3:$AY$3,0),attendees,COUNTIF(INDEX(Attendance!$B$7:$AY$206,0,att_offset),"1"),IF(ev_split="Equal Split",ev_cost/MAX(1,COUNTA(Roster!$A$5:$A$204)),ev_cost/MAX(1,attendees))),"N/A"))</f>
        <v/>
      </c>
    </row>
    <row r="54" ht="20" customHeight="1">
      <c r="A54" s="12" t="n"/>
      <c r="B54" s="10" t="n"/>
      <c r="C54" s="10" t="n"/>
      <c r="D54" s="10" t="n"/>
      <c r="E54" s="10" t="n"/>
      <c r="F54" s="13" t="n"/>
      <c r="G54" s="10" t="n"/>
      <c r="H54" s="10" t="n"/>
      <c r="I54" s="10" t="n"/>
      <c r="J54" s="108">
        <f>IF(G54="","",IFERROR(LET(ev_cost,INDEX(Events!$G$5:$G$505,MATCH(G54,Events!$A$5:$A$505,0)),ev_split,INDEX(Events!$I$5:$I$505,MATCH(G54,Events!$A$5:$A$505,0)),att_offset,MATCH(G54,Attendance!$B$3:$AY$3,0),attendees,COUNTIF(INDEX(Attendance!$B$7:$AY$206,0,att_offset),"1"),IF(ev_split="Equal Split",ev_cost/MAX(1,COUNTA(Roster!$A$5:$A$204)),ev_cost/MAX(1,attendees))),"N/A"))</f>
        <v/>
      </c>
    </row>
    <row r="55" ht="20" customHeight="1">
      <c r="A55" s="16" t="n"/>
      <c r="B55" s="14" t="n"/>
      <c r="C55" s="14" t="n"/>
      <c r="D55" s="14" t="n"/>
      <c r="E55" s="14" t="n"/>
      <c r="F55" s="17" t="n"/>
      <c r="G55" s="14" t="n"/>
      <c r="H55" s="14" t="n"/>
      <c r="I55" s="14" t="n"/>
      <c r="J55" s="108">
        <f>IF(G55="","",IFERROR(LET(ev_cost,INDEX(Events!$G$5:$G$505,MATCH(G55,Events!$A$5:$A$505,0)),ev_split,INDEX(Events!$I$5:$I$505,MATCH(G55,Events!$A$5:$A$505,0)),att_offset,MATCH(G55,Attendance!$B$3:$AY$3,0),attendees,COUNTIF(INDEX(Attendance!$B$7:$AY$206,0,att_offset),"1"),IF(ev_split="Equal Split",ev_cost/MAX(1,COUNTA(Roster!$A$5:$A$204)),ev_cost/MAX(1,attendees))),"N/A"))</f>
        <v/>
      </c>
    </row>
    <row r="56" ht="20" customHeight="1">
      <c r="A56" s="12" t="n"/>
      <c r="B56" s="10" t="n"/>
      <c r="C56" s="10" t="n"/>
      <c r="D56" s="10" t="n"/>
      <c r="E56" s="10" t="n"/>
      <c r="F56" s="13" t="n"/>
      <c r="G56" s="10" t="n"/>
      <c r="H56" s="10" t="n"/>
      <c r="I56" s="10" t="n"/>
      <c r="J56" s="108">
        <f>IF(G56="","",IFERROR(LET(ev_cost,INDEX(Events!$G$5:$G$505,MATCH(G56,Events!$A$5:$A$505,0)),ev_split,INDEX(Events!$I$5:$I$505,MATCH(G56,Events!$A$5:$A$505,0)),att_offset,MATCH(G56,Attendance!$B$3:$AY$3,0),attendees,COUNTIF(INDEX(Attendance!$B$7:$AY$206,0,att_offset),"1"),IF(ev_split="Equal Split",ev_cost/MAX(1,COUNTA(Roster!$A$5:$A$204)),ev_cost/MAX(1,attendees))),"N/A"))</f>
        <v/>
      </c>
    </row>
    <row r="57" ht="20" customHeight="1">
      <c r="A57" s="16" t="n"/>
      <c r="B57" s="14" t="n"/>
      <c r="C57" s="14" t="n"/>
      <c r="D57" s="14" t="n"/>
      <c r="E57" s="14" t="n"/>
      <c r="F57" s="17" t="n"/>
      <c r="G57" s="14" t="n"/>
      <c r="H57" s="14" t="n"/>
      <c r="I57" s="14" t="n"/>
      <c r="J57" s="108">
        <f>IF(G57="","",IFERROR(LET(ev_cost,INDEX(Events!$G$5:$G$505,MATCH(G57,Events!$A$5:$A$505,0)),ev_split,INDEX(Events!$I$5:$I$505,MATCH(G57,Events!$A$5:$A$505,0)),att_offset,MATCH(G57,Attendance!$B$3:$AY$3,0),attendees,COUNTIF(INDEX(Attendance!$B$7:$AY$206,0,att_offset),"1"),IF(ev_split="Equal Split",ev_cost/MAX(1,COUNTA(Roster!$A$5:$A$204)),ev_cost/MAX(1,attendees))),"N/A"))</f>
        <v/>
      </c>
    </row>
    <row r="58" ht="20" customHeight="1">
      <c r="A58" s="12" t="n"/>
      <c r="B58" s="10" t="n"/>
      <c r="C58" s="10" t="n"/>
      <c r="D58" s="10" t="n"/>
      <c r="E58" s="10" t="n"/>
      <c r="F58" s="13" t="n"/>
      <c r="G58" s="10" t="n"/>
      <c r="H58" s="10" t="n"/>
      <c r="I58" s="10" t="n"/>
      <c r="J58" s="108">
        <f>IF(G58="","",IFERROR(LET(ev_cost,INDEX(Events!$G$5:$G$505,MATCH(G58,Events!$A$5:$A$505,0)),ev_split,INDEX(Events!$I$5:$I$505,MATCH(G58,Events!$A$5:$A$505,0)),att_offset,MATCH(G58,Attendance!$B$3:$AY$3,0),attendees,COUNTIF(INDEX(Attendance!$B$7:$AY$206,0,att_offset),"1"),IF(ev_split="Equal Split",ev_cost/MAX(1,COUNTA(Roster!$A$5:$A$204)),ev_cost/MAX(1,attendees))),"N/A"))</f>
        <v/>
      </c>
    </row>
    <row r="59" ht="20" customHeight="1">
      <c r="A59" s="16" t="n"/>
      <c r="B59" s="14" t="n"/>
      <c r="C59" s="14" t="n"/>
      <c r="D59" s="14" t="n"/>
      <c r="E59" s="14" t="n"/>
      <c r="F59" s="17" t="n"/>
      <c r="G59" s="14" t="n"/>
      <c r="H59" s="14" t="n"/>
      <c r="I59" s="14" t="n"/>
      <c r="J59" s="108">
        <f>IF(G59="","",IFERROR(LET(ev_cost,INDEX(Events!$G$5:$G$505,MATCH(G59,Events!$A$5:$A$505,0)),ev_split,INDEX(Events!$I$5:$I$505,MATCH(G59,Events!$A$5:$A$505,0)),att_offset,MATCH(G59,Attendance!$B$3:$AY$3,0),attendees,COUNTIF(INDEX(Attendance!$B$7:$AY$206,0,att_offset),"1"),IF(ev_split="Equal Split",ev_cost/MAX(1,COUNTA(Roster!$A$5:$A$204)),ev_cost/MAX(1,attendees))),"N/A"))</f>
        <v/>
      </c>
    </row>
    <row r="60" ht="20" customHeight="1">
      <c r="A60" s="12" t="n"/>
      <c r="B60" s="10" t="n"/>
      <c r="C60" s="10" t="n"/>
      <c r="D60" s="10" t="n"/>
      <c r="E60" s="10" t="n"/>
      <c r="F60" s="13" t="n"/>
      <c r="G60" s="10" t="n"/>
      <c r="H60" s="10" t="n"/>
      <c r="I60" s="10" t="n"/>
      <c r="J60" s="108">
        <f>IF(G60="","",IFERROR(LET(ev_cost,INDEX(Events!$G$5:$G$505,MATCH(G60,Events!$A$5:$A$505,0)),ev_split,INDEX(Events!$I$5:$I$505,MATCH(G60,Events!$A$5:$A$505,0)),att_offset,MATCH(G60,Attendance!$B$3:$AY$3,0),attendees,COUNTIF(INDEX(Attendance!$B$7:$AY$206,0,att_offset),"1"),IF(ev_split="Equal Split",ev_cost/MAX(1,COUNTA(Roster!$A$5:$A$204)),ev_cost/MAX(1,attendees))),"N/A"))</f>
        <v/>
      </c>
    </row>
    <row r="61" ht="20" customHeight="1">
      <c r="A61" s="16" t="n"/>
      <c r="B61" s="14" t="n"/>
      <c r="C61" s="14" t="n"/>
      <c r="D61" s="14" t="n"/>
      <c r="E61" s="14" t="n"/>
      <c r="F61" s="17" t="n"/>
      <c r="G61" s="14" t="n"/>
      <c r="H61" s="14" t="n"/>
      <c r="I61" s="14" t="n"/>
      <c r="J61" s="108">
        <f>IF(G61="","",IFERROR(LET(ev_cost,INDEX(Events!$G$5:$G$505,MATCH(G61,Events!$A$5:$A$505,0)),ev_split,INDEX(Events!$I$5:$I$505,MATCH(G61,Events!$A$5:$A$505,0)),att_offset,MATCH(G61,Attendance!$B$3:$AY$3,0),attendees,COUNTIF(INDEX(Attendance!$B$7:$AY$206,0,att_offset),"1"),IF(ev_split="Equal Split",ev_cost/MAX(1,COUNTA(Roster!$A$5:$A$204)),ev_cost/MAX(1,attendees))),"N/A"))</f>
        <v/>
      </c>
    </row>
    <row r="62" ht="20" customHeight="1">
      <c r="A62" s="12" t="n"/>
      <c r="B62" s="10" t="n"/>
      <c r="C62" s="10" t="n"/>
      <c r="D62" s="10" t="n"/>
      <c r="E62" s="10" t="n"/>
      <c r="F62" s="13" t="n"/>
      <c r="G62" s="10" t="n"/>
      <c r="H62" s="10" t="n"/>
      <c r="I62" s="10" t="n"/>
      <c r="J62" s="108">
        <f>IF(G62="","",IFERROR(LET(ev_cost,INDEX(Events!$G$5:$G$505,MATCH(G62,Events!$A$5:$A$505,0)),ev_split,INDEX(Events!$I$5:$I$505,MATCH(G62,Events!$A$5:$A$505,0)),att_offset,MATCH(G62,Attendance!$B$3:$AY$3,0),attendees,COUNTIF(INDEX(Attendance!$B$7:$AY$206,0,att_offset),"1"),IF(ev_split="Equal Split",ev_cost/MAX(1,COUNTA(Roster!$A$5:$A$204)),ev_cost/MAX(1,attendees))),"N/A"))</f>
        <v/>
      </c>
    </row>
    <row r="63" ht="20" customHeight="1">
      <c r="A63" s="16" t="n"/>
      <c r="B63" s="14" t="n"/>
      <c r="C63" s="14" t="n"/>
      <c r="D63" s="14" t="n"/>
      <c r="E63" s="14" t="n"/>
      <c r="F63" s="17" t="n"/>
      <c r="G63" s="14" t="n"/>
      <c r="H63" s="14" t="n"/>
      <c r="I63" s="14" t="n"/>
      <c r="J63" s="108">
        <f>IF(G63="","",IFERROR(LET(ev_cost,INDEX(Events!$G$5:$G$505,MATCH(G63,Events!$A$5:$A$505,0)),ev_split,INDEX(Events!$I$5:$I$505,MATCH(G63,Events!$A$5:$A$505,0)),att_offset,MATCH(G63,Attendance!$B$3:$AY$3,0),attendees,COUNTIF(INDEX(Attendance!$B$7:$AY$206,0,att_offset),"1"),IF(ev_split="Equal Split",ev_cost/MAX(1,COUNTA(Roster!$A$5:$A$204)),ev_cost/MAX(1,attendees))),"N/A"))</f>
        <v/>
      </c>
    </row>
    <row r="64" ht="20" customHeight="1">
      <c r="A64" s="12" t="n"/>
      <c r="B64" s="10" t="n"/>
      <c r="C64" s="10" t="n"/>
      <c r="D64" s="10" t="n"/>
      <c r="E64" s="10" t="n"/>
      <c r="F64" s="13" t="n"/>
      <c r="G64" s="10" t="n"/>
      <c r="H64" s="10" t="n"/>
      <c r="I64" s="10" t="n"/>
      <c r="J64" s="108">
        <f>IF(G64="","",IFERROR(LET(ev_cost,INDEX(Events!$G$5:$G$505,MATCH(G64,Events!$A$5:$A$505,0)),ev_split,INDEX(Events!$I$5:$I$505,MATCH(G64,Events!$A$5:$A$505,0)),att_offset,MATCH(G64,Attendance!$B$3:$AY$3,0),attendees,COUNTIF(INDEX(Attendance!$B$7:$AY$206,0,att_offset),"1"),IF(ev_split="Equal Split",ev_cost/MAX(1,COUNTA(Roster!$A$5:$A$204)),ev_cost/MAX(1,attendees))),"N/A"))</f>
        <v/>
      </c>
    </row>
    <row r="65" ht="20" customHeight="1">
      <c r="A65" s="16" t="n"/>
      <c r="B65" s="14" t="n"/>
      <c r="C65" s="14" t="n"/>
      <c r="D65" s="14" t="n"/>
      <c r="E65" s="14" t="n"/>
      <c r="F65" s="17" t="n"/>
      <c r="G65" s="14" t="n"/>
      <c r="H65" s="14" t="n"/>
      <c r="I65" s="14" t="n"/>
      <c r="J65" s="108">
        <f>IF(G65="","",IFERROR(LET(ev_cost,INDEX(Events!$G$5:$G$505,MATCH(G65,Events!$A$5:$A$505,0)),ev_split,INDEX(Events!$I$5:$I$505,MATCH(G65,Events!$A$5:$A$505,0)),att_offset,MATCH(G65,Attendance!$B$3:$AY$3,0),attendees,COUNTIF(INDEX(Attendance!$B$7:$AY$206,0,att_offset),"1"),IF(ev_split="Equal Split",ev_cost/MAX(1,COUNTA(Roster!$A$5:$A$204)),ev_cost/MAX(1,attendees))),"N/A"))</f>
        <v/>
      </c>
    </row>
    <row r="66" ht="20" customHeight="1">
      <c r="A66" s="12" t="n"/>
      <c r="B66" s="10" t="n"/>
      <c r="C66" s="10" t="n"/>
      <c r="D66" s="10" t="n"/>
      <c r="E66" s="10" t="n"/>
      <c r="F66" s="13" t="n"/>
      <c r="G66" s="10" t="n"/>
      <c r="H66" s="10" t="n"/>
      <c r="I66" s="10" t="n"/>
      <c r="J66" s="108">
        <f>IF(G66="","",IFERROR(LET(ev_cost,INDEX(Events!$G$5:$G$505,MATCH(G66,Events!$A$5:$A$505,0)),ev_split,INDEX(Events!$I$5:$I$505,MATCH(G66,Events!$A$5:$A$505,0)),att_offset,MATCH(G66,Attendance!$B$3:$AY$3,0),attendees,COUNTIF(INDEX(Attendance!$B$7:$AY$206,0,att_offset),"1"),IF(ev_split="Equal Split",ev_cost/MAX(1,COUNTA(Roster!$A$5:$A$204)),ev_cost/MAX(1,attendees))),"N/A"))</f>
        <v/>
      </c>
    </row>
    <row r="67" ht="20" customHeight="1">
      <c r="A67" s="16" t="n"/>
      <c r="B67" s="14" t="n"/>
      <c r="C67" s="14" t="n"/>
      <c r="D67" s="14" t="n"/>
      <c r="E67" s="14" t="n"/>
      <c r="F67" s="17" t="n"/>
      <c r="G67" s="14" t="n"/>
      <c r="H67" s="14" t="n"/>
      <c r="I67" s="14" t="n"/>
      <c r="J67" s="108">
        <f>IF(G67="","",IFERROR(LET(ev_cost,INDEX(Events!$G$5:$G$505,MATCH(G67,Events!$A$5:$A$505,0)),ev_split,INDEX(Events!$I$5:$I$505,MATCH(G67,Events!$A$5:$A$505,0)),att_offset,MATCH(G67,Attendance!$B$3:$AY$3,0),attendees,COUNTIF(INDEX(Attendance!$B$7:$AY$206,0,att_offset),"1"),IF(ev_split="Equal Split",ev_cost/MAX(1,COUNTA(Roster!$A$5:$A$204)),ev_cost/MAX(1,attendees))),"N/A"))</f>
        <v/>
      </c>
    </row>
    <row r="68" ht="20" customHeight="1">
      <c r="A68" s="12" t="n"/>
      <c r="B68" s="10" t="n"/>
      <c r="C68" s="10" t="n"/>
      <c r="D68" s="10" t="n"/>
      <c r="E68" s="10" t="n"/>
      <c r="F68" s="13" t="n"/>
      <c r="G68" s="10" t="n"/>
      <c r="H68" s="10" t="n"/>
      <c r="I68" s="10" t="n"/>
      <c r="J68" s="108">
        <f>IF(G68="","",IFERROR(LET(ev_cost,INDEX(Events!$G$5:$G$505,MATCH(G68,Events!$A$5:$A$505,0)),ev_split,INDEX(Events!$I$5:$I$505,MATCH(G68,Events!$A$5:$A$505,0)),att_offset,MATCH(G68,Attendance!$B$3:$AY$3,0),attendees,COUNTIF(INDEX(Attendance!$B$7:$AY$206,0,att_offset),"1"),IF(ev_split="Equal Split",ev_cost/MAX(1,COUNTA(Roster!$A$5:$A$204)),ev_cost/MAX(1,attendees))),"N/A"))</f>
        <v/>
      </c>
    </row>
    <row r="69" ht="20" customHeight="1">
      <c r="A69" s="16" t="n"/>
      <c r="B69" s="14" t="n"/>
      <c r="C69" s="14" t="n"/>
      <c r="D69" s="14" t="n"/>
      <c r="E69" s="14" t="n"/>
      <c r="F69" s="17" t="n"/>
      <c r="G69" s="14" t="n"/>
      <c r="H69" s="14" t="n"/>
      <c r="I69" s="14" t="n"/>
      <c r="J69" s="108">
        <f>IF(G69="","",IFERROR(LET(ev_cost,INDEX(Events!$G$5:$G$505,MATCH(G69,Events!$A$5:$A$505,0)),ev_split,INDEX(Events!$I$5:$I$505,MATCH(G69,Events!$A$5:$A$505,0)),att_offset,MATCH(G69,Attendance!$B$3:$AY$3,0),attendees,COUNTIF(INDEX(Attendance!$B$7:$AY$206,0,att_offset),"1"),IF(ev_split="Equal Split",ev_cost/MAX(1,COUNTA(Roster!$A$5:$A$204)),ev_cost/MAX(1,attendees))),"N/A"))</f>
        <v/>
      </c>
    </row>
    <row r="70" ht="20" customHeight="1">
      <c r="A70" s="12" t="n"/>
      <c r="B70" s="10" t="n"/>
      <c r="C70" s="10" t="n"/>
      <c r="D70" s="10" t="n"/>
      <c r="E70" s="10" t="n"/>
      <c r="F70" s="13" t="n"/>
      <c r="G70" s="10" t="n"/>
      <c r="H70" s="10" t="n"/>
      <c r="I70" s="10" t="n"/>
      <c r="J70" s="108">
        <f>IF(G70="","",IFERROR(LET(ev_cost,INDEX(Events!$G$5:$G$505,MATCH(G70,Events!$A$5:$A$505,0)),ev_split,INDEX(Events!$I$5:$I$505,MATCH(G70,Events!$A$5:$A$505,0)),att_offset,MATCH(G70,Attendance!$B$3:$AY$3,0),attendees,COUNTIF(INDEX(Attendance!$B$7:$AY$206,0,att_offset),"1"),IF(ev_split="Equal Split",ev_cost/MAX(1,COUNTA(Roster!$A$5:$A$204)),ev_cost/MAX(1,attendees))),"N/A"))</f>
        <v/>
      </c>
    </row>
    <row r="71" ht="20" customHeight="1">
      <c r="A71" s="16" t="n"/>
      <c r="B71" s="14" t="n"/>
      <c r="C71" s="14" t="n"/>
      <c r="D71" s="14" t="n"/>
      <c r="E71" s="14" t="n"/>
      <c r="F71" s="17" t="n"/>
      <c r="G71" s="14" t="n"/>
      <c r="H71" s="14" t="n"/>
      <c r="I71" s="14" t="n"/>
      <c r="J71" s="108">
        <f>IF(G71="","",IFERROR(LET(ev_cost,INDEX(Events!$G$5:$G$505,MATCH(G71,Events!$A$5:$A$505,0)),ev_split,INDEX(Events!$I$5:$I$505,MATCH(G71,Events!$A$5:$A$505,0)),att_offset,MATCH(G71,Attendance!$B$3:$AY$3,0),attendees,COUNTIF(INDEX(Attendance!$B$7:$AY$206,0,att_offset),"1"),IF(ev_split="Equal Split",ev_cost/MAX(1,COUNTA(Roster!$A$5:$A$204)),ev_cost/MAX(1,attendees))),"N/A"))</f>
        <v/>
      </c>
    </row>
    <row r="72" ht="20" customHeight="1">
      <c r="A72" s="12" t="n"/>
      <c r="B72" s="10" t="n"/>
      <c r="C72" s="10" t="n"/>
      <c r="D72" s="10" t="n"/>
      <c r="E72" s="10" t="n"/>
      <c r="F72" s="13" t="n"/>
      <c r="G72" s="10" t="n"/>
      <c r="H72" s="10" t="n"/>
      <c r="I72" s="10" t="n"/>
      <c r="J72" s="108">
        <f>IF(G72="","",IFERROR(LET(ev_cost,INDEX(Events!$G$5:$G$505,MATCH(G72,Events!$A$5:$A$505,0)),ev_split,INDEX(Events!$I$5:$I$505,MATCH(G72,Events!$A$5:$A$505,0)),att_offset,MATCH(G72,Attendance!$B$3:$AY$3,0),attendees,COUNTIF(INDEX(Attendance!$B$7:$AY$206,0,att_offset),"1"),IF(ev_split="Equal Split",ev_cost/MAX(1,COUNTA(Roster!$A$5:$A$204)),ev_cost/MAX(1,attendees))),"N/A"))</f>
        <v/>
      </c>
    </row>
    <row r="73" ht="20" customHeight="1">
      <c r="A73" s="16" t="n"/>
      <c r="B73" s="14" t="n"/>
      <c r="C73" s="14" t="n"/>
      <c r="D73" s="14" t="n"/>
      <c r="E73" s="14" t="n"/>
      <c r="F73" s="17" t="n"/>
      <c r="G73" s="14" t="n"/>
      <c r="H73" s="14" t="n"/>
      <c r="I73" s="14" t="n"/>
      <c r="J73" s="108">
        <f>IF(G73="","",IFERROR(LET(ev_cost,INDEX(Events!$G$5:$G$505,MATCH(G73,Events!$A$5:$A$505,0)),ev_split,INDEX(Events!$I$5:$I$505,MATCH(G73,Events!$A$5:$A$505,0)),att_offset,MATCH(G73,Attendance!$B$3:$AY$3,0),attendees,COUNTIF(INDEX(Attendance!$B$7:$AY$206,0,att_offset),"1"),IF(ev_split="Equal Split",ev_cost/MAX(1,COUNTA(Roster!$A$5:$A$204)),ev_cost/MAX(1,attendees))),"N/A"))</f>
        <v/>
      </c>
    </row>
    <row r="74" ht="20" customHeight="1">
      <c r="A74" s="12" t="n"/>
      <c r="B74" s="10" t="n"/>
      <c r="C74" s="10" t="n"/>
      <c r="D74" s="10" t="n"/>
      <c r="E74" s="10" t="n"/>
      <c r="F74" s="13" t="n"/>
      <c r="G74" s="10" t="n"/>
      <c r="H74" s="10" t="n"/>
      <c r="I74" s="10" t="n"/>
      <c r="J74" s="108">
        <f>IF(G74="","",IFERROR(LET(ev_cost,INDEX(Events!$G$5:$G$505,MATCH(G74,Events!$A$5:$A$505,0)),ev_split,INDEX(Events!$I$5:$I$505,MATCH(G74,Events!$A$5:$A$505,0)),att_offset,MATCH(G74,Attendance!$B$3:$AY$3,0),attendees,COUNTIF(INDEX(Attendance!$B$7:$AY$206,0,att_offset),"1"),IF(ev_split="Equal Split",ev_cost/MAX(1,COUNTA(Roster!$A$5:$A$204)),ev_cost/MAX(1,attendees))),"N/A"))</f>
        <v/>
      </c>
    </row>
    <row r="75" ht="20" customHeight="1">
      <c r="A75" s="16" t="n"/>
      <c r="B75" s="14" t="n"/>
      <c r="C75" s="14" t="n"/>
      <c r="D75" s="14" t="n"/>
      <c r="E75" s="14" t="n"/>
      <c r="F75" s="17" t="n"/>
      <c r="G75" s="14" t="n"/>
      <c r="H75" s="14" t="n"/>
      <c r="I75" s="14" t="n"/>
      <c r="J75" s="108">
        <f>IF(G75="","",IFERROR(LET(ev_cost,INDEX(Events!$G$5:$G$505,MATCH(G75,Events!$A$5:$A$505,0)),ev_split,INDEX(Events!$I$5:$I$505,MATCH(G75,Events!$A$5:$A$505,0)),att_offset,MATCH(G75,Attendance!$B$3:$AY$3,0),attendees,COUNTIF(INDEX(Attendance!$B$7:$AY$206,0,att_offset),"1"),IF(ev_split="Equal Split",ev_cost/MAX(1,COUNTA(Roster!$A$5:$A$204)),ev_cost/MAX(1,attendees))),"N/A"))</f>
        <v/>
      </c>
    </row>
    <row r="76" ht="20" customHeight="1">
      <c r="A76" s="12" t="n"/>
      <c r="B76" s="10" t="n"/>
      <c r="C76" s="10" t="n"/>
      <c r="D76" s="10" t="n"/>
      <c r="E76" s="10" t="n"/>
      <c r="F76" s="13" t="n"/>
      <c r="G76" s="10" t="n"/>
      <c r="H76" s="10" t="n"/>
      <c r="I76" s="10" t="n"/>
      <c r="J76" s="108">
        <f>IF(G76="","",IFERROR(LET(ev_cost,INDEX(Events!$G$5:$G$505,MATCH(G76,Events!$A$5:$A$505,0)),ev_split,INDEX(Events!$I$5:$I$505,MATCH(G76,Events!$A$5:$A$505,0)),att_offset,MATCH(G76,Attendance!$B$3:$AY$3,0),attendees,COUNTIF(INDEX(Attendance!$B$7:$AY$206,0,att_offset),"1"),IF(ev_split="Equal Split",ev_cost/MAX(1,COUNTA(Roster!$A$5:$A$204)),ev_cost/MAX(1,attendees))),"N/A"))</f>
        <v/>
      </c>
    </row>
    <row r="77" ht="20" customHeight="1">
      <c r="A77" s="16" t="n"/>
      <c r="B77" s="14" t="n"/>
      <c r="C77" s="14" t="n"/>
      <c r="D77" s="14" t="n"/>
      <c r="E77" s="14" t="n"/>
      <c r="F77" s="17" t="n"/>
      <c r="G77" s="14" t="n"/>
      <c r="H77" s="14" t="n"/>
      <c r="I77" s="14" t="n"/>
      <c r="J77" s="108">
        <f>IF(G77="","",IFERROR(LET(ev_cost,INDEX(Events!$G$5:$G$505,MATCH(G77,Events!$A$5:$A$505,0)),ev_split,INDEX(Events!$I$5:$I$505,MATCH(G77,Events!$A$5:$A$505,0)),att_offset,MATCH(G77,Attendance!$B$3:$AY$3,0),attendees,COUNTIF(INDEX(Attendance!$B$7:$AY$206,0,att_offset),"1"),IF(ev_split="Equal Split",ev_cost/MAX(1,COUNTA(Roster!$A$5:$A$204)),ev_cost/MAX(1,attendees))),"N/A"))</f>
        <v/>
      </c>
    </row>
    <row r="78" ht="20" customHeight="1">
      <c r="A78" s="12" t="n"/>
      <c r="B78" s="10" t="n"/>
      <c r="C78" s="10" t="n"/>
      <c r="D78" s="10" t="n"/>
      <c r="E78" s="10" t="n"/>
      <c r="F78" s="13" t="n"/>
      <c r="G78" s="10" t="n"/>
      <c r="H78" s="10" t="n"/>
      <c r="I78" s="10" t="n"/>
      <c r="J78" s="108">
        <f>IF(G78="","",IFERROR(LET(ev_cost,INDEX(Events!$G$5:$G$505,MATCH(G78,Events!$A$5:$A$505,0)),ev_split,INDEX(Events!$I$5:$I$505,MATCH(G78,Events!$A$5:$A$505,0)),att_offset,MATCH(G78,Attendance!$B$3:$AY$3,0),attendees,COUNTIF(INDEX(Attendance!$B$7:$AY$206,0,att_offset),"1"),IF(ev_split="Equal Split",ev_cost/MAX(1,COUNTA(Roster!$A$5:$A$204)),ev_cost/MAX(1,attendees))),"N/A"))</f>
        <v/>
      </c>
    </row>
    <row r="79" ht="20" customHeight="1">
      <c r="A79" s="16" t="n"/>
      <c r="B79" s="14" t="n"/>
      <c r="C79" s="14" t="n"/>
      <c r="D79" s="14" t="n"/>
      <c r="E79" s="14" t="n"/>
      <c r="F79" s="17" t="n"/>
      <c r="G79" s="14" t="n"/>
      <c r="H79" s="14" t="n"/>
      <c r="I79" s="14" t="n"/>
      <c r="J79" s="108">
        <f>IF(G79="","",IFERROR(LET(ev_cost,INDEX(Events!$G$5:$G$505,MATCH(G79,Events!$A$5:$A$505,0)),ev_split,INDEX(Events!$I$5:$I$505,MATCH(G79,Events!$A$5:$A$505,0)),att_offset,MATCH(G79,Attendance!$B$3:$AY$3,0),attendees,COUNTIF(INDEX(Attendance!$B$7:$AY$206,0,att_offset),"1"),IF(ev_split="Equal Split",ev_cost/MAX(1,COUNTA(Roster!$A$5:$A$204)),ev_cost/MAX(1,attendees))),"N/A"))</f>
        <v/>
      </c>
    </row>
    <row r="80" ht="20" customHeight="1">
      <c r="A80" s="12" t="n"/>
      <c r="B80" s="10" t="n"/>
      <c r="C80" s="10" t="n"/>
      <c r="D80" s="10" t="n"/>
      <c r="E80" s="10" t="n"/>
      <c r="F80" s="13" t="n"/>
      <c r="G80" s="10" t="n"/>
      <c r="H80" s="10" t="n"/>
      <c r="I80" s="10" t="n"/>
      <c r="J80" s="108">
        <f>IF(G80="","",IFERROR(LET(ev_cost,INDEX(Events!$G$5:$G$505,MATCH(G80,Events!$A$5:$A$505,0)),ev_split,INDEX(Events!$I$5:$I$505,MATCH(G80,Events!$A$5:$A$505,0)),att_offset,MATCH(G80,Attendance!$B$3:$AY$3,0),attendees,COUNTIF(INDEX(Attendance!$B$7:$AY$206,0,att_offset),"1"),IF(ev_split="Equal Split",ev_cost/MAX(1,COUNTA(Roster!$A$5:$A$204)),ev_cost/MAX(1,attendees))),"N/A"))</f>
        <v/>
      </c>
    </row>
    <row r="81" ht="20" customHeight="1">
      <c r="A81" s="16" t="n"/>
      <c r="B81" s="14" t="n"/>
      <c r="C81" s="14" t="n"/>
      <c r="D81" s="14" t="n"/>
      <c r="E81" s="14" t="n"/>
      <c r="F81" s="17" t="n"/>
      <c r="G81" s="14" t="n"/>
      <c r="H81" s="14" t="n"/>
      <c r="I81" s="14" t="n"/>
      <c r="J81" s="108">
        <f>IF(G81="","",IFERROR(LET(ev_cost,INDEX(Events!$G$5:$G$505,MATCH(G81,Events!$A$5:$A$505,0)),ev_split,INDEX(Events!$I$5:$I$505,MATCH(G81,Events!$A$5:$A$505,0)),att_offset,MATCH(G81,Attendance!$B$3:$AY$3,0),attendees,COUNTIF(INDEX(Attendance!$B$7:$AY$206,0,att_offset),"1"),IF(ev_split="Equal Split",ev_cost/MAX(1,COUNTA(Roster!$A$5:$A$204)),ev_cost/MAX(1,attendees))),"N/A"))</f>
        <v/>
      </c>
    </row>
    <row r="82" ht="20" customHeight="1">
      <c r="A82" s="12" t="n"/>
      <c r="B82" s="10" t="n"/>
      <c r="C82" s="10" t="n"/>
      <c r="D82" s="10" t="n"/>
      <c r="E82" s="10" t="n"/>
      <c r="F82" s="13" t="n"/>
      <c r="G82" s="10" t="n"/>
      <c r="H82" s="10" t="n"/>
      <c r="I82" s="10" t="n"/>
      <c r="J82" s="108">
        <f>IF(G82="","",IFERROR(LET(ev_cost,INDEX(Events!$G$5:$G$505,MATCH(G82,Events!$A$5:$A$505,0)),ev_split,INDEX(Events!$I$5:$I$505,MATCH(G82,Events!$A$5:$A$505,0)),att_offset,MATCH(G82,Attendance!$B$3:$AY$3,0),attendees,COUNTIF(INDEX(Attendance!$B$7:$AY$206,0,att_offset),"1"),IF(ev_split="Equal Split",ev_cost/MAX(1,COUNTA(Roster!$A$5:$A$204)),ev_cost/MAX(1,attendees))),"N/A"))</f>
        <v/>
      </c>
    </row>
    <row r="83" ht="20" customHeight="1">
      <c r="A83" s="16" t="n"/>
      <c r="B83" s="14" t="n"/>
      <c r="C83" s="14" t="n"/>
      <c r="D83" s="14" t="n"/>
      <c r="E83" s="14" t="n"/>
      <c r="F83" s="17" t="n"/>
      <c r="G83" s="14" t="n"/>
      <c r="H83" s="14" t="n"/>
      <c r="I83" s="14" t="n"/>
      <c r="J83" s="108">
        <f>IF(G83="","",IFERROR(LET(ev_cost,INDEX(Events!$G$5:$G$505,MATCH(G83,Events!$A$5:$A$505,0)),ev_split,INDEX(Events!$I$5:$I$505,MATCH(G83,Events!$A$5:$A$505,0)),att_offset,MATCH(G83,Attendance!$B$3:$AY$3,0),attendees,COUNTIF(INDEX(Attendance!$B$7:$AY$206,0,att_offset),"1"),IF(ev_split="Equal Split",ev_cost/MAX(1,COUNTA(Roster!$A$5:$A$204)),ev_cost/MAX(1,attendees))),"N/A"))</f>
        <v/>
      </c>
    </row>
    <row r="84" ht="20" customHeight="1">
      <c r="A84" s="12" t="n"/>
      <c r="B84" s="10" t="n"/>
      <c r="C84" s="10" t="n"/>
      <c r="D84" s="10" t="n"/>
      <c r="E84" s="10" t="n"/>
      <c r="F84" s="13" t="n"/>
      <c r="G84" s="10" t="n"/>
      <c r="H84" s="10" t="n"/>
      <c r="I84" s="10" t="n"/>
      <c r="J84" s="108">
        <f>IF(G84="","",IFERROR(LET(ev_cost,INDEX(Events!$G$5:$G$505,MATCH(G84,Events!$A$5:$A$505,0)),ev_split,INDEX(Events!$I$5:$I$505,MATCH(G84,Events!$A$5:$A$505,0)),att_offset,MATCH(G84,Attendance!$B$3:$AY$3,0),attendees,COUNTIF(INDEX(Attendance!$B$7:$AY$206,0,att_offset),"1"),IF(ev_split="Equal Split",ev_cost/MAX(1,COUNTA(Roster!$A$5:$A$204)),ev_cost/MAX(1,attendees))),"N/A"))</f>
        <v/>
      </c>
    </row>
    <row r="85" ht="20" customHeight="1">
      <c r="A85" s="16" t="n"/>
      <c r="B85" s="14" t="n"/>
      <c r="C85" s="14" t="n"/>
      <c r="D85" s="14" t="n"/>
      <c r="E85" s="14" t="n"/>
      <c r="F85" s="17" t="n"/>
      <c r="G85" s="14" t="n"/>
      <c r="H85" s="14" t="n"/>
      <c r="I85" s="14" t="n"/>
      <c r="J85" s="108">
        <f>IF(G85="","",IFERROR(LET(ev_cost,INDEX(Events!$G$5:$G$505,MATCH(G85,Events!$A$5:$A$505,0)),ev_split,INDEX(Events!$I$5:$I$505,MATCH(G85,Events!$A$5:$A$505,0)),att_offset,MATCH(G85,Attendance!$B$3:$AY$3,0),attendees,COUNTIF(INDEX(Attendance!$B$7:$AY$206,0,att_offset),"1"),IF(ev_split="Equal Split",ev_cost/MAX(1,COUNTA(Roster!$A$5:$A$204)),ev_cost/MAX(1,attendees))),"N/A"))</f>
        <v/>
      </c>
    </row>
    <row r="86" ht="20" customHeight="1">
      <c r="A86" s="12" t="n"/>
      <c r="B86" s="10" t="n"/>
      <c r="C86" s="10" t="n"/>
      <c r="D86" s="10" t="n"/>
      <c r="E86" s="10" t="n"/>
      <c r="F86" s="13" t="n"/>
      <c r="G86" s="10" t="n"/>
      <c r="H86" s="10" t="n"/>
      <c r="I86" s="10" t="n"/>
      <c r="J86" s="108">
        <f>IF(G86="","",IFERROR(LET(ev_cost,INDEX(Events!$G$5:$G$505,MATCH(G86,Events!$A$5:$A$505,0)),ev_split,INDEX(Events!$I$5:$I$505,MATCH(G86,Events!$A$5:$A$505,0)),att_offset,MATCH(G86,Attendance!$B$3:$AY$3,0),attendees,COUNTIF(INDEX(Attendance!$B$7:$AY$206,0,att_offset),"1"),IF(ev_split="Equal Split",ev_cost/MAX(1,COUNTA(Roster!$A$5:$A$204)),ev_cost/MAX(1,attendees))),"N/A"))</f>
        <v/>
      </c>
    </row>
    <row r="87" ht="20" customHeight="1">
      <c r="A87" s="16" t="n"/>
      <c r="B87" s="14" t="n"/>
      <c r="C87" s="14" t="n"/>
      <c r="D87" s="14" t="n"/>
      <c r="E87" s="14" t="n"/>
      <c r="F87" s="17" t="n"/>
      <c r="G87" s="14" t="n"/>
      <c r="H87" s="14" t="n"/>
      <c r="I87" s="14" t="n"/>
      <c r="J87" s="108">
        <f>IF(G87="","",IFERROR(LET(ev_cost,INDEX(Events!$G$5:$G$505,MATCH(G87,Events!$A$5:$A$505,0)),ev_split,INDEX(Events!$I$5:$I$505,MATCH(G87,Events!$A$5:$A$505,0)),att_offset,MATCH(G87,Attendance!$B$3:$AY$3,0),attendees,COUNTIF(INDEX(Attendance!$B$7:$AY$206,0,att_offset),"1"),IF(ev_split="Equal Split",ev_cost/MAX(1,COUNTA(Roster!$A$5:$A$204)),ev_cost/MAX(1,attendees))),"N/A"))</f>
        <v/>
      </c>
    </row>
    <row r="88" ht="20" customHeight="1">
      <c r="A88" s="12" t="n"/>
      <c r="B88" s="10" t="n"/>
      <c r="C88" s="10" t="n"/>
      <c r="D88" s="10" t="n"/>
      <c r="E88" s="10" t="n"/>
      <c r="F88" s="13" t="n"/>
      <c r="G88" s="10" t="n"/>
      <c r="H88" s="10" t="n"/>
      <c r="I88" s="10" t="n"/>
      <c r="J88" s="108">
        <f>IF(G88="","",IFERROR(LET(ev_cost,INDEX(Events!$G$5:$G$505,MATCH(G88,Events!$A$5:$A$505,0)),ev_split,INDEX(Events!$I$5:$I$505,MATCH(G88,Events!$A$5:$A$505,0)),att_offset,MATCH(G88,Attendance!$B$3:$AY$3,0),attendees,COUNTIF(INDEX(Attendance!$B$7:$AY$206,0,att_offset),"1"),IF(ev_split="Equal Split",ev_cost/MAX(1,COUNTA(Roster!$A$5:$A$204)),ev_cost/MAX(1,attendees))),"N/A"))</f>
        <v/>
      </c>
    </row>
    <row r="89" ht="20" customHeight="1">
      <c r="A89" s="16" t="n"/>
      <c r="B89" s="14" t="n"/>
      <c r="C89" s="14" t="n"/>
      <c r="D89" s="14" t="n"/>
      <c r="E89" s="14" t="n"/>
      <c r="F89" s="17" t="n"/>
      <c r="G89" s="14" t="n"/>
      <c r="H89" s="14" t="n"/>
      <c r="I89" s="14" t="n"/>
      <c r="J89" s="108">
        <f>IF(G89="","",IFERROR(LET(ev_cost,INDEX(Events!$G$5:$G$505,MATCH(G89,Events!$A$5:$A$505,0)),ev_split,INDEX(Events!$I$5:$I$505,MATCH(G89,Events!$A$5:$A$505,0)),att_offset,MATCH(G89,Attendance!$B$3:$AY$3,0),attendees,COUNTIF(INDEX(Attendance!$B$7:$AY$206,0,att_offset),"1"),IF(ev_split="Equal Split",ev_cost/MAX(1,COUNTA(Roster!$A$5:$A$204)),ev_cost/MAX(1,attendees))),"N/A"))</f>
        <v/>
      </c>
    </row>
    <row r="90" ht="20" customHeight="1">
      <c r="A90" s="12" t="n"/>
      <c r="B90" s="10" t="n"/>
      <c r="C90" s="10" t="n"/>
      <c r="D90" s="10" t="n"/>
      <c r="E90" s="10" t="n"/>
      <c r="F90" s="13" t="n"/>
      <c r="G90" s="10" t="n"/>
      <c r="H90" s="10" t="n"/>
      <c r="I90" s="10" t="n"/>
      <c r="J90" s="108">
        <f>IF(G90="","",IFERROR(LET(ev_cost,INDEX(Events!$G$5:$G$505,MATCH(G90,Events!$A$5:$A$505,0)),ev_split,INDEX(Events!$I$5:$I$505,MATCH(G90,Events!$A$5:$A$505,0)),att_offset,MATCH(G90,Attendance!$B$3:$AY$3,0),attendees,COUNTIF(INDEX(Attendance!$B$7:$AY$206,0,att_offset),"1"),IF(ev_split="Equal Split",ev_cost/MAX(1,COUNTA(Roster!$A$5:$A$204)),ev_cost/MAX(1,attendees))),"N/A"))</f>
        <v/>
      </c>
    </row>
    <row r="91" ht="20" customHeight="1">
      <c r="A91" s="16" t="n"/>
      <c r="B91" s="14" t="n"/>
      <c r="C91" s="14" t="n"/>
      <c r="D91" s="14" t="n"/>
      <c r="E91" s="14" t="n"/>
      <c r="F91" s="17" t="n"/>
      <c r="G91" s="14" t="n"/>
      <c r="H91" s="14" t="n"/>
      <c r="I91" s="14" t="n"/>
      <c r="J91" s="108">
        <f>IF(G91="","",IFERROR(LET(ev_cost,INDEX(Events!$G$5:$G$505,MATCH(G91,Events!$A$5:$A$505,0)),ev_split,INDEX(Events!$I$5:$I$505,MATCH(G91,Events!$A$5:$A$505,0)),att_offset,MATCH(G91,Attendance!$B$3:$AY$3,0),attendees,COUNTIF(INDEX(Attendance!$B$7:$AY$206,0,att_offset),"1"),IF(ev_split="Equal Split",ev_cost/MAX(1,COUNTA(Roster!$A$5:$A$204)),ev_cost/MAX(1,attendees))),"N/A"))</f>
        <v/>
      </c>
    </row>
    <row r="92" ht="20" customHeight="1">
      <c r="A92" s="12" t="n"/>
      <c r="B92" s="10" t="n"/>
      <c r="C92" s="10" t="n"/>
      <c r="D92" s="10" t="n"/>
      <c r="E92" s="10" t="n"/>
      <c r="F92" s="13" t="n"/>
      <c r="G92" s="10" t="n"/>
      <c r="H92" s="10" t="n"/>
      <c r="I92" s="10" t="n"/>
      <c r="J92" s="108">
        <f>IF(G92="","",IFERROR(LET(ev_cost,INDEX(Events!$G$5:$G$505,MATCH(G92,Events!$A$5:$A$505,0)),ev_split,INDEX(Events!$I$5:$I$505,MATCH(G92,Events!$A$5:$A$505,0)),att_offset,MATCH(G92,Attendance!$B$3:$AY$3,0),attendees,COUNTIF(INDEX(Attendance!$B$7:$AY$206,0,att_offset),"1"),IF(ev_split="Equal Split",ev_cost/MAX(1,COUNTA(Roster!$A$5:$A$204)),ev_cost/MAX(1,attendees))),"N/A"))</f>
        <v/>
      </c>
    </row>
    <row r="93" ht="20" customHeight="1">
      <c r="A93" s="16" t="n"/>
      <c r="B93" s="14" t="n"/>
      <c r="C93" s="14" t="n"/>
      <c r="D93" s="14" t="n"/>
      <c r="E93" s="14" t="n"/>
      <c r="F93" s="17" t="n"/>
      <c r="G93" s="14" t="n"/>
      <c r="H93" s="14" t="n"/>
      <c r="I93" s="14" t="n"/>
      <c r="J93" s="108">
        <f>IF(G93="","",IFERROR(LET(ev_cost,INDEX(Events!$G$5:$G$505,MATCH(G93,Events!$A$5:$A$505,0)),ev_split,INDEX(Events!$I$5:$I$505,MATCH(G93,Events!$A$5:$A$505,0)),att_offset,MATCH(G93,Attendance!$B$3:$AY$3,0),attendees,COUNTIF(INDEX(Attendance!$B$7:$AY$206,0,att_offset),"1"),IF(ev_split="Equal Split",ev_cost/MAX(1,COUNTA(Roster!$A$5:$A$204)),ev_cost/MAX(1,attendees))),"N/A"))</f>
        <v/>
      </c>
    </row>
    <row r="94" ht="20" customHeight="1">
      <c r="A94" s="12" t="n"/>
      <c r="B94" s="10" t="n"/>
      <c r="C94" s="10" t="n"/>
      <c r="D94" s="10" t="n"/>
      <c r="E94" s="10" t="n"/>
      <c r="F94" s="13" t="n"/>
      <c r="G94" s="10" t="n"/>
      <c r="H94" s="10" t="n"/>
      <c r="I94" s="10" t="n"/>
      <c r="J94" s="108">
        <f>IF(G94="","",IFERROR(LET(ev_cost,INDEX(Events!$G$5:$G$505,MATCH(G94,Events!$A$5:$A$505,0)),ev_split,INDEX(Events!$I$5:$I$505,MATCH(G94,Events!$A$5:$A$505,0)),att_offset,MATCH(G94,Attendance!$B$3:$AY$3,0),attendees,COUNTIF(INDEX(Attendance!$B$7:$AY$206,0,att_offset),"1"),IF(ev_split="Equal Split",ev_cost/MAX(1,COUNTA(Roster!$A$5:$A$204)),ev_cost/MAX(1,attendees))),"N/A"))</f>
        <v/>
      </c>
    </row>
    <row r="95" ht="20" customHeight="1">
      <c r="A95" s="16" t="n"/>
      <c r="B95" s="14" t="n"/>
      <c r="C95" s="14" t="n"/>
      <c r="D95" s="14" t="n"/>
      <c r="E95" s="14" t="n"/>
      <c r="F95" s="17" t="n"/>
      <c r="G95" s="14" t="n"/>
      <c r="H95" s="14" t="n"/>
      <c r="I95" s="14" t="n"/>
      <c r="J95" s="108">
        <f>IF(G95="","",IFERROR(LET(ev_cost,INDEX(Events!$G$5:$G$505,MATCH(G95,Events!$A$5:$A$505,0)),ev_split,INDEX(Events!$I$5:$I$505,MATCH(G95,Events!$A$5:$A$505,0)),att_offset,MATCH(G95,Attendance!$B$3:$AY$3,0),attendees,COUNTIF(INDEX(Attendance!$B$7:$AY$206,0,att_offset),"1"),IF(ev_split="Equal Split",ev_cost/MAX(1,COUNTA(Roster!$A$5:$A$204)),ev_cost/MAX(1,attendees))),"N/A"))</f>
        <v/>
      </c>
    </row>
    <row r="96" ht="20" customHeight="1">
      <c r="A96" s="12" t="n"/>
      <c r="B96" s="10" t="n"/>
      <c r="C96" s="10" t="n"/>
      <c r="D96" s="10" t="n"/>
      <c r="E96" s="10" t="n"/>
      <c r="F96" s="13" t="n"/>
      <c r="G96" s="10" t="n"/>
      <c r="H96" s="10" t="n"/>
      <c r="I96" s="10" t="n"/>
      <c r="J96" s="108">
        <f>IF(G96="","",IFERROR(LET(ev_cost,INDEX(Events!$G$5:$G$505,MATCH(G96,Events!$A$5:$A$505,0)),ev_split,INDEX(Events!$I$5:$I$505,MATCH(G96,Events!$A$5:$A$505,0)),att_offset,MATCH(G96,Attendance!$B$3:$AY$3,0),attendees,COUNTIF(INDEX(Attendance!$B$7:$AY$206,0,att_offset),"1"),IF(ev_split="Equal Split",ev_cost/MAX(1,COUNTA(Roster!$A$5:$A$204)),ev_cost/MAX(1,attendees))),"N/A"))</f>
        <v/>
      </c>
    </row>
    <row r="97" ht="20" customHeight="1">
      <c r="A97" s="16" t="n"/>
      <c r="B97" s="14" t="n"/>
      <c r="C97" s="14" t="n"/>
      <c r="D97" s="14" t="n"/>
      <c r="E97" s="14" t="n"/>
      <c r="F97" s="17" t="n"/>
      <c r="G97" s="14" t="n"/>
      <c r="H97" s="14" t="n"/>
      <c r="I97" s="14" t="n"/>
      <c r="J97" s="108">
        <f>IF(G97="","",IFERROR(LET(ev_cost,INDEX(Events!$G$5:$G$505,MATCH(G97,Events!$A$5:$A$505,0)),ev_split,INDEX(Events!$I$5:$I$505,MATCH(G97,Events!$A$5:$A$505,0)),att_offset,MATCH(G97,Attendance!$B$3:$AY$3,0),attendees,COUNTIF(INDEX(Attendance!$B$7:$AY$206,0,att_offset),"1"),IF(ev_split="Equal Split",ev_cost/MAX(1,COUNTA(Roster!$A$5:$A$204)),ev_cost/MAX(1,attendees))),"N/A"))</f>
        <v/>
      </c>
    </row>
    <row r="98" ht="20" customHeight="1">
      <c r="A98" s="12" t="n"/>
      <c r="B98" s="10" t="n"/>
      <c r="C98" s="10" t="n"/>
      <c r="D98" s="10" t="n"/>
      <c r="E98" s="10" t="n"/>
      <c r="F98" s="13" t="n"/>
      <c r="G98" s="10" t="n"/>
      <c r="H98" s="10" t="n"/>
      <c r="I98" s="10" t="n"/>
      <c r="J98" s="108">
        <f>IF(G98="","",IFERROR(LET(ev_cost,INDEX(Events!$G$5:$G$505,MATCH(G98,Events!$A$5:$A$505,0)),ev_split,INDEX(Events!$I$5:$I$505,MATCH(G98,Events!$A$5:$A$505,0)),att_offset,MATCH(G98,Attendance!$B$3:$AY$3,0),attendees,COUNTIF(INDEX(Attendance!$B$7:$AY$206,0,att_offset),"1"),IF(ev_split="Equal Split",ev_cost/MAX(1,COUNTA(Roster!$A$5:$A$204)),ev_cost/MAX(1,attendees))),"N/A"))</f>
        <v/>
      </c>
    </row>
    <row r="99" ht="20" customHeight="1">
      <c r="A99" s="16" t="n"/>
      <c r="B99" s="14" t="n"/>
      <c r="C99" s="14" t="n"/>
      <c r="D99" s="14" t="n"/>
      <c r="E99" s="14" t="n"/>
      <c r="F99" s="17" t="n"/>
      <c r="G99" s="14" t="n"/>
      <c r="H99" s="14" t="n"/>
      <c r="I99" s="14" t="n"/>
      <c r="J99" s="108">
        <f>IF(G99="","",IFERROR(LET(ev_cost,INDEX(Events!$G$5:$G$505,MATCH(G99,Events!$A$5:$A$505,0)),ev_split,INDEX(Events!$I$5:$I$505,MATCH(G99,Events!$A$5:$A$505,0)),att_offset,MATCH(G99,Attendance!$B$3:$AY$3,0),attendees,COUNTIF(INDEX(Attendance!$B$7:$AY$206,0,att_offset),"1"),IF(ev_split="Equal Split",ev_cost/MAX(1,COUNTA(Roster!$A$5:$A$204)),ev_cost/MAX(1,attendees))),"N/A"))</f>
        <v/>
      </c>
    </row>
    <row r="100" ht="20" customHeight="1">
      <c r="A100" s="12" t="n"/>
      <c r="B100" s="10" t="n"/>
      <c r="C100" s="10" t="n"/>
      <c r="D100" s="10" t="n"/>
      <c r="E100" s="10" t="n"/>
      <c r="F100" s="13" t="n"/>
      <c r="G100" s="10" t="n"/>
      <c r="H100" s="10" t="n"/>
      <c r="I100" s="10" t="n"/>
      <c r="J100" s="108">
        <f>IF(G100="","",IFERROR(LET(ev_cost,INDEX(Events!$G$5:$G$505,MATCH(G100,Events!$A$5:$A$505,0)),ev_split,INDEX(Events!$I$5:$I$505,MATCH(G100,Events!$A$5:$A$505,0)),att_offset,MATCH(G100,Attendance!$B$3:$AY$3,0),attendees,COUNTIF(INDEX(Attendance!$B$7:$AY$206,0,att_offset),"1"),IF(ev_split="Equal Split",ev_cost/MAX(1,COUNTA(Roster!$A$5:$A$204)),ev_cost/MAX(1,attendees))),"N/A"))</f>
        <v/>
      </c>
    </row>
    <row r="101" ht="20" customHeight="1">
      <c r="A101" s="16" t="n"/>
      <c r="B101" s="14" t="n"/>
      <c r="C101" s="14" t="n"/>
      <c r="D101" s="14" t="n"/>
      <c r="E101" s="14" t="n"/>
      <c r="F101" s="17" t="n"/>
      <c r="G101" s="14" t="n"/>
      <c r="H101" s="14" t="n"/>
      <c r="I101" s="14" t="n"/>
      <c r="J101" s="108">
        <f>IF(G101="","",IFERROR(LET(ev_cost,INDEX(Events!$G$5:$G$505,MATCH(G101,Events!$A$5:$A$505,0)),ev_split,INDEX(Events!$I$5:$I$505,MATCH(G101,Events!$A$5:$A$505,0)),att_offset,MATCH(G101,Attendance!$B$3:$AY$3,0),attendees,COUNTIF(INDEX(Attendance!$B$7:$AY$206,0,att_offset),"1"),IF(ev_split="Equal Split",ev_cost/MAX(1,COUNTA(Roster!$A$5:$A$204)),ev_cost/MAX(1,attendees))),"N/A"))</f>
        <v/>
      </c>
    </row>
    <row r="102" ht="20" customHeight="1">
      <c r="A102" s="12" t="n"/>
      <c r="B102" s="10" t="n"/>
      <c r="C102" s="10" t="n"/>
      <c r="D102" s="10" t="n"/>
      <c r="E102" s="10" t="n"/>
      <c r="F102" s="13" t="n"/>
      <c r="G102" s="10" t="n"/>
      <c r="H102" s="10" t="n"/>
      <c r="I102" s="10" t="n"/>
      <c r="J102" s="108">
        <f>IF(G102="","",IFERROR(LET(ev_cost,INDEX(Events!$G$5:$G$505,MATCH(G102,Events!$A$5:$A$505,0)),ev_split,INDEX(Events!$I$5:$I$505,MATCH(G102,Events!$A$5:$A$505,0)),att_offset,MATCH(G102,Attendance!$B$3:$AY$3,0),attendees,COUNTIF(INDEX(Attendance!$B$7:$AY$206,0,att_offset),"1"),IF(ev_split="Equal Split",ev_cost/MAX(1,COUNTA(Roster!$A$5:$A$204)),ev_cost/MAX(1,attendees))),"N/A"))</f>
        <v/>
      </c>
    </row>
    <row r="103" ht="20" customHeight="1">
      <c r="A103" s="16" t="n"/>
      <c r="B103" s="14" t="n"/>
      <c r="C103" s="14" t="n"/>
      <c r="D103" s="14" t="n"/>
      <c r="E103" s="14" t="n"/>
      <c r="F103" s="17" t="n"/>
      <c r="G103" s="14" t="n"/>
      <c r="H103" s="14" t="n"/>
      <c r="I103" s="14" t="n"/>
      <c r="J103" s="108">
        <f>IF(G103="","",IFERROR(LET(ev_cost,INDEX(Events!$G$5:$G$505,MATCH(G103,Events!$A$5:$A$505,0)),ev_split,INDEX(Events!$I$5:$I$505,MATCH(G103,Events!$A$5:$A$505,0)),att_offset,MATCH(G103,Attendance!$B$3:$AY$3,0),attendees,COUNTIF(INDEX(Attendance!$B$7:$AY$206,0,att_offset),"1"),IF(ev_split="Equal Split",ev_cost/MAX(1,COUNTA(Roster!$A$5:$A$204)),ev_cost/MAX(1,attendees))),"N/A"))</f>
        <v/>
      </c>
    </row>
    <row r="104" ht="20" customHeight="1">
      <c r="A104" s="12" t="n"/>
      <c r="B104" s="10" t="n"/>
      <c r="C104" s="10" t="n"/>
      <c r="D104" s="10" t="n"/>
      <c r="E104" s="10" t="n"/>
      <c r="F104" s="13" t="n"/>
      <c r="G104" s="10" t="n"/>
      <c r="H104" s="10" t="n"/>
      <c r="I104" s="10" t="n"/>
      <c r="J104" s="108">
        <f>IF(G104="","",IFERROR(LET(ev_cost,INDEX(Events!$G$5:$G$505,MATCH(G104,Events!$A$5:$A$505,0)),ev_split,INDEX(Events!$I$5:$I$505,MATCH(G104,Events!$A$5:$A$505,0)),att_offset,MATCH(G104,Attendance!$B$3:$AY$3,0),attendees,COUNTIF(INDEX(Attendance!$B$7:$AY$206,0,att_offset),"1"),IF(ev_split="Equal Split",ev_cost/MAX(1,COUNTA(Roster!$A$5:$A$204)),ev_cost/MAX(1,attendees))),"N/A"))</f>
        <v/>
      </c>
    </row>
    <row r="105" ht="20" customHeight="1">
      <c r="A105" s="16" t="n"/>
      <c r="B105" s="14" t="n"/>
      <c r="C105" s="14" t="n"/>
      <c r="D105" s="14" t="n"/>
      <c r="E105" s="14" t="n"/>
      <c r="F105" s="17" t="n"/>
      <c r="G105" s="14" t="n"/>
      <c r="H105" s="14" t="n"/>
      <c r="I105" s="14" t="n"/>
      <c r="J105" s="108">
        <f>IF(G105="","",IFERROR(LET(ev_cost,INDEX(Events!$G$5:$G$505,MATCH(G105,Events!$A$5:$A$505,0)),ev_split,INDEX(Events!$I$5:$I$505,MATCH(G105,Events!$A$5:$A$505,0)),att_offset,MATCH(G105,Attendance!$B$3:$AY$3,0),attendees,COUNTIF(INDEX(Attendance!$B$7:$AY$206,0,att_offset),"1"),IF(ev_split="Equal Split",ev_cost/MAX(1,COUNTA(Roster!$A$5:$A$204)),ev_cost/MAX(1,attendees))),"N/A"))</f>
        <v/>
      </c>
    </row>
    <row r="106" ht="20" customHeight="1">
      <c r="A106" s="12" t="n"/>
      <c r="B106" s="10" t="n"/>
      <c r="C106" s="10" t="n"/>
      <c r="D106" s="10" t="n"/>
      <c r="E106" s="10" t="n"/>
      <c r="F106" s="13" t="n"/>
      <c r="G106" s="10" t="n"/>
      <c r="H106" s="10" t="n"/>
      <c r="I106" s="10" t="n"/>
      <c r="J106" s="108">
        <f>IF(G106="","",IFERROR(LET(ev_cost,INDEX(Events!$G$5:$G$505,MATCH(G106,Events!$A$5:$A$505,0)),ev_split,INDEX(Events!$I$5:$I$505,MATCH(G106,Events!$A$5:$A$505,0)),att_offset,MATCH(G106,Attendance!$B$3:$AY$3,0),attendees,COUNTIF(INDEX(Attendance!$B$7:$AY$206,0,att_offset),"1"),IF(ev_split="Equal Split",ev_cost/MAX(1,COUNTA(Roster!$A$5:$A$204)),ev_cost/MAX(1,attendees))),"N/A"))</f>
        <v/>
      </c>
    </row>
    <row r="107" ht="20" customHeight="1">
      <c r="A107" s="16" t="n"/>
      <c r="B107" s="14" t="n"/>
      <c r="C107" s="14" t="n"/>
      <c r="D107" s="14" t="n"/>
      <c r="E107" s="14" t="n"/>
      <c r="F107" s="17" t="n"/>
      <c r="G107" s="14" t="n"/>
      <c r="H107" s="14" t="n"/>
      <c r="I107" s="14" t="n"/>
      <c r="J107" s="108">
        <f>IF(G107="","",IFERROR(LET(ev_cost,INDEX(Events!$G$5:$G$505,MATCH(G107,Events!$A$5:$A$505,0)),ev_split,INDEX(Events!$I$5:$I$505,MATCH(G107,Events!$A$5:$A$505,0)),att_offset,MATCH(G107,Attendance!$B$3:$AY$3,0),attendees,COUNTIF(INDEX(Attendance!$B$7:$AY$206,0,att_offset),"1"),IF(ev_split="Equal Split",ev_cost/MAX(1,COUNTA(Roster!$A$5:$A$204)),ev_cost/MAX(1,attendees))),"N/A"))</f>
        <v/>
      </c>
    </row>
    <row r="108" ht="20" customHeight="1">
      <c r="A108" s="12" t="n"/>
      <c r="B108" s="10" t="n"/>
      <c r="C108" s="10" t="n"/>
      <c r="D108" s="10" t="n"/>
      <c r="E108" s="10" t="n"/>
      <c r="F108" s="13" t="n"/>
      <c r="G108" s="10" t="n"/>
      <c r="H108" s="10" t="n"/>
      <c r="I108" s="10" t="n"/>
      <c r="J108" s="108">
        <f>IF(G108="","",IFERROR(LET(ev_cost,INDEX(Events!$G$5:$G$505,MATCH(G108,Events!$A$5:$A$505,0)),ev_split,INDEX(Events!$I$5:$I$505,MATCH(G108,Events!$A$5:$A$505,0)),att_offset,MATCH(G108,Attendance!$B$3:$AY$3,0),attendees,COUNTIF(INDEX(Attendance!$B$7:$AY$206,0,att_offset),"1"),IF(ev_split="Equal Split",ev_cost/MAX(1,COUNTA(Roster!$A$5:$A$204)),ev_cost/MAX(1,attendees))),"N/A"))</f>
        <v/>
      </c>
    </row>
    <row r="109" ht="20" customHeight="1">
      <c r="A109" s="16" t="n"/>
      <c r="B109" s="14" t="n"/>
      <c r="C109" s="14" t="n"/>
      <c r="D109" s="14" t="n"/>
      <c r="E109" s="14" t="n"/>
      <c r="F109" s="17" t="n"/>
      <c r="G109" s="14" t="n"/>
      <c r="H109" s="14" t="n"/>
      <c r="I109" s="14" t="n"/>
      <c r="J109" s="108">
        <f>IF(G109="","",IFERROR(LET(ev_cost,INDEX(Events!$G$5:$G$505,MATCH(G109,Events!$A$5:$A$505,0)),ev_split,INDEX(Events!$I$5:$I$505,MATCH(G109,Events!$A$5:$A$505,0)),att_offset,MATCH(G109,Attendance!$B$3:$AY$3,0),attendees,COUNTIF(INDEX(Attendance!$B$7:$AY$206,0,att_offset),"1"),IF(ev_split="Equal Split",ev_cost/MAX(1,COUNTA(Roster!$A$5:$A$204)),ev_cost/MAX(1,attendees))),"N/A"))</f>
        <v/>
      </c>
    </row>
    <row r="110" ht="20" customHeight="1">
      <c r="A110" s="12" t="n"/>
      <c r="B110" s="10" t="n"/>
      <c r="C110" s="10" t="n"/>
      <c r="D110" s="10" t="n"/>
      <c r="E110" s="10" t="n"/>
      <c r="F110" s="13" t="n"/>
      <c r="G110" s="10" t="n"/>
      <c r="H110" s="10" t="n"/>
      <c r="I110" s="10" t="n"/>
      <c r="J110" s="108">
        <f>IF(G110="","",IFERROR(LET(ev_cost,INDEX(Events!$G$5:$G$505,MATCH(G110,Events!$A$5:$A$505,0)),ev_split,INDEX(Events!$I$5:$I$505,MATCH(G110,Events!$A$5:$A$505,0)),att_offset,MATCH(G110,Attendance!$B$3:$AY$3,0),attendees,COUNTIF(INDEX(Attendance!$B$7:$AY$206,0,att_offset),"1"),IF(ev_split="Equal Split",ev_cost/MAX(1,COUNTA(Roster!$A$5:$A$204)),ev_cost/MAX(1,attendees))),"N/A"))</f>
        <v/>
      </c>
    </row>
    <row r="111" ht="20" customHeight="1">
      <c r="A111" s="16" t="n"/>
      <c r="B111" s="14" t="n"/>
      <c r="C111" s="14" t="n"/>
      <c r="D111" s="14" t="n"/>
      <c r="E111" s="14" t="n"/>
      <c r="F111" s="17" t="n"/>
      <c r="G111" s="14" t="n"/>
      <c r="H111" s="14" t="n"/>
      <c r="I111" s="14" t="n"/>
      <c r="J111" s="108">
        <f>IF(G111="","",IFERROR(LET(ev_cost,INDEX(Events!$G$5:$G$505,MATCH(G111,Events!$A$5:$A$505,0)),ev_split,INDEX(Events!$I$5:$I$505,MATCH(G111,Events!$A$5:$A$505,0)),att_offset,MATCH(G111,Attendance!$B$3:$AY$3,0),attendees,COUNTIF(INDEX(Attendance!$B$7:$AY$206,0,att_offset),"1"),IF(ev_split="Equal Split",ev_cost/MAX(1,COUNTA(Roster!$A$5:$A$204)),ev_cost/MAX(1,attendees))),"N/A"))</f>
        <v/>
      </c>
    </row>
    <row r="112" ht="20" customHeight="1">
      <c r="A112" s="12" t="n"/>
      <c r="B112" s="10" t="n"/>
      <c r="C112" s="10" t="n"/>
      <c r="D112" s="10" t="n"/>
      <c r="E112" s="10" t="n"/>
      <c r="F112" s="13" t="n"/>
      <c r="G112" s="10" t="n"/>
      <c r="H112" s="10" t="n"/>
      <c r="I112" s="10" t="n"/>
      <c r="J112" s="108">
        <f>IF(G112="","",IFERROR(LET(ev_cost,INDEX(Events!$G$5:$G$505,MATCH(G112,Events!$A$5:$A$505,0)),ev_split,INDEX(Events!$I$5:$I$505,MATCH(G112,Events!$A$5:$A$505,0)),att_offset,MATCH(G112,Attendance!$B$3:$AY$3,0),attendees,COUNTIF(INDEX(Attendance!$B$7:$AY$206,0,att_offset),"1"),IF(ev_split="Equal Split",ev_cost/MAX(1,COUNTA(Roster!$A$5:$A$204)),ev_cost/MAX(1,attendees))),"N/A"))</f>
        <v/>
      </c>
    </row>
    <row r="113" ht="20" customHeight="1">
      <c r="A113" s="16" t="n"/>
      <c r="B113" s="14" t="n"/>
      <c r="C113" s="14" t="n"/>
      <c r="D113" s="14" t="n"/>
      <c r="E113" s="14" t="n"/>
      <c r="F113" s="17" t="n"/>
      <c r="G113" s="14" t="n"/>
      <c r="H113" s="14" t="n"/>
      <c r="I113" s="14" t="n"/>
      <c r="J113" s="108">
        <f>IF(G113="","",IFERROR(LET(ev_cost,INDEX(Events!$G$5:$G$505,MATCH(G113,Events!$A$5:$A$505,0)),ev_split,INDEX(Events!$I$5:$I$505,MATCH(G113,Events!$A$5:$A$505,0)),att_offset,MATCH(G113,Attendance!$B$3:$AY$3,0),attendees,COUNTIF(INDEX(Attendance!$B$7:$AY$206,0,att_offset),"1"),IF(ev_split="Equal Split",ev_cost/MAX(1,COUNTA(Roster!$A$5:$A$204)),ev_cost/MAX(1,attendees))),"N/A"))</f>
        <v/>
      </c>
    </row>
    <row r="114" ht="20" customHeight="1">
      <c r="A114" s="12" t="n"/>
      <c r="B114" s="10" t="n"/>
      <c r="C114" s="10" t="n"/>
      <c r="D114" s="10" t="n"/>
      <c r="E114" s="10" t="n"/>
      <c r="F114" s="13" t="n"/>
      <c r="G114" s="10" t="n"/>
      <c r="H114" s="10" t="n"/>
      <c r="I114" s="10" t="n"/>
      <c r="J114" s="108">
        <f>IF(G114="","",IFERROR(LET(ev_cost,INDEX(Events!$G$5:$G$505,MATCH(G114,Events!$A$5:$A$505,0)),ev_split,INDEX(Events!$I$5:$I$505,MATCH(G114,Events!$A$5:$A$505,0)),att_offset,MATCH(G114,Attendance!$B$3:$AY$3,0),attendees,COUNTIF(INDEX(Attendance!$B$7:$AY$206,0,att_offset),"1"),IF(ev_split="Equal Split",ev_cost/MAX(1,COUNTA(Roster!$A$5:$A$204)),ev_cost/MAX(1,attendees))),"N/A"))</f>
        <v/>
      </c>
    </row>
    <row r="115" ht="20" customHeight="1">
      <c r="A115" s="16" t="n"/>
      <c r="B115" s="14" t="n"/>
      <c r="C115" s="14" t="n"/>
      <c r="D115" s="14" t="n"/>
      <c r="E115" s="14" t="n"/>
      <c r="F115" s="17" t="n"/>
      <c r="G115" s="14" t="n"/>
      <c r="H115" s="14" t="n"/>
      <c r="I115" s="14" t="n"/>
      <c r="J115" s="108">
        <f>IF(G115="","",IFERROR(LET(ev_cost,INDEX(Events!$G$5:$G$505,MATCH(G115,Events!$A$5:$A$505,0)),ev_split,INDEX(Events!$I$5:$I$505,MATCH(G115,Events!$A$5:$A$505,0)),att_offset,MATCH(G115,Attendance!$B$3:$AY$3,0),attendees,COUNTIF(INDEX(Attendance!$B$7:$AY$206,0,att_offset),"1"),IF(ev_split="Equal Split",ev_cost/MAX(1,COUNTA(Roster!$A$5:$A$204)),ev_cost/MAX(1,attendees))),"N/A"))</f>
        <v/>
      </c>
    </row>
    <row r="116" ht="20" customHeight="1">
      <c r="A116" s="12" t="n"/>
      <c r="B116" s="10" t="n"/>
      <c r="C116" s="10" t="n"/>
      <c r="D116" s="10" t="n"/>
      <c r="E116" s="10" t="n"/>
      <c r="F116" s="13" t="n"/>
      <c r="G116" s="10" t="n"/>
      <c r="H116" s="10" t="n"/>
      <c r="I116" s="10" t="n"/>
      <c r="J116" s="108">
        <f>IF(G116="","",IFERROR(LET(ev_cost,INDEX(Events!$G$5:$G$505,MATCH(G116,Events!$A$5:$A$505,0)),ev_split,INDEX(Events!$I$5:$I$505,MATCH(G116,Events!$A$5:$A$505,0)),att_offset,MATCH(G116,Attendance!$B$3:$AY$3,0),attendees,COUNTIF(INDEX(Attendance!$B$7:$AY$206,0,att_offset),"1"),IF(ev_split="Equal Split",ev_cost/MAX(1,COUNTA(Roster!$A$5:$A$204)),ev_cost/MAX(1,attendees))),"N/A"))</f>
        <v/>
      </c>
    </row>
    <row r="117" ht="20" customHeight="1">
      <c r="A117" s="16" t="n"/>
      <c r="B117" s="14" t="n"/>
      <c r="C117" s="14" t="n"/>
      <c r="D117" s="14" t="n"/>
      <c r="E117" s="14" t="n"/>
      <c r="F117" s="17" t="n"/>
      <c r="G117" s="14" t="n"/>
      <c r="H117" s="14" t="n"/>
      <c r="I117" s="14" t="n"/>
      <c r="J117" s="108">
        <f>IF(G117="","",IFERROR(LET(ev_cost,INDEX(Events!$G$5:$G$505,MATCH(G117,Events!$A$5:$A$505,0)),ev_split,INDEX(Events!$I$5:$I$505,MATCH(G117,Events!$A$5:$A$505,0)),att_offset,MATCH(G117,Attendance!$B$3:$AY$3,0),attendees,COUNTIF(INDEX(Attendance!$B$7:$AY$206,0,att_offset),"1"),IF(ev_split="Equal Split",ev_cost/MAX(1,COUNTA(Roster!$A$5:$A$204)),ev_cost/MAX(1,attendees))),"N/A"))</f>
        <v/>
      </c>
    </row>
    <row r="118" ht="20" customHeight="1">
      <c r="A118" s="12" t="n"/>
      <c r="B118" s="10" t="n"/>
      <c r="C118" s="10" t="n"/>
      <c r="D118" s="10" t="n"/>
      <c r="E118" s="10" t="n"/>
      <c r="F118" s="13" t="n"/>
      <c r="G118" s="10" t="n"/>
      <c r="H118" s="10" t="n"/>
      <c r="I118" s="10" t="n"/>
      <c r="J118" s="108">
        <f>IF(G118="","",IFERROR(LET(ev_cost,INDEX(Events!$G$5:$G$505,MATCH(G118,Events!$A$5:$A$505,0)),ev_split,INDEX(Events!$I$5:$I$505,MATCH(G118,Events!$A$5:$A$505,0)),att_offset,MATCH(G118,Attendance!$B$3:$AY$3,0),attendees,COUNTIF(INDEX(Attendance!$B$7:$AY$206,0,att_offset),"1"),IF(ev_split="Equal Split",ev_cost/MAX(1,COUNTA(Roster!$A$5:$A$204)),ev_cost/MAX(1,attendees))),"N/A"))</f>
        <v/>
      </c>
    </row>
    <row r="119" ht="20" customHeight="1">
      <c r="A119" s="16" t="n"/>
      <c r="B119" s="14" t="n"/>
      <c r="C119" s="14" t="n"/>
      <c r="D119" s="14" t="n"/>
      <c r="E119" s="14" t="n"/>
      <c r="F119" s="17" t="n"/>
      <c r="G119" s="14" t="n"/>
      <c r="H119" s="14" t="n"/>
      <c r="I119" s="14" t="n"/>
      <c r="J119" s="108">
        <f>IF(G119="","",IFERROR(LET(ev_cost,INDEX(Events!$G$5:$G$505,MATCH(G119,Events!$A$5:$A$505,0)),ev_split,INDEX(Events!$I$5:$I$505,MATCH(G119,Events!$A$5:$A$505,0)),att_offset,MATCH(G119,Attendance!$B$3:$AY$3,0),attendees,COUNTIF(INDEX(Attendance!$B$7:$AY$206,0,att_offset),"1"),IF(ev_split="Equal Split",ev_cost/MAX(1,COUNTA(Roster!$A$5:$A$204)),ev_cost/MAX(1,attendees))),"N/A"))</f>
        <v/>
      </c>
    </row>
    <row r="120" ht="20" customHeight="1">
      <c r="A120" s="12" t="n"/>
      <c r="B120" s="10" t="n"/>
      <c r="C120" s="10" t="n"/>
      <c r="D120" s="10" t="n"/>
      <c r="E120" s="10" t="n"/>
      <c r="F120" s="13" t="n"/>
      <c r="G120" s="10" t="n"/>
      <c r="H120" s="10" t="n"/>
      <c r="I120" s="10" t="n"/>
      <c r="J120" s="108">
        <f>IF(G120="","",IFERROR(LET(ev_cost,INDEX(Events!$G$5:$G$505,MATCH(G120,Events!$A$5:$A$505,0)),ev_split,INDEX(Events!$I$5:$I$505,MATCH(G120,Events!$A$5:$A$505,0)),att_offset,MATCH(G120,Attendance!$B$3:$AY$3,0),attendees,COUNTIF(INDEX(Attendance!$B$7:$AY$206,0,att_offset),"1"),IF(ev_split="Equal Split",ev_cost/MAX(1,COUNTA(Roster!$A$5:$A$204)),ev_cost/MAX(1,attendees))),"N/A"))</f>
        <v/>
      </c>
    </row>
    <row r="121" ht="20" customHeight="1">
      <c r="A121" s="16" t="n"/>
      <c r="B121" s="14" t="n"/>
      <c r="C121" s="14" t="n"/>
      <c r="D121" s="14" t="n"/>
      <c r="E121" s="14" t="n"/>
      <c r="F121" s="17" t="n"/>
      <c r="G121" s="14" t="n"/>
      <c r="H121" s="14" t="n"/>
      <c r="I121" s="14" t="n"/>
      <c r="J121" s="108">
        <f>IF(G121="","",IFERROR(LET(ev_cost,INDEX(Events!$G$5:$G$505,MATCH(G121,Events!$A$5:$A$505,0)),ev_split,INDEX(Events!$I$5:$I$505,MATCH(G121,Events!$A$5:$A$505,0)),att_offset,MATCH(G121,Attendance!$B$3:$AY$3,0),attendees,COUNTIF(INDEX(Attendance!$B$7:$AY$206,0,att_offset),"1"),IF(ev_split="Equal Split",ev_cost/MAX(1,COUNTA(Roster!$A$5:$A$204)),ev_cost/MAX(1,attendees))),"N/A"))</f>
        <v/>
      </c>
    </row>
    <row r="122" ht="20" customHeight="1">
      <c r="A122" s="12" t="n"/>
      <c r="B122" s="10" t="n"/>
      <c r="C122" s="10" t="n"/>
      <c r="D122" s="10" t="n"/>
      <c r="E122" s="10" t="n"/>
      <c r="F122" s="13" t="n"/>
      <c r="G122" s="10" t="n"/>
      <c r="H122" s="10" t="n"/>
      <c r="I122" s="10" t="n"/>
      <c r="J122" s="108">
        <f>IF(G122="","",IFERROR(LET(ev_cost,INDEX(Events!$G$5:$G$505,MATCH(G122,Events!$A$5:$A$505,0)),ev_split,INDEX(Events!$I$5:$I$505,MATCH(G122,Events!$A$5:$A$505,0)),att_offset,MATCH(G122,Attendance!$B$3:$AY$3,0),attendees,COUNTIF(INDEX(Attendance!$B$7:$AY$206,0,att_offset),"1"),IF(ev_split="Equal Split",ev_cost/MAX(1,COUNTA(Roster!$A$5:$A$204)),ev_cost/MAX(1,attendees))),"N/A"))</f>
        <v/>
      </c>
    </row>
    <row r="123" ht="20" customHeight="1">
      <c r="A123" s="16" t="n"/>
      <c r="B123" s="14" t="n"/>
      <c r="C123" s="14" t="n"/>
      <c r="D123" s="14" t="n"/>
      <c r="E123" s="14" t="n"/>
      <c r="F123" s="17" t="n"/>
      <c r="G123" s="14" t="n"/>
      <c r="H123" s="14" t="n"/>
      <c r="I123" s="14" t="n"/>
      <c r="J123" s="108">
        <f>IF(G123="","",IFERROR(LET(ev_cost,INDEX(Events!$G$5:$G$505,MATCH(G123,Events!$A$5:$A$505,0)),ev_split,INDEX(Events!$I$5:$I$505,MATCH(G123,Events!$A$5:$A$505,0)),att_offset,MATCH(G123,Attendance!$B$3:$AY$3,0),attendees,COUNTIF(INDEX(Attendance!$B$7:$AY$206,0,att_offset),"1"),IF(ev_split="Equal Split",ev_cost/MAX(1,COUNTA(Roster!$A$5:$A$204)),ev_cost/MAX(1,attendees))),"N/A"))</f>
        <v/>
      </c>
    </row>
    <row r="124" ht="20" customHeight="1">
      <c r="A124" s="12" t="n"/>
      <c r="B124" s="10" t="n"/>
      <c r="C124" s="10" t="n"/>
      <c r="D124" s="10" t="n"/>
      <c r="E124" s="10" t="n"/>
      <c r="F124" s="13" t="n"/>
      <c r="G124" s="10" t="n"/>
      <c r="H124" s="10" t="n"/>
      <c r="I124" s="10" t="n"/>
      <c r="J124" s="108">
        <f>IF(G124="","",IFERROR(LET(ev_cost,INDEX(Events!$G$5:$G$505,MATCH(G124,Events!$A$5:$A$505,0)),ev_split,INDEX(Events!$I$5:$I$505,MATCH(G124,Events!$A$5:$A$505,0)),att_offset,MATCH(G124,Attendance!$B$3:$AY$3,0),attendees,COUNTIF(INDEX(Attendance!$B$7:$AY$206,0,att_offset),"1"),IF(ev_split="Equal Split",ev_cost/MAX(1,COUNTA(Roster!$A$5:$A$204)),ev_cost/MAX(1,attendees))),"N/A"))</f>
        <v/>
      </c>
    </row>
    <row r="125" ht="20" customHeight="1">
      <c r="A125" s="16" t="n"/>
      <c r="B125" s="14" t="n"/>
      <c r="C125" s="14" t="n"/>
      <c r="D125" s="14" t="n"/>
      <c r="E125" s="14" t="n"/>
      <c r="F125" s="17" t="n"/>
      <c r="G125" s="14" t="n"/>
      <c r="H125" s="14" t="n"/>
      <c r="I125" s="14" t="n"/>
      <c r="J125" s="108">
        <f>IF(G125="","",IFERROR(LET(ev_cost,INDEX(Events!$G$5:$G$505,MATCH(G125,Events!$A$5:$A$505,0)),ev_split,INDEX(Events!$I$5:$I$505,MATCH(G125,Events!$A$5:$A$505,0)),att_offset,MATCH(G125,Attendance!$B$3:$AY$3,0),attendees,COUNTIF(INDEX(Attendance!$B$7:$AY$206,0,att_offset),"1"),IF(ev_split="Equal Split",ev_cost/MAX(1,COUNTA(Roster!$A$5:$A$204)),ev_cost/MAX(1,attendees))),"N/A"))</f>
        <v/>
      </c>
    </row>
    <row r="126" ht="20" customHeight="1">
      <c r="A126" s="12" t="n"/>
      <c r="B126" s="10" t="n"/>
      <c r="C126" s="10" t="n"/>
      <c r="D126" s="10" t="n"/>
      <c r="E126" s="10" t="n"/>
      <c r="F126" s="13" t="n"/>
      <c r="G126" s="10" t="n"/>
      <c r="H126" s="10" t="n"/>
      <c r="I126" s="10" t="n"/>
      <c r="J126" s="108">
        <f>IF(G126="","",IFERROR(LET(ev_cost,INDEX(Events!$G$5:$G$505,MATCH(G126,Events!$A$5:$A$505,0)),ev_split,INDEX(Events!$I$5:$I$505,MATCH(G126,Events!$A$5:$A$505,0)),att_offset,MATCH(G126,Attendance!$B$3:$AY$3,0),attendees,COUNTIF(INDEX(Attendance!$B$7:$AY$206,0,att_offset),"1"),IF(ev_split="Equal Split",ev_cost/MAX(1,COUNTA(Roster!$A$5:$A$204)),ev_cost/MAX(1,attendees))),"N/A"))</f>
        <v/>
      </c>
    </row>
    <row r="127" ht="20" customHeight="1">
      <c r="A127" s="16" t="n"/>
      <c r="B127" s="14" t="n"/>
      <c r="C127" s="14" t="n"/>
      <c r="D127" s="14" t="n"/>
      <c r="E127" s="14" t="n"/>
      <c r="F127" s="17" t="n"/>
      <c r="G127" s="14" t="n"/>
      <c r="H127" s="14" t="n"/>
      <c r="I127" s="14" t="n"/>
      <c r="J127" s="108">
        <f>IF(G127="","",IFERROR(LET(ev_cost,INDEX(Events!$G$5:$G$505,MATCH(G127,Events!$A$5:$A$505,0)),ev_split,INDEX(Events!$I$5:$I$505,MATCH(G127,Events!$A$5:$A$505,0)),att_offset,MATCH(G127,Attendance!$B$3:$AY$3,0),attendees,COUNTIF(INDEX(Attendance!$B$7:$AY$206,0,att_offset),"1"),IF(ev_split="Equal Split",ev_cost/MAX(1,COUNTA(Roster!$A$5:$A$204)),ev_cost/MAX(1,attendees))),"N/A"))</f>
        <v/>
      </c>
    </row>
    <row r="128" ht="20" customHeight="1">
      <c r="A128" s="12" t="n"/>
      <c r="B128" s="10" t="n"/>
      <c r="C128" s="10" t="n"/>
      <c r="D128" s="10" t="n"/>
      <c r="E128" s="10" t="n"/>
      <c r="F128" s="13" t="n"/>
      <c r="G128" s="10" t="n"/>
      <c r="H128" s="10" t="n"/>
      <c r="I128" s="10" t="n"/>
      <c r="J128" s="108">
        <f>IF(G128="","",IFERROR(LET(ev_cost,INDEX(Events!$G$5:$G$505,MATCH(G128,Events!$A$5:$A$505,0)),ev_split,INDEX(Events!$I$5:$I$505,MATCH(G128,Events!$A$5:$A$505,0)),att_offset,MATCH(G128,Attendance!$B$3:$AY$3,0),attendees,COUNTIF(INDEX(Attendance!$B$7:$AY$206,0,att_offset),"1"),IF(ev_split="Equal Split",ev_cost/MAX(1,COUNTA(Roster!$A$5:$A$204)),ev_cost/MAX(1,attendees))),"N/A"))</f>
        <v/>
      </c>
    </row>
    <row r="129" ht="20" customHeight="1">
      <c r="A129" s="16" t="n"/>
      <c r="B129" s="14" t="n"/>
      <c r="C129" s="14" t="n"/>
      <c r="D129" s="14" t="n"/>
      <c r="E129" s="14" t="n"/>
      <c r="F129" s="17" t="n"/>
      <c r="G129" s="14" t="n"/>
      <c r="H129" s="14" t="n"/>
      <c r="I129" s="14" t="n"/>
      <c r="J129" s="108">
        <f>IF(G129="","",IFERROR(LET(ev_cost,INDEX(Events!$G$5:$G$505,MATCH(G129,Events!$A$5:$A$505,0)),ev_split,INDEX(Events!$I$5:$I$505,MATCH(G129,Events!$A$5:$A$505,0)),att_offset,MATCH(G129,Attendance!$B$3:$AY$3,0),attendees,COUNTIF(INDEX(Attendance!$B$7:$AY$206,0,att_offset),"1"),IF(ev_split="Equal Split",ev_cost/MAX(1,COUNTA(Roster!$A$5:$A$204)),ev_cost/MAX(1,attendees))),"N/A"))</f>
        <v/>
      </c>
    </row>
    <row r="130" ht="20" customHeight="1">
      <c r="A130" s="12" t="n"/>
      <c r="B130" s="10" t="n"/>
      <c r="C130" s="10" t="n"/>
      <c r="D130" s="10" t="n"/>
      <c r="E130" s="10" t="n"/>
      <c r="F130" s="13" t="n"/>
      <c r="G130" s="10" t="n"/>
      <c r="H130" s="10" t="n"/>
      <c r="I130" s="10" t="n"/>
      <c r="J130" s="108">
        <f>IF(G130="","",IFERROR(LET(ev_cost,INDEX(Events!$G$5:$G$505,MATCH(G130,Events!$A$5:$A$505,0)),ev_split,INDEX(Events!$I$5:$I$505,MATCH(G130,Events!$A$5:$A$505,0)),att_offset,MATCH(G130,Attendance!$B$3:$AY$3,0),attendees,COUNTIF(INDEX(Attendance!$B$7:$AY$206,0,att_offset),"1"),IF(ev_split="Equal Split",ev_cost/MAX(1,COUNTA(Roster!$A$5:$A$204)),ev_cost/MAX(1,attendees))),"N/A"))</f>
        <v/>
      </c>
    </row>
    <row r="131" ht="20" customHeight="1">
      <c r="A131" s="16" t="n"/>
      <c r="B131" s="14" t="n"/>
      <c r="C131" s="14" t="n"/>
      <c r="D131" s="14" t="n"/>
      <c r="E131" s="14" t="n"/>
      <c r="F131" s="17" t="n"/>
      <c r="G131" s="14" t="n"/>
      <c r="H131" s="14" t="n"/>
      <c r="I131" s="14" t="n"/>
      <c r="J131" s="108">
        <f>IF(G131="","",IFERROR(LET(ev_cost,INDEX(Events!$G$5:$G$505,MATCH(G131,Events!$A$5:$A$505,0)),ev_split,INDEX(Events!$I$5:$I$505,MATCH(G131,Events!$A$5:$A$505,0)),att_offset,MATCH(G131,Attendance!$B$3:$AY$3,0),attendees,COUNTIF(INDEX(Attendance!$B$7:$AY$206,0,att_offset),"1"),IF(ev_split="Equal Split",ev_cost/MAX(1,COUNTA(Roster!$A$5:$A$204)),ev_cost/MAX(1,attendees))),"N/A"))</f>
        <v/>
      </c>
    </row>
    <row r="132" ht="20" customHeight="1">
      <c r="A132" s="12" t="n"/>
      <c r="B132" s="10" t="n"/>
      <c r="C132" s="10" t="n"/>
      <c r="D132" s="10" t="n"/>
      <c r="E132" s="10" t="n"/>
      <c r="F132" s="13" t="n"/>
      <c r="G132" s="10" t="n"/>
      <c r="H132" s="10" t="n"/>
      <c r="I132" s="10" t="n"/>
      <c r="J132" s="108">
        <f>IF(G132="","",IFERROR(LET(ev_cost,INDEX(Events!$G$5:$G$505,MATCH(G132,Events!$A$5:$A$505,0)),ev_split,INDEX(Events!$I$5:$I$505,MATCH(G132,Events!$A$5:$A$505,0)),att_offset,MATCH(G132,Attendance!$B$3:$AY$3,0),attendees,COUNTIF(INDEX(Attendance!$B$7:$AY$206,0,att_offset),"1"),IF(ev_split="Equal Split",ev_cost/MAX(1,COUNTA(Roster!$A$5:$A$204)),ev_cost/MAX(1,attendees))),"N/A"))</f>
        <v/>
      </c>
    </row>
    <row r="133" ht="20" customHeight="1">
      <c r="A133" s="16" t="n"/>
      <c r="B133" s="14" t="n"/>
      <c r="C133" s="14" t="n"/>
      <c r="D133" s="14" t="n"/>
      <c r="E133" s="14" t="n"/>
      <c r="F133" s="17" t="n"/>
      <c r="G133" s="14" t="n"/>
      <c r="H133" s="14" t="n"/>
      <c r="I133" s="14" t="n"/>
      <c r="J133" s="108">
        <f>IF(G133="","",IFERROR(LET(ev_cost,INDEX(Events!$G$5:$G$505,MATCH(G133,Events!$A$5:$A$505,0)),ev_split,INDEX(Events!$I$5:$I$505,MATCH(G133,Events!$A$5:$A$505,0)),att_offset,MATCH(G133,Attendance!$B$3:$AY$3,0),attendees,COUNTIF(INDEX(Attendance!$B$7:$AY$206,0,att_offset),"1"),IF(ev_split="Equal Split",ev_cost/MAX(1,COUNTA(Roster!$A$5:$A$204)),ev_cost/MAX(1,attendees))),"N/A"))</f>
        <v/>
      </c>
    </row>
    <row r="134" ht="20" customHeight="1">
      <c r="A134" s="12" t="n"/>
      <c r="B134" s="10" t="n"/>
      <c r="C134" s="10" t="n"/>
      <c r="D134" s="10" t="n"/>
      <c r="E134" s="10" t="n"/>
      <c r="F134" s="13" t="n"/>
      <c r="G134" s="10" t="n"/>
      <c r="H134" s="10" t="n"/>
      <c r="I134" s="10" t="n"/>
      <c r="J134" s="108">
        <f>IF(G134="","",IFERROR(LET(ev_cost,INDEX(Events!$G$5:$G$505,MATCH(G134,Events!$A$5:$A$505,0)),ev_split,INDEX(Events!$I$5:$I$505,MATCH(G134,Events!$A$5:$A$505,0)),att_offset,MATCH(G134,Attendance!$B$3:$AY$3,0),attendees,COUNTIF(INDEX(Attendance!$B$7:$AY$206,0,att_offset),"1"),IF(ev_split="Equal Split",ev_cost/MAX(1,COUNTA(Roster!$A$5:$A$204)),ev_cost/MAX(1,attendees))),"N/A"))</f>
        <v/>
      </c>
    </row>
    <row r="135" ht="20" customHeight="1">
      <c r="A135" s="16" t="n"/>
      <c r="B135" s="14" t="n"/>
      <c r="C135" s="14" t="n"/>
      <c r="D135" s="14" t="n"/>
      <c r="E135" s="14" t="n"/>
      <c r="F135" s="17" t="n"/>
      <c r="G135" s="14" t="n"/>
      <c r="H135" s="14" t="n"/>
      <c r="I135" s="14" t="n"/>
      <c r="J135" s="108">
        <f>IF(G135="","",IFERROR(LET(ev_cost,INDEX(Events!$G$5:$G$505,MATCH(G135,Events!$A$5:$A$505,0)),ev_split,INDEX(Events!$I$5:$I$505,MATCH(G135,Events!$A$5:$A$505,0)),att_offset,MATCH(G135,Attendance!$B$3:$AY$3,0),attendees,COUNTIF(INDEX(Attendance!$B$7:$AY$206,0,att_offset),"1"),IF(ev_split="Equal Split",ev_cost/MAX(1,COUNTA(Roster!$A$5:$A$204)),ev_cost/MAX(1,attendees))),"N/A"))</f>
        <v/>
      </c>
    </row>
    <row r="136" ht="20" customHeight="1">
      <c r="A136" s="12" t="n"/>
      <c r="B136" s="10" t="n"/>
      <c r="C136" s="10" t="n"/>
      <c r="D136" s="10" t="n"/>
      <c r="E136" s="10" t="n"/>
      <c r="F136" s="13" t="n"/>
      <c r="G136" s="10" t="n"/>
      <c r="H136" s="10" t="n"/>
      <c r="I136" s="10" t="n"/>
      <c r="J136" s="108">
        <f>IF(G136="","",IFERROR(LET(ev_cost,INDEX(Events!$G$5:$G$505,MATCH(G136,Events!$A$5:$A$505,0)),ev_split,INDEX(Events!$I$5:$I$505,MATCH(G136,Events!$A$5:$A$505,0)),att_offset,MATCH(G136,Attendance!$B$3:$AY$3,0),attendees,COUNTIF(INDEX(Attendance!$B$7:$AY$206,0,att_offset),"1"),IF(ev_split="Equal Split",ev_cost/MAX(1,COUNTA(Roster!$A$5:$A$204)),ev_cost/MAX(1,attendees))),"N/A"))</f>
        <v/>
      </c>
    </row>
    <row r="137" ht="20" customHeight="1">
      <c r="A137" s="16" t="n"/>
      <c r="B137" s="14" t="n"/>
      <c r="C137" s="14" t="n"/>
      <c r="D137" s="14" t="n"/>
      <c r="E137" s="14" t="n"/>
      <c r="F137" s="17" t="n"/>
      <c r="G137" s="14" t="n"/>
      <c r="H137" s="14" t="n"/>
      <c r="I137" s="14" t="n"/>
      <c r="J137" s="108">
        <f>IF(G137="","",IFERROR(LET(ev_cost,INDEX(Events!$G$5:$G$505,MATCH(G137,Events!$A$5:$A$505,0)),ev_split,INDEX(Events!$I$5:$I$505,MATCH(G137,Events!$A$5:$A$505,0)),att_offset,MATCH(G137,Attendance!$B$3:$AY$3,0),attendees,COUNTIF(INDEX(Attendance!$B$7:$AY$206,0,att_offset),"1"),IF(ev_split="Equal Split",ev_cost/MAX(1,COUNTA(Roster!$A$5:$A$204)),ev_cost/MAX(1,attendees))),"N/A"))</f>
        <v/>
      </c>
    </row>
    <row r="138" ht="20" customHeight="1">
      <c r="A138" s="12" t="n"/>
      <c r="B138" s="10" t="n"/>
      <c r="C138" s="10" t="n"/>
      <c r="D138" s="10" t="n"/>
      <c r="E138" s="10" t="n"/>
      <c r="F138" s="13" t="n"/>
      <c r="G138" s="10" t="n"/>
      <c r="H138" s="10" t="n"/>
      <c r="I138" s="10" t="n"/>
      <c r="J138" s="108">
        <f>IF(G138="","",IFERROR(LET(ev_cost,INDEX(Events!$G$5:$G$505,MATCH(G138,Events!$A$5:$A$505,0)),ev_split,INDEX(Events!$I$5:$I$505,MATCH(G138,Events!$A$5:$A$505,0)),att_offset,MATCH(G138,Attendance!$B$3:$AY$3,0),attendees,COUNTIF(INDEX(Attendance!$B$7:$AY$206,0,att_offset),"1"),IF(ev_split="Equal Split",ev_cost/MAX(1,COUNTA(Roster!$A$5:$A$204)),ev_cost/MAX(1,attendees))),"N/A"))</f>
        <v/>
      </c>
    </row>
    <row r="139" ht="20" customHeight="1">
      <c r="A139" s="16" t="n"/>
      <c r="B139" s="14" t="n"/>
      <c r="C139" s="14" t="n"/>
      <c r="D139" s="14" t="n"/>
      <c r="E139" s="14" t="n"/>
      <c r="F139" s="17" t="n"/>
      <c r="G139" s="14" t="n"/>
      <c r="H139" s="14" t="n"/>
      <c r="I139" s="14" t="n"/>
      <c r="J139" s="108">
        <f>IF(G139="","",IFERROR(LET(ev_cost,INDEX(Events!$G$5:$G$505,MATCH(G139,Events!$A$5:$A$505,0)),ev_split,INDEX(Events!$I$5:$I$505,MATCH(G139,Events!$A$5:$A$505,0)),att_offset,MATCH(G139,Attendance!$B$3:$AY$3,0),attendees,COUNTIF(INDEX(Attendance!$B$7:$AY$206,0,att_offset),"1"),IF(ev_split="Equal Split",ev_cost/MAX(1,COUNTA(Roster!$A$5:$A$204)),ev_cost/MAX(1,attendees))),"N/A"))</f>
        <v/>
      </c>
    </row>
    <row r="140" ht="20" customHeight="1">
      <c r="A140" s="12" t="n"/>
      <c r="B140" s="10" t="n"/>
      <c r="C140" s="10" t="n"/>
      <c r="D140" s="10" t="n"/>
      <c r="E140" s="10" t="n"/>
      <c r="F140" s="13" t="n"/>
      <c r="G140" s="10" t="n"/>
      <c r="H140" s="10" t="n"/>
      <c r="I140" s="10" t="n"/>
      <c r="J140" s="108">
        <f>IF(G140="","",IFERROR(LET(ev_cost,INDEX(Events!$G$5:$G$505,MATCH(G140,Events!$A$5:$A$505,0)),ev_split,INDEX(Events!$I$5:$I$505,MATCH(G140,Events!$A$5:$A$505,0)),att_offset,MATCH(G140,Attendance!$B$3:$AY$3,0),attendees,COUNTIF(INDEX(Attendance!$B$7:$AY$206,0,att_offset),"1"),IF(ev_split="Equal Split",ev_cost/MAX(1,COUNTA(Roster!$A$5:$A$204)),ev_cost/MAX(1,attendees))),"N/A"))</f>
        <v/>
      </c>
    </row>
    <row r="141" ht="20" customHeight="1">
      <c r="A141" s="16" t="n"/>
      <c r="B141" s="14" t="n"/>
      <c r="C141" s="14" t="n"/>
      <c r="D141" s="14" t="n"/>
      <c r="E141" s="14" t="n"/>
      <c r="F141" s="17" t="n"/>
      <c r="G141" s="14" t="n"/>
      <c r="H141" s="14" t="n"/>
      <c r="I141" s="14" t="n"/>
      <c r="J141" s="108">
        <f>IF(G141="","",IFERROR(LET(ev_cost,INDEX(Events!$G$5:$G$505,MATCH(G141,Events!$A$5:$A$505,0)),ev_split,INDEX(Events!$I$5:$I$505,MATCH(G141,Events!$A$5:$A$505,0)),att_offset,MATCH(G141,Attendance!$B$3:$AY$3,0),attendees,COUNTIF(INDEX(Attendance!$B$7:$AY$206,0,att_offset),"1"),IF(ev_split="Equal Split",ev_cost/MAX(1,COUNTA(Roster!$A$5:$A$204)),ev_cost/MAX(1,attendees))),"N/A"))</f>
        <v/>
      </c>
    </row>
    <row r="142" ht="20" customHeight="1">
      <c r="A142" s="12" t="n"/>
      <c r="B142" s="10" t="n"/>
      <c r="C142" s="10" t="n"/>
      <c r="D142" s="10" t="n"/>
      <c r="E142" s="10" t="n"/>
      <c r="F142" s="13" t="n"/>
      <c r="G142" s="10" t="n"/>
      <c r="H142" s="10" t="n"/>
      <c r="I142" s="10" t="n"/>
      <c r="J142" s="108">
        <f>IF(G142="","",IFERROR(LET(ev_cost,INDEX(Events!$G$5:$G$505,MATCH(G142,Events!$A$5:$A$505,0)),ev_split,INDEX(Events!$I$5:$I$505,MATCH(G142,Events!$A$5:$A$505,0)),att_offset,MATCH(G142,Attendance!$B$3:$AY$3,0),attendees,COUNTIF(INDEX(Attendance!$B$7:$AY$206,0,att_offset),"1"),IF(ev_split="Equal Split",ev_cost/MAX(1,COUNTA(Roster!$A$5:$A$204)),ev_cost/MAX(1,attendees))),"N/A"))</f>
        <v/>
      </c>
    </row>
    <row r="143" ht="20" customHeight="1">
      <c r="A143" s="16" t="n"/>
      <c r="B143" s="14" t="n"/>
      <c r="C143" s="14" t="n"/>
      <c r="D143" s="14" t="n"/>
      <c r="E143" s="14" t="n"/>
      <c r="F143" s="17" t="n"/>
      <c r="G143" s="14" t="n"/>
      <c r="H143" s="14" t="n"/>
      <c r="I143" s="14" t="n"/>
      <c r="J143" s="108">
        <f>IF(G143="","",IFERROR(LET(ev_cost,INDEX(Events!$G$5:$G$505,MATCH(G143,Events!$A$5:$A$505,0)),ev_split,INDEX(Events!$I$5:$I$505,MATCH(G143,Events!$A$5:$A$505,0)),att_offset,MATCH(G143,Attendance!$B$3:$AY$3,0),attendees,COUNTIF(INDEX(Attendance!$B$7:$AY$206,0,att_offset),"1"),IF(ev_split="Equal Split",ev_cost/MAX(1,COUNTA(Roster!$A$5:$A$204)),ev_cost/MAX(1,attendees))),"N/A"))</f>
        <v/>
      </c>
    </row>
    <row r="144" ht="20" customHeight="1">
      <c r="A144" s="12" t="n"/>
      <c r="B144" s="10" t="n"/>
      <c r="C144" s="10" t="n"/>
      <c r="D144" s="10" t="n"/>
      <c r="E144" s="10" t="n"/>
      <c r="F144" s="13" t="n"/>
      <c r="G144" s="10" t="n"/>
      <c r="H144" s="10" t="n"/>
      <c r="I144" s="10" t="n"/>
      <c r="J144" s="108">
        <f>IF(G144="","",IFERROR(LET(ev_cost,INDEX(Events!$G$5:$G$505,MATCH(G144,Events!$A$5:$A$505,0)),ev_split,INDEX(Events!$I$5:$I$505,MATCH(G144,Events!$A$5:$A$505,0)),att_offset,MATCH(G144,Attendance!$B$3:$AY$3,0),attendees,COUNTIF(INDEX(Attendance!$B$7:$AY$206,0,att_offset),"1"),IF(ev_split="Equal Split",ev_cost/MAX(1,COUNTA(Roster!$A$5:$A$204)),ev_cost/MAX(1,attendees))),"N/A"))</f>
        <v/>
      </c>
    </row>
    <row r="145" ht="20" customHeight="1">
      <c r="A145" s="16" t="n"/>
      <c r="B145" s="14" t="n"/>
      <c r="C145" s="14" t="n"/>
      <c r="D145" s="14" t="n"/>
      <c r="E145" s="14" t="n"/>
      <c r="F145" s="17" t="n"/>
      <c r="G145" s="14" t="n"/>
      <c r="H145" s="14" t="n"/>
      <c r="I145" s="14" t="n"/>
      <c r="J145" s="108">
        <f>IF(G145="","",IFERROR(LET(ev_cost,INDEX(Events!$G$5:$G$505,MATCH(G145,Events!$A$5:$A$505,0)),ev_split,INDEX(Events!$I$5:$I$505,MATCH(G145,Events!$A$5:$A$505,0)),att_offset,MATCH(G145,Attendance!$B$3:$AY$3,0),attendees,COUNTIF(INDEX(Attendance!$B$7:$AY$206,0,att_offset),"1"),IF(ev_split="Equal Split",ev_cost/MAX(1,COUNTA(Roster!$A$5:$A$204)),ev_cost/MAX(1,attendees))),"N/A"))</f>
        <v/>
      </c>
    </row>
    <row r="146" ht="20" customHeight="1">
      <c r="A146" s="12" t="n"/>
      <c r="B146" s="10" t="n"/>
      <c r="C146" s="10" t="n"/>
      <c r="D146" s="10" t="n"/>
      <c r="E146" s="10" t="n"/>
      <c r="F146" s="13" t="n"/>
      <c r="G146" s="10" t="n"/>
      <c r="H146" s="10" t="n"/>
      <c r="I146" s="10" t="n"/>
      <c r="J146" s="108">
        <f>IF(G146="","",IFERROR(LET(ev_cost,INDEX(Events!$G$5:$G$505,MATCH(G146,Events!$A$5:$A$505,0)),ev_split,INDEX(Events!$I$5:$I$505,MATCH(G146,Events!$A$5:$A$505,0)),att_offset,MATCH(G146,Attendance!$B$3:$AY$3,0),attendees,COUNTIF(INDEX(Attendance!$B$7:$AY$206,0,att_offset),"1"),IF(ev_split="Equal Split",ev_cost/MAX(1,COUNTA(Roster!$A$5:$A$204)),ev_cost/MAX(1,attendees))),"N/A"))</f>
        <v/>
      </c>
    </row>
    <row r="147" ht="20" customHeight="1">
      <c r="A147" s="16" t="n"/>
      <c r="B147" s="14" t="n"/>
      <c r="C147" s="14" t="n"/>
      <c r="D147" s="14" t="n"/>
      <c r="E147" s="14" t="n"/>
      <c r="F147" s="17" t="n"/>
      <c r="G147" s="14" t="n"/>
      <c r="H147" s="14" t="n"/>
      <c r="I147" s="14" t="n"/>
      <c r="J147" s="108">
        <f>IF(G147="","",IFERROR(LET(ev_cost,INDEX(Events!$G$5:$G$505,MATCH(G147,Events!$A$5:$A$505,0)),ev_split,INDEX(Events!$I$5:$I$505,MATCH(G147,Events!$A$5:$A$505,0)),att_offset,MATCH(G147,Attendance!$B$3:$AY$3,0),attendees,COUNTIF(INDEX(Attendance!$B$7:$AY$206,0,att_offset),"1"),IF(ev_split="Equal Split",ev_cost/MAX(1,COUNTA(Roster!$A$5:$A$204)),ev_cost/MAX(1,attendees))),"N/A"))</f>
        <v/>
      </c>
    </row>
    <row r="148" ht="20" customHeight="1">
      <c r="A148" s="12" t="n"/>
      <c r="B148" s="10" t="n"/>
      <c r="C148" s="10" t="n"/>
      <c r="D148" s="10" t="n"/>
      <c r="E148" s="10" t="n"/>
      <c r="F148" s="13" t="n"/>
      <c r="G148" s="10" t="n"/>
      <c r="H148" s="10" t="n"/>
      <c r="I148" s="10" t="n"/>
      <c r="J148" s="108">
        <f>IF(G148="","",IFERROR(LET(ev_cost,INDEX(Events!$G$5:$G$505,MATCH(G148,Events!$A$5:$A$505,0)),ev_split,INDEX(Events!$I$5:$I$505,MATCH(G148,Events!$A$5:$A$505,0)),att_offset,MATCH(G148,Attendance!$B$3:$AY$3,0),attendees,COUNTIF(INDEX(Attendance!$B$7:$AY$206,0,att_offset),"1"),IF(ev_split="Equal Split",ev_cost/MAX(1,COUNTA(Roster!$A$5:$A$204)),ev_cost/MAX(1,attendees))),"N/A"))</f>
        <v/>
      </c>
    </row>
    <row r="149" ht="20" customHeight="1">
      <c r="A149" s="16" t="n"/>
      <c r="B149" s="14" t="n"/>
      <c r="C149" s="14" t="n"/>
      <c r="D149" s="14" t="n"/>
      <c r="E149" s="14" t="n"/>
      <c r="F149" s="17" t="n"/>
      <c r="G149" s="14" t="n"/>
      <c r="H149" s="14" t="n"/>
      <c r="I149" s="14" t="n"/>
      <c r="J149" s="108">
        <f>IF(G149="","",IFERROR(LET(ev_cost,INDEX(Events!$G$5:$G$505,MATCH(G149,Events!$A$5:$A$505,0)),ev_split,INDEX(Events!$I$5:$I$505,MATCH(G149,Events!$A$5:$A$505,0)),att_offset,MATCH(G149,Attendance!$B$3:$AY$3,0),attendees,COUNTIF(INDEX(Attendance!$B$7:$AY$206,0,att_offset),"1"),IF(ev_split="Equal Split",ev_cost/MAX(1,COUNTA(Roster!$A$5:$A$204)),ev_cost/MAX(1,attendees))),"N/A"))</f>
        <v/>
      </c>
    </row>
    <row r="150" ht="20" customHeight="1">
      <c r="A150" s="12" t="n"/>
      <c r="B150" s="10" t="n"/>
      <c r="C150" s="10" t="n"/>
      <c r="D150" s="10" t="n"/>
      <c r="E150" s="10" t="n"/>
      <c r="F150" s="13" t="n"/>
      <c r="G150" s="10" t="n"/>
      <c r="H150" s="10" t="n"/>
      <c r="I150" s="10" t="n"/>
      <c r="J150" s="108">
        <f>IF(G150="","",IFERROR(LET(ev_cost,INDEX(Events!$G$5:$G$505,MATCH(G150,Events!$A$5:$A$505,0)),ev_split,INDEX(Events!$I$5:$I$505,MATCH(G150,Events!$A$5:$A$505,0)),att_offset,MATCH(G150,Attendance!$B$3:$AY$3,0),attendees,COUNTIF(INDEX(Attendance!$B$7:$AY$206,0,att_offset),"1"),IF(ev_split="Equal Split",ev_cost/MAX(1,COUNTA(Roster!$A$5:$A$204)),ev_cost/MAX(1,attendees))),"N/A"))</f>
        <v/>
      </c>
    </row>
    <row r="151" ht="20" customHeight="1">
      <c r="A151" s="16" t="n"/>
      <c r="B151" s="14" t="n"/>
      <c r="C151" s="14" t="n"/>
      <c r="D151" s="14" t="n"/>
      <c r="E151" s="14" t="n"/>
      <c r="F151" s="17" t="n"/>
      <c r="G151" s="14" t="n"/>
      <c r="H151" s="14" t="n"/>
      <c r="I151" s="14" t="n"/>
      <c r="J151" s="108">
        <f>IF(G151="","",IFERROR(LET(ev_cost,INDEX(Events!$G$5:$G$505,MATCH(G151,Events!$A$5:$A$505,0)),ev_split,INDEX(Events!$I$5:$I$505,MATCH(G151,Events!$A$5:$A$505,0)),att_offset,MATCH(G151,Attendance!$B$3:$AY$3,0),attendees,COUNTIF(INDEX(Attendance!$B$7:$AY$206,0,att_offset),"1"),IF(ev_split="Equal Split",ev_cost/MAX(1,COUNTA(Roster!$A$5:$A$204)),ev_cost/MAX(1,attendees))),"N/A"))</f>
        <v/>
      </c>
    </row>
    <row r="152" ht="20" customHeight="1">
      <c r="A152" s="12" t="n"/>
      <c r="B152" s="10" t="n"/>
      <c r="C152" s="10" t="n"/>
      <c r="D152" s="10" t="n"/>
      <c r="E152" s="10" t="n"/>
      <c r="F152" s="13" t="n"/>
      <c r="G152" s="10" t="n"/>
      <c r="H152" s="10" t="n"/>
      <c r="I152" s="10" t="n"/>
      <c r="J152" s="108">
        <f>IF(G152="","",IFERROR(LET(ev_cost,INDEX(Events!$G$5:$G$505,MATCH(G152,Events!$A$5:$A$505,0)),ev_split,INDEX(Events!$I$5:$I$505,MATCH(G152,Events!$A$5:$A$505,0)),att_offset,MATCH(G152,Attendance!$B$3:$AY$3,0),attendees,COUNTIF(INDEX(Attendance!$B$7:$AY$206,0,att_offset),"1"),IF(ev_split="Equal Split",ev_cost/MAX(1,COUNTA(Roster!$A$5:$A$204)),ev_cost/MAX(1,attendees))),"N/A"))</f>
        <v/>
      </c>
    </row>
    <row r="153" ht="20" customHeight="1">
      <c r="A153" s="16" t="n"/>
      <c r="B153" s="14" t="n"/>
      <c r="C153" s="14" t="n"/>
      <c r="D153" s="14" t="n"/>
      <c r="E153" s="14" t="n"/>
      <c r="F153" s="17" t="n"/>
      <c r="G153" s="14" t="n"/>
      <c r="H153" s="14" t="n"/>
      <c r="I153" s="14" t="n"/>
      <c r="J153" s="108">
        <f>IF(G153="","",IFERROR(LET(ev_cost,INDEX(Events!$G$5:$G$505,MATCH(G153,Events!$A$5:$A$505,0)),ev_split,INDEX(Events!$I$5:$I$505,MATCH(G153,Events!$A$5:$A$505,0)),att_offset,MATCH(G153,Attendance!$B$3:$AY$3,0),attendees,COUNTIF(INDEX(Attendance!$B$7:$AY$206,0,att_offset),"1"),IF(ev_split="Equal Split",ev_cost/MAX(1,COUNTA(Roster!$A$5:$A$204)),ev_cost/MAX(1,attendees))),"N/A"))</f>
        <v/>
      </c>
    </row>
    <row r="154" ht="20" customHeight="1">
      <c r="A154" s="12" t="n"/>
      <c r="B154" s="10" t="n"/>
      <c r="C154" s="10" t="n"/>
      <c r="D154" s="10" t="n"/>
      <c r="E154" s="10" t="n"/>
      <c r="F154" s="13" t="n"/>
      <c r="G154" s="10" t="n"/>
      <c r="H154" s="10" t="n"/>
      <c r="I154" s="10" t="n"/>
      <c r="J154" s="108">
        <f>IF(G154="","",IFERROR(LET(ev_cost,INDEX(Events!$G$5:$G$505,MATCH(G154,Events!$A$5:$A$505,0)),ev_split,INDEX(Events!$I$5:$I$505,MATCH(G154,Events!$A$5:$A$505,0)),att_offset,MATCH(G154,Attendance!$B$3:$AY$3,0),attendees,COUNTIF(INDEX(Attendance!$B$7:$AY$206,0,att_offset),"1"),IF(ev_split="Equal Split",ev_cost/MAX(1,COUNTA(Roster!$A$5:$A$204)),ev_cost/MAX(1,attendees))),"N/A"))</f>
        <v/>
      </c>
    </row>
    <row r="155" ht="20" customHeight="1">
      <c r="A155" s="16" t="n"/>
      <c r="B155" s="14" t="n"/>
      <c r="C155" s="14" t="n"/>
      <c r="D155" s="14" t="n"/>
      <c r="E155" s="14" t="n"/>
      <c r="F155" s="17" t="n"/>
      <c r="G155" s="14" t="n"/>
      <c r="H155" s="14" t="n"/>
      <c r="I155" s="14" t="n"/>
      <c r="J155" s="108">
        <f>IF(G155="","",IFERROR(LET(ev_cost,INDEX(Events!$G$5:$G$505,MATCH(G155,Events!$A$5:$A$505,0)),ev_split,INDEX(Events!$I$5:$I$505,MATCH(G155,Events!$A$5:$A$505,0)),att_offset,MATCH(G155,Attendance!$B$3:$AY$3,0),attendees,COUNTIF(INDEX(Attendance!$B$7:$AY$206,0,att_offset),"1"),IF(ev_split="Equal Split",ev_cost/MAX(1,COUNTA(Roster!$A$5:$A$204)),ev_cost/MAX(1,attendees))),"N/A"))</f>
        <v/>
      </c>
    </row>
    <row r="156" ht="20" customHeight="1">
      <c r="A156" s="12" t="n"/>
      <c r="B156" s="10" t="n"/>
      <c r="C156" s="10" t="n"/>
      <c r="D156" s="10" t="n"/>
      <c r="E156" s="10" t="n"/>
      <c r="F156" s="13" t="n"/>
      <c r="G156" s="10" t="n"/>
      <c r="H156" s="10" t="n"/>
      <c r="I156" s="10" t="n"/>
      <c r="J156" s="108">
        <f>IF(G156="","",IFERROR(LET(ev_cost,INDEX(Events!$G$5:$G$505,MATCH(G156,Events!$A$5:$A$505,0)),ev_split,INDEX(Events!$I$5:$I$505,MATCH(G156,Events!$A$5:$A$505,0)),att_offset,MATCH(G156,Attendance!$B$3:$AY$3,0),attendees,COUNTIF(INDEX(Attendance!$B$7:$AY$206,0,att_offset),"1"),IF(ev_split="Equal Split",ev_cost/MAX(1,COUNTA(Roster!$A$5:$A$204)),ev_cost/MAX(1,attendees))),"N/A"))</f>
        <v/>
      </c>
    </row>
    <row r="157" ht="20" customHeight="1">
      <c r="A157" s="16" t="n"/>
      <c r="B157" s="14" t="n"/>
      <c r="C157" s="14" t="n"/>
      <c r="D157" s="14" t="n"/>
      <c r="E157" s="14" t="n"/>
      <c r="F157" s="17" t="n"/>
      <c r="G157" s="14" t="n"/>
      <c r="H157" s="14" t="n"/>
      <c r="I157" s="14" t="n"/>
      <c r="J157" s="108">
        <f>IF(G157="","",IFERROR(LET(ev_cost,INDEX(Events!$G$5:$G$505,MATCH(G157,Events!$A$5:$A$505,0)),ev_split,INDEX(Events!$I$5:$I$505,MATCH(G157,Events!$A$5:$A$505,0)),att_offset,MATCH(G157,Attendance!$B$3:$AY$3,0),attendees,COUNTIF(INDEX(Attendance!$B$7:$AY$206,0,att_offset),"1"),IF(ev_split="Equal Split",ev_cost/MAX(1,COUNTA(Roster!$A$5:$A$204)),ev_cost/MAX(1,attendees))),"N/A"))</f>
        <v/>
      </c>
    </row>
    <row r="158" ht="20" customHeight="1">
      <c r="A158" s="12" t="n"/>
      <c r="B158" s="10" t="n"/>
      <c r="C158" s="10" t="n"/>
      <c r="D158" s="10" t="n"/>
      <c r="E158" s="10" t="n"/>
      <c r="F158" s="13" t="n"/>
      <c r="G158" s="10" t="n"/>
      <c r="H158" s="10" t="n"/>
      <c r="I158" s="10" t="n"/>
      <c r="J158" s="108">
        <f>IF(G158="","",IFERROR(LET(ev_cost,INDEX(Events!$G$5:$G$505,MATCH(G158,Events!$A$5:$A$505,0)),ev_split,INDEX(Events!$I$5:$I$505,MATCH(G158,Events!$A$5:$A$505,0)),att_offset,MATCH(G158,Attendance!$B$3:$AY$3,0),attendees,COUNTIF(INDEX(Attendance!$B$7:$AY$206,0,att_offset),"1"),IF(ev_split="Equal Split",ev_cost/MAX(1,COUNTA(Roster!$A$5:$A$204)),ev_cost/MAX(1,attendees))),"N/A"))</f>
        <v/>
      </c>
    </row>
    <row r="159" ht="20" customHeight="1">
      <c r="A159" s="16" t="n"/>
      <c r="B159" s="14" t="n"/>
      <c r="C159" s="14" t="n"/>
      <c r="D159" s="14" t="n"/>
      <c r="E159" s="14" t="n"/>
      <c r="F159" s="17" t="n"/>
      <c r="G159" s="14" t="n"/>
      <c r="H159" s="14" t="n"/>
      <c r="I159" s="14" t="n"/>
      <c r="J159" s="108">
        <f>IF(G159="","",IFERROR(LET(ev_cost,INDEX(Events!$G$5:$G$505,MATCH(G159,Events!$A$5:$A$505,0)),ev_split,INDEX(Events!$I$5:$I$505,MATCH(G159,Events!$A$5:$A$505,0)),att_offset,MATCH(G159,Attendance!$B$3:$AY$3,0),attendees,COUNTIF(INDEX(Attendance!$B$7:$AY$206,0,att_offset),"1"),IF(ev_split="Equal Split",ev_cost/MAX(1,COUNTA(Roster!$A$5:$A$204)),ev_cost/MAX(1,attendees))),"N/A"))</f>
        <v/>
      </c>
    </row>
    <row r="160" ht="20" customHeight="1">
      <c r="A160" s="12" t="n"/>
      <c r="B160" s="10" t="n"/>
      <c r="C160" s="10" t="n"/>
      <c r="D160" s="10" t="n"/>
      <c r="E160" s="10" t="n"/>
      <c r="F160" s="13" t="n"/>
      <c r="G160" s="10" t="n"/>
      <c r="H160" s="10" t="n"/>
      <c r="I160" s="10" t="n"/>
      <c r="J160" s="108">
        <f>IF(G160="","",IFERROR(LET(ev_cost,INDEX(Events!$G$5:$G$505,MATCH(G160,Events!$A$5:$A$505,0)),ev_split,INDEX(Events!$I$5:$I$505,MATCH(G160,Events!$A$5:$A$505,0)),att_offset,MATCH(G160,Attendance!$B$3:$AY$3,0),attendees,COUNTIF(INDEX(Attendance!$B$7:$AY$206,0,att_offset),"1"),IF(ev_split="Equal Split",ev_cost/MAX(1,COUNTA(Roster!$A$5:$A$204)),ev_cost/MAX(1,attendees))),"N/A"))</f>
        <v/>
      </c>
    </row>
    <row r="161" ht="20" customHeight="1">
      <c r="A161" s="16" t="n"/>
      <c r="B161" s="14" t="n"/>
      <c r="C161" s="14" t="n"/>
      <c r="D161" s="14" t="n"/>
      <c r="E161" s="14" t="n"/>
      <c r="F161" s="17" t="n"/>
      <c r="G161" s="14" t="n"/>
      <c r="H161" s="14" t="n"/>
      <c r="I161" s="14" t="n"/>
      <c r="J161" s="108">
        <f>IF(G161="","",IFERROR(LET(ev_cost,INDEX(Events!$G$5:$G$505,MATCH(G161,Events!$A$5:$A$505,0)),ev_split,INDEX(Events!$I$5:$I$505,MATCH(G161,Events!$A$5:$A$505,0)),att_offset,MATCH(G161,Attendance!$B$3:$AY$3,0),attendees,COUNTIF(INDEX(Attendance!$B$7:$AY$206,0,att_offset),"1"),IF(ev_split="Equal Split",ev_cost/MAX(1,COUNTA(Roster!$A$5:$A$204)),ev_cost/MAX(1,attendees))),"N/A"))</f>
        <v/>
      </c>
    </row>
    <row r="162" ht="20" customHeight="1">
      <c r="A162" s="12" t="n"/>
      <c r="B162" s="10" t="n"/>
      <c r="C162" s="10" t="n"/>
      <c r="D162" s="10" t="n"/>
      <c r="E162" s="10" t="n"/>
      <c r="F162" s="13" t="n"/>
      <c r="G162" s="10" t="n"/>
      <c r="H162" s="10" t="n"/>
      <c r="I162" s="10" t="n"/>
      <c r="J162" s="108">
        <f>IF(G162="","",IFERROR(LET(ev_cost,INDEX(Events!$G$5:$G$505,MATCH(G162,Events!$A$5:$A$505,0)),ev_split,INDEX(Events!$I$5:$I$505,MATCH(G162,Events!$A$5:$A$505,0)),att_offset,MATCH(G162,Attendance!$B$3:$AY$3,0),attendees,COUNTIF(INDEX(Attendance!$B$7:$AY$206,0,att_offset),"1"),IF(ev_split="Equal Split",ev_cost/MAX(1,COUNTA(Roster!$A$5:$A$204)),ev_cost/MAX(1,attendees))),"N/A"))</f>
        <v/>
      </c>
    </row>
    <row r="163" ht="20" customHeight="1">
      <c r="A163" s="16" t="n"/>
      <c r="B163" s="14" t="n"/>
      <c r="C163" s="14" t="n"/>
      <c r="D163" s="14" t="n"/>
      <c r="E163" s="14" t="n"/>
      <c r="F163" s="17" t="n"/>
      <c r="G163" s="14" t="n"/>
      <c r="H163" s="14" t="n"/>
      <c r="I163" s="14" t="n"/>
      <c r="J163" s="108">
        <f>IF(G163="","",IFERROR(LET(ev_cost,INDEX(Events!$G$5:$G$505,MATCH(G163,Events!$A$5:$A$505,0)),ev_split,INDEX(Events!$I$5:$I$505,MATCH(G163,Events!$A$5:$A$505,0)),att_offset,MATCH(G163,Attendance!$B$3:$AY$3,0),attendees,COUNTIF(INDEX(Attendance!$B$7:$AY$206,0,att_offset),"1"),IF(ev_split="Equal Split",ev_cost/MAX(1,COUNTA(Roster!$A$5:$A$204)),ev_cost/MAX(1,attendees))),"N/A"))</f>
        <v/>
      </c>
    </row>
    <row r="164" ht="20" customHeight="1">
      <c r="A164" s="12" t="n"/>
      <c r="B164" s="10" t="n"/>
      <c r="C164" s="10" t="n"/>
      <c r="D164" s="10" t="n"/>
      <c r="E164" s="10" t="n"/>
      <c r="F164" s="13" t="n"/>
      <c r="G164" s="10" t="n"/>
      <c r="H164" s="10" t="n"/>
      <c r="I164" s="10" t="n"/>
      <c r="J164" s="108">
        <f>IF(G164="","",IFERROR(LET(ev_cost,INDEX(Events!$G$5:$G$505,MATCH(G164,Events!$A$5:$A$505,0)),ev_split,INDEX(Events!$I$5:$I$505,MATCH(G164,Events!$A$5:$A$505,0)),att_offset,MATCH(G164,Attendance!$B$3:$AY$3,0),attendees,COUNTIF(INDEX(Attendance!$B$7:$AY$206,0,att_offset),"1"),IF(ev_split="Equal Split",ev_cost/MAX(1,COUNTA(Roster!$A$5:$A$204)),ev_cost/MAX(1,attendees))),"N/A"))</f>
        <v/>
      </c>
    </row>
    <row r="165" ht="20" customHeight="1">
      <c r="A165" s="16" t="n"/>
      <c r="B165" s="14" t="n"/>
      <c r="C165" s="14" t="n"/>
      <c r="D165" s="14" t="n"/>
      <c r="E165" s="14" t="n"/>
      <c r="F165" s="17" t="n"/>
      <c r="G165" s="14" t="n"/>
      <c r="H165" s="14" t="n"/>
      <c r="I165" s="14" t="n"/>
      <c r="J165" s="108">
        <f>IF(G165="","",IFERROR(LET(ev_cost,INDEX(Events!$G$5:$G$505,MATCH(G165,Events!$A$5:$A$505,0)),ev_split,INDEX(Events!$I$5:$I$505,MATCH(G165,Events!$A$5:$A$505,0)),att_offset,MATCH(G165,Attendance!$B$3:$AY$3,0),attendees,COUNTIF(INDEX(Attendance!$B$7:$AY$206,0,att_offset),"1"),IF(ev_split="Equal Split",ev_cost/MAX(1,COUNTA(Roster!$A$5:$A$204)),ev_cost/MAX(1,attendees))),"N/A"))</f>
        <v/>
      </c>
    </row>
    <row r="166" ht="20" customHeight="1">
      <c r="A166" s="12" t="n"/>
      <c r="B166" s="10" t="n"/>
      <c r="C166" s="10" t="n"/>
      <c r="D166" s="10" t="n"/>
      <c r="E166" s="10" t="n"/>
      <c r="F166" s="13" t="n"/>
      <c r="G166" s="10" t="n"/>
      <c r="H166" s="10" t="n"/>
      <c r="I166" s="10" t="n"/>
      <c r="J166" s="108">
        <f>IF(G166="","",IFERROR(LET(ev_cost,INDEX(Events!$G$5:$G$505,MATCH(G166,Events!$A$5:$A$505,0)),ev_split,INDEX(Events!$I$5:$I$505,MATCH(G166,Events!$A$5:$A$505,0)),att_offset,MATCH(G166,Attendance!$B$3:$AY$3,0),attendees,COUNTIF(INDEX(Attendance!$B$7:$AY$206,0,att_offset),"1"),IF(ev_split="Equal Split",ev_cost/MAX(1,COUNTA(Roster!$A$5:$A$204)),ev_cost/MAX(1,attendees))),"N/A"))</f>
        <v/>
      </c>
    </row>
    <row r="167" ht="20" customHeight="1">
      <c r="A167" s="16" t="n"/>
      <c r="B167" s="14" t="n"/>
      <c r="C167" s="14" t="n"/>
      <c r="D167" s="14" t="n"/>
      <c r="E167" s="14" t="n"/>
      <c r="F167" s="17" t="n"/>
      <c r="G167" s="14" t="n"/>
      <c r="H167" s="14" t="n"/>
      <c r="I167" s="14" t="n"/>
      <c r="J167" s="108">
        <f>IF(G167="","",IFERROR(LET(ev_cost,INDEX(Events!$G$5:$G$505,MATCH(G167,Events!$A$5:$A$505,0)),ev_split,INDEX(Events!$I$5:$I$505,MATCH(G167,Events!$A$5:$A$505,0)),att_offset,MATCH(G167,Attendance!$B$3:$AY$3,0),attendees,COUNTIF(INDEX(Attendance!$B$7:$AY$206,0,att_offset),"1"),IF(ev_split="Equal Split",ev_cost/MAX(1,COUNTA(Roster!$A$5:$A$204)),ev_cost/MAX(1,attendees))),"N/A"))</f>
        <v/>
      </c>
    </row>
    <row r="168" ht="20" customHeight="1">
      <c r="A168" s="12" t="n"/>
      <c r="B168" s="10" t="n"/>
      <c r="C168" s="10" t="n"/>
      <c r="D168" s="10" t="n"/>
      <c r="E168" s="10" t="n"/>
      <c r="F168" s="13" t="n"/>
      <c r="G168" s="10" t="n"/>
      <c r="H168" s="10" t="n"/>
      <c r="I168" s="10" t="n"/>
      <c r="J168" s="108">
        <f>IF(G168="","",IFERROR(LET(ev_cost,INDEX(Events!$G$5:$G$505,MATCH(G168,Events!$A$5:$A$505,0)),ev_split,INDEX(Events!$I$5:$I$505,MATCH(G168,Events!$A$5:$A$505,0)),att_offset,MATCH(G168,Attendance!$B$3:$AY$3,0),attendees,COUNTIF(INDEX(Attendance!$B$7:$AY$206,0,att_offset),"1"),IF(ev_split="Equal Split",ev_cost/MAX(1,COUNTA(Roster!$A$5:$A$204)),ev_cost/MAX(1,attendees))),"N/A"))</f>
        <v/>
      </c>
    </row>
    <row r="169" ht="20" customHeight="1">
      <c r="A169" s="16" t="n"/>
      <c r="B169" s="14" t="n"/>
      <c r="C169" s="14" t="n"/>
      <c r="D169" s="14" t="n"/>
      <c r="E169" s="14" t="n"/>
      <c r="F169" s="17" t="n"/>
      <c r="G169" s="14" t="n"/>
      <c r="H169" s="14" t="n"/>
      <c r="I169" s="14" t="n"/>
      <c r="J169" s="108">
        <f>IF(G169="","",IFERROR(LET(ev_cost,INDEX(Events!$G$5:$G$505,MATCH(G169,Events!$A$5:$A$505,0)),ev_split,INDEX(Events!$I$5:$I$505,MATCH(G169,Events!$A$5:$A$505,0)),att_offset,MATCH(G169,Attendance!$B$3:$AY$3,0),attendees,COUNTIF(INDEX(Attendance!$B$7:$AY$206,0,att_offset),"1"),IF(ev_split="Equal Split",ev_cost/MAX(1,COUNTA(Roster!$A$5:$A$204)),ev_cost/MAX(1,attendees))),"N/A"))</f>
        <v/>
      </c>
    </row>
    <row r="170" ht="20" customHeight="1">
      <c r="A170" s="12" t="n"/>
      <c r="B170" s="10" t="n"/>
      <c r="C170" s="10" t="n"/>
      <c r="D170" s="10" t="n"/>
      <c r="E170" s="10" t="n"/>
      <c r="F170" s="13" t="n"/>
      <c r="G170" s="10" t="n"/>
      <c r="H170" s="10" t="n"/>
      <c r="I170" s="10" t="n"/>
      <c r="J170" s="108">
        <f>IF(G170="","",IFERROR(LET(ev_cost,INDEX(Events!$G$5:$G$505,MATCH(G170,Events!$A$5:$A$505,0)),ev_split,INDEX(Events!$I$5:$I$505,MATCH(G170,Events!$A$5:$A$505,0)),att_offset,MATCH(G170,Attendance!$B$3:$AY$3,0),attendees,COUNTIF(INDEX(Attendance!$B$7:$AY$206,0,att_offset),"1"),IF(ev_split="Equal Split",ev_cost/MAX(1,COUNTA(Roster!$A$5:$A$204)),ev_cost/MAX(1,attendees))),"N/A"))</f>
        <v/>
      </c>
    </row>
    <row r="171" ht="20" customHeight="1">
      <c r="A171" s="16" t="n"/>
      <c r="B171" s="14" t="n"/>
      <c r="C171" s="14" t="n"/>
      <c r="D171" s="14" t="n"/>
      <c r="E171" s="14" t="n"/>
      <c r="F171" s="17" t="n"/>
      <c r="G171" s="14" t="n"/>
      <c r="H171" s="14" t="n"/>
      <c r="I171" s="14" t="n"/>
      <c r="J171" s="108">
        <f>IF(G171="","",IFERROR(LET(ev_cost,INDEX(Events!$G$5:$G$505,MATCH(G171,Events!$A$5:$A$505,0)),ev_split,INDEX(Events!$I$5:$I$505,MATCH(G171,Events!$A$5:$A$505,0)),att_offset,MATCH(G171,Attendance!$B$3:$AY$3,0),attendees,COUNTIF(INDEX(Attendance!$B$7:$AY$206,0,att_offset),"1"),IF(ev_split="Equal Split",ev_cost/MAX(1,COUNTA(Roster!$A$5:$A$204)),ev_cost/MAX(1,attendees))),"N/A"))</f>
        <v/>
      </c>
    </row>
    <row r="172" ht="20" customHeight="1">
      <c r="A172" s="12" t="n"/>
      <c r="B172" s="10" t="n"/>
      <c r="C172" s="10" t="n"/>
      <c r="D172" s="10" t="n"/>
      <c r="E172" s="10" t="n"/>
      <c r="F172" s="13" t="n"/>
      <c r="G172" s="10" t="n"/>
      <c r="H172" s="10" t="n"/>
      <c r="I172" s="10" t="n"/>
      <c r="J172" s="108">
        <f>IF(G172="","",IFERROR(LET(ev_cost,INDEX(Events!$G$5:$G$505,MATCH(G172,Events!$A$5:$A$505,0)),ev_split,INDEX(Events!$I$5:$I$505,MATCH(G172,Events!$A$5:$A$505,0)),att_offset,MATCH(G172,Attendance!$B$3:$AY$3,0),attendees,COUNTIF(INDEX(Attendance!$B$7:$AY$206,0,att_offset),"1"),IF(ev_split="Equal Split",ev_cost/MAX(1,COUNTA(Roster!$A$5:$A$204)),ev_cost/MAX(1,attendees))),"N/A"))</f>
        <v/>
      </c>
    </row>
    <row r="173" ht="20" customHeight="1">
      <c r="A173" s="16" t="n"/>
      <c r="B173" s="14" t="n"/>
      <c r="C173" s="14" t="n"/>
      <c r="D173" s="14" t="n"/>
      <c r="E173" s="14" t="n"/>
      <c r="F173" s="17" t="n"/>
      <c r="G173" s="14" t="n"/>
      <c r="H173" s="14" t="n"/>
      <c r="I173" s="14" t="n"/>
      <c r="J173" s="108">
        <f>IF(G173="","",IFERROR(LET(ev_cost,INDEX(Events!$G$5:$G$505,MATCH(G173,Events!$A$5:$A$505,0)),ev_split,INDEX(Events!$I$5:$I$505,MATCH(G173,Events!$A$5:$A$505,0)),att_offset,MATCH(G173,Attendance!$B$3:$AY$3,0),attendees,COUNTIF(INDEX(Attendance!$B$7:$AY$206,0,att_offset),"1"),IF(ev_split="Equal Split",ev_cost/MAX(1,COUNTA(Roster!$A$5:$A$204)),ev_cost/MAX(1,attendees))),"N/A"))</f>
        <v/>
      </c>
    </row>
    <row r="174" ht="20" customHeight="1">
      <c r="A174" s="12" t="n"/>
      <c r="B174" s="10" t="n"/>
      <c r="C174" s="10" t="n"/>
      <c r="D174" s="10" t="n"/>
      <c r="E174" s="10" t="n"/>
      <c r="F174" s="13" t="n"/>
      <c r="G174" s="10" t="n"/>
      <c r="H174" s="10" t="n"/>
      <c r="I174" s="10" t="n"/>
      <c r="J174" s="108">
        <f>IF(G174="","",IFERROR(LET(ev_cost,INDEX(Events!$G$5:$G$505,MATCH(G174,Events!$A$5:$A$505,0)),ev_split,INDEX(Events!$I$5:$I$505,MATCH(G174,Events!$A$5:$A$505,0)),att_offset,MATCH(G174,Attendance!$B$3:$AY$3,0),attendees,COUNTIF(INDEX(Attendance!$B$7:$AY$206,0,att_offset),"1"),IF(ev_split="Equal Split",ev_cost/MAX(1,COUNTA(Roster!$A$5:$A$204)),ev_cost/MAX(1,attendees))),"N/A"))</f>
        <v/>
      </c>
    </row>
    <row r="175" ht="20" customHeight="1">
      <c r="A175" s="16" t="n"/>
      <c r="B175" s="14" t="n"/>
      <c r="C175" s="14" t="n"/>
      <c r="D175" s="14" t="n"/>
      <c r="E175" s="14" t="n"/>
      <c r="F175" s="17" t="n"/>
      <c r="G175" s="14" t="n"/>
      <c r="H175" s="14" t="n"/>
      <c r="I175" s="14" t="n"/>
      <c r="J175" s="108">
        <f>IF(G175="","",IFERROR(LET(ev_cost,INDEX(Events!$G$5:$G$505,MATCH(G175,Events!$A$5:$A$505,0)),ev_split,INDEX(Events!$I$5:$I$505,MATCH(G175,Events!$A$5:$A$505,0)),att_offset,MATCH(G175,Attendance!$B$3:$AY$3,0),attendees,COUNTIF(INDEX(Attendance!$B$7:$AY$206,0,att_offset),"1"),IF(ev_split="Equal Split",ev_cost/MAX(1,COUNTA(Roster!$A$5:$A$204)),ev_cost/MAX(1,attendees))),"N/A"))</f>
        <v/>
      </c>
    </row>
    <row r="176" ht="20" customHeight="1">
      <c r="A176" s="12" t="n"/>
      <c r="B176" s="10" t="n"/>
      <c r="C176" s="10" t="n"/>
      <c r="D176" s="10" t="n"/>
      <c r="E176" s="10" t="n"/>
      <c r="F176" s="13" t="n"/>
      <c r="G176" s="10" t="n"/>
      <c r="H176" s="10" t="n"/>
      <c r="I176" s="10" t="n"/>
      <c r="J176" s="108">
        <f>IF(G176="","",IFERROR(LET(ev_cost,INDEX(Events!$G$5:$G$505,MATCH(G176,Events!$A$5:$A$505,0)),ev_split,INDEX(Events!$I$5:$I$505,MATCH(G176,Events!$A$5:$A$505,0)),att_offset,MATCH(G176,Attendance!$B$3:$AY$3,0),attendees,COUNTIF(INDEX(Attendance!$B$7:$AY$206,0,att_offset),"1"),IF(ev_split="Equal Split",ev_cost/MAX(1,COUNTA(Roster!$A$5:$A$204)),ev_cost/MAX(1,attendees))),"N/A"))</f>
        <v/>
      </c>
    </row>
    <row r="177" ht="20" customHeight="1">
      <c r="A177" s="16" t="n"/>
      <c r="B177" s="14" t="n"/>
      <c r="C177" s="14" t="n"/>
      <c r="D177" s="14" t="n"/>
      <c r="E177" s="14" t="n"/>
      <c r="F177" s="17" t="n"/>
      <c r="G177" s="14" t="n"/>
      <c r="H177" s="14" t="n"/>
      <c r="I177" s="14" t="n"/>
      <c r="J177" s="108">
        <f>IF(G177="","",IFERROR(LET(ev_cost,INDEX(Events!$G$5:$G$505,MATCH(G177,Events!$A$5:$A$505,0)),ev_split,INDEX(Events!$I$5:$I$505,MATCH(G177,Events!$A$5:$A$505,0)),att_offset,MATCH(G177,Attendance!$B$3:$AY$3,0),attendees,COUNTIF(INDEX(Attendance!$B$7:$AY$206,0,att_offset),"1"),IF(ev_split="Equal Split",ev_cost/MAX(1,COUNTA(Roster!$A$5:$A$204)),ev_cost/MAX(1,attendees))),"N/A"))</f>
        <v/>
      </c>
    </row>
    <row r="178" ht="20" customHeight="1">
      <c r="A178" s="12" t="n"/>
      <c r="B178" s="10" t="n"/>
      <c r="C178" s="10" t="n"/>
      <c r="D178" s="10" t="n"/>
      <c r="E178" s="10" t="n"/>
      <c r="F178" s="13" t="n"/>
      <c r="G178" s="10" t="n"/>
      <c r="H178" s="10" t="n"/>
      <c r="I178" s="10" t="n"/>
      <c r="J178" s="108">
        <f>IF(G178="","",IFERROR(LET(ev_cost,INDEX(Events!$G$5:$G$505,MATCH(G178,Events!$A$5:$A$505,0)),ev_split,INDEX(Events!$I$5:$I$505,MATCH(G178,Events!$A$5:$A$505,0)),att_offset,MATCH(G178,Attendance!$B$3:$AY$3,0),attendees,COUNTIF(INDEX(Attendance!$B$7:$AY$206,0,att_offset),"1"),IF(ev_split="Equal Split",ev_cost/MAX(1,COUNTA(Roster!$A$5:$A$204)),ev_cost/MAX(1,attendees))),"N/A"))</f>
        <v/>
      </c>
    </row>
    <row r="179" ht="20" customHeight="1">
      <c r="A179" s="16" t="n"/>
      <c r="B179" s="14" t="n"/>
      <c r="C179" s="14" t="n"/>
      <c r="D179" s="14" t="n"/>
      <c r="E179" s="14" t="n"/>
      <c r="F179" s="17" t="n"/>
      <c r="G179" s="14" t="n"/>
      <c r="H179" s="14" t="n"/>
      <c r="I179" s="14" t="n"/>
      <c r="J179" s="108">
        <f>IF(G179="","",IFERROR(LET(ev_cost,INDEX(Events!$G$5:$G$505,MATCH(G179,Events!$A$5:$A$505,0)),ev_split,INDEX(Events!$I$5:$I$505,MATCH(G179,Events!$A$5:$A$505,0)),att_offset,MATCH(G179,Attendance!$B$3:$AY$3,0),attendees,COUNTIF(INDEX(Attendance!$B$7:$AY$206,0,att_offset),"1"),IF(ev_split="Equal Split",ev_cost/MAX(1,COUNTA(Roster!$A$5:$A$204)),ev_cost/MAX(1,attendees))),"N/A"))</f>
        <v/>
      </c>
    </row>
    <row r="180" ht="20" customHeight="1">
      <c r="A180" s="12" t="n"/>
      <c r="B180" s="10" t="n"/>
      <c r="C180" s="10" t="n"/>
      <c r="D180" s="10" t="n"/>
      <c r="E180" s="10" t="n"/>
      <c r="F180" s="13" t="n"/>
      <c r="G180" s="10" t="n"/>
      <c r="H180" s="10" t="n"/>
      <c r="I180" s="10" t="n"/>
      <c r="J180" s="108">
        <f>IF(G180="","",IFERROR(LET(ev_cost,INDEX(Events!$G$5:$G$505,MATCH(G180,Events!$A$5:$A$505,0)),ev_split,INDEX(Events!$I$5:$I$505,MATCH(G180,Events!$A$5:$A$505,0)),att_offset,MATCH(G180,Attendance!$B$3:$AY$3,0),attendees,COUNTIF(INDEX(Attendance!$B$7:$AY$206,0,att_offset),"1"),IF(ev_split="Equal Split",ev_cost/MAX(1,COUNTA(Roster!$A$5:$A$204)),ev_cost/MAX(1,attendees))),"N/A"))</f>
        <v/>
      </c>
    </row>
    <row r="181" ht="20" customHeight="1">
      <c r="A181" s="16" t="n"/>
      <c r="B181" s="14" t="n"/>
      <c r="C181" s="14" t="n"/>
      <c r="D181" s="14" t="n"/>
      <c r="E181" s="14" t="n"/>
      <c r="F181" s="17" t="n"/>
      <c r="G181" s="14" t="n"/>
      <c r="H181" s="14" t="n"/>
      <c r="I181" s="14" t="n"/>
      <c r="J181" s="108">
        <f>IF(G181="","",IFERROR(LET(ev_cost,INDEX(Events!$G$5:$G$505,MATCH(G181,Events!$A$5:$A$505,0)),ev_split,INDEX(Events!$I$5:$I$505,MATCH(G181,Events!$A$5:$A$505,0)),att_offset,MATCH(G181,Attendance!$B$3:$AY$3,0),attendees,COUNTIF(INDEX(Attendance!$B$7:$AY$206,0,att_offset),"1"),IF(ev_split="Equal Split",ev_cost/MAX(1,COUNTA(Roster!$A$5:$A$204)),ev_cost/MAX(1,attendees))),"N/A"))</f>
        <v/>
      </c>
    </row>
    <row r="182" ht="20" customHeight="1">
      <c r="A182" s="12" t="n"/>
      <c r="B182" s="10" t="n"/>
      <c r="C182" s="10" t="n"/>
      <c r="D182" s="10" t="n"/>
      <c r="E182" s="10" t="n"/>
      <c r="F182" s="13" t="n"/>
      <c r="G182" s="10" t="n"/>
      <c r="H182" s="10" t="n"/>
      <c r="I182" s="10" t="n"/>
      <c r="J182" s="108">
        <f>IF(G182="","",IFERROR(LET(ev_cost,INDEX(Events!$G$5:$G$505,MATCH(G182,Events!$A$5:$A$505,0)),ev_split,INDEX(Events!$I$5:$I$505,MATCH(G182,Events!$A$5:$A$505,0)),att_offset,MATCH(G182,Attendance!$B$3:$AY$3,0),attendees,COUNTIF(INDEX(Attendance!$B$7:$AY$206,0,att_offset),"1"),IF(ev_split="Equal Split",ev_cost/MAX(1,COUNTA(Roster!$A$5:$A$204)),ev_cost/MAX(1,attendees))),"N/A"))</f>
        <v/>
      </c>
    </row>
    <row r="183" ht="20" customHeight="1">
      <c r="A183" s="16" t="n"/>
      <c r="B183" s="14" t="n"/>
      <c r="C183" s="14" t="n"/>
      <c r="D183" s="14" t="n"/>
      <c r="E183" s="14" t="n"/>
      <c r="F183" s="17" t="n"/>
      <c r="G183" s="14" t="n"/>
      <c r="H183" s="14" t="n"/>
      <c r="I183" s="14" t="n"/>
      <c r="J183" s="108">
        <f>IF(G183="","",IFERROR(LET(ev_cost,INDEX(Events!$G$5:$G$505,MATCH(G183,Events!$A$5:$A$505,0)),ev_split,INDEX(Events!$I$5:$I$505,MATCH(G183,Events!$A$5:$A$505,0)),att_offset,MATCH(G183,Attendance!$B$3:$AY$3,0),attendees,COUNTIF(INDEX(Attendance!$B$7:$AY$206,0,att_offset),"1"),IF(ev_split="Equal Split",ev_cost/MAX(1,COUNTA(Roster!$A$5:$A$204)),ev_cost/MAX(1,attendees))),"N/A"))</f>
        <v/>
      </c>
    </row>
    <row r="184" ht="20" customHeight="1">
      <c r="A184" s="12" t="n"/>
      <c r="B184" s="10" t="n"/>
      <c r="C184" s="10" t="n"/>
      <c r="D184" s="10" t="n"/>
      <c r="E184" s="10" t="n"/>
      <c r="F184" s="13" t="n"/>
      <c r="G184" s="10" t="n"/>
      <c r="H184" s="10" t="n"/>
      <c r="I184" s="10" t="n"/>
      <c r="J184" s="108">
        <f>IF(G184="","",IFERROR(LET(ev_cost,INDEX(Events!$G$5:$G$505,MATCH(G184,Events!$A$5:$A$505,0)),ev_split,INDEX(Events!$I$5:$I$505,MATCH(G184,Events!$A$5:$A$505,0)),att_offset,MATCH(G184,Attendance!$B$3:$AY$3,0),attendees,COUNTIF(INDEX(Attendance!$B$7:$AY$206,0,att_offset),"1"),IF(ev_split="Equal Split",ev_cost/MAX(1,COUNTA(Roster!$A$5:$A$204)),ev_cost/MAX(1,attendees))),"N/A"))</f>
        <v/>
      </c>
    </row>
    <row r="185" ht="20" customHeight="1">
      <c r="A185" s="16" t="n"/>
      <c r="B185" s="14" t="n"/>
      <c r="C185" s="14" t="n"/>
      <c r="D185" s="14" t="n"/>
      <c r="E185" s="14" t="n"/>
      <c r="F185" s="17" t="n"/>
      <c r="G185" s="14" t="n"/>
      <c r="H185" s="14" t="n"/>
      <c r="I185" s="14" t="n"/>
      <c r="J185" s="108">
        <f>IF(G185="","",IFERROR(LET(ev_cost,INDEX(Events!$G$5:$G$505,MATCH(G185,Events!$A$5:$A$505,0)),ev_split,INDEX(Events!$I$5:$I$505,MATCH(G185,Events!$A$5:$A$505,0)),att_offset,MATCH(G185,Attendance!$B$3:$AY$3,0),attendees,COUNTIF(INDEX(Attendance!$B$7:$AY$206,0,att_offset),"1"),IF(ev_split="Equal Split",ev_cost/MAX(1,COUNTA(Roster!$A$5:$A$204)),ev_cost/MAX(1,attendees))),"N/A"))</f>
        <v/>
      </c>
    </row>
    <row r="186" ht="20" customHeight="1">
      <c r="A186" s="12" t="n"/>
      <c r="B186" s="10" t="n"/>
      <c r="C186" s="10" t="n"/>
      <c r="D186" s="10" t="n"/>
      <c r="E186" s="10" t="n"/>
      <c r="F186" s="13" t="n"/>
      <c r="G186" s="10" t="n"/>
      <c r="H186" s="10" t="n"/>
      <c r="I186" s="10" t="n"/>
      <c r="J186" s="108">
        <f>IF(G186="","",IFERROR(LET(ev_cost,INDEX(Events!$G$5:$G$505,MATCH(G186,Events!$A$5:$A$505,0)),ev_split,INDEX(Events!$I$5:$I$505,MATCH(G186,Events!$A$5:$A$505,0)),att_offset,MATCH(G186,Attendance!$B$3:$AY$3,0),attendees,COUNTIF(INDEX(Attendance!$B$7:$AY$206,0,att_offset),"1"),IF(ev_split="Equal Split",ev_cost/MAX(1,COUNTA(Roster!$A$5:$A$204)),ev_cost/MAX(1,attendees))),"N/A"))</f>
        <v/>
      </c>
    </row>
    <row r="187" ht="20" customHeight="1">
      <c r="A187" s="16" t="n"/>
      <c r="B187" s="14" t="n"/>
      <c r="C187" s="14" t="n"/>
      <c r="D187" s="14" t="n"/>
      <c r="E187" s="14" t="n"/>
      <c r="F187" s="17" t="n"/>
      <c r="G187" s="14" t="n"/>
      <c r="H187" s="14" t="n"/>
      <c r="I187" s="14" t="n"/>
      <c r="J187" s="108">
        <f>IF(G187="","",IFERROR(LET(ev_cost,INDEX(Events!$G$5:$G$505,MATCH(G187,Events!$A$5:$A$505,0)),ev_split,INDEX(Events!$I$5:$I$505,MATCH(G187,Events!$A$5:$A$505,0)),att_offset,MATCH(G187,Attendance!$B$3:$AY$3,0),attendees,COUNTIF(INDEX(Attendance!$B$7:$AY$206,0,att_offset),"1"),IF(ev_split="Equal Split",ev_cost/MAX(1,COUNTA(Roster!$A$5:$A$204)),ev_cost/MAX(1,attendees))),"N/A"))</f>
        <v/>
      </c>
    </row>
    <row r="188" ht="20" customHeight="1">
      <c r="A188" s="12" t="n"/>
      <c r="B188" s="10" t="n"/>
      <c r="C188" s="10" t="n"/>
      <c r="D188" s="10" t="n"/>
      <c r="E188" s="10" t="n"/>
      <c r="F188" s="13" t="n"/>
      <c r="G188" s="10" t="n"/>
      <c r="H188" s="10" t="n"/>
      <c r="I188" s="10" t="n"/>
      <c r="J188" s="108">
        <f>IF(G188="","",IFERROR(LET(ev_cost,INDEX(Events!$G$5:$G$505,MATCH(G188,Events!$A$5:$A$505,0)),ev_split,INDEX(Events!$I$5:$I$505,MATCH(G188,Events!$A$5:$A$505,0)),att_offset,MATCH(G188,Attendance!$B$3:$AY$3,0),attendees,COUNTIF(INDEX(Attendance!$B$7:$AY$206,0,att_offset),"1"),IF(ev_split="Equal Split",ev_cost/MAX(1,COUNTA(Roster!$A$5:$A$204)),ev_cost/MAX(1,attendees))),"N/A"))</f>
        <v/>
      </c>
    </row>
    <row r="189" ht="20" customHeight="1">
      <c r="A189" s="16" t="n"/>
      <c r="B189" s="14" t="n"/>
      <c r="C189" s="14" t="n"/>
      <c r="D189" s="14" t="n"/>
      <c r="E189" s="14" t="n"/>
      <c r="F189" s="17" t="n"/>
      <c r="G189" s="14" t="n"/>
      <c r="H189" s="14" t="n"/>
      <c r="I189" s="14" t="n"/>
      <c r="J189" s="108">
        <f>IF(G189="","",IFERROR(LET(ev_cost,INDEX(Events!$G$5:$G$505,MATCH(G189,Events!$A$5:$A$505,0)),ev_split,INDEX(Events!$I$5:$I$505,MATCH(G189,Events!$A$5:$A$505,0)),att_offset,MATCH(G189,Attendance!$B$3:$AY$3,0),attendees,COUNTIF(INDEX(Attendance!$B$7:$AY$206,0,att_offset),"1"),IF(ev_split="Equal Split",ev_cost/MAX(1,COUNTA(Roster!$A$5:$A$204)),ev_cost/MAX(1,attendees))),"N/A"))</f>
        <v/>
      </c>
    </row>
    <row r="190" ht="20" customHeight="1">
      <c r="A190" s="12" t="n"/>
      <c r="B190" s="10" t="n"/>
      <c r="C190" s="10" t="n"/>
      <c r="D190" s="10" t="n"/>
      <c r="E190" s="10" t="n"/>
      <c r="F190" s="13" t="n"/>
      <c r="G190" s="10" t="n"/>
      <c r="H190" s="10" t="n"/>
      <c r="I190" s="10" t="n"/>
      <c r="J190" s="108">
        <f>IF(G190="","",IFERROR(LET(ev_cost,INDEX(Events!$G$5:$G$505,MATCH(G190,Events!$A$5:$A$505,0)),ev_split,INDEX(Events!$I$5:$I$505,MATCH(G190,Events!$A$5:$A$505,0)),att_offset,MATCH(G190,Attendance!$B$3:$AY$3,0),attendees,COUNTIF(INDEX(Attendance!$B$7:$AY$206,0,att_offset),"1"),IF(ev_split="Equal Split",ev_cost/MAX(1,COUNTA(Roster!$A$5:$A$204)),ev_cost/MAX(1,attendees))),"N/A"))</f>
        <v/>
      </c>
    </row>
    <row r="191" ht="20" customHeight="1">
      <c r="A191" s="16" t="n"/>
      <c r="B191" s="14" t="n"/>
      <c r="C191" s="14" t="n"/>
      <c r="D191" s="14" t="n"/>
      <c r="E191" s="14" t="n"/>
      <c r="F191" s="17" t="n"/>
      <c r="G191" s="14" t="n"/>
      <c r="H191" s="14" t="n"/>
      <c r="I191" s="14" t="n"/>
      <c r="J191" s="108">
        <f>IF(G191="","",IFERROR(LET(ev_cost,INDEX(Events!$G$5:$G$505,MATCH(G191,Events!$A$5:$A$505,0)),ev_split,INDEX(Events!$I$5:$I$505,MATCH(G191,Events!$A$5:$A$505,0)),att_offset,MATCH(G191,Attendance!$B$3:$AY$3,0),attendees,COUNTIF(INDEX(Attendance!$B$7:$AY$206,0,att_offset),"1"),IF(ev_split="Equal Split",ev_cost/MAX(1,COUNTA(Roster!$A$5:$A$204)),ev_cost/MAX(1,attendees))),"N/A"))</f>
        <v/>
      </c>
    </row>
    <row r="192" ht="20" customHeight="1">
      <c r="A192" s="12" t="n"/>
      <c r="B192" s="10" t="n"/>
      <c r="C192" s="10" t="n"/>
      <c r="D192" s="10" t="n"/>
      <c r="E192" s="10" t="n"/>
      <c r="F192" s="13" t="n"/>
      <c r="G192" s="10" t="n"/>
      <c r="H192" s="10" t="n"/>
      <c r="I192" s="10" t="n"/>
      <c r="J192" s="108">
        <f>IF(G192="","",IFERROR(LET(ev_cost,INDEX(Events!$G$5:$G$505,MATCH(G192,Events!$A$5:$A$505,0)),ev_split,INDEX(Events!$I$5:$I$505,MATCH(G192,Events!$A$5:$A$505,0)),att_offset,MATCH(G192,Attendance!$B$3:$AY$3,0),attendees,COUNTIF(INDEX(Attendance!$B$7:$AY$206,0,att_offset),"1"),IF(ev_split="Equal Split",ev_cost/MAX(1,COUNTA(Roster!$A$5:$A$204)),ev_cost/MAX(1,attendees))),"N/A"))</f>
        <v/>
      </c>
    </row>
    <row r="193" ht="20" customHeight="1">
      <c r="A193" s="16" t="n"/>
      <c r="B193" s="14" t="n"/>
      <c r="C193" s="14" t="n"/>
      <c r="D193" s="14" t="n"/>
      <c r="E193" s="14" t="n"/>
      <c r="F193" s="17" t="n"/>
      <c r="G193" s="14" t="n"/>
      <c r="H193" s="14" t="n"/>
      <c r="I193" s="14" t="n"/>
      <c r="J193" s="108">
        <f>IF(G193="","",IFERROR(LET(ev_cost,INDEX(Events!$G$5:$G$505,MATCH(G193,Events!$A$5:$A$505,0)),ev_split,INDEX(Events!$I$5:$I$505,MATCH(G193,Events!$A$5:$A$505,0)),att_offset,MATCH(G193,Attendance!$B$3:$AY$3,0),attendees,COUNTIF(INDEX(Attendance!$B$7:$AY$206,0,att_offset),"1"),IF(ev_split="Equal Split",ev_cost/MAX(1,COUNTA(Roster!$A$5:$A$204)),ev_cost/MAX(1,attendees))),"N/A"))</f>
        <v/>
      </c>
    </row>
    <row r="194" ht="20" customHeight="1">
      <c r="A194" s="12" t="n"/>
      <c r="B194" s="10" t="n"/>
      <c r="C194" s="10" t="n"/>
      <c r="D194" s="10" t="n"/>
      <c r="E194" s="10" t="n"/>
      <c r="F194" s="13" t="n"/>
      <c r="G194" s="10" t="n"/>
      <c r="H194" s="10" t="n"/>
      <c r="I194" s="10" t="n"/>
      <c r="J194" s="108">
        <f>IF(G194="","",IFERROR(LET(ev_cost,INDEX(Events!$G$5:$G$505,MATCH(G194,Events!$A$5:$A$505,0)),ev_split,INDEX(Events!$I$5:$I$505,MATCH(G194,Events!$A$5:$A$505,0)),att_offset,MATCH(G194,Attendance!$B$3:$AY$3,0),attendees,COUNTIF(INDEX(Attendance!$B$7:$AY$206,0,att_offset),"1"),IF(ev_split="Equal Split",ev_cost/MAX(1,COUNTA(Roster!$A$5:$A$204)),ev_cost/MAX(1,attendees))),"N/A"))</f>
        <v/>
      </c>
    </row>
    <row r="195" ht="20" customHeight="1">
      <c r="A195" s="16" t="n"/>
      <c r="B195" s="14" t="n"/>
      <c r="C195" s="14" t="n"/>
      <c r="D195" s="14" t="n"/>
      <c r="E195" s="14" t="n"/>
      <c r="F195" s="17" t="n"/>
      <c r="G195" s="14" t="n"/>
      <c r="H195" s="14" t="n"/>
      <c r="I195" s="14" t="n"/>
      <c r="J195" s="108">
        <f>IF(G195="","",IFERROR(LET(ev_cost,INDEX(Events!$G$5:$G$505,MATCH(G195,Events!$A$5:$A$505,0)),ev_split,INDEX(Events!$I$5:$I$505,MATCH(G195,Events!$A$5:$A$505,0)),att_offset,MATCH(G195,Attendance!$B$3:$AY$3,0),attendees,COUNTIF(INDEX(Attendance!$B$7:$AY$206,0,att_offset),"1"),IF(ev_split="Equal Split",ev_cost/MAX(1,COUNTA(Roster!$A$5:$A$204)),ev_cost/MAX(1,attendees))),"N/A"))</f>
        <v/>
      </c>
    </row>
    <row r="196" ht="20" customHeight="1">
      <c r="A196" s="12" t="n"/>
      <c r="B196" s="10" t="n"/>
      <c r="C196" s="10" t="n"/>
      <c r="D196" s="10" t="n"/>
      <c r="E196" s="10" t="n"/>
      <c r="F196" s="13" t="n"/>
      <c r="G196" s="10" t="n"/>
      <c r="H196" s="10" t="n"/>
      <c r="I196" s="10" t="n"/>
      <c r="J196" s="108">
        <f>IF(G196="","",IFERROR(LET(ev_cost,INDEX(Events!$G$5:$G$505,MATCH(G196,Events!$A$5:$A$505,0)),ev_split,INDEX(Events!$I$5:$I$505,MATCH(G196,Events!$A$5:$A$505,0)),att_offset,MATCH(G196,Attendance!$B$3:$AY$3,0),attendees,COUNTIF(INDEX(Attendance!$B$7:$AY$206,0,att_offset),"1"),IF(ev_split="Equal Split",ev_cost/MAX(1,COUNTA(Roster!$A$5:$A$204)),ev_cost/MAX(1,attendees))),"N/A"))</f>
        <v/>
      </c>
    </row>
    <row r="197" ht="20" customHeight="1">
      <c r="A197" s="16" t="n"/>
      <c r="B197" s="14" t="n"/>
      <c r="C197" s="14" t="n"/>
      <c r="D197" s="14" t="n"/>
      <c r="E197" s="14" t="n"/>
      <c r="F197" s="17" t="n"/>
      <c r="G197" s="14" t="n"/>
      <c r="H197" s="14" t="n"/>
      <c r="I197" s="14" t="n"/>
      <c r="J197" s="108">
        <f>IF(G197="","",IFERROR(LET(ev_cost,INDEX(Events!$G$5:$G$505,MATCH(G197,Events!$A$5:$A$505,0)),ev_split,INDEX(Events!$I$5:$I$505,MATCH(G197,Events!$A$5:$A$505,0)),att_offset,MATCH(G197,Attendance!$B$3:$AY$3,0),attendees,COUNTIF(INDEX(Attendance!$B$7:$AY$206,0,att_offset),"1"),IF(ev_split="Equal Split",ev_cost/MAX(1,COUNTA(Roster!$A$5:$A$204)),ev_cost/MAX(1,attendees))),"N/A"))</f>
        <v/>
      </c>
    </row>
    <row r="198" ht="20" customHeight="1">
      <c r="A198" s="12" t="n"/>
      <c r="B198" s="10" t="n"/>
      <c r="C198" s="10" t="n"/>
      <c r="D198" s="10" t="n"/>
      <c r="E198" s="10" t="n"/>
      <c r="F198" s="13" t="n"/>
      <c r="G198" s="10" t="n"/>
      <c r="H198" s="10" t="n"/>
      <c r="I198" s="10" t="n"/>
      <c r="J198" s="108">
        <f>IF(G198="","",IFERROR(LET(ev_cost,INDEX(Events!$G$5:$G$505,MATCH(G198,Events!$A$5:$A$505,0)),ev_split,INDEX(Events!$I$5:$I$505,MATCH(G198,Events!$A$5:$A$505,0)),att_offset,MATCH(G198,Attendance!$B$3:$AY$3,0),attendees,COUNTIF(INDEX(Attendance!$B$7:$AY$206,0,att_offset),"1"),IF(ev_split="Equal Split",ev_cost/MAX(1,COUNTA(Roster!$A$5:$A$204)),ev_cost/MAX(1,attendees))),"N/A"))</f>
        <v/>
      </c>
    </row>
    <row r="199" ht="20" customHeight="1">
      <c r="A199" s="16" t="n"/>
      <c r="B199" s="14" t="n"/>
      <c r="C199" s="14" t="n"/>
      <c r="D199" s="14" t="n"/>
      <c r="E199" s="14" t="n"/>
      <c r="F199" s="17" t="n"/>
      <c r="G199" s="14" t="n"/>
      <c r="H199" s="14" t="n"/>
      <c r="I199" s="14" t="n"/>
      <c r="J199" s="108">
        <f>IF(G199="","",IFERROR(LET(ev_cost,INDEX(Events!$G$5:$G$505,MATCH(G199,Events!$A$5:$A$505,0)),ev_split,INDEX(Events!$I$5:$I$505,MATCH(G199,Events!$A$5:$A$505,0)),att_offset,MATCH(G199,Attendance!$B$3:$AY$3,0),attendees,COUNTIF(INDEX(Attendance!$B$7:$AY$206,0,att_offset),"1"),IF(ev_split="Equal Split",ev_cost/MAX(1,COUNTA(Roster!$A$5:$A$204)),ev_cost/MAX(1,attendees))),"N/A"))</f>
        <v/>
      </c>
    </row>
    <row r="200" ht="20" customHeight="1">
      <c r="A200" s="12" t="n"/>
      <c r="B200" s="10" t="n"/>
      <c r="C200" s="10" t="n"/>
      <c r="D200" s="10" t="n"/>
      <c r="E200" s="10" t="n"/>
      <c r="F200" s="13" t="n"/>
      <c r="G200" s="10" t="n"/>
      <c r="H200" s="10" t="n"/>
      <c r="I200" s="10" t="n"/>
      <c r="J200" s="108">
        <f>IF(G200="","",IFERROR(LET(ev_cost,INDEX(Events!$G$5:$G$505,MATCH(G200,Events!$A$5:$A$505,0)),ev_split,INDEX(Events!$I$5:$I$505,MATCH(G200,Events!$A$5:$A$505,0)),att_offset,MATCH(G200,Attendance!$B$3:$AY$3,0),attendees,COUNTIF(INDEX(Attendance!$B$7:$AY$206,0,att_offset),"1"),IF(ev_split="Equal Split",ev_cost/MAX(1,COUNTA(Roster!$A$5:$A$204)),ev_cost/MAX(1,attendees))),"N/A"))</f>
        <v/>
      </c>
    </row>
    <row r="201" ht="20" customHeight="1">
      <c r="A201" s="16" t="n"/>
      <c r="B201" s="14" t="n"/>
      <c r="C201" s="14" t="n"/>
      <c r="D201" s="14" t="n"/>
      <c r="E201" s="14" t="n"/>
      <c r="F201" s="17" t="n"/>
      <c r="G201" s="14" t="n"/>
      <c r="H201" s="14" t="n"/>
      <c r="I201" s="14" t="n"/>
      <c r="J201" s="108">
        <f>IF(G201="","",IFERROR(LET(ev_cost,INDEX(Events!$G$5:$G$505,MATCH(G201,Events!$A$5:$A$505,0)),ev_split,INDEX(Events!$I$5:$I$505,MATCH(G201,Events!$A$5:$A$505,0)),att_offset,MATCH(G201,Attendance!$B$3:$AY$3,0),attendees,COUNTIF(INDEX(Attendance!$B$7:$AY$206,0,att_offset),"1"),IF(ev_split="Equal Split",ev_cost/MAX(1,COUNTA(Roster!$A$5:$A$204)),ev_cost/MAX(1,attendees))),"N/A"))</f>
        <v/>
      </c>
    </row>
    <row r="202" ht="20" customHeight="1">
      <c r="A202" s="12" t="n"/>
      <c r="B202" s="10" t="n"/>
      <c r="C202" s="10" t="n"/>
      <c r="D202" s="10" t="n"/>
      <c r="E202" s="10" t="n"/>
      <c r="F202" s="13" t="n"/>
      <c r="G202" s="10" t="n"/>
      <c r="H202" s="10" t="n"/>
      <c r="I202" s="10" t="n"/>
      <c r="J202" s="108">
        <f>IF(G202="","",IFERROR(LET(ev_cost,INDEX(Events!$G$5:$G$505,MATCH(G202,Events!$A$5:$A$505,0)),ev_split,INDEX(Events!$I$5:$I$505,MATCH(G202,Events!$A$5:$A$505,0)),att_offset,MATCH(G202,Attendance!$B$3:$AY$3,0),attendees,COUNTIF(INDEX(Attendance!$B$7:$AY$206,0,att_offset),"1"),IF(ev_split="Equal Split",ev_cost/MAX(1,COUNTA(Roster!$A$5:$A$204)),ev_cost/MAX(1,attendees))),"N/A"))</f>
        <v/>
      </c>
    </row>
    <row r="203" ht="20" customHeight="1">
      <c r="A203" s="16" t="n"/>
      <c r="B203" s="14" t="n"/>
      <c r="C203" s="14" t="n"/>
      <c r="D203" s="14" t="n"/>
      <c r="E203" s="14" t="n"/>
      <c r="F203" s="17" t="n"/>
      <c r="G203" s="14" t="n"/>
      <c r="H203" s="14" t="n"/>
      <c r="I203" s="14" t="n"/>
      <c r="J203" s="108">
        <f>IF(G203="","",IFERROR(LET(ev_cost,INDEX(Events!$G$5:$G$505,MATCH(G203,Events!$A$5:$A$505,0)),ev_split,INDEX(Events!$I$5:$I$505,MATCH(G203,Events!$A$5:$A$505,0)),att_offset,MATCH(G203,Attendance!$B$3:$AY$3,0),attendees,COUNTIF(INDEX(Attendance!$B$7:$AY$206,0,att_offset),"1"),IF(ev_split="Equal Split",ev_cost/MAX(1,COUNTA(Roster!$A$5:$A$204)),ev_cost/MAX(1,attendees))),"N/A"))</f>
        <v/>
      </c>
    </row>
    <row r="204" ht="20" customHeight="1">
      <c r="A204" s="12" t="n"/>
      <c r="B204" s="10" t="n"/>
      <c r="C204" s="10" t="n"/>
      <c r="D204" s="10" t="n"/>
      <c r="E204" s="10" t="n"/>
      <c r="F204" s="13" t="n"/>
      <c r="G204" s="10" t="n"/>
      <c r="H204" s="10" t="n"/>
      <c r="I204" s="10" t="n"/>
      <c r="J204" s="108">
        <f>IF(G204="","",IFERROR(LET(ev_cost,INDEX(Events!$G$5:$G$505,MATCH(G204,Events!$A$5:$A$505,0)),ev_split,INDEX(Events!$I$5:$I$505,MATCH(G204,Events!$A$5:$A$505,0)),att_offset,MATCH(G204,Attendance!$B$3:$AY$3,0),attendees,COUNTIF(INDEX(Attendance!$B$7:$AY$206,0,att_offset),"1"),IF(ev_split="Equal Split",ev_cost/MAX(1,COUNTA(Roster!$A$5:$A$204)),ev_cost/MAX(1,attendees))),"N/A"))</f>
        <v/>
      </c>
    </row>
    <row r="205" ht="20" customHeight="1">
      <c r="A205" s="16" t="n"/>
      <c r="B205" s="14" t="n"/>
      <c r="C205" s="14" t="n"/>
      <c r="D205" s="14" t="n"/>
      <c r="E205" s="14" t="n"/>
      <c r="F205" s="17" t="n"/>
      <c r="G205" s="14" t="n"/>
      <c r="H205" s="14" t="n"/>
      <c r="I205" s="14" t="n"/>
      <c r="J205" s="108">
        <f>IF(G205="","",IFERROR(LET(ev_cost,INDEX(Events!$G$5:$G$505,MATCH(G205,Events!$A$5:$A$505,0)),ev_split,INDEX(Events!$I$5:$I$505,MATCH(G205,Events!$A$5:$A$505,0)),att_offset,MATCH(G205,Attendance!$B$3:$AY$3,0),attendees,COUNTIF(INDEX(Attendance!$B$7:$AY$206,0,att_offset),"1"),IF(ev_split="Equal Split",ev_cost/MAX(1,COUNTA(Roster!$A$5:$A$204)),ev_cost/MAX(1,attendees))),"N/A"))</f>
        <v/>
      </c>
    </row>
    <row r="206" ht="20" customHeight="1">
      <c r="A206" s="12" t="n"/>
      <c r="B206" s="10" t="n"/>
      <c r="C206" s="10" t="n"/>
      <c r="D206" s="10" t="n"/>
      <c r="E206" s="10" t="n"/>
      <c r="F206" s="13" t="n"/>
      <c r="G206" s="10" t="n"/>
      <c r="H206" s="10" t="n"/>
      <c r="I206" s="10" t="n"/>
      <c r="J206" s="108">
        <f>IF(G206="","",IFERROR(LET(ev_cost,INDEX(Events!$G$5:$G$505,MATCH(G206,Events!$A$5:$A$505,0)),ev_split,INDEX(Events!$I$5:$I$505,MATCH(G206,Events!$A$5:$A$505,0)),att_offset,MATCH(G206,Attendance!$B$3:$AY$3,0),attendees,COUNTIF(INDEX(Attendance!$B$7:$AY$206,0,att_offset),"1"),IF(ev_split="Equal Split",ev_cost/MAX(1,COUNTA(Roster!$A$5:$A$204)),ev_cost/MAX(1,attendees))),"N/A"))</f>
        <v/>
      </c>
    </row>
    <row r="207" ht="20" customHeight="1">
      <c r="A207" s="16" t="n"/>
      <c r="B207" s="14" t="n"/>
      <c r="C207" s="14" t="n"/>
      <c r="D207" s="14" t="n"/>
      <c r="E207" s="14" t="n"/>
      <c r="F207" s="17" t="n"/>
      <c r="G207" s="14" t="n"/>
      <c r="H207" s="14" t="n"/>
      <c r="I207" s="14" t="n"/>
      <c r="J207" s="108">
        <f>IF(G207="","",IFERROR(LET(ev_cost,INDEX(Events!$G$5:$G$505,MATCH(G207,Events!$A$5:$A$505,0)),ev_split,INDEX(Events!$I$5:$I$505,MATCH(G207,Events!$A$5:$A$505,0)),att_offset,MATCH(G207,Attendance!$B$3:$AY$3,0),attendees,COUNTIF(INDEX(Attendance!$B$7:$AY$206,0,att_offset),"1"),IF(ev_split="Equal Split",ev_cost/MAX(1,COUNTA(Roster!$A$5:$A$204)),ev_cost/MAX(1,attendees))),"N/A"))</f>
        <v/>
      </c>
    </row>
    <row r="208" ht="20" customHeight="1">
      <c r="A208" s="12" t="n"/>
      <c r="B208" s="10" t="n"/>
      <c r="C208" s="10" t="n"/>
      <c r="D208" s="10" t="n"/>
      <c r="E208" s="10" t="n"/>
      <c r="F208" s="13" t="n"/>
      <c r="G208" s="10" t="n"/>
      <c r="H208" s="10" t="n"/>
      <c r="I208" s="10" t="n"/>
      <c r="J208" s="108">
        <f>IF(G208="","",IFERROR(LET(ev_cost,INDEX(Events!$G$5:$G$505,MATCH(G208,Events!$A$5:$A$505,0)),ev_split,INDEX(Events!$I$5:$I$505,MATCH(G208,Events!$A$5:$A$505,0)),att_offset,MATCH(G208,Attendance!$B$3:$AY$3,0),attendees,COUNTIF(INDEX(Attendance!$B$7:$AY$206,0,att_offset),"1"),IF(ev_split="Equal Split",ev_cost/MAX(1,COUNTA(Roster!$A$5:$A$204)),ev_cost/MAX(1,attendees))),"N/A"))</f>
        <v/>
      </c>
    </row>
    <row r="209" ht="20" customHeight="1">
      <c r="A209" s="16" t="n"/>
      <c r="B209" s="14" t="n"/>
      <c r="C209" s="14" t="n"/>
      <c r="D209" s="14" t="n"/>
      <c r="E209" s="14" t="n"/>
      <c r="F209" s="17" t="n"/>
      <c r="G209" s="14" t="n"/>
      <c r="H209" s="14" t="n"/>
      <c r="I209" s="14" t="n"/>
      <c r="J209" s="108">
        <f>IF(G209="","",IFERROR(LET(ev_cost,INDEX(Events!$G$5:$G$505,MATCH(G209,Events!$A$5:$A$505,0)),ev_split,INDEX(Events!$I$5:$I$505,MATCH(G209,Events!$A$5:$A$505,0)),att_offset,MATCH(G209,Attendance!$B$3:$AY$3,0),attendees,COUNTIF(INDEX(Attendance!$B$7:$AY$206,0,att_offset),"1"),IF(ev_split="Equal Split",ev_cost/MAX(1,COUNTA(Roster!$A$5:$A$204)),ev_cost/MAX(1,attendees))),"N/A"))</f>
        <v/>
      </c>
    </row>
    <row r="210" ht="20" customHeight="1">
      <c r="A210" s="12" t="n"/>
      <c r="B210" s="10" t="n"/>
      <c r="C210" s="10" t="n"/>
      <c r="D210" s="10" t="n"/>
      <c r="E210" s="10" t="n"/>
      <c r="F210" s="13" t="n"/>
      <c r="G210" s="10" t="n"/>
      <c r="H210" s="10" t="n"/>
      <c r="I210" s="10" t="n"/>
      <c r="J210" s="108">
        <f>IF(G210="","",IFERROR(LET(ev_cost,INDEX(Events!$G$5:$G$505,MATCH(G210,Events!$A$5:$A$505,0)),ev_split,INDEX(Events!$I$5:$I$505,MATCH(G210,Events!$A$5:$A$505,0)),att_offset,MATCH(G210,Attendance!$B$3:$AY$3,0),attendees,COUNTIF(INDEX(Attendance!$B$7:$AY$206,0,att_offset),"1"),IF(ev_split="Equal Split",ev_cost/MAX(1,COUNTA(Roster!$A$5:$A$204)),ev_cost/MAX(1,attendees))),"N/A"))</f>
        <v/>
      </c>
    </row>
    <row r="211" ht="20" customHeight="1">
      <c r="A211" s="16" t="n"/>
      <c r="B211" s="14" t="n"/>
      <c r="C211" s="14" t="n"/>
      <c r="D211" s="14" t="n"/>
      <c r="E211" s="14" t="n"/>
      <c r="F211" s="17" t="n"/>
      <c r="G211" s="14" t="n"/>
      <c r="H211" s="14" t="n"/>
      <c r="I211" s="14" t="n"/>
      <c r="J211" s="108">
        <f>IF(G211="","",IFERROR(LET(ev_cost,INDEX(Events!$G$5:$G$505,MATCH(G211,Events!$A$5:$A$505,0)),ev_split,INDEX(Events!$I$5:$I$505,MATCH(G211,Events!$A$5:$A$505,0)),att_offset,MATCH(G211,Attendance!$B$3:$AY$3,0),attendees,COUNTIF(INDEX(Attendance!$B$7:$AY$206,0,att_offset),"1"),IF(ev_split="Equal Split",ev_cost/MAX(1,COUNTA(Roster!$A$5:$A$204)),ev_cost/MAX(1,attendees))),"N/A"))</f>
        <v/>
      </c>
    </row>
    <row r="212" ht="20" customHeight="1">
      <c r="A212" s="12" t="n"/>
      <c r="B212" s="10" t="n"/>
      <c r="C212" s="10" t="n"/>
      <c r="D212" s="10" t="n"/>
      <c r="E212" s="10" t="n"/>
      <c r="F212" s="13" t="n"/>
      <c r="G212" s="10" t="n"/>
      <c r="H212" s="10" t="n"/>
      <c r="I212" s="10" t="n"/>
      <c r="J212" s="108">
        <f>IF(G212="","",IFERROR(LET(ev_cost,INDEX(Events!$G$5:$G$505,MATCH(G212,Events!$A$5:$A$505,0)),ev_split,INDEX(Events!$I$5:$I$505,MATCH(G212,Events!$A$5:$A$505,0)),att_offset,MATCH(G212,Attendance!$B$3:$AY$3,0),attendees,COUNTIF(INDEX(Attendance!$B$7:$AY$206,0,att_offset),"1"),IF(ev_split="Equal Split",ev_cost/MAX(1,COUNTA(Roster!$A$5:$A$204)),ev_cost/MAX(1,attendees))),"N/A"))</f>
        <v/>
      </c>
    </row>
    <row r="213" ht="20" customHeight="1">
      <c r="A213" s="16" t="n"/>
      <c r="B213" s="14" t="n"/>
      <c r="C213" s="14" t="n"/>
      <c r="D213" s="14" t="n"/>
      <c r="E213" s="14" t="n"/>
      <c r="F213" s="17" t="n"/>
      <c r="G213" s="14" t="n"/>
      <c r="H213" s="14" t="n"/>
      <c r="I213" s="14" t="n"/>
      <c r="J213" s="108">
        <f>IF(G213="","",IFERROR(LET(ev_cost,INDEX(Events!$G$5:$G$505,MATCH(G213,Events!$A$5:$A$505,0)),ev_split,INDEX(Events!$I$5:$I$505,MATCH(G213,Events!$A$5:$A$505,0)),att_offset,MATCH(G213,Attendance!$B$3:$AY$3,0),attendees,COUNTIF(INDEX(Attendance!$B$7:$AY$206,0,att_offset),"1"),IF(ev_split="Equal Split",ev_cost/MAX(1,COUNTA(Roster!$A$5:$A$204)),ev_cost/MAX(1,attendees))),"N/A"))</f>
        <v/>
      </c>
    </row>
    <row r="214" ht="20" customHeight="1">
      <c r="A214" s="12" t="n"/>
      <c r="B214" s="10" t="n"/>
      <c r="C214" s="10" t="n"/>
      <c r="D214" s="10" t="n"/>
      <c r="E214" s="10" t="n"/>
      <c r="F214" s="13" t="n"/>
      <c r="G214" s="10" t="n"/>
      <c r="H214" s="10" t="n"/>
      <c r="I214" s="10" t="n"/>
      <c r="J214" s="108">
        <f>IF(G214="","",IFERROR(LET(ev_cost,INDEX(Events!$G$5:$G$505,MATCH(G214,Events!$A$5:$A$505,0)),ev_split,INDEX(Events!$I$5:$I$505,MATCH(G214,Events!$A$5:$A$505,0)),att_offset,MATCH(G214,Attendance!$B$3:$AY$3,0),attendees,COUNTIF(INDEX(Attendance!$B$7:$AY$206,0,att_offset),"1"),IF(ev_split="Equal Split",ev_cost/MAX(1,COUNTA(Roster!$A$5:$A$204)),ev_cost/MAX(1,attendees))),"N/A"))</f>
        <v/>
      </c>
    </row>
    <row r="215" ht="20" customHeight="1">
      <c r="A215" s="16" t="n"/>
      <c r="B215" s="14" t="n"/>
      <c r="C215" s="14" t="n"/>
      <c r="D215" s="14" t="n"/>
      <c r="E215" s="14" t="n"/>
      <c r="F215" s="17" t="n"/>
      <c r="G215" s="14" t="n"/>
      <c r="H215" s="14" t="n"/>
      <c r="I215" s="14" t="n"/>
      <c r="J215" s="108">
        <f>IF(G215="","",IFERROR(LET(ev_cost,INDEX(Events!$G$5:$G$505,MATCH(G215,Events!$A$5:$A$505,0)),ev_split,INDEX(Events!$I$5:$I$505,MATCH(G215,Events!$A$5:$A$505,0)),att_offset,MATCH(G215,Attendance!$B$3:$AY$3,0),attendees,COUNTIF(INDEX(Attendance!$B$7:$AY$206,0,att_offset),"1"),IF(ev_split="Equal Split",ev_cost/MAX(1,COUNTA(Roster!$A$5:$A$204)),ev_cost/MAX(1,attendees))),"N/A"))</f>
        <v/>
      </c>
    </row>
    <row r="216" ht="20" customHeight="1">
      <c r="A216" s="12" t="n"/>
      <c r="B216" s="10" t="n"/>
      <c r="C216" s="10" t="n"/>
      <c r="D216" s="10" t="n"/>
      <c r="E216" s="10" t="n"/>
      <c r="F216" s="13" t="n"/>
      <c r="G216" s="10" t="n"/>
      <c r="H216" s="10" t="n"/>
      <c r="I216" s="10" t="n"/>
      <c r="J216" s="108">
        <f>IF(G216="","",IFERROR(LET(ev_cost,INDEX(Events!$G$5:$G$505,MATCH(G216,Events!$A$5:$A$505,0)),ev_split,INDEX(Events!$I$5:$I$505,MATCH(G216,Events!$A$5:$A$505,0)),att_offset,MATCH(G216,Attendance!$B$3:$AY$3,0),attendees,COUNTIF(INDEX(Attendance!$B$7:$AY$206,0,att_offset),"1"),IF(ev_split="Equal Split",ev_cost/MAX(1,COUNTA(Roster!$A$5:$A$204)),ev_cost/MAX(1,attendees))),"N/A"))</f>
        <v/>
      </c>
    </row>
    <row r="217" ht="20" customHeight="1">
      <c r="A217" s="16" t="n"/>
      <c r="B217" s="14" t="n"/>
      <c r="C217" s="14" t="n"/>
      <c r="D217" s="14" t="n"/>
      <c r="E217" s="14" t="n"/>
      <c r="F217" s="17" t="n"/>
      <c r="G217" s="14" t="n"/>
      <c r="H217" s="14" t="n"/>
      <c r="I217" s="14" t="n"/>
      <c r="J217" s="108">
        <f>IF(G217="","",IFERROR(LET(ev_cost,INDEX(Events!$G$5:$G$505,MATCH(G217,Events!$A$5:$A$505,0)),ev_split,INDEX(Events!$I$5:$I$505,MATCH(G217,Events!$A$5:$A$505,0)),att_offset,MATCH(G217,Attendance!$B$3:$AY$3,0),attendees,COUNTIF(INDEX(Attendance!$B$7:$AY$206,0,att_offset),"1"),IF(ev_split="Equal Split",ev_cost/MAX(1,COUNTA(Roster!$A$5:$A$204)),ev_cost/MAX(1,attendees))),"N/A"))</f>
        <v/>
      </c>
    </row>
    <row r="218" ht="20" customHeight="1">
      <c r="A218" s="12" t="n"/>
      <c r="B218" s="10" t="n"/>
      <c r="C218" s="10" t="n"/>
      <c r="D218" s="10" t="n"/>
      <c r="E218" s="10" t="n"/>
      <c r="F218" s="13" t="n"/>
      <c r="G218" s="10" t="n"/>
      <c r="H218" s="10" t="n"/>
      <c r="I218" s="10" t="n"/>
      <c r="J218" s="108">
        <f>IF(G218="","",IFERROR(LET(ev_cost,INDEX(Events!$G$5:$G$505,MATCH(G218,Events!$A$5:$A$505,0)),ev_split,INDEX(Events!$I$5:$I$505,MATCH(G218,Events!$A$5:$A$505,0)),att_offset,MATCH(G218,Attendance!$B$3:$AY$3,0),attendees,COUNTIF(INDEX(Attendance!$B$7:$AY$206,0,att_offset),"1"),IF(ev_split="Equal Split",ev_cost/MAX(1,COUNTA(Roster!$A$5:$A$204)),ev_cost/MAX(1,attendees))),"N/A"))</f>
        <v/>
      </c>
    </row>
    <row r="219" ht="20" customHeight="1">
      <c r="A219" s="16" t="n"/>
      <c r="B219" s="14" t="n"/>
      <c r="C219" s="14" t="n"/>
      <c r="D219" s="14" t="n"/>
      <c r="E219" s="14" t="n"/>
      <c r="F219" s="17" t="n"/>
      <c r="G219" s="14" t="n"/>
      <c r="H219" s="14" t="n"/>
      <c r="I219" s="14" t="n"/>
      <c r="J219" s="108">
        <f>IF(G219="","",IFERROR(LET(ev_cost,INDEX(Events!$G$5:$G$505,MATCH(G219,Events!$A$5:$A$505,0)),ev_split,INDEX(Events!$I$5:$I$505,MATCH(G219,Events!$A$5:$A$505,0)),att_offset,MATCH(G219,Attendance!$B$3:$AY$3,0),attendees,COUNTIF(INDEX(Attendance!$B$7:$AY$206,0,att_offset),"1"),IF(ev_split="Equal Split",ev_cost/MAX(1,COUNTA(Roster!$A$5:$A$204)),ev_cost/MAX(1,attendees))),"N/A"))</f>
        <v/>
      </c>
    </row>
    <row r="220" ht="20" customHeight="1">
      <c r="A220" s="12" t="n"/>
      <c r="B220" s="10" t="n"/>
      <c r="C220" s="10" t="n"/>
      <c r="D220" s="10" t="n"/>
      <c r="E220" s="10" t="n"/>
      <c r="F220" s="13" t="n"/>
      <c r="G220" s="10" t="n"/>
      <c r="H220" s="10" t="n"/>
      <c r="I220" s="10" t="n"/>
      <c r="J220" s="108">
        <f>IF(G220="","",IFERROR(LET(ev_cost,INDEX(Events!$G$5:$G$505,MATCH(G220,Events!$A$5:$A$505,0)),ev_split,INDEX(Events!$I$5:$I$505,MATCH(G220,Events!$A$5:$A$505,0)),att_offset,MATCH(G220,Attendance!$B$3:$AY$3,0),attendees,COUNTIF(INDEX(Attendance!$B$7:$AY$206,0,att_offset),"1"),IF(ev_split="Equal Split",ev_cost/MAX(1,COUNTA(Roster!$A$5:$A$204)),ev_cost/MAX(1,attendees))),"N/A"))</f>
        <v/>
      </c>
    </row>
    <row r="221" ht="20" customHeight="1">
      <c r="A221" s="16" t="n"/>
      <c r="B221" s="14" t="n"/>
      <c r="C221" s="14" t="n"/>
      <c r="D221" s="14" t="n"/>
      <c r="E221" s="14" t="n"/>
      <c r="F221" s="17" t="n"/>
      <c r="G221" s="14" t="n"/>
      <c r="H221" s="14" t="n"/>
      <c r="I221" s="14" t="n"/>
      <c r="J221" s="108">
        <f>IF(G221="","",IFERROR(LET(ev_cost,INDEX(Events!$G$5:$G$505,MATCH(G221,Events!$A$5:$A$505,0)),ev_split,INDEX(Events!$I$5:$I$505,MATCH(G221,Events!$A$5:$A$505,0)),att_offset,MATCH(G221,Attendance!$B$3:$AY$3,0),attendees,COUNTIF(INDEX(Attendance!$B$7:$AY$206,0,att_offset),"1"),IF(ev_split="Equal Split",ev_cost/MAX(1,COUNTA(Roster!$A$5:$A$204)),ev_cost/MAX(1,attendees))),"N/A"))</f>
        <v/>
      </c>
    </row>
    <row r="222" ht="20" customHeight="1">
      <c r="A222" s="12" t="n"/>
      <c r="B222" s="10" t="n"/>
      <c r="C222" s="10" t="n"/>
      <c r="D222" s="10" t="n"/>
      <c r="E222" s="10" t="n"/>
      <c r="F222" s="13" t="n"/>
      <c r="G222" s="10" t="n"/>
      <c r="H222" s="10" t="n"/>
      <c r="I222" s="10" t="n"/>
      <c r="J222" s="108">
        <f>IF(G222="","",IFERROR(LET(ev_cost,INDEX(Events!$G$5:$G$505,MATCH(G222,Events!$A$5:$A$505,0)),ev_split,INDEX(Events!$I$5:$I$505,MATCH(G222,Events!$A$5:$A$505,0)),att_offset,MATCH(G222,Attendance!$B$3:$AY$3,0),attendees,COUNTIF(INDEX(Attendance!$B$7:$AY$206,0,att_offset),"1"),IF(ev_split="Equal Split",ev_cost/MAX(1,COUNTA(Roster!$A$5:$A$204)),ev_cost/MAX(1,attendees))),"N/A"))</f>
        <v/>
      </c>
    </row>
    <row r="223" ht="20" customHeight="1">
      <c r="A223" s="16" t="n"/>
      <c r="B223" s="14" t="n"/>
      <c r="C223" s="14" t="n"/>
      <c r="D223" s="14" t="n"/>
      <c r="E223" s="14" t="n"/>
      <c r="F223" s="17" t="n"/>
      <c r="G223" s="14" t="n"/>
      <c r="H223" s="14" t="n"/>
      <c r="I223" s="14" t="n"/>
      <c r="J223" s="108">
        <f>IF(G223="","",IFERROR(LET(ev_cost,INDEX(Events!$G$5:$G$505,MATCH(G223,Events!$A$5:$A$505,0)),ev_split,INDEX(Events!$I$5:$I$505,MATCH(G223,Events!$A$5:$A$505,0)),att_offset,MATCH(G223,Attendance!$B$3:$AY$3,0),attendees,COUNTIF(INDEX(Attendance!$B$7:$AY$206,0,att_offset),"1"),IF(ev_split="Equal Split",ev_cost/MAX(1,COUNTA(Roster!$A$5:$A$204)),ev_cost/MAX(1,attendees))),"N/A"))</f>
        <v/>
      </c>
    </row>
    <row r="224" ht="20" customHeight="1">
      <c r="A224" s="12" t="n"/>
      <c r="B224" s="10" t="n"/>
      <c r="C224" s="10" t="n"/>
      <c r="D224" s="10" t="n"/>
      <c r="E224" s="10" t="n"/>
      <c r="F224" s="13" t="n"/>
      <c r="G224" s="10" t="n"/>
      <c r="H224" s="10" t="n"/>
      <c r="I224" s="10" t="n"/>
      <c r="J224" s="108">
        <f>IF(G224="","",IFERROR(LET(ev_cost,INDEX(Events!$G$5:$G$505,MATCH(G224,Events!$A$5:$A$505,0)),ev_split,INDEX(Events!$I$5:$I$505,MATCH(G224,Events!$A$5:$A$505,0)),att_offset,MATCH(G224,Attendance!$B$3:$AY$3,0),attendees,COUNTIF(INDEX(Attendance!$B$7:$AY$206,0,att_offset),"1"),IF(ev_split="Equal Split",ev_cost/MAX(1,COUNTA(Roster!$A$5:$A$204)),ev_cost/MAX(1,attendees))),"N/A"))</f>
        <v/>
      </c>
    </row>
    <row r="225" ht="20" customHeight="1">
      <c r="A225" s="16" t="n"/>
      <c r="B225" s="14" t="n"/>
      <c r="C225" s="14" t="n"/>
      <c r="D225" s="14" t="n"/>
      <c r="E225" s="14" t="n"/>
      <c r="F225" s="17" t="n"/>
      <c r="G225" s="14" t="n"/>
      <c r="H225" s="14" t="n"/>
      <c r="I225" s="14" t="n"/>
      <c r="J225" s="108">
        <f>IF(G225="","",IFERROR(LET(ev_cost,INDEX(Events!$G$5:$G$505,MATCH(G225,Events!$A$5:$A$505,0)),ev_split,INDEX(Events!$I$5:$I$505,MATCH(G225,Events!$A$5:$A$505,0)),att_offset,MATCH(G225,Attendance!$B$3:$AY$3,0),attendees,COUNTIF(INDEX(Attendance!$B$7:$AY$206,0,att_offset),"1"),IF(ev_split="Equal Split",ev_cost/MAX(1,COUNTA(Roster!$A$5:$A$204)),ev_cost/MAX(1,attendees))),"N/A"))</f>
        <v/>
      </c>
    </row>
    <row r="226" ht="20" customHeight="1">
      <c r="A226" s="12" t="n"/>
      <c r="B226" s="10" t="n"/>
      <c r="C226" s="10" t="n"/>
      <c r="D226" s="10" t="n"/>
      <c r="E226" s="10" t="n"/>
      <c r="F226" s="13" t="n"/>
      <c r="G226" s="10" t="n"/>
      <c r="H226" s="10" t="n"/>
      <c r="I226" s="10" t="n"/>
      <c r="J226" s="108">
        <f>IF(G226="","",IFERROR(LET(ev_cost,INDEX(Events!$G$5:$G$505,MATCH(G226,Events!$A$5:$A$505,0)),ev_split,INDEX(Events!$I$5:$I$505,MATCH(G226,Events!$A$5:$A$505,0)),att_offset,MATCH(G226,Attendance!$B$3:$AY$3,0),attendees,COUNTIF(INDEX(Attendance!$B$7:$AY$206,0,att_offset),"1"),IF(ev_split="Equal Split",ev_cost/MAX(1,COUNTA(Roster!$A$5:$A$204)),ev_cost/MAX(1,attendees))),"N/A"))</f>
        <v/>
      </c>
    </row>
    <row r="227" ht="20" customHeight="1">
      <c r="A227" s="16" t="n"/>
      <c r="B227" s="14" t="n"/>
      <c r="C227" s="14" t="n"/>
      <c r="D227" s="14" t="n"/>
      <c r="E227" s="14" t="n"/>
      <c r="F227" s="17" t="n"/>
      <c r="G227" s="14" t="n"/>
      <c r="H227" s="14" t="n"/>
      <c r="I227" s="14" t="n"/>
      <c r="J227" s="108">
        <f>IF(G227="","",IFERROR(LET(ev_cost,INDEX(Events!$G$5:$G$505,MATCH(G227,Events!$A$5:$A$505,0)),ev_split,INDEX(Events!$I$5:$I$505,MATCH(G227,Events!$A$5:$A$505,0)),att_offset,MATCH(G227,Attendance!$B$3:$AY$3,0),attendees,COUNTIF(INDEX(Attendance!$B$7:$AY$206,0,att_offset),"1"),IF(ev_split="Equal Split",ev_cost/MAX(1,COUNTA(Roster!$A$5:$A$204)),ev_cost/MAX(1,attendees))),"N/A"))</f>
        <v/>
      </c>
    </row>
    <row r="228" ht="20" customHeight="1">
      <c r="A228" s="12" t="n"/>
      <c r="B228" s="10" t="n"/>
      <c r="C228" s="10" t="n"/>
      <c r="D228" s="10" t="n"/>
      <c r="E228" s="10" t="n"/>
      <c r="F228" s="13" t="n"/>
      <c r="G228" s="10" t="n"/>
      <c r="H228" s="10" t="n"/>
      <c r="I228" s="10" t="n"/>
      <c r="J228" s="108">
        <f>IF(G228="","",IFERROR(LET(ev_cost,INDEX(Events!$G$5:$G$505,MATCH(G228,Events!$A$5:$A$505,0)),ev_split,INDEX(Events!$I$5:$I$505,MATCH(G228,Events!$A$5:$A$505,0)),att_offset,MATCH(G228,Attendance!$B$3:$AY$3,0),attendees,COUNTIF(INDEX(Attendance!$B$7:$AY$206,0,att_offset),"1"),IF(ev_split="Equal Split",ev_cost/MAX(1,COUNTA(Roster!$A$5:$A$204)),ev_cost/MAX(1,attendees))),"N/A"))</f>
        <v/>
      </c>
    </row>
    <row r="229" ht="20" customHeight="1">
      <c r="A229" s="16" t="n"/>
      <c r="B229" s="14" t="n"/>
      <c r="C229" s="14" t="n"/>
      <c r="D229" s="14" t="n"/>
      <c r="E229" s="14" t="n"/>
      <c r="F229" s="17" t="n"/>
      <c r="G229" s="14" t="n"/>
      <c r="H229" s="14" t="n"/>
      <c r="I229" s="14" t="n"/>
      <c r="J229" s="108">
        <f>IF(G229="","",IFERROR(LET(ev_cost,INDEX(Events!$G$5:$G$505,MATCH(G229,Events!$A$5:$A$505,0)),ev_split,INDEX(Events!$I$5:$I$505,MATCH(G229,Events!$A$5:$A$505,0)),att_offset,MATCH(G229,Attendance!$B$3:$AY$3,0),attendees,COUNTIF(INDEX(Attendance!$B$7:$AY$206,0,att_offset),"1"),IF(ev_split="Equal Split",ev_cost/MAX(1,COUNTA(Roster!$A$5:$A$204)),ev_cost/MAX(1,attendees))),"N/A"))</f>
        <v/>
      </c>
    </row>
    <row r="230" ht="20" customHeight="1">
      <c r="A230" s="12" t="n"/>
      <c r="B230" s="10" t="n"/>
      <c r="C230" s="10" t="n"/>
      <c r="D230" s="10" t="n"/>
      <c r="E230" s="10" t="n"/>
      <c r="F230" s="13" t="n"/>
      <c r="G230" s="10" t="n"/>
      <c r="H230" s="10" t="n"/>
      <c r="I230" s="10" t="n"/>
      <c r="J230" s="108">
        <f>IF(G230="","",IFERROR(LET(ev_cost,INDEX(Events!$G$5:$G$505,MATCH(G230,Events!$A$5:$A$505,0)),ev_split,INDEX(Events!$I$5:$I$505,MATCH(G230,Events!$A$5:$A$505,0)),att_offset,MATCH(G230,Attendance!$B$3:$AY$3,0),attendees,COUNTIF(INDEX(Attendance!$B$7:$AY$206,0,att_offset),"1"),IF(ev_split="Equal Split",ev_cost/MAX(1,COUNTA(Roster!$A$5:$A$204)),ev_cost/MAX(1,attendees))),"N/A"))</f>
        <v/>
      </c>
    </row>
    <row r="231" ht="20" customHeight="1">
      <c r="A231" s="16" t="n"/>
      <c r="B231" s="14" t="n"/>
      <c r="C231" s="14" t="n"/>
      <c r="D231" s="14" t="n"/>
      <c r="E231" s="14" t="n"/>
      <c r="F231" s="17" t="n"/>
      <c r="G231" s="14" t="n"/>
      <c r="H231" s="14" t="n"/>
      <c r="I231" s="14" t="n"/>
      <c r="J231" s="108">
        <f>IF(G231="","",IFERROR(LET(ev_cost,INDEX(Events!$G$5:$G$505,MATCH(G231,Events!$A$5:$A$505,0)),ev_split,INDEX(Events!$I$5:$I$505,MATCH(G231,Events!$A$5:$A$505,0)),att_offset,MATCH(G231,Attendance!$B$3:$AY$3,0),attendees,COUNTIF(INDEX(Attendance!$B$7:$AY$206,0,att_offset),"1"),IF(ev_split="Equal Split",ev_cost/MAX(1,COUNTA(Roster!$A$5:$A$204)),ev_cost/MAX(1,attendees))),"N/A"))</f>
        <v/>
      </c>
    </row>
    <row r="232" ht="20" customHeight="1">
      <c r="A232" s="12" t="n"/>
      <c r="B232" s="10" t="n"/>
      <c r="C232" s="10" t="n"/>
      <c r="D232" s="10" t="n"/>
      <c r="E232" s="10" t="n"/>
      <c r="F232" s="13" t="n"/>
      <c r="G232" s="10" t="n"/>
      <c r="H232" s="10" t="n"/>
      <c r="I232" s="10" t="n"/>
      <c r="J232" s="108">
        <f>IF(G232="","",IFERROR(LET(ev_cost,INDEX(Events!$G$5:$G$505,MATCH(G232,Events!$A$5:$A$505,0)),ev_split,INDEX(Events!$I$5:$I$505,MATCH(G232,Events!$A$5:$A$505,0)),att_offset,MATCH(G232,Attendance!$B$3:$AY$3,0),attendees,COUNTIF(INDEX(Attendance!$B$7:$AY$206,0,att_offset),"1"),IF(ev_split="Equal Split",ev_cost/MAX(1,COUNTA(Roster!$A$5:$A$204)),ev_cost/MAX(1,attendees))),"N/A"))</f>
        <v/>
      </c>
    </row>
    <row r="233" ht="20" customHeight="1">
      <c r="A233" s="16" t="n"/>
      <c r="B233" s="14" t="n"/>
      <c r="C233" s="14" t="n"/>
      <c r="D233" s="14" t="n"/>
      <c r="E233" s="14" t="n"/>
      <c r="F233" s="17" t="n"/>
      <c r="G233" s="14" t="n"/>
      <c r="H233" s="14" t="n"/>
      <c r="I233" s="14" t="n"/>
      <c r="J233" s="108">
        <f>IF(G233="","",IFERROR(LET(ev_cost,INDEX(Events!$G$5:$G$505,MATCH(G233,Events!$A$5:$A$505,0)),ev_split,INDEX(Events!$I$5:$I$505,MATCH(G233,Events!$A$5:$A$505,0)),att_offset,MATCH(G233,Attendance!$B$3:$AY$3,0),attendees,COUNTIF(INDEX(Attendance!$B$7:$AY$206,0,att_offset),"1"),IF(ev_split="Equal Split",ev_cost/MAX(1,COUNTA(Roster!$A$5:$A$204)),ev_cost/MAX(1,attendees))),"N/A"))</f>
        <v/>
      </c>
    </row>
    <row r="234" ht="20" customHeight="1">
      <c r="A234" s="12" t="n"/>
      <c r="B234" s="10" t="n"/>
      <c r="C234" s="10" t="n"/>
      <c r="D234" s="10" t="n"/>
      <c r="E234" s="10" t="n"/>
      <c r="F234" s="13" t="n"/>
      <c r="G234" s="10" t="n"/>
      <c r="H234" s="10" t="n"/>
      <c r="I234" s="10" t="n"/>
      <c r="J234" s="108">
        <f>IF(G234="","",IFERROR(LET(ev_cost,INDEX(Events!$G$5:$G$505,MATCH(G234,Events!$A$5:$A$505,0)),ev_split,INDEX(Events!$I$5:$I$505,MATCH(G234,Events!$A$5:$A$505,0)),att_offset,MATCH(G234,Attendance!$B$3:$AY$3,0),attendees,COUNTIF(INDEX(Attendance!$B$7:$AY$206,0,att_offset),"1"),IF(ev_split="Equal Split",ev_cost/MAX(1,COUNTA(Roster!$A$5:$A$204)),ev_cost/MAX(1,attendees))),"N/A"))</f>
        <v/>
      </c>
    </row>
    <row r="235" ht="20" customHeight="1">
      <c r="A235" s="16" t="n"/>
      <c r="B235" s="14" t="n"/>
      <c r="C235" s="14" t="n"/>
      <c r="D235" s="14" t="n"/>
      <c r="E235" s="14" t="n"/>
      <c r="F235" s="17" t="n"/>
      <c r="G235" s="14" t="n"/>
      <c r="H235" s="14" t="n"/>
      <c r="I235" s="14" t="n"/>
      <c r="J235" s="108">
        <f>IF(G235="","",IFERROR(LET(ev_cost,INDEX(Events!$G$5:$G$505,MATCH(G235,Events!$A$5:$A$505,0)),ev_split,INDEX(Events!$I$5:$I$505,MATCH(G235,Events!$A$5:$A$505,0)),att_offset,MATCH(G235,Attendance!$B$3:$AY$3,0),attendees,COUNTIF(INDEX(Attendance!$B$7:$AY$206,0,att_offset),"1"),IF(ev_split="Equal Split",ev_cost/MAX(1,COUNTA(Roster!$A$5:$A$204)),ev_cost/MAX(1,attendees))),"N/A"))</f>
        <v/>
      </c>
    </row>
    <row r="236" ht="20" customHeight="1">
      <c r="A236" s="12" t="n"/>
      <c r="B236" s="10" t="n"/>
      <c r="C236" s="10" t="n"/>
      <c r="D236" s="10" t="n"/>
      <c r="E236" s="10" t="n"/>
      <c r="F236" s="13" t="n"/>
      <c r="G236" s="10" t="n"/>
      <c r="H236" s="10" t="n"/>
      <c r="I236" s="10" t="n"/>
      <c r="J236" s="108">
        <f>IF(G236="","",IFERROR(LET(ev_cost,INDEX(Events!$G$5:$G$505,MATCH(G236,Events!$A$5:$A$505,0)),ev_split,INDEX(Events!$I$5:$I$505,MATCH(G236,Events!$A$5:$A$505,0)),att_offset,MATCH(G236,Attendance!$B$3:$AY$3,0),attendees,COUNTIF(INDEX(Attendance!$B$7:$AY$206,0,att_offset),"1"),IF(ev_split="Equal Split",ev_cost/MAX(1,COUNTA(Roster!$A$5:$A$204)),ev_cost/MAX(1,attendees))),"N/A"))</f>
        <v/>
      </c>
    </row>
    <row r="237" ht="20" customHeight="1">
      <c r="A237" s="16" t="n"/>
      <c r="B237" s="14" t="n"/>
      <c r="C237" s="14" t="n"/>
      <c r="D237" s="14" t="n"/>
      <c r="E237" s="14" t="n"/>
      <c r="F237" s="17" t="n"/>
      <c r="G237" s="14" t="n"/>
      <c r="H237" s="14" t="n"/>
      <c r="I237" s="14" t="n"/>
      <c r="J237" s="108">
        <f>IF(G237="","",IFERROR(LET(ev_cost,INDEX(Events!$G$5:$G$505,MATCH(G237,Events!$A$5:$A$505,0)),ev_split,INDEX(Events!$I$5:$I$505,MATCH(G237,Events!$A$5:$A$505,0)),att_offset,MATCH(G237,Attendance!$B$3:$AY$3,0),attendees,COUNTIF(INDEX(Attendance!$B$7:$AY$206,0,att_offset),"1"),IF(ev_split="Equal Split",ev_cost/MAX(1,COUNTA(Roster!$A$5:$A$204)),ev_cost/MAX(1,attendees))),"N/A"))</f>
        <v/>
      </c>
    </row>
    <row r="238" ht="20" customHeight="1">
      <c r="A238" s="12" t="n"/>
      <c r="B238" s="10" t="n"/>
      <c r="C238" s="10" t="n"/>
      <c r="D238" s="10" t="n"/>
      <c r="E238" s="10" t="n"/>
      <c r="F238" s="13" t="n"/>
      <c r="G238" s="10" t="n"/>
      <c r="H238" s="10" t="n"/>
      <c r="I238" s="10" t="n"/>
      <c r="J238" s="108">
        <f>IF(G238="","",IFERROR(LET(ev_cost,INDEX(Events!$G$5:$G$505,MATCH(G238,Events!$A$5:$A$505,0)),ev_split,INDEX(Events!$I$5:$I$505,MATCH(G238,Events!$A$5:$A$505,0)),att_offset,MATCH(G238,Attendance!$B$3:$AY$3,0),attendees,COUNTIF(INDEX(Attendance!$B$7:$AY$206,0,att_offset),"1"),IF(ev_split="Equal Split",ev_cost/MAX(1,COUNTA(Roster!$A$5:$A$204)),ev_cost/MAX(1,attendees))),"N/A"))</f>
        <v/>
      </c>
    </row>
    <row r="239" ht="20" customHeight="1">
      <c r="A239" s="16" t="n"/>
      <c r="B239" s="14" t="n"/>
      <c r="C239" s="14" t="n"/>
      <c r="D239" s="14" t="n"/>
      <c r="E239" s="14" t="n"/>
      <c r="F239" s="17" t="n"/>
      <c r="G239" s="14" t="n"/>
      <c r="H239" s="14" t="n"/>
      <c r="I239" s="14" t="n"/>
      <c r="J239" s="108">
        <f>IF(G239="","",IFERROR(LET(ev_cost,INDEX(Events!$G$5:$G$505,MATCH(G239,Events!$A$5:$A$505,0)),ev_split,INDEX(Events!$I$5:$I$505,MATCH(G239,Events!$A$5:$A$505,0)),att_offset,MATCH(G239,Attendance!$B$3:$AY$3,0),attendees,COUNTIF(INDEX(Attendance!$B$7:$AY$206,0,att_offset),"1"),IF(ev_split="Equal Split",ev_cost/MAX(1,COUNTA(Roster!$A$5:$A$204)),ev_cost/MAX(1,attendees))),"N/A"))</f>
        <v/>
      </c>
    </row>
    <row r="240" ht="20" customHeight="1">
      <c r="A240" s="12" t="n"/>
      <c r="B240" s="10" t="n"/>
      <c r="C240" s="10" t="n"/>
      <c r="D240" s="10" t="n"/>
      <c r="E240" s="10" t="n"/>
      <c r="F240" s="13" t="n"/>
      <c r="G240" s="10" t="n"/>
      <c r="H240" s="10" t="n"/>
      <c r="I240" s="10" t="n"/>
      <c r="J240" s="108">
        <f>IF(G240="","",IFERROR(LET(ev_cost,INDEX(Events!$G$5:$G$505,MATCH(G240,Events!$A$5:$A$505,0)),ev_split,INDEX(Events!$I$5:$I$505,MATCH(G240,Events!$A$5:$A$505,0)),att_offset,MATCH(G240,Attendance!$B$3:$AY$3,0),attendees,COUNTIF(INDEX(Attendance!$B$7:$AY$206,0,att_offset),"1"),IF(ev_split="Equal Split",ev_cost/MAX(1,COUNTA(Roster!$A$5:$A$204)),ev_cost/MAX(1,attendees))),"N/A"))</f>
        <v/>
      </c>
    </row>
    <row r="241" ht="20" customHeight="1">
      <c r="A241" s="16" t="n"/>
      <c r="B241" s="14" t="n"/>
      <c r="C241" s="14" t="n"/>
      <c r="D241" s="14" t="n"/>
      <c r="E241" s="14" t="n"/>
      <c r="F241" s="17" t="n"/>
      <c r="G241" s="14" t="n"/>
      <c r="H241" s="14" t="n"/>
      <c r="I241" s="14" t="n"/>
      <c r="J241" s="108">
        <f>IF(G241="","",IFERROR(LET(ev_cost,INDEX(Events!$G$5:$G$505,MATCH(G241,Events!$A$5:$A$505,0)),ev_split,INDEX(Events!$I$5:$I$505,MATCH(G241,Events!$A$5:$A$505,0)),att_offset,MATCH(G241,Attendance!$B$3:$AY$3,0),attendees,COUNTIF(INDEX(Attendance!$B$7:$AY$206,0,att_offset),"1"),IF(ev_split="Equal Split",ev_cost/MAX(1,COUNTA(Roster!$A$5:$A$204)),ev_cost/MAX(1,attendees))),"N/A"))</f>
        <v/>
      </c>
    </row>
    <row r="242" ht="20" customHeight="1">
      <c r="A242" s="12" t="n"/>
      <c r="B242" s="10" t="n"/>
      <c r="C242" s="10" t="n"/>
      <c r="D242" s="10" t="n"/>
      <c r="E242" s="10" t="n"/>
      <c r="F242" s="13" t="n"/>
      <c r="G242" s="10" t="n"/>
      <c r="H242" s="10" t="n"/>
      <c r="I242" s="10" t="n"/>
      <c r="J242" s="108">
        <f>IF(G242="","",IFERROR(LET(ev_cost,INDEX(Events!$G$5:$G$505,MATCH(G242,Events!$A$5:$A$505,0)),ev_split,INDEX(Events!$I$5:$I$505,MATCH(G242,Events!$A$5:$A$505,0)),att_offset,MATCH(G242,Attendance!$B$3:$AY$3,0),attendees,COUNTIF(INDEX(Attendance!$B$7:$AY$206,0,att_offset),"1"),IF(ev_split="Equal Split",ev_cost/MAX(1,COUNTA(Roster!$A$5:$A$204)),ev_cost/MAX(1,attendees))),"N/A"))</f>
        <v/>
      </c>
    </row>
    <row r="243" ht="20" customHeight="1">
      <c r="A243" s="16" t="n"/>
      <c r="B243" s="14" t="n"/>
      <c r="C243" s="14" t="n"/>
      <c r="D243" s="14" t="n"/>
      <c r="E243" s="14" t="n"/>
      <c r="F243" s="17" t="n"/>
      <c r="G243" s="14" t="n"/>
      <c r="H243" s="14" t="n"/>
      <c r="I243" s="14" t="n"/>
      <c r="J243" s="108">
        <f>IF(G243="","",IFERROR(LET(ev_cost,INDEX(Events!$G$5:$G$505,MATCH(G243,Events!$A$5:$A$505,0)),ev_split,INDEX(Events!$I$5:$I$505,MATCH(G243,Events!$A$5:$A$505,0)),att_offset,MATCH(G243,Attendance!$B$3:$AY$3,0),attendees,COUNTIF(INDEX(Attendance!$B$7:$AY$206,0,att_offset),"1"),IF(ev_split="Equal Split",ev_cost/MAX(1,COUNTA(Roster!$A$5:$A$204)),ev_cost/MAX(1,attendees))),"N/A"))</f>
        <v/>
      </c>
    </row>
    <row r="244" ht="20" customHeight="1">
      <c r="A244" s="12" t="n"/>
      <c r="B244" s="10" t="n"/>
      <c r="C244" s="10" t="n"/>
      <c r="D244" s="10" t="n"/>
      <c r="E244" s="10" t="n"/>
      <c r="F244" s="13" t="n"/>
      <c r="G244" s="10" t="n"/>
      <c r="H244" s="10" t="n"/>
      <c r="I244" s="10" t="n"/>
      <c r="J244" s="108">
        <f>IF(G244="","",IFERROR(LET(ev_cost,INDEX(Events!$G$5:$G$505,MATCH(G244,Events!$A$5:$A$505,0)),ev_split,INDEX(Events!$I$5:$I$505,MATCH(G244,Events!$A$5:$A$505,0)),att_offset,MATCH(G244,Attendance!$B$3:$AY$3,0),attendees,COUNTIF(INDEX(Attendance!$B$7:$AY$206,0,att_offset),"1"),IF(ev_split="Equal Split",ev_cost/MAX(1,COUNTA(Roster!$A$5:$A$204)),ev_cost/MAX(1,attendees))),"N/A"))</f>
        <v/>
      </c>
    </row>
    <row r="245" ht="20" customHeight="1">
      <c r="A245" s="16" t="n"/>
      <c r="B245" s="14" t="n"/>
      <c r="C245" s="14" t="n"/>
      <c r="D245" s="14" t="n"/>
      <c r="E245" s="14" t="n"/>
      <c r="F245" s="17" t="n"/>
      <c r="G245" s="14" t="n"/>
      <c r="H245" s="14" t="n"/>
      <c r="I245" s="14" t="n"/>
      <c r="J245" s="108">
        <f>IF(G245="","",IFERROR(LET(ev_cost,INDEX(Events!$G$5:$G$505,MATCH(G245,Events!$A$5:$A$505,0)),ev_split,INDEX(Events!$I$5:$I$505,MATCH(G245,Events!$A$5:$A$505,0)),att_offset,MATCH(G245,Attendance!$B$3:$AY$3,0),attendees,COUNTIF(INDEX(Attendance!$B$7:$AY$206,0,att_offset),"1"),IF(ev_split="Equal Split",ev_cost/MAX(1,COUNTA(Roster!$A$5:$A$204)),ev_cost/MAX(1,attendees))),"N/A"))</f>
        <v/>
      </c>
    </row>
    <row r="246" ht="20" customHeight="1">
      <c r="A246" s="12" t="n"/>
      <c r="B246" s="10" t="n"/>
      <c r="C246" s="10" t="n"/>
      <c r="D246" s="10" t="n"/>
      <c r="E246" s="10" t="n"/>
      <c r="F246" s="13" t="n"/>
      <c r="G246" s="10" t="n"/>
      <c r="H246" s="10" t="n"/>
      <c r="I246" s="10" t="n"/>
      <c r="J246" s="108">
        <f>IF(G246="","",IFERROR(LET(ev_cost,INDEX(Events!$G$5:$G$505,MATCH(G246,Events!$A$5:$A$505,0)),ev_split,INDEX(Events!$I$5:$I$505,MATCH(G246,Events!$A$5:$A$505,0)),att_offset,MATCH(G246,Attendance!$B$3:$AY$3,0),attendees,COUNTIF(INDEX(Attendance!$B$7:$AY$206,0,att_offset),"1"),IF(ev_split="Equal Split",ev_cost/MAX(1,COUNTA(Roster!$A$5:$A$204)),ev_cost/MAX(1,attendees))),"N/A"))</f>
        <v/>
      </c>
    </row>
    <row r="247" ht="20" customHeight="1">
      <c r="A247" s="16" t="n"/>
      <c r="B247" s="14" t="n"/>
      <c r="C247" s="14" t="n"/>
      <c r="D247" s="14" t="n"/>
      <c r="E247" s="14" t="n"/>
      <c r="F247" s="17" t="n"/>
      <c r="G247" s="14" t="n"/>
      <c r="H247" s="14" t="n"/>
      <c r="I247" s="14" t="n"/>
      <c r="J247" s="108">
        <f>IF(G247="","",IFERROR(LET(ev_cost,INDEX(Events!$G$5:$G$505,MATCH(G247,Events!$A$5:$A$505,0)),ev_split,INDEX(Events!$I$5:$I$505,MATCH(G247,Events!$A$5:$A$505,0)),att_offset,MATCH(G247,Attendance!$B$3:$AY$3,0),attendees,COUNTIF(INDEX(Attendance!$B$7:$AY$206,0,att_offset),"1"),IF(ev_split="Equal Split",ev_cost/MAX(1,COUNTA(Roster!$A$5:$A$204)),ev_cost/MAX(1,attendees))),"N/A"))</f>
        <v/>
      </c>
    </row>
    <row r="248" ht="20" customHeight="1">
      <c r="A248" s="12" t="n"/>
      <c r="B248" s="10" t="n"/>
      <c r="C248" s="10" t="n"/>
      <c r="D248" s="10" t="n"/>
      <c r="E248" s="10" t="n"/>
      <c r="F248" s="13" t="n"/>
      <c r="G248" s="10" t="n"/>
      <c r="H248" s="10" t="n"/>
      <c r="I248" s="10" t="n"/>
      <c r="J248" s="108">
        <f>IF(G248="","",IFERROR(LET(ev_cost,INDEX(Events!$G$5:$G$505,MATCH(G248,Events!$A$5:$A$505,0)),ev_split,INDEX(Events!$I$5:$I$505,MATCH(G248,Events!$A$5:$A$505,0)),att_offset,MATCH(G248,Attendance!$B$3:$AY$3,0),attendees,COUNTIF(INDEX(Attendance!$B$7:$AY$206,0,att_offset),"1"),IF(ev_split="Equal Split",ev_cost/MAX(1,COUNTA(Roster!$A$5:$A$204)),ev_cost/MAX(1,attendees))),"N/A"))</f>
        <v/>
      </c>
    </row>
    <row r="249" ht="20" customHeight="1">
      <c r="A249" s="16" t="n"/>
      <c r="B249" s="14" t="n"/>
      <c r="C249" s="14" t="n"/>
      <c r="D249" s="14" t="n"/>
      <c r="E249" s="14" t="n"/>
      <c r="F249" s="17" t="n"/>
      <c r="G249" s="14" t="n"/>
      <c r="H249" s="14" t="n"/>
      <c r="I249" s="14" t="n"/>
      <c r="J249" s="108">
        <f>IF(G249="","",IFERROR(LET(ev_cost,INDEX(Events!$G$5:$G$505,MATCH(G249,Events!$A$5:$A$505,0)),ev_split,INDEX(Events!$I$5:$I$505,MATCH(G249,Events!$A$5:$A$505,0)),att_offset,MATCH(G249,Attendance!$B$3:$AY$3,0),attendees,COUNTIF(INDEX(Attendance!$B$7:$AY$206,0,att_offset),"1"),IF(ev_split="Equal Split",ev_cost/MAX(1,COUNTA(Roster!$A$5:$A$204)),ev_cost/MAX(1,attendees))),"N/A"))</f>
        <v/>
      </c>
    </row>
    <row r="250" ht="20" customHeight="1">
      <c r="A250" s="12" t="n"/>
      <c r="B250" s="10" t="n"/>
      <c r="C250" s="10" t="n"/>
      <c r="D250" s="10" t="n"/>
      <c r="E250" s="10" t="n"/>
      <c r="F250" s="13" t="n"/>
      <c r="G250" s="10" t="n"/>
      <c r="H250" s="10" t="n"/>
      <c r="I250" s="10" t="n"/>
      <c r="J250" s="108">
        <f>IF(G250="","",IFERROR(LET(ev_cost,INDEX(Events!$G$5:$G$505,MATCH(G250,Events!$A$5:$A$505,0)),ev_split,INDEX(Events!$I$5:$I$505,MATCH(G250,Events!$A$5:$A$505,0)),att_offset,MATCH(G250,Attendance!$B$3:$AY$3,0),attendees,COUNTIF(INDEX(Attendance!$B$7:$AY$206,0,att_offset),"1"),IF(ev_split="Equal Split",ev_cost/MAX(1,COUNTA(Roster!$A$5:$A$204)),ev_cost/MAX(1,attendees))),"N/A"))</f>
        <v/>
      </c>
    </row>
    <row r="251" ht="20" customHeight="1">
      <c r="A251" s="16" t="n"/>
      <c r="B251" s="14" t="n"/>
      <c r="C251" s="14" t="n"/>
      <c r="D251" s="14" t="n"/>
      <c r="E251" s="14" t="n"/>
      <c r="F251" s="17" t="n"/>
      <c r="G251" s="14" t="n"/>
      <c r="H251" s="14" t="n"/>
      <c r="I251" s="14" t="n"/>
      <c r="J251" s="108">
        <f>IF(G251="","",IFERROR(LET(ev_cost,INDEX(Events!$G$5:$G$505,MATCH(G251,Events!$A$5:$A$505,0)),ev_split,INDEX(Events!$I$5:$I$505,MATCH(G251,Events!$A$5:$A$505,0)),att_offset,MATCH(G251,Attendance!$B$3:$AY$3,0),attendees,COUNTIF(INDEX(Attendance!$B$7:$AY$206,0,att_offset),"1"),IF(ev_split="Equal Split",ev_cost/MAX(1,COUNTA(Roster!$A$5:$A$204)),ev_cost/MAX(1,attendees))),"N/A"))</f>
        <v/>
      </c>
    </row>
    <row r="252" ht="20" customHeight="1">
      <c r="A252" s="12" t="n"/>
      <c r="B252" s="10" t="n"/>
      <c r="C252" s="10" t="n"/>
      <c r="D252" s="10" t="n"/>
      <c r="E252" s="10" t="n"/>
      <c r="F252" s="13" t="n"/>
      <c r="G252" s="10" t="n"/>
      <c r="H252" s="10" t="n"/>
      <c r="I252" s="10" t="n"/>
      <c r="J252" s="108">
        <f>IF(G252="","",IFERROR(LET(ev_cost,INDEX(Events!$G$5:$G$505,MATCH(G252,Events!$A$5:$A$505,0)),ev_split,INDEX(Events!$I$5:$I$505,MATCH(G252,Events!$A$5:$A$505,0)),att_offset,MATCH(G252,Attendance!$B$3:$AY$3,0),attendees,COUNTIF(INDEX(Attendance!$B$7:$AY$206,0,att_offset),"1"),IF(ev_split="Equal Split",ev_cost/MAX(1,COUNTA(Roster!$A$5:$A$204)),ev_cost/MAX(1,attendees))),"N/A"))</f>
        <v/>
      </c>
    </row>
    <row r="253" ht="20" customHeight="1">
      <c r="A253" s="16" t="n"/>
      <c r="B253" s="14" t="n"/>
      <c r="C253" s="14" t="n"/>
      <c r="D253" s="14" t="n"/>
      <c r="E253" s="14" t="n"/>
      <c r="F253" s="17" t="n"/>
      <c r="G253" s="14" t="n"/>
      <c r="H253" s="14" t="n"/>
      <c r="I253" s="14" t="n"/>
      <c r="J253" s="108">
        <f>IF(G253="","",IFERROR(LET(ev_cost,INDEX(Events!$G$5:$G$505,MATCH(G253,Events!$A$5:$A$505,0)),ev_split,INDEX(Events!$I$5:$I$505,MATCH(G253,Events!$A$5:$A$505,0)),att_offset,MATCH(G253,Attendance!$B$3:$AY$3,0),attendees,COUNTIF(INDEX(Attendance!$B$7:$AY$206,0,att_offset),"1"),IF(ev_split="Equal Split",ev_cost/MAX(1,COUNTA(Roster!$A$5:$A$204)),ev_cost/MAX(1,attendees))),"N/A"))</f>
        <v/>
      </c>
    </row>
    <row r="254" ht="20" customHeight="1">
      <c r="A254" s="12" t="n"/>
      <c r="B254" s="10" t="n"/>
      <c r="C254" s="10" t="n"/>
      <c r="D254" s="10" t="n"/>
      <c r="E254" s="10" t="n"/>
      <c r="F254" s="13" t="n"/>
      <c r="G254" s="10" t="n"/>
      <c r="H254" s="10" t="n"/>
      <c r="I254" s="10" t="n"/>
      <c r="J254" s="108">
        <f>IF(G254="","",IFERROR(LET(ev_cost,INDEX(Events!$G$5:$G$505,MATCH(G254,Events!$A$5:$A$505,0)),ev_split,INDEX(Events!$I$5:$I$505,MATCH(G254,Events!$A$5:$A$505,0)),att_offset,MATCH(G254,Attendance!$B$3:$AY$3,0),attendees,COUNTIF(INDEX(Attendance!$B$7:$AY$206,0,att_offset),"1"),IF(ev_split="Equal Split",ev_cost/MAX(1,COUNTA(Roster!$A$5:$A$204)),ev_cost/MAX(1,attendees))),"N/A"))</f>
        <v/>
      </c>
    </row>
    <row r="255" ht="20" customHeight="1">
      <c r="A255" s="16" t="n"/>
      <c r="B255" s="14" t="n"/>
      <c r="C255" s="14" t="n"/>
      <c r="D255" s="14" t="n"/>
      <c r="E255" s="14" t="n"/>
      <c r="F255" s="17" t="n"/>
      <c r="G255" s="14" t="n"/>
      <c r="H255" s="14" t="n"/>
      <c r="I255" s="14" t="n"/>
      <c r="J255" s="108">
        <f>IF(G255="","",IFERROR(LET(ev_cost,INDEX(Events!$G$5:$G$505,MATCH(G255,Events!$A$5:$A$505,0)),ev_split,INDEX(Events!$I$5:$I$505,MATCH(G255,Events!$A$5:$A$505,0)),att_offset,MATCH(G255,Attendance!$B$3:$AY$3,0),attendees,COUNTIF(INDEX(Attendance!$B$7:$AY$206,0,att_offset),"1"),IF(ev_split="Equal Split",ev_cost/MAX(1,COUNTA(Roster!$A$5:$A$204)),ev_cost/MAX(1,attendees))),"N/A"))</f>
        <v/>
      </c>
    </row>
    <row r="256" ht="20" customHeight="1">
      <c r="A256" s="12" t="n"/>
      <c r="B256" s="10" t="n"/>
      <c r="C256" s="10" t="n"/>
      <c r="D256" s="10" t="n"/>
      <c r="E256" s="10" t="n"/>
      <c r="F256" s="13" t="n"/>
      <c r="G256" s="10" t="n"/>
      <c r="H256" s="10" t="n"/>
      <c r="I256" s="10" t="n"/>
      <c r="J256" s="108">
        <f>IF(G256="","",IFERROR(LET(ev_cost,INDEX(Events!$G$5:$G$505,MATCH(G256,Events!$A$5:$A$505,0)),ev_split,INDEX(Events!$I$5:$I$505,MATCH(G256,Events!$A$5:$A$505,0)),att_offset,MATCH(G256,Attendance!$B$3:$AY$3,0),attendees,COUNTIF(INDEX(Attendance!$B$7:$AY$206,0,att_offset),"1"),IF(ev_split="Equal Split",ev_cost/MAX(1,COUNTA(Roster!$A$5:$A$204)),ev_cost/MAX(1,attendees))),"N/A"))</f>
        <v/>
      </c>
    </row>
    <row r="257" ht="20" customHeight="1">
      <c r="A257" s="16" t="n"/>
      <c r="B257" s="14" t="n"/>
      <c r="C257" s="14" t="n"/>
      <c r="D257" s="14" t="n"/>
      <c r="E257" s="14" t="n"/>
      <c r="F257" s="17" t="n"/>
      <c r="G257" s="14" t="n"/>
      <c r="H257" s="14" t="n"/>
      <c r="I257" s="14" t="n"/>
      <c r="J257" s="108">
        <f>IF(G257="","",IFERROR(LET(ev_cost,INDEX(Events!$G$5:$G$505,MATCH(G257,Events!$A$5:$A$505,0)),ev_split,INDEX(Events!$I$5:$I$505,MATCH(G257,Events!$A$5:$A$505,0)),att_offset,MATCH(G257,Attendance!$B$3:$AY$3,0),attendees,COUNTIF(INDEX(Attendance!$B$7:$AY$206,0,att_offset),"1"),IF(ev_split="Equal Split",ev_cost/MAX(1,COUNTA(Roster!$A$5:$A$204)),ev_cost/MAX(1,attendees))),"N/A"))</f>
        <v/>
      </c>
    </row>
    <row r="258" ht="20" customHeight="1">
      <c r="A258" s="12" t="n"/>
      <c r="B258" s="10" t="n"/>
      <c r="C258" s="10" t="n"/>
      <c r="D258" s="10" t="n"/>
      <c r="E258" s="10" t="n"/>
      <c r="F258" s="13" t="n"/>
      <c r="G258" s="10" t="n"/>
      <c r="H258" s="10" t="n"/>
      <c r="I258" s="10" t="n"/>
      <c r="J258" s="108">
        <f>IF(G258="","",IFERROR(LET(ev_cost,INDEX(Events!$G$5:$G$505,MATCH(G258,Events!$A$5:$A$505,0)),ev_split,INDEX(Events!$I$5:$I$505,MATCH(G258,Events!$A$5:$A$505,0)),att_offset,MATCH(G258,Attendance!$B$3:$AY$3,0),attendees,COUNTIF(INDEX(Attendance!$B$7:$AY$206,0,att_offset),"1"),IF(ev_split="Equal Split",ev_cost/MAX(1,COUNTA(Roster!$A$5:$A$204)),ev_cost/MAX(1,attendees))),"N/A"))</f>
        <v/>
      </c>
    </row>
    <row r="259" ht="20" customHeight="1">
      <c r="A259" s="16" t="n"/>
      <c r="B259" s="14" t="n"/>
      <c r="C259" s="14" t="n"/>
      <c r="D259" s="14" t="n"/>
      <c r="E259" s="14" t="n"/>
      <c r="F259" s="17" t="n"/>
      <c r="G259" s="14" t="n"/>
      <c r="H259" s="14" t="n"/>
      <c r="I259" s="14" t="n"/>
      <c r="J259" s="108">
        <f>IF(G259="","",IFERROR(LET(ev_cost,INDEX(Events!$G$5:$G$505,MATCH(G259,Events!$A$5:$A$505,0)),ev_split,INDEX(Events!$I$5:$I$505,MATCH(G259,Events!$A$5:$A$505,0)),att_offset,MATCH(G259,Attendance!$B$3:$AY$3,0),attendees,COUNTIF(INDEX(Attendance!$B$7:$AY$206,0,att_offset),"1"),IF(ev_split="Equal Split",ev_cost/MAX(1,COUNTA(Roster!$A$5:$A$204)),ev_cost/MAX(1,attendees))),"N/A"))</f>
        <v/>
      </c>
    </row>
    <row r="260" ht="20" customHeight="1">
      <c r="A260" s="12" t="n"/>
      <c r="B260" s="10" t="n"/>
      <c r="C260" s="10" t="n"/>
      <c r="D260" s="10" t="n"/>
      <c r="E260" s="10" t="n"/>
      <c r="F260" s="13" t="n"/>
      <c r="G260" s="10" t="n"/>
      <c r="H260" s="10" t="n"/>
      <c r="I260" s="10" t="n"/>
      <c r="J260" s="108">
        <f>IF(G260="","",IFERROR(LET(ev_cost,INDEX(Events!$G$5:$G$505,MATCH(G260,Events!$A$5:$A$505,0)),ev_split,INDEX(Events!$I$5:$I$505,MATCH(G260,Events!$A$5:$A$505,0)),att_offset,MATCH(G260,Attendance!$B$3:$AY$3,0),attendees,COUNTIF(INDEX(Attendance!$B$7:$AY$206,0,att_offset),"1"),IF(ev_split="Equal Split",ev_cost/MAX(1,COUNTA(Roster!$A$5:$A$204)),ev_cost/MAX(1,attendees))),"N/A"))</f>
        <v/>
      </c>
    </row>
    <row r="261" ht="20" customHeight="1">
      <c r="A261" s="16" t="n"/>
      <c r="B261" s="14" t="n"/>
      <c r="C261" s="14" t="n"/>
      <c r="D261" s="14" t="n"/>
      <c r="E261" s="14" t="n"/>
      <c r="F261" s="17" t="n"/>
      <c r="G261" s="14" t="n"/>
      <c r="H261" s="14" t="n"/>
      <c r="I261" s="14" t="n"/>
      <c r="J261" s="108">
        <f>IF(G261="","",IFERROR(LET(ev_cost,INDEX(Events!$G$5:$G$505,MATCH(G261,Events!$A$5:$A$505,0)),ev_split,INDEX(Events!$I$5:$I$505,MATCH(G261,Events!$A$5:$A$505,0)),att_offset,MATCH(G261,Attendance!$B$3:$AY$3,0),attendees,COUNTIF(INDEX(Attendance!$B$7:$AY$206,0,att_offset),"1"),IF(ev_split="Equal Split",ev_cost/MAX(1,COUNTA(Roster!$A$5:$A$204)),ev_cost/MAX(1,attendees))),"N/A"))</f>
        <v/>
      </c>
    </row>
    <row r="262" ht="20" customHeight="1">
      <c r="A262" s="12" t="n"/>
      <c r="B262" s="10" t="n"/>
      <c r="C262" s="10" t="n"/>
      <c r="D262" s="10" t="n"/>
      <c r="E262" s="10" t="n"/>
      <c r="F262" s="13" t="n"/>
      <c r="G262" s="10" t="n"/>
      <c r="H262" s="10" t="n"/>
      <c r="I262" s="10" t="n"/>
      <c r="J262" s="108">
        <f>IF(G262="","",IFERROR(LET(ev_cost,INDEX(Events!$G$5:$G$505,MATCH(G262,Events!$A$5:$A$505,0)),ev_split,INDEX(Events!$I$5:$I$505,MATCH(G262,Events!$A$5:$A$505,0)),att_offset,MATCH(G262,Attendance!$B$3:$AY$3,0),attendees,COUNTIF(INDEX(Attendance!$B$7:$AY$206,0,att_offset),"1"),IF(ev_split="Equal Split",ev_cost/MAX(1,COUNTA(Roster!$A$5:$A$204)),ev_cost/MAX(1,attendees))),"N/A"))</f>
        <v/>
      </c>
    </row>
    <row r="263" ht="20" customHeight="1">
      <c r="A263" s="16" t="n"/>
      <c r="B263" s="14" t="n"/>
      <c r="C263" s="14" t="n"/>
      <c r="D263" s="14" t="n"/>
      <c r="E263" s="14" t="n"/>
      <c r="F263" s="17" t="n"/>
      <c r="G263" s="14" t="n"/>
      <c r="H263" s="14" t="n"/>
      <c r="I263" s="14" t="n"/>
      <c r="J263" s="108">
        <f>IF(G263="","",IFERROR(LET(ev_cost,INDEX(Events!$G$5:$G$505,MATCH(G263,Events!$A$5:$A$505,0)),ev_split,INDEX(Events!$I$5:$I$505,MATCH(G263,Events!$A$5:$A$505,0)),att_offset,MATCH(G263,Attendance!$B$3:$AY$3,0),attendees,COUNTIF(INDEX(Attendance!$B$7:$AY$206,0,att_offset),"1"),IF(ev_split="Equal Split",ev_cost/MAX(1,COUNTA(Roster!$A$5:$A$204)),ev_cost/MAX(1,attendees))),"N/A"))</f>
        <v/>
      </c>
    </row>
    <row r="264" ht="20" customHeight="1">
      <c r="A264" s="12" t="n"/>
      <c r="B264" s="10" t="n"/>
      <c r="C264" s="10" t="n"/>
      <c r="D264" s="10" t="n"/>
      <c r="E264" s="10" t="n"/>
      <c r="F264" s="13" t="n"/>
      <c r="G264" s="10" t="n"/>
      <c r="H264" s="10" t="n"/>
      <c r="I264" s="10" t="n"/>
      <c r="J264" s="108">
        <f>IF(G264="","",IFERROR(LET(ev_cost,INDEX(Events!$G$5:$G$505,MATCH(G264,Events!$A$5:$A$505,0)),ev_split,INDEX(Events!$I$5:$I$505,MATCH(G264,Events!$A$5:$A$505,0)),att_offset,MATCH(G264,Attendance!$B$3:$AY$3,0),attendees,COUNTIF(INDEX(Attendance!$B$7:$AY$206,0,att_offset),"1"),IF(ev_split="Equal Split",ev_cost/MAX(1,COUNTA(Roster!$A$5:$A$204)),ev_cost/MAX(1,attendees))),"N/A"))</f>
        <v/>
      </c>
    </row>
    <row r="265" ht="20" customHeight="1">
      <c r="A265" s="16" t="n"/>
      <c r="B265" s="14" t="n"/>
      <c r="C265" s="14" t="n"/>
      <c r="D265" s="14" t="n"/>
      <c r="E265" s="14" t="n"/>
      <c r="F265" s="17" t="n"/>
      <c r="G265" s="14" t="n"/>
      <c r="H265" s="14" t="n"/>
      <c r="I265" s="14" t="n"/>
      <c r="J265" s="108">
        <f>IF(G265="","",IFERROR(LET(ev_cost,INDEX(Events!$G$5:$G$505,MATCH(G265,Events!$A$5:$A$505,0)),ev_split,INDEX(Events!$I$5:$I$505,MATCH(G265,Events!$A$5:$A$505,0)),att_offset,MATCH(G265,Attendance!$B$3:$AY$3,0),attendees,COUNTIF(INDEX(Attendance!$B$7:$AY$206,0,att_offset),"1"),IF(ev_split="Equal Split",ev_cost/MAX(1,COUNTA(Roster!$A$5:$A$204)),ev_cost/MAX(1,attendees))),"N/A"))</f>
        <v/>
      </c>
    </row>
    <row r="266" ht="20" customHeight="1">
      <c r="A266" s="12" t="n"/>
      <c r="B266" s="10" t="n"/>
      <c r="C266" s="10" t="n"/>
      <c r="D266" s="10" t="n"/>
      <c r="E266" s="10" t="n"/>
      <c r="F266" s="13" t="n"/>
      <c r="G266" s="10" t="n"/>
      <c r="H266" s="10" t="n"/>
      <c r="I266" s="10" t="n"/>
      <c r="J266" s="108">
        <f>IF(G266="","",IFERROR(LET(ev_cost,INDEX(Events!$G$5:$G$505,MATCH(G266,Events!$A$5:$A$505,0)),ev_split,INDEX(Events!$I$5:$I$505,MATCH(G266,Events!$A$5:$A$505,0)),att_offset,MATCH(G266,Attendance!$B$3:$AY$3,0),attendees,COUNTIF(INDEX(Attendance!$B$7:$AY$206,0,att_offset),"1"),IF(ev_split="Equal Split",ev_cost/MAX(1,COUNTA(Roster!$A$5:$A$204)),ev_cost/MAX(1,attendees))),"N/A"))</f>
        <v/>
      </c>
    </row>
    <row r="267" ht="20" customHeight="1">
      <c r="A267" s="16" t="n"/>
      <c r="B267" s="14" t="n"/>
      <c r="C267" s="14" t="n"/>
      <c r="D267" s="14" t="n"/>
      <c r="E267" s="14" t="n"/>
      <c r="F267" s="17" t="n"/>
      <c r="G267" s="14" t="n"/>
      <c r="H267" s="14" t="n"/>
      <c r="I267" s="14" t="n"/>
      <c r="J267" s="108">
        <f>IF(G267="","",IFERROR(LET(ev_cost,INDEX(Events!$G$5:$G$505,MATCH(G267,Events!$A$5:$A$505,0)),ev_split,INDEX(Events!$I$5:$I$505,MATCH(G267,Events!$A$5:$A$505,0)),att_offset,MATCH(G267,Attendance!$B$3:$AY$3,0),attendees,COUNTIF(INDEX(Attendance!$B$7:$AY$206,0,att_offset),"1"),IF(ev_split="Equal Split",ev_cost/MAX(1,COUNTA(Roster!$A$5:$A$204)),ev_cost/MAX(1,attendees))),"N/A"))</f>
        <v/>
      </c>
    </row>
    <row r="268" ht="20" customHeight="1">
      <c r="A268" s="12" t="n"/>
      <c r="B268" s="10" t="n"/>
      <c r="C268" s="10" t="n"/>
      <c r="D268" s="10" t="n"/>
      <c r="E268" s="10" t="n"/>
      <c r="F268" s="13" t="n"/>
      <c r="G268" s="10" t="n"/>
      <c r="H268" s="10" t="n"/>
      <c r="I268" s="10" t="n"/>
      <c r="J268" s="108">
        <f>IF(G268="","",IFERROR(LET(ev_cost,INDEX(Events!$G$5:$G$505,MATCH(G268,Events!$A$5:$A$505,0)),ev_split,INDEX(Events!$I$5:$I$505,MATCH(G268,Events!$A$5:$A$505,0)),att_offset,MATCH(G268,Attendance!$B$3:$AY$3,0),attendees,COUNTIF(INDEX(Attendance!$B$7:$AY$206,0,att_offset),"1"),IF(ev_split="Equal Split",ev_cost/MAX(1,COUNTA(Roster!$A$5:$A$204)),ev_cost/MAX(1,attendees))),"N/A"))</f>
        <v/>
      </c>
    </row>
    <row r="269" ht="20" customHeight="1">
      <c r="A269" s="16" t="n"/>
      <c r="B269" s="14" t="n"/>
      <c r="C269" s="14" t="n"/>
      <c r="D269" s="14" t="n"/>
      <c r="E269" s="14" t="n"/>
      <c r="F269" s="17" t="n"/>
      <c r="G269" s="14" t="n"/>
      <c r="H269" s="14" t="n"/>
      <c r="I269" s="14" t="n"/>
      <c r="J269" s="108">
        <f>IF(G269="","",IFERROR(LET(ev_cost,INDEX(Events!$G$5:$G$505,MATCH(G269,Events!$A$5:$A$505,0)),ev_split,INDEX(Events!$I$5:$I$505,MATCH(G269,Events!$A$5:$A$505,0)),att_offset,MATCH(G269,Attendance!$B$3:$AY$3,0),attendees,COUNTIF(INDEX(Attendance!$B$7:$AY$206,0,att_offset),"1"),IF(ev_split="Equal Split",ev_cost/MAX(1,COUNTA(Roster!$A$5:$A$204)),ev_cost/MAX(1,attendees))),"N/A"))</f>
        <v/>
      </c>
    </row>
    <row r="270" ht="20" customHeight="1">
      <c r="A270" s="12" t="n"/>
      <c r="B270" s="10" t="n"/>
      <c r="C270" s="10" t="n"/>
      <c r="D270" s="10" t="n"/>
      <c r="E270" s="10" t="n"/>
      <c r="F270" s="13" t="n"/>
      <c r="G270" s="10" t="n"/>
      <c r="H270" s="10" t="n"/>
      <c r="I270" s="10" t="n"/>
      <c r="J270" s="108">
        <f>IF(G270="","",IFERROR(LET(ev_cost,INDEX(Events!$G$5:$G$505,MATCH(G270,Events!$A$5:$A$505,0)),ev_split,INDEX(Events!$I$5:$I$505,MATCH(G270,Events!$A$5:$A$505,0)),att_offset,MATCH(G270,Attendance!$B$3:$AY$3,0),attendees,COUNTIF(INDEX(Attendance!$B$7:$AY$206,0,att_offset),"1"),IF(ev_split="Equal Split",ev_cost/MAX(1,COUNTA(Roster!$A$5:$A$204)),ev_cost/MAX(1,attendees))),"N/A"))</f>
        <v/>
      </c>
    </row>
    <row r="271" ht="20" customHeight="1">
      <c r="A271" s="16" t="n"/>
      <c r="B271" s="14" t="n"/>
      <c r="C271" s="14" t="n"/>
      <c r="D271" s="14" t="n"/>
      <c r="E271" s="14" t="n"/>
      <c r="F271" s="17" t="n"/>
      <c r="G271" s="14" t="n"/>
      <c r="H271" s="14" t="n"/>
      <c r="I271" s="14" t="n"/>
      <c r="J271" s="108">
        <f>IF(G271="","",IFERROR(LET(ev_cost,INDEX(Events!$G$5:$G$505,MATCH(G271,Events!$A$5:$A$505,0)),ev_split,INDEX(Events!$I$5:$I$505,MATCH(G271,Events!$A$5:$A$505,0)),att_offset,MATCH(G271,Attendance!$B$3:$AY$3,0),attendees,COUNTIF(INDEX(Attendance!$B$7:$AY$206,0,att_offset),"1"),IF(ev_split="Equal Split",ev_cost/MAX(1,COUNTA(Roster!$A$5:$A$204)),ev_cost/MAX(1,attendees))),"N/A"))</f>
        <v/>
      </c>
    </row>
    <row r="272" ht="20" customHeight="1">
      <c r="A272" s="12" t="n"/>
      <c r="B272" s="10" t="n"/>
      <c r="C272" s="10" t="n"/>
      <c r="D272" s="10" t="n"/>
      <c r="E272" s="10" t="n"/>
      <c r="F272" s="13" t="n"/>
      <c r="G272" s="10" t="n"/>
      <c r="H272" s="10" t="n"/>
      <c r="I272" s="10" t="n"/>
      <c r="J272" s="108">
        <f>IF(G272="","",IFERROR(LET(ev_cost,INDEX(Events!$G$5:$G$505,MATCH(G272,Events!$A$5:$A$505,0)),ev_split,INDEX(Events!$I$5:$I$505,MATCH(G272,Events!$A$5:$A$505,0)),att_offset,MATCH(G272,Attendance!$B$3:$AY$3,0),attendees,COUNTIF(INDEX(Attendance!$B$7:$AY$206,0,att_offset),"1"),IF(ev_split="Equal Split",ev_cost/MAX(1,COUNTA(Roster!$A$5:$A$204)),ev_cost/MAX(1,attendees))),"N/A"))</f>
        <v/>
      </c>
    </row>
    <row r="273" ht="20" customHeight="1">
      <c r="A273" s="16" t="n"/>
      <c r="B273" s="14" t="n"/>
      <c r="C273" s="14" t="n"/>
      <c r="D273" s="14" t="n"/>
      <c r="E273" s="14" t="n"/>
      <c r="F273" s="17" t="n"/>
      <c r="G273" s="14" t="n"/>
      <c r="H273" s="14" t="n"/>
      <c r="I273" s="14" t="n"/>
      <c r="J273" s="108">
        <f>IF(G273="","",IFERROR(LET(ev_cost,INDEX(Events!$G$5:$G$505,MATCH(G273,Events!$A$5:$A$505,0)),ev_split,INDEX(Events!$I$5:$I$505,MATCH(G273,Events!$A$5:$A$505,0)),att_offset,MATCH(G273,Attendance!$B$3:$AY$3,0),attendees,COUNTIF(INDEX(Attendance!$B$7:$AY$206,0,att_offset),"1"),IF(ev_split="Equal Split",ev_cost/MAX(1,COUNTA(Roster!$A$5:$A$204)),ev_cost/MAX(1,attendees))),"N/A"))</f>
        <v/>
      </c>
    </row>
    <row r="274" ht="20" customHeight="1">
      <c r="A274" s="12" t="n"/>
      <c r="B274" s="10" t="n"/>
      <c r="C274" s="10" t="n"/>
      <c r="D274" s="10" t="n"/>
      <c r="E274" s="10" t="n"/>
      <c r="F274" s="13" t="n"/>
      <c r="G274" s="10" t="n"/>
      <c r="H274" s="10" t="n"/>
      <c r="I274" s="10" t="n"/>
      <c r="J274" s="108">
        <f>IF(G274="","",IFERROR(LET(ev_cost,INDEX(Events!$G$5:$G$505,MATCH(G274,Events!$A$5:$A$505,0)),ev_split,INDEX(Events!$I$5:$I$505,MATCH(G274,Events!$A$5:$A$505,0)),att_offset,MATCH(G274,Attendance!$B$3:$AY$3,0),attendees,COUNTIF(INDEX(Attendance!$B$7:$AY$206,0,att_offset),"1"),IF(ev_split="Equal Split",ev_cost/MAX(1,COUNTA(Roster!$A$5:$A$204)),ev_cost/MAX(1,attendees))),"N/A"))</f>
        <v/>
      </c>
    </row>
    <row r="275" ht="20" customHeight="1">
      <c r="A275" s="16" t="n"/>
      <c r="B275" s="14" t="n"/>
      <c r="C275" s="14" t="n"/>
      <c r="D275" s="14" t="n"/>
      <c r="E275" s="14" t="n"/>
      <c r="F275" s="17" t="n"/>
      <c r="G275" s="14" t="n"/>
      <c r="H275" s="14" t="n"/>
      <c r="I275" s="14" t="n"/>
      <c r="J275" s="108">
        <f>IF(G275="","",IFERROR(LET(ev_cost,INDEX(Events!$G$5:$G$505,MATCH(G275,Events!$A$5:$A$505,0)),ev_split,INDEX(Events!$I$5:$I$505,MATCH(G275,Events!$A$5:$A$505,0)),att_offset,MATCH(G275,Attendance!$B$3:$AY$3,0),attendees,COUNTIF(INDEX(Attendance!$B$7:$AY$206,0,att_offset),"1"),IF(ev_split="Equal Split",ev_cost/MAX(1,COUNTA(Roster!$A$5:$A$204)),ev_cost/MAX(1,attendees))),"N/A"))</f>
        <v/>
      </c>
    </row>
    <row r="276" ht="20" customHeight="1">
      <c r="A276" s="12" t="n"/>
      <c r="B276" s="10" t="n"/>
      <c r="C276" s="10" t="n"/>
      <c r="D276" s="10" t="n"/>
      <c r="E276" s="10" t="n"/>
      <c r="F276" s="13" t="n"/>
      <c r="G276" s="10" t="n"/>
      <c r="H276" s="10" t="n"/>
      <c r="I276" s="10" t="n"/>
      <c r="J276" s="108">
        <f>IF(G276="","",IFERROR(LET(ev_cost,INDEX(Events!$G$5:$G$505,MATCH(G276,Events!$A$5:$A$505,0)),ev_split,INDEX(Events!$I$5:$I$505,MATCH(G276,Events!$A$5:$A$505,0)),att_offset,MATCH(G276,Attendance!$B$3:$AY$3,0),attendees,COUNTIF(INDEX(Attendance!$B$7:$AY$206,0,att_offset),"1"),IF(ev_split="Equal Split",ev_cost/MAX(1,COUNTA(Roster!$A$5:$A$204)),ev_cost/MAX(1,attendees))),"N/A"))</f>
        <v/>
      </c>
    </row>
    <row r="277" ht="20" customHeight="1">
      <c r="A277" s="16" t="n"/>
      <c r="B277" s="14" t="n"/>
      <c r="C277" s="14" t="n"/>
      <c r="D277" s="14" t="n"/>
      <c r="E277" s="14" t="n"/>
      <c r="F277" s="17" t="n"/>
      <c r="G277" s="14" t="n"/>
      <c r="H277" s="14" t="n"/>
      <c r="I277" s="14" t="n"/>
      <c r="J277" s="108">
        <f>IF(G277="","",IFERROR(LET(ev_cost,INDEX(Events!$G$5:$G$505,MATCH(G277,Events!$A$5:$A$505,0)),ev_split,INDEX(Events!$I$5:$I$505,MATCH(G277,Events!$A$5:$A$505,0)),att_offset,MATCH(G277,Attendance!$B$3:$AY$3,0),attendees,COUNTIF(INDEX(Attendance!$B$7:$AY$206,0,att_offset),"1"),IF(ev_split="Equal Split",ev_cost/MAX(1,COUNTA(Roster!$A$5:$A$204)),ev_cost/MAX(1,attendees))),"N/A"))</f>
        <v/>
      </c>
    </row>
    <row r="278" ht="20" customHeight="1">
      <c r="A278" s="12" t="n"/>
      <c r="B278" s="10" t="n"/>
      <c r="C278" s="10" t="n"/>
      <c r="D278" s="10" t="n"/>
      <c r="E278" s="10" t="n"/>
      <c r="F278" s="13" t="n"/>
      <c r="G278" s="10" t="n"/>
      <c r="H278" s="10" t="n"/>
      <c r="I278" s="10" t="n"/>
      <c r="J278" s="108">
        <f>IF(G278="","",IFERROR(LET(ev_cost,INDEX(Events!$G$5:$G$505,MATCH(G278,Events!$A$5:$A$505,0)),ev_split,INDEX(Events!$I$5:$I$505,MATCH(G278,Events!$A$5:$A$505,0)),att_offset,MATCH(G278,Attendance!$B$3:$AY$3,0),attendees,COUNTIF(INDEX(Attendance!$B$7:$AY$206,0,att_offset),"1"),IF(ev_split="Equal Split",ev_cost/MAX(1,COUNTA(Roster!$A$5:$A$204)),ev_cost/MAX(1,attendees))),"N/A"))</f>
        <v/>
      </c>
    </row>
    <row r="279" ht="20" customHeight="1">
      <c r="A279" s="16" t="n"/>
      <c r="B279" s="14" t="n"/>
      <c r="C279" s="14" t="n"/>
      <c r="D279" s="14" t="n"/>
      <c r="E279" s="14" t="n"/>
      <c r="F279" s="17" t="n"/>
      <c r="G279" s="14" t="n"/>
      <c r="H279" s="14" t="n"/>
      <c r="I279" s="14" t="n"/>
      <c r="J279" s="108">
        <f>IF(G279="","",IFERROR(LET(ev_cost,INDEX(Events!$G$5:$G$505,MATCH(G279,Events!$A$5:$A$505,0)),ev_split,INDEX(Events!$I$5:$I$505,MATCH(G279,Events!$A$5:$A$505,0)),att_offset,MATCH(G279,Attendance!$B$3:$AY$3,0),attendees,COUNTIF(INDEX(Attendance!$B$7:$AY$206,0,att_offset),"1"),IF(ev_split="Equal Split",ev_cost/MAX(1,COUNTA(Roster!$A$5:$A$204)),ev_cost/MAX(1,attendees))),"N/A"))</f>
        <v/>
      </c>
    </row>
    <row r="280" ht="20" customHeight="1">
      <c r="A280" s="12" t="n"/>
      <c r="B280" s="10" t="n"/>
      <c r="C280" s="10" t="n"/>
      <c r="D280" s="10" t="n"/>
      <c r="E280" s="10" t="n"/>
      <c r="F280" s="13" t="n"/>
      <c r="G280" s="10" t="n"/>
      <c r="H280" s="10" t="n"/>
      <c r="I280" s="10" t="n"/>
      <c r="J280" s="108">
        <f>IF(G280="","",IFERROR(LET(ev_cost,INDEX(Events!$G$5:$G$505,MATCH(G280,Events!$A$5:$A$505,0)),ev_split,INDEX(Events!$I$5:$I$505,MATCH(G280,Events!$A$5:$A$505,0)),att_offset,MATCH(G280,Attendance!$B$3:$AY$3,0),attendees,COUNTIF(INDEX(Attendance!$B$7:$AY$206,0,att_offset),"1"),IF(ev_split="Equal Split",ev_cost/MAX(1,COUNTA(Roster!$A$5:$A$204)),ev_cost/MAX(1,attendees))),"N/A"))</f>
        <v/>
      </c>
    </row>
    <row r="281" ht="20" customHeight="1">
      <c r="A281" s="16" t="n"/>
      <c r="B281" s="14" t="n"/>
      <c r="C281" s="14" t="n"/>
      <c r="D281" s="14" t="n"/>
      <c r="E281" s="14" t="n"/>
      <c r="F281" s="17" t="n"/>
      <c r="G281" s="14" t="n"/>
      <c r="H281" s="14" t="n"/>
      <c r="I281" s="14" t="n"/>
      <c r="J281" s="108">
        <f>IF(G281="","",IFERROR(LET(ev_cost,INDEX(Events!$G$5:$G$505,MATCH(G281,Events!$A$5:$A$505,0)),ev_split,INDEX(Events!$I$5:$I$505,MATCH(G281,Events!$A$5:$A$505,0)),att_offset,MATCH(G281,Attendance!$B$3:$AY$3,0),attendees,COUNTIF(INDEX(Attendance!$B$7:$AY$206,0,att_offset),"1"),IF(ev_split="Equal Split",ev_cost/MAX(1,COUNTA(Roster!$A$5:$A$204)),ev_cost/MAX(1,attendees))),"N/A"))</f>
        <v/>
      </c>
    </row>
    <row r="282" ht="20" customHeight="1">
      <c r="A282" s="12" t="n"/>
      <c r="B282" s="10" t="n"/>
      <c r="C282" s="10" t="n"/>
      <c r="D282" s="10" t="n"/>
      <c r="E282" s="10" t="n"/>
      <c r="F282" s="13" t="n"/>
      <c r="G282" s="10" t="n"/>
      <c r="H282" s="10" t="n"/>
      <c r="I282" s="10" t="n"/>
      <c r="J282" s="108">
        <f>IF(G282="","",IFERROR(LET(ev_cost,INDEX(Events!$G$5:$G$505,MATCH(G282,Events!$A$5:$A$505,0)),ev_split,INDEX(Events!$I$5:$I$505,MATCH(G282,Events!$A$5:$A$505,0)),att_offset,MATCH(G282,Attendance!$B$3:$AY$3,0),attendees,COUNTIF(INDEX(Attendance!$B$7:$AY$206,0,att_offset),"1"),IF(ev_split="Equal Split",ev_cost/MAX(1,COUNTA(Roster!$A$5:$A$204)),ev_cost/MAX(1,attendees))),"N/A"))</f>
        <v/>
      </c>
    </row>
    <row r="283" ht="20" customHeight="1">
      <c r="A283" s="16" t="n"/>
      <c r="B283" s="14" t="n"/>
      <c r="C283" s="14" t="n"/>
      <c r="D283" s="14" t="n"/>
      <c r="E283" s="14" t="n"/>
      <c r="F283" s="17" t="n"/>
      <c r="G283" s="14" t="n"/>
      <c r="H283" s="14" t="n"/>
      <c r="I283" s="14" t="n"/>
      <c r="J283" s="108">
        <f>IF(G283="","",IFERROR(LET(ev_cost,INDEX(Events!$G$5:$G$505,MATCH(G283,Events!$A$5:$A$505,0)),ev_split,INDEX(Events!$I$5:$I$505,MATCH(G283,Events!$A$5:$A$505,0)),att_offset,MATCH(G283,Attendance!$B$3:$AY$3,0),attendees,COUNTIF(INDEX(Attendance!$B$7:$AY$206,0,att_offset),"1"),IF(ev_split="Equal Split",ev_cost/MAX(1,COUNTA(Roster!$A$5:$A$204)),ev_cost/MAX(1,attendees))),"N/A"))</f>
        <v/>
      </c>
    </row>
    <row r="284" ht="20" customHeight="1">
      <c r="A284" s="12" t="n"/>
      <c r="B284" s="10" t="n"/>
      <c r="C284" s="10" t="n"/>
      <c r="D284" s="10" t="n"/>
      <c r="E284" s="10" t="n"/>
      <c r="F284" s="13" t="n"/>
      <c r="G284" s="10" t="n"/>
      <c r="H284" s="10" t="n"/>
      <c r="I284" s="10" t="n"/>
      <c r="J284" s="108">
        <f>IF(G284="","",IFERROR(LET(ev_cost,INDEX(Events!$G$5:$G$505,MATCH(G284,Events!$A$5:$A$505,0)),ev_split,INDEX(Events!$I$5:$I$505,MATCH(G284,Events!$A$5:$A$505,0)),att_offset,MATCH(G284,Attendance!$B$3:$AY$3,0),attendees,COUNTIF(INDEX(Attendance!$B$7:$AY$206,0,att_offset),"1"),IF(ev_split="Equal Split",ev_cost/MAX(1,COUNTA(Roster!$A$5:$A$204)),ev_cost/MAX(1,attendees))),"N/A"))</f>
        <v/>
      </c>
    </row>
    <row r="285" ht="20" customHeight="1">
      <c r="A285" s="16" t="n"/>
      <c r="B285" s="14" t="n"/>
      <c r="C285" s="14" t="n"/>
      <c r="D285" s="14" t="n"/>
      <c r="E285" s="14" t="n"/>
      <c r="F285" s="17" t="n"/>
      <c r="G285" s="14" t="n"/>
      <c r="H285" s="14" t="n"/>
      <c r="I285" s="14" t="n"/>
      <c r="J285" s="108">
        <f>IF(G285="","",IFERROR(LET(ev_cost,INDEX(Events!$G$5:$G$505,MATCH(G285,Events!$A$5:$A$505,0)),ev_split,INDEX(Events!$I$5:$I$505,MATCH(G285,Events!$A$5:$A$505,0)),att_offset,MATCH(G285,Attendance!$B$3:$AY$3,0),attendees,COUNTIF(INDEX(Attendance!$B$7:$AY$206,0,att_offset),"1"),IF(ev_split="Equal Split",ev_cost/MAX(1,COUNTA(Roster!$A$5:$A$204)),ev_cost/MAX(1,attendees))),"N/A"))</f>
        <v/>
      </c>
    </row>
    <row r="286" ht="20" customHeight="1">
      <c r="A286" s="12" t="n"/>
      <c r="B286" s="10" t="n"/>
      <c r="C286" s="10" t="n"/>
      <c r="D286" s="10" t="n"/>
      <c r="E286" s="10" t="n"/>
      <c r="F286" s="13" t="n"/>
      <c r="G286" s="10" t="n"/>
      <c r="H286" s="10" t="n"/>
      <c r="I286" s="10" t="n"/>
      <c r="J286" s="108">
        <f>IF(G286="","",IFERROR(LET(ev_cost,INDEX(Events!$G$5:$G$505,MATCH(G286,Events!$A$5:$A$505,0)),ev_split,INDEX(Events!$I$5:$I$505,MATCH(G286,Events!$A$5:$A$505,0)),att_offset,MATCH(G286,Attendance!$B$3:$AY$3,0),attendees,COUNTIF(INDEX(Attendance!$B$7:$AY$206,0,att_offset),"1"),IF(ev_split="Equal Split",ev_cost/MAX(1,COUNTA(Roster!$A$5:$A$204)),ev_cost/MAX(1,attendees))),"N/A"))</f>
        <v/>
      </c>
    </row>
    <row r="287" ht="20" customHeight="1">
      <c r="A287" s="16" t="n"/>
      <c r="B287" s="14" t="n"/>
      <c r="C287" s="14" t="n"/>
      <c r="D287" s="14" t="n"/>
      <c r="E287" s="14" t="n"/>
      <c r="F287" s="17" t="n"/>
      <c r="G287" s="14" t="n"/>
      <c r="H287" s="14" t="n"/>
      <c r="I287" s="14" t="n"/>
      <c r="J287" s="108">
        <f>IF(G287="","",IFERROR(LET(ev_cost,INDEX(Events!$G$5:$G$505,MATCH(G287,Events!$A$5:$A$505,0)),ev_split,INDEX(Events!$I$5:$I$505,MATCH(G287,Events!$A$5:$A$505,0)),att_offset,MATCH(G287,Attendance!$B$3:$AY$3,0),attendees,COUNTIF(INDEX(Attendance!$B$7:$AY$206,0,att_offset),"1"),IF(ev_split="Equal Split",ev_cost/MAX(1,COUNTA(Roster!$A$5:$A$204)),ev_cost/MAX(1,attendees))),"N/A"))</f>
        <v/>
      </c>
    </row>
    <row r="288" ht="20" customHeight="1">
      <c r="A288" s="12" t="n"/>
      <c r="B288" s="10" t="n"/>
      <c r="C288" s="10" t="n"/>
      <c r="D288" s="10" t="n"/>
      <c r="E288" s="10" t="n"/>
      <c r="F288" s="13" t="n"/>
      <c r="G288" s="10" t="n"/>
      <c r="H288" s="10" t="n"/>
      <c r="I288" s="10" t="n"/>
      <c r="J288" s="108">
        <f>IF(G288="","",IFERROR(LET(ev_cost,INDEX(Events!$G$5:$G$505,MATCH(G288,Events!$A$5:$A$505,0)),ev_split,INDEX(Events!$I$5:$I$505,MATCH(G288,Events!$A$5:$A$505,0)),att_offset,MATCH(G288,Attendance!$B$3:$AY$3,0),attendees,COUNTIF(INDEX(Attendance!$B$7:$AY$206,0,att_offset),"1"),IF(ev_split="Equal Split",ev_cost/MAX(1,COUNTA(Roster!$A$5:$A$204)),ev_cost/MAX(1,attendees))),"N/A"))</f>
        <v/>
      </c>
    </row>
    <row r="289" ht="20" customHeight="1">
      <c r="A289" s="16" t="n"/>
      <c r="B289" s="14" t="n"/>
      <c r="C289" s="14" t="n"/>
      <c r="D289" s="14" t="n"/>
      <c r="E289" s="14" t="n"/>
      <c r="F289" s="17" t="n"/>
      <c r="G289" s="14" t="n"/>
      <c r="H289" s="14" t="n"/>
      <c r="I289" s="14" t="n"/>
      <c r="J289" s="108">
        <f>IF(G289="","",IFERROR(LET(ev_cost,INDEX(Events!$G$5:$G$505,MATCH(G289,Events!$A$5:$A$505,0)),ev_split,INDEX(Events!$I$5:$I$505,MATCH(G289,Events!$A$5:$A$505,0)),att_offset,MATCH(G289,Attendance!$B$3:$AY$3,0),attendees,COUNTIF(INDEX(Attendance!$B$7:$AY$206,0,att_offset),"1"),IF(ev_split="Equal Split",ev_cost/MAX(1,COUNTA(Roster!$A$5:$A$204)),ev_cost/MAX(1,attendees))),"N/A"))</f>
        <v/>
      </c>
    </row>
    <row r="290" ht="20" customHeight="1">
      <c r="A290" s="12" t="n"/>
      <c r="B290" s="10" t="n"/>
      <c r="C290" s="10" t="n"/>
      <c r="D290" s="10" t="n"/>
      <c r="E290" s="10" t="n"/>
      <c r="F290" s="13" t="n"/>
      <c r="G290" s="10" t="n"/>
      <c r="H290" s="10" t="n"/>
      <c r="I290" s="10" t="n"/>
      <c r="J290" s="108">
        <f>IF(G290="","",IFERROR(LET(ev_cost,INDEX(Events!$G$5:$G$505,MATCH(G290,Events!$A$5:$A$505,0)),ev_split,INDEX(Events!$I$5:$I$505,MATCH(G290,Events!$A$5:$A$505,0)),att_offset,MATCH(G290,Attendance!$B$3:$AY$3,0),attendees,COUNTIF(INDEX(Attendance!$B$7:$AY$206,0,att_offset),"1"),IF(ev_split="Equal Split",ev_cost/MAX(1,COUNTA(Roster!$A$5:$A$204)),ev_cost/MAX(1,attendees))),"N/A"))</f>
        <v/>
      </c>
    </row>
    <row r="291" ht="20" customHeight="1">
      <c r="A291" s="16" t="n"/>
      <c r="B291" s="14" t="n"/>
      <c r="C291" s="14" t="n"/>
      <c r="D291" s="14" t="n"/>
      <c r="E291" s="14" t="n"/>
      <c r="F291" s="17" t="n"/>
      <c r="G291" s="14" t="n"/>
      <c r="H291" s="14" t="n"/>
      <c r="I291" s="14" t="n"/>
      <c r="J291" s="108">
        <f>IF(G291="","",IFERROR(LET(ev_cost,INDEX(Events!$G$5:$G$505,MATCH(G291,Events!$A$5:$A$505,0)),ev_split,INDEX(Events!$I$5:$I$505,MATCH(G291,Events!$A$5:$A$505,0)),att_offset,MATCH(G291,Attendance!$B$3:$AY$3,0),attendees,COUNTIF(INDEX(Attendance!$B$7:$AY$206,0,att_offset),"1"),IF(ev_split="Equal Split",ev_cost/MAX(1,COUNTA(Roster!$A$5:$A$204)),ev_cost/MAX(1,attendees))),"N/A"))</f>
        <v/>
      </c>
    </row>
    <row r="292" ht="20" customHeight="1">
      <c r="A292" s="12" t="n"/>
      <c r="B292" s="10" t="n"/>
      <c r="C292" s="10" t="n"/>
      <c r="D292" s="10" t="n"/>
      <c r="E292" s="10" t="n"/>
      <c r="F292" s="13" t="n"/>
      <c r="G292" s="10" t="n"/>
      <c r="H292" s="10" t="n"/>
      <c r="I292" s="10" t="n"/>
      <c r="J292" s="108">
        <f>IF(G292="","",IFERROR(LET(ev_cost,INDEX(Events!$G$5:$G$505,MATCH(G292,Events!$A$5:$A$505,0)),ev_split,INDEX(Events!$I$5:$I$505,MATCH(G292,Events!$A$5:$A$505,0)),att_offset,MATCH(G292,Attendance!$B$3:$AY$3,0),attendees,COUNTIF(INDEX(Attendance!$B$7:$AY$206,0,att_offset),"1"),IF(ev_split="Equal Split",ev_cost/MAX(1,COUNTA(Roster!$A$5:$A$204)),ev_cost/MAX(1,attendees))),"N/A"))</f>
        <v/>
      </c>
    </row>
    <row r="293" ht="20" customHeight="1">
      <c r="A293" s="16" t="n"/>
      <c r="B293" s="14" t="n"/>
      <c r="C293" s="14" t="n"/>
      <c r="D293" s="14" t="n"/>
      <c r="E293" s="14" t="n"/>
      <c r="F293" s="17" t="n"/>
      <c r="G293" s="14" t="n"/>
      <c r="H293" s="14" t="n"/>
      <c r="I293" s="14" t="n"/>
      <c r="J293" s="108">
        <f>IF(G293="","",IFERROR(LET(ev_cost,INDEX(Events!$G$5:$G$505,MATCH(G293,Events!$A$5:$A$505,0)),ev_split,INDEX(Events!$I$5:$I$505,MATCH(G293,Events!$A$5:$A$505,0)),att_offset,MATCH(G293,Attendance!$B$3:$AY$3,0),attendees,COUNTIF(INDEX(Attendance!$B$7:$AY$206,0,att_offset),"1"),IF(ev_split="Equal Split",ev_cost/MAX(1,COUNTA(Roster!$A$5:$A$204)),ev_cost/MAX(1,attendees))),"N/A"))</f>
        <v/>
      </c>
    </row>
    <row r="294" ht="20" customHeight="1">
      <c r="A294" s="12" t="n"/>
      <c r="B294" s="10" t="n"/>
      <c r="C294" s="10" t="n"/>
      <c r="D294" s="10" t="n"/>
      <c r="E294" s="10" t="n"/>
      <c r="F294" s="13" t="n"/>
      <c r="G294" s="10" t="n"/>
      <c r="H294" s="10" t="n"/>
      <c r="I294" s="10" t="n"/>
      <c r="J294" s="108">
        <f>IF(G294="","",IFERROR(LET(ev_cost,INDEX(Events!$G$5:$G$505,MATCH(G294,Events!$A$5:$A$505,0)),ev_split,INDEX(Events!$I$5:$I$505,MATCH(G294,Events!$A$5:$A$505,0)),att_offset,MATCH(G294,Attendance!$B$3:$AY$3,0),attendees,COUNTIF(INDEX(Attendance!$B$7:$AY$206,0,att_offset),"1"),IF(ev_split="Equal Split",ev_cost/MAX(1,COUNTA(Roster!$A$5:$A$204)),ev_cost/MAX(1,attendees))),"N/A"))</f>
        <v/>
      </c>
    </row>
    <row r="295" ht="20" customHeight="1">
      <c r="A295" s="16" t="n"/>
      <c r="B295" s="14" t="n"/>
      <c r="C295" s="14" t="n"/>
      <c r="D295" s="14" t="n"/>
      <c r="E295" s="14" t="n"/>
      <c r="F295" s="17" t="n"/>
      <c r="G295" s="14" t="n"/>
      <c r="H295" s="14" t="n"/>
      <c r="I295" s="14" t="n"/>
      <c r="J295" s="108">
        <f>IF(G295="","",IFERROR(LET(ev_cost,INDEX(Events!$G$5:$G$505,MATCH(G295,Events!$A$5:$A$505,0)),ev_split,INDEX(Events!$I$5:$I$505,MATCH(G295,Events!$A$5:$A$505,0)),att_offset,MATCH(G295,Attendance!$B$3:$AY$3,0),attendees,COUNTIF(INDEX(Attendance!$B$7:$AY$206,0,att_offset),"1"),IF(ev_split="Equal Split",ev_cost/MAX(1,COUNTA(Roster!$A$5:$A$204)),ev_cost/MAX(1,attendees))),"N/A"))</f>
        <v/>
      </c>
    </row>
    <row r="296" ht="20" customHeight="1">
      <c r="A296" s="12" t="n"/>
      <c r="B296" s="10" t="n"/>
      <c r="C296" s="10" t="n"/>
      <c r="D296" s="10" t="n"/>
      <c r="E296" s="10" t="n"/>
      <c r="F296" s="13" t="n"/>
      <c r="G296" s="10" t="n"/>
      <c r="H296" s="10" t="n"/>
      <c r="I296" s="10" t="n"/>
      <c r="J296" s="108">
        <f>IF(G296="","",IFERROR(LET(ev_cost,INDEX(Events!$G$5:$G$505,MATCH(G296,Events!$A$5:$A$505,0)),ev_split,INDEX(Events!$I$5:$I$505,MATCH(G296,Events!$A$5:$A$505,0)),att_offset,MATCH(G296,Attendance!$B$3:$AY$3,0),attendees,COUNTIF(INDEX(Attendance!$B$7:$AY$206,0,att_offset),"1"),IF(ev_split="Equal Split",ev_cost/MAX(1,COUNTA(Roster!$A$5:$A$204)),ev_cost/MAX(1,attendees))),"N/A"))</f>
        <v/>
      </c>
    </row>
    <row r="297" ht="20" customHeight="1">
      <c r="A297" s="16" t="n"/>
      <c r="B297" s="14" t="n"/>
      <c r="C297" s="14" t="n"/>
      <c r="D297" s="14" t="n"/>
      <c r="E297" s="14" t="n"/>
      <c r="F297" s="17" t="n"/>
      <c r="G297" s="14" t="n"/>
      <c r="H297" s="14" t="n"/>
      <c r="I297" s="14" t="n"/>
      <c r="J297" s="108">
        <f>IF(G297="","",IFERROR(LET(ev_cost,INDEX(Events!$G$5:$G$505,MATCH(G297,Events!$A$5:$A$505,0)),ev_split,INDEX(Events!$I$5:$I$505,MATCH(G297,Events!$A$5:$A$505,0)),att_offset,MATCH(G297,Attendance!$B$3:$AY$3,0),attendees,COUNTIF(INDEX(Attendance!$B$7:$AY$206,0,att_offset),"1"),IF(ev_split="Equal Split",ev_cost/MAX(1,COUNTA(Roster!$A$5:$A$204)),ev_cost/MAX(1,attendees))),"N/A"))</f>
        <v/>
      </c>
    </row>
    <row r="298" ht="20" customHeight="1">
      <c r="A298" s="12" t="n"/>
      <c r="B298" s="10" t="n"/>
      <c r="C298" s="10" t="n"/>
      <c r="D298" s="10" t="n"/>
      <c r="E298" s="10" t="n"/>
      <c r="F298" s="13" t="n"/>
      <c r="G298" s="10" t="n"/>
      <c r="H298" s="10" t="n"/>
      <c r="I298" s="10" t="n"/>
      <c r="J298" s="108">
        <f>IF(G298="","",IFERROR(LET(ev_cost,INDEX(Events!$G$5:$G$505,MATCH(G298,Events!$A$5:$A$505,0)),ev_split,INDEX(Events!$I$5:$I$505,MATCH(G298,Events!$A$5:$A$505,0)),att_offset,MATCH(G298,Attendance!$B$3:$AY$3,0),attendees,COUNTIF(INDEX(Attendance!$B$7:$AY$206,0,att_offset),"1"),IF(ev_split="Equal Split",ev_cost/MAX(1,COUNTA(Roster!$A$5:$A$204)),ev_cost/MAX(1,attendees))),"N/A"))</f>
        <v/>
      </c>
    </row>
    <row r="299" ht="20" customHeight="1">
      <c r="A299" s="16" t="n"/>
      <c r="B299" s="14" t="n"/>
      <c r="C299" s="14" t="n"/>
      <c r="D299" s="14" t="n"/>
      <c r="E299" s="14" t="n"/>
      <c r="F299" s="17" t="n"/>
      <c r="G299" s="14" t="n"/>
      <c r="H299" s="14" t="n"/>
      <c r="I299" s="14" t="n"/>
      <c r="J299" s="108">
        <f>IF(G299="","",IFERROR(LET(ev_cost,INDEX(Events!$G$5:$G$505,MATCH(G299,Events!$A$5:$A$505,0)),ev_split,INDEX(Events!$I$5:$I$505,MATCH(G299,Events!$A$5:$A$505,0)),att_offset,MATCH(G299,Attendance!$B$3:$AY$3,0),attendees,COUNTIF(INDEX(Attendance!$B$7:$AY$206,0,att_offset),"1"),IF(ev_split="Equal Split",ev_cost/MAX(1,COUNTA(Roster!$A$5:$A$204)),ev_cost/MAX(1,attendees))),"N/A"))</f>
        <v/>
      </c>
    </row>
    <row r="300" ht="20" customHeight="1">
      <c r="A300" s="12" t="n"/>
      <c r="B300" s="10" t="n"/>
      <c r="C300" s="10" t="n"/>
      <c r="D300" s="10" t="n"/>
      <c r="E300" s="10" t="n"/>
      <c r="F300" s="13" t="n"/>
      <c r="G300" s="10" t="n"/>
      <c r="H300" s="10" t="n"/>
      <c r="I300" s="10" t="n"/>
      <c r="J300" s="108">
        <f>IF(G300="","",IFERROR(LET(ev_cost,INDEX(Events!$G$5:$G$505,MATCH(G300,Events!$A$5:$A$505,0)),ev_split,INDEX(Events!$I$5:$I$505,MATCH(G300,Events!$A$5:$A$505,0)),att_offset,MATCH(G300,Attendance!$B$3:$AY$3,0),attendees,COUNTIF(INDEX(Attendance!$B$7:$AY$206,0,att_offset),"1"),IF(ev_split="Equal Split",ev_cost/MAX(1,COUNTA(Roster!$A$5:$A$204)),ev_cost/MAX(1,attendees))),"N/A"))</f>
        <v/>
      </c>
    </row>
    <row r="301" ht="20" customHeight="1">
      <c r="A301" s="16" t="n"/>
      <c r="B301" s="14" t="n"/>
      <c r="C301" s="14" t="n"/>
      <c r="D301" s="14" t="n"/>
      <c r="E301" s="14" t="n"/>
      <c r="F301" s="17" t="n"/>
      <c r="G301" s="14" t="n"/>
      <c r="H301" s="14" t="n"/>
      <c r="I301" s="14" t="n"/>
      <c r="J301" s="108">
        <f>IF(G301="","",IFERROR(LET(ev_cost,INDEX(Events!$G$5:$G$505,MATCH(G301,Events!$A$5:$A$505,0)),ev_split,INDEX(Events!$I$5:$I$505,MATCH(G301,Events!$A$5:$A$505,0)),att_offset,MATCH(G301,Attendance!$B$3:$AY$3,0),attendees,COUNTIF(INDEX(Attendance!$B$7:$AY$206,0,att_offset),"1"),IF(ev_split="Equal Split",ev_cost/MAX(1,COUNTA(Roster!$A$5:$A$204)),ev_cost/MAX(1,attendees))),"N/A"))</f>
        <v/>
      </c>
    </row>
    <row r="302" ht="20" customHeight="1">
      <c r="A302" s="12" t="n"/>
      <c r="B302" s="10" t="n"/>
      <c r="C302" s="10" t="n"/>
      <c r="D302" s="10" t="n"/>
      <c r="E302" s="10" t="n"/>
      <c r="F302" s="13" t="n"/>
      <c r="G302" s="10" t="n"/>
      <c r="H302" s="10" t="n"/>
      <c r="I302" s="10" t="n"/>
      <c r="J302" s="108">
        <f>IF(G302="","",IFERROR(LET(ev_cost,INDEX(Events!$G$5:$G$505,MATCH(G302,Events!$A$5:$A$505,0)),ev_split,INDEX(Events!$I$5:$I$505,MATCH(G302,Events!$A$5:$A$505,0)),att_offset,MATCH(G302,Attendance!$B$3:$AY$3,0),attendees,COUNTIF(INDEX(Attendance!$B$7:$AY$206,0,att_offset),"1"),IF(ev_split="Equal Split",ev_cost/MAX(1,COUNTA(Roster!$A$5:$A$204)),ev_cost/MAX(1,attendees))),"N/A"))</f>
        <v/>
      </c>
    </row>
    <row r="303" ht="20" customHeight="1">
      <c r="A303" s="16" t="n"/>
      <c r="B303" s="14" t="n"/>
      <c r="C303" s="14" t="n"/>
      <c r="D303" s="14" t="n"/>
      <c r="E303" s="14" t="n"/>
      <c r="F303" s="17" t="n"/>
      <c r="G303" s="14" t="n"/>
      <c r="H303" s="14" t="n"/>
      <c r="I303" s="14" t="n"/>
      <c r="J303" s="108">
        <f>IF(G303="","",IFERROR(LET(ev_cost,INDEX(Events!$G$5:$G$505,MATCH(G303,Events!$A$5:$A$505,0)),ev_split,INDEX(Events!$I$5:$I$505,MATCH(G303,Events!$A$5:$A$505,0)),att_offset,MATCH(G303,Attendance!$B$3:$AY$3,0),attendees,COUNTIF(INDEX(Attendance!$B$7:$AY$206,0,att_offset),"1"),IF(ev_split="Equal Split",ev_cost/MAX(1,COUNTA(Roster!$A$5:$A$204)),ev_cost/MAX(1,attendees))),"N/A"))</f>
        <v/>
      </c>
    </row>
    <row r="304" ht="20" customHeight="1">
      <c r="A304" s="12" t="n"/>
      <c r="B304" s="10" t="n"/>
      <c r="C304" s="10" t="n"/>
      <c r="D304" s="10" t="n"/>
      <c r="E304" s="10" t="n"/>
      <c r="F304" s="13" t="n"/>
      <c r="G304" s="10" t="n"/>
      <c r="H304" s="10" t="n"/>
      <c r="I304" s="10" t="n"/>
      <c r="J304" s="108">
        <f>IF(G304="","",IFERROR(LET(ev_cost,INDEX(Events!$G$5:$G$505,MATCH(G304,Events!$A$5:$A$505,0)),ev_split,INDEX(Events!$I$5:$I$505,MATCH(G304,Events!$A$5:$A$505,0)),att_offset,MATCH(G304,Attendance!$B$3:$AY$3,0),attendees,COUNTIF(INDEX(Attendance!$B$7:$AY$206,0,att_offset),"1"),IF(ev_split="Equal Split",ev_cost/MAX(1,COUNTA(Roster!$A$5:$A$204)),ev_cost/MAX(1,attendees))),"N/A"))</f>
        <v/>
      </c>
    </row>
    <row r="305" ht="20" customHeight="1">
      <c r="A305" s="16" t="n"/>
      <c r="B305" s="14" t="n"/>
      <c r="C305" s="14" t="n"/>
      <c r="D305" s="14" t="n"/>
      <c r="E305" s="14" t="n"/>
      <c r="F305" s="17" t="n"/>
      <c r="G305" s="14" t="n"/>
      <c r="H305" s="14" t="n"/>
      <c r="I305" s="14" t="n"/>
      <c r="J305" s="108">
        <f>IF(G305="","",IFERROR(LET(ev_cost,INDEX(Events!$G$5:$G$505,MATCH(G305,Events!$A$5:$A$505,0)),ev_split,INDEX(Events!$I$5:$I$505,MATCH(G305,Events!$A$5:$A$505,0)),att_offset,MATCH(G305,Attendance!$B$3:$AY$3,0),attendees,COUNTIF(INDEX(Attendance!$B$7:$AY$206,0,att_offset),"1"),IF(ev_split="Equal Split",ev_cost/MAX(1,COUNTA(Roster!$A$5:$A$204)),ev_cost/MAX(1,attendees))),"N/A"))</f>
        <v/>
      </c>
    </row>
    <row r="306" ht="20" customHeight="1">
      <c r="A306" s="12" t="n"/>
      <c r="B306" s="10" t="n"/>
      <c r="C306" s="10" t="n"/>
      <c r="D306" s="10" t="n"/>
      <c r="E306" s="10" t="n"/>
      <c r="F306" s="13" t="n"/>
      <c r="G306" s="10" t="n"/>
      <c r="H306" s="10" t="n"/>
      <c r="I306" s="10" t="n"/>
      <c r="J306" s="108">
        <f>IF(G306="","",IFERROR(LET(ev_cost,INDEX(Events!$G$5:$G$505,MATCH(G306,Events!$A$5:$A$505,0)),ev_split,INDEX(Events!$I$5:$I$505,MATCH(G306,Events!$A$5:$A$505,0)),att_offset,MATCH(G306,Attendance!$B$3:$AY$3,0),attendees,COUNTIF(INDEX(Attendance!$B$7:$AY$206,0,att_offset),"1"),IF(ev_split="Equal Split",ev_cost/MAX(1,COUNTA(Roster!$A$5:$A$204)),ev_cost/MAX(1,attendees))),"N/A"))</f>
        <v/>
      </c>
    </row>
    <row r="307" ht="20" customHeight="1">
      <c r="A307" s="16" t="n"/>
      <c r="B307" s="14" t="n"/>
      <c r="C307" s="14" t="n"/>
      <c r="D307" s="14" t="n"/>
      <c r="E307" s="14" t="n"/>
      <c r="F307" s="17" t="n"/>
      <c r="G307" s="14" t="n"/>
      <c r="H307" s="14" t="n"/>
      <c r="I307" s="14" t="n"/>
      <c r="J307" s="108">
        <f>IF(G307="","",IFERROR(LET(ev_cost,INDEX(Events!$G$5:$G$505,MATCH(G307,Events!$A$5:$A$505,0)),ev_split,INDEX(Events!$I$5:$I$505,MATCH(G307,Events!$A$5:$A$505,0)),att_offset,MATCH(G307,Attendance!$B$3:$AY$3,0),attendees,COUNTIF(INDEX(Attendance!$B$7:$AY$206,0,att_offset),"1"),IF(ev_split="Equal Split",ev_cost/MAX(1,COUNTA(Roster!$A$5:$A$204)),ev_cost/MAX(1,attendees))),"N/A"))</f>
        <v/>
      </c>
    </row>
    <row r="308" ht="20" customHeight="1">
      <c r="A308" s="12" t="n"/>
      <c r="B308" s="10" t="n"/>
      <c r="C308" s="10" t="n"/>
      <c r="D308" s="10" t="n"/>
      <c r="E308" s="10" t="n"/>
      <c r="F308" s="13" t="n"/>
      <c r="G308" s="10" t="n"/>
      <c r="H308" s="10" t="n"/>
      <c r="I308" s="10" t="n"/>
      <c r="J308" s="108">
        <f>IF(G308="","",IFERROR(LET(ev_cost,INDEX(Events!$G$5:$G$505,MATCH(G308,Events!$A$5:$A$505,0)),ev_split,INDEX(Events!$I$5:$I$505,MATCH(G308,Events!$A$5:$A$505,0)),att_offset,MATCH(G308,Attendance!$B$3:$AY$3,0),attendees,COUNTIF(INDEX(Attendance!$B$7:$AY$206,0,att_offset),"1"),IF(ev_split="Equal Split",ev_cost/MAX(1,COUNTA(Roster!$A$5:$A$204)),ev_cost/MAX(1,attendees))),"N/A"))</f>
        <v/>
      </c>
    </row>
    <row r="309" ht="20" customHeight="1">
      <c r="A309" s="16" t="n"/>
      <c r="B309" s="14" t="n"/>
      <c r="C309" s="14" t="n"/>
      <c r="D309" s="14" t="n"/>
      <c r="E309" s="14" t="n"/>
      <c r="F309" s="17" t="n"/>
      <c r="G309" s="14" t="n"/>
      <c r="H309" s="14" t="n"/>
      <c r="I309" s="14" t="n"/>
      <c r="J309" s="108">
        <f>IF(G309="","",IFERROR(LET(ev_cost,INDEX(Events!$G$5:$G$505,MATCH(G309,Events!$A$5:$A$505,0)),ev_split,INDEX(Events!$I$5:$I$505,MATCH(G309,Events!$A$5:$A$505,0)),att_offset,MATCH(G309,Attendance!$B$3:$AY$3,0),attendees,COUNTIF(INDEX(Attendance!$B$7:$AY$206,0,att_offset),"1"),IF(ev_split="Equal Split",ev_cost/MAX(1,COUNTA(Roster!$A$5:$A$204)),ev_cost/MAX(1,attendees))),"N/A"))</f>
        <v/>
      </c>
    </row>
    <row r="310" ht="20" customHeight="1">
      <c r="A310" s="12" t="n"/>
      <c r="B310" s="10" t="n"/>
      <c r="C310" s="10" t="n"/>
      <c r="D310" s="10" t="n"/>
      <c r="E310" s="10" t="n"/>
      <c r="F310" s="13" t="n"/>
      <c r="G310" s="10" t="n"/>
      <c r="H310" s="10" t="n"/>
      <c r="I310" s="10" t="n"/>
      <c r="J310" s="108">
        <f>IF(G310="","",IFERROR(LET(ev_cost,INDEX(Events!$G$5:$G$505,MATCH(G310,Events!$A$5:$A$505,0)),ev_split,INDEX(Events!$I$5:$I$505,MATCH(G310,Events!$A$5:$A$505,0)),att_offset,MATCH(G310,Attendance!$B$3:$AY$3,0),attendees,COUNTIF(INDEX(Attendance!$B$7:$AY$206,0,att_offset),"1"),IF(ev_split="Equal Split",ev_cost/MAX(1,COUNTA(Roster!$A$5:$A$204)),ev_cost/MAX(1,attendees))),"N/A"))</f>
        <v/>
      </c>
    </row>
    <row r="311" ht="20" customHeight="1">
      <c r="A311" s="16" t="n"/>
      <c r="B311" s="14" t="n"/>
      <c r="C311" s="14" t="n"/>
      <c r="D311" s="14" t="n"/>
      <c r="E311" s="14" t="n"/>
      <c r="F311" s="17" t="n"/>
      <c r="G311" s="14" t="n"/>
      <c r="H311" s="14" t="n"/>
      <c r="I311" s="14" t="n"/>
      <c r="J311" s="108">
        <f>IF(G311="","",IFERROR(LET(ev_cost,INDEX(Events!$G$5:$G$505,MATCH(G311,Events!$A$5:$A$505,0)),ev_split,INDEX(Events!$I$5:$I$505,MATCH(G311,Events!$A$5:$A$505,0)),att_offset,MATCH(G311,Attendance!$B$3:$AY$3,0),attendees,COUNTIF(INDEX(Attendance!$B$7:$AY$206,0,att_offset),"1"),IF(ev_split="Equal Split",ev_cost/MAX(1,COUNTA(Roster!$A$5:$A$204)),ev_cost/MAX(1,attendees))),"N/A"))</f>
        <v/>
      </c>
    </row>
    <row r="312" ht="20" customHeight="1">
      <c r="A312" s="12" t="n"/>
      <c r="B312" s="10" t="n"/>
      <c r="C312" s="10" t="n"/>
      <c r="D312" s="10" t="n"/>
      <c r="E312" s="10" t="n"/>
      <c r="F312" s="13" t="n"/>
      <c r="G312" s="10" t="n"/>
      <c r="H312" s="10" t="n"/>
      <c r="I312" s="10" t="n"/>
      <c r="J312" s="108">
        <f>IF(G312="","",IFERROR(LET(ev_cost,INDEX(Events!$G$5:$G$505,MATCH(G312,Events!$A$5:$A$505,0)),ev_split,INDEX(Events!$I$5:$I$505,MATCH(G312,Events!$A$5:$A$505,0)),att_offset,MATCH(G312,Attendance!$B$3:$AY$3,0),attendees,COUNTIF(INDEX(Attendance!$B$7:$AY$206,0,att_offset),"1"),IF(ev_split="Equal Split",ev_cost/MAX(1,COUNTA(Roster!$A$5:$A$204)),ev_cost/MAX(1,attendees))),"N/A"))</f>
        <v/>
      </c>
    </row>
    <row r="313" ht="20" customHeight="1">
      <c r="A313" s="16" t="n"/>
      <c r="B313" s="14" t="n"/>
      <c r="C313" s="14" t="n"/>
      <c r="D313" s="14" t="n"/>
      <c r="E313" s="14" t="n"/>
      <c r="F313" s="17" t="n"/>
      <c r="G313" s="14" t="n"/>
      <c r="H313" s="14" t="n"/>
      <c r="I313" s="14" t="n"/>
      <c r="J313" s="108">
        <f>IF(G313="","",IFERROR(LET(ev_cost,INDEX(Events!$G$5:$G$505,MATCH(G313,Events!$A$5:$A$505,0)),ev_split,INDEX(Events!$I$5:$I$505,MATCH(G313,Events!$A$5:$A$505,0)),att_offset,MATCH(G313,Attendance!$B$3:$AY$3,0),attendees,COUNTIF(INDEX(Attendance!$B$7:$AY$206,0,att_offset),"1"),IF(ev_split="Equal Split",ev_cost/MAX(1,COUNTA(Roster!$A$5:$A$204)),ev_cost/MAX(1,attendees))),"N/A"))</f>
        <v/>
      </c>
    </row>
    <row r="314" ht="20" customHeight="1">
      <c r="A314" s="12" t="n"/>
      <c r="B314" s="10" t="n"/>
      <c r="C314" s="10" t="n"/>
      <c r="D314" s="10" t="n"/>
      <c r="E314" s="10" t="n"/>
      <c r="F314" s="13" t="n"/>
      <c r="G314" s="10" t="n"/>
      <c r="H314" s="10" t="n"/>
      <c r="I314" s="10" t="n"/>
      <c r="J314" s="108">
        <f>IF(G314="","",IFERROR(LET(ev_cost,INDEX(Events!$G$5:$G$505,MATCH(G314,Events!$A$5:$A$505,0)),ev_split,INDEX(Events!$I$5:$I$505,MATCH(G314,Events!$A$5:$A$505,0)),att_offset,MATCH(G314,Attendance!$B$3:$AY$3,0),attendees,COUNTIF(INDEX(Attendance!$B$7:$AY$206,0,att_offset),"1"),IF(ev_split="Equal Split",ev_cost/MAX(1,COUNTA(Roster!$A$5:$A$204)),ev_cost/MAX(1,attendees))),"N/A"))</f>
        <v/>
      </c>
    </row>
    <row r="315" ht="20" customHeight="1">
      <c r="A315" s="16" t="n"/>
      <c r="B315" s="14" t="n"/>
      <c r="C315" s="14" t="n"/>
      <c r="D315" s="14" t="n"/>
      <c r="E315" s="14" t="n"/>
      <c r="F315" s="17" t="n"/>
      <c r="G315" s="14" t="n"/>
      <c r="H315" s="14" t="n"/>
      <c r="I315" s="14" t="n"/>
      <c r="J315" s="108">
        <f>IF(G315="","",IFERROR(LET(ev_cost,INDEX(Events!$G$5:$G$505,MATCH(G315,Events!$A$5:$A$505,0)),ev_split,INDEX(Events!$I$5:$I$505,MATCH(G315,Events!$A$5:$A$505,0)),att_offset,MATCH(G315,Attendance!$B$3:$AY$3,0),attendees,COUNTIF(INDEX(Attendance!$B$7:$AY$206,0,att_offset),"1"),IF(ev_split="Equal Split",ev_cost/MAX(1,COUNTA(Roster!$A$5:$A$204)),ev_cost/MAX(1,attendees))),"N/A"))</f>
        <v/>
      </c>
    </row>
    <row r="316" ht="20" customHeight="1">
      <c r="A316" s="12" t="n"/>
      <c r="B316" s="10" t="n"/>
      <c r="C316" s="10" t="n"/>
      <c r="D316" s="10" t="n"/>
      <c r="E316" s="10" t="n"/>
      <c r="F316" s="13" t="n"/>
      <c r="G316" s="10" t="n"/>
      <c r="H316" s="10" t="n"/>
      <c r="I316" s="10" t="n"/>
      <c r="J316" s="108">
        <f>IF(G316="","",IFERROR(LET(ev_cost,INDEX(Events!$G$5:$G$505,MATCH(G316,Events!$A$5:$A$505,0)),ev_split,INDEX(Events!$I$5:$I$505,MATCH(G316,Events!$A$5:$A$505,0)),att_offset,MATCH(G316,Attendance!$B$3:$AY$3,0),attendees,COUNTIF(INDEX(Attendance!$B$7:$AY$206,0,att_offset),"1"),IF(ev_split="Equal Split",ev_cost/MAX(1,COUNTA(Roster!$A$5:$A$204)),ev_cost/MAX(1,attendees))),"N/A"))</f>
        <v/>
      </c>
    </row>
    <row r="317" ht="20" customHeight="1">
      <c r="A317" s="16" t="n"/>
      <c r="B317" s="14" t="n"/>
      <c r="C317" s="14" t="n"/>
      <c r="D317" s="14" t="n"/>
      <c r="E317" s="14" t="n"/>
      <c r="F317" s="17" t="n"/>
      <c r="G317" s="14" t="n"/>
      <c r="H317" s="14" t="n"/>
      <c r="I317" s="14" t="n"/>
      <c r="J317" s="108">
        <f>IF(G317="","",IFERROR(LET(ev_cost,INDEX(Events!$G$5:$G$505,MATCH(G317,Events!$A$5:$A$505,0)),ev_split,INDEX(Events!$I$5:$I$505,MATCH(G317,Events!$A$5:$A$505,0)),att_offset,MATCH(G317,Attendance!$B$3:$AY$3,0),attendees,COUNTIF(INDEX(Attendance!$B$7:$AY$206,0,att_offset),"1"),IF(ev_split="Equal Split",ev_cost/MAX(1,COUNTA(Roster!$A$5:$A$204)),ev_cost/MAX(1,attendees))),"N/A"))</f>
        <v/>
      </c>
    </row>
    <row r="318" ht="20" customHeight="1">
      <c r="A318" s="12" t="n"/>
      <c r="B318" s="10" t="n"/>
      <c r="C318" s="10" t="n"/>
      <c r="D318" s="10" t="n"/>
      <c r="E318" s="10" t="n"/>
      <c r="F318" s="13" t="n"/>
      <c r="G318" s="10" t="n"/>
      <c r="H318" s="10" t="n"/>
      <c r="I318" s="10" t="n"/>
      <c r="J318" s="108">
        <f>IF(G318="","",IFERROR(LET(ev_cost,INDEX(Events!$G$5:$G$505,MATCH(G318,Events!$A$5:$A$505,0)),ev_split,INDEX(Events!$I$5:$I$505,MATCH(G318,Events!$A$5:$A$505,0)),att_offset,MATCH(G318,Attendance!$B$3:$AY$3,0),attendees,COUNTIF(INDEX(Attendance!$B$7:$AY$206,0,att_offset),"1"),IF(ev_split="Equal Split",ev_cost/MAX(1,COUNTA(Roster!$A$5:$A$204)),ev_cost/MAX(1,attendees))),"N/A"))</f>
        <v/>
      </c>
    </row>
    <row r="319" ht="20" customHeight="1">
      <c r="A319" s="16" t="n"/>
      <c r="B319" s="14" t="n"/>
      <c r="C319" s="14" t="n"/>
      <c r="D319" s="14" t="n"/>
      <c r="E319" s="14" t="n"/>
      <c r="F319" s="17" t="n"/>
      <c r="G319" s="14" t="n"/>
      <c r="H319" s="14" t="n"/>
      <c r="I319" s="14" t="n"/>
      <c r="J319" s="108">
        <f>IF(G319="","",IFERROR(LET(ev_cost,INDEX(Events!$G$5:$G$505,MATCH(G319,Events!$A$5:$A$505,0)),ev_split,INDEX(Events!$I$5:$I$505,MATCH(G319,Events!$A$5:$A$505,0)),att_offset,MATCH(G319,Attendance!$B$3:$AY$3,0),attendees,COUNTIF(INDEX(Attendance!$B$7:$AY$206,0,att_offset),"1"),IF(ev_split="Equal Split",ev_cost/MAX(1,COUNTA(Roster!$A$5:$A$204)),ev_cost/MAX(1,attendees))),"N/A"))</f>
        <v/>
      </c>
    </row>
    <row r="320" ht="20" customHeight="1">
      <c r="A320" s="12" t="n"/>
      <c r="B320" s="10" t="n"/>
      <c r="C320" s="10" t="n"/>
      <c r="D320" s="10" t="n"/>
      <c r="E320" s="10" t="n"/>
      <c r="F320" s="13" t="n"/>
      <c r="G320" s="10" t="n"/>
      <c r="H320" s="10" t="n"/>
      <c r="I320" s="10" t="n"/>
      <c r="J320" s="108">
        <f>IF(G320="","",IFERROR(LET(ev_cost,INDEX(Events!$G$5:$G$505,MATCH(G320,Events!$A$5:$A$505,0)),ev_split,INDEX(Events!$I$5:$I$505,MATCH(G320,Events!$A$5:$A$505,0)),att_offset,MATCH(G320,Attendance!$B$3:$AY$3,0),attendees,COUNTIF(INDEX(Attendance!$B$7:$AY$206,0,att_offset),"1"),IF(ev_split="Equal Split",ev_cost/MAX(1,COUNTA(Roster!$A$5:$A$204)),ev_cost/MAX(1,attendees))),"N/A"))</f>
        <v/>
      </c>
    </row>
    <row r="321" ht="20" customHeight="1">
      <c r="A321" s="16" t="n"/>
      <c r="B321" s="14" t="n"/>
      <c r="C321" s="14" t="n"/>
      <c r="D321" s="14" t="n"/>
      <c r="E321" s="14" t="n"/>
      <c r="F321" s="17" t="n"/>
      <c r="G321" s="14" t="n"/>
      <c r="H321" s="14" t="n"/>
      <c r="I321" s="14" t="n"/>
      <c r="J321" s="108">
        <f>IF(G321="","",IFERROR(LET(ev_cost,INDEX(Events!$G$5:$G$505,MATCH(G321,Events!$A$5:$A$505,0)),ev_split,INDEX(Events!$I$5:$I$505,MATCH(G321,Events!$A$5:$A$505,0)),att_offset,MATCH(G321,Attendance!$B$3:$AY$3,0),attendees,COUNTIF(INDEX(Attendance!$B$7:$AY$206,0,att_offset),"1"),IF(ev_split="Equal Split",ev_cost/MAX(1,COUNTA(Roster!$A$5:$A$204)),ev_cost/MAX(1,attendees))),"N/A"))</f>
        <v/>
      </c>
    </row>
    <row r="322" ht="20" customHeight="1">
      <c r="A322" s="12" t="n"/>
      <c r="B322" s="10" t="n"/>
      <c r="C322" s="10" t="n"/>
      <c r="D322" s="10" t="n"/>
      <c r="E322" s="10" t="n"/>
      <c r="F322" s="13" t="n"/>
      <c r="G322" s="10" t="n"/>
      <c r="H322" s="10" t="n"/>
      <c r="I322" s="10" t="n"/>
      <c r="J322" s="108">
        <f>IF(G322="","",IFERROR(LET(ev_cost,INDEX(Events!$G$5:$G$505,MATCH(G322,Events!$A$5:$A$505,0)),ev_split,INDEX(Events!$I$5:$I$505,MATCH(G322,Events!$A$5:$A$505,0)),att_offset,MATCH(G322,Attendance!$B$3:$AY$3,0),attendees,COUNTIF(INDEX(Attendance!$B$7:$AY$206,0,att_offset),"1"),IF(ev_split="Equal Split",ev_cost/MAX(1,COUNTA(Roster!$A$5:$A$204)),ev_cost/MAX(1,attendees))),"N/A"))</f>
        <v/>
      </c>
    </row>
    <row r="323" ht="20" customHeight="1">
      <c r="A323" s="16" t="n"/>
      <c r="B323" s="14" t="n"/>
      <c r="C323" s="14" t="n"/>
      <c r="D323" s="14" t="n"/>
      <c r="E323" s="14" t="n"/>
      <c r="F323" s="17" t="n"/>
      <c r="G323" s="14" t="n"/>
      <c r="H323" s="14" t="n"/>
      <c r="I323" s="14" t="n"/>
      <c r="J323" s="108">
        <f>IF(G323="","",IFERROR(LET(ev_cost,INDEX(Events!$G$5:$G$505,MATCH(G323,Events!$A$5:$A$505,0)),ev_split,INDEX(Events!$I$5:$I$505,MATCH(G323,Events!$A$5:$A$505,0)),att_offset,MATCH(G323,Attendance!$B$3:$AY$3,0),attendees,COUNTIF(INDEX(Attendance!$B$7:$AY$206,0,att_offset),"1"),IF(ev_split="Equal Split",ev_cost/MAX(1,COUNTA(Roster!$A$5:$A$204)),ev_cost/MAX(1,attendees))),"N/A"))</f>
        <v/>
      </c>
    </row>
    <row r="324" ht="20" customHeight="1">
      <c r="A324" s="12" t="n"/>
      <c r="B324" s="10" t="n"/>
      <c r="C324" s="10" t="n"/>
      <c r="D324" s="10" t="n"/>
      <c r="E324" s="10" t="n"/>
      <c r="F324" s="13" t="n"/>
      <c r="G324" s="10" t="n"/>
      <c r="H324" s="10" t="n"/>
      <c r="I324" s="10" t="n"/>
      <c r="J324" s="108">
        <f>IF(G324="","",IFERROR(LET(ev_cost,INDEX(Events!$G$5:$G$505,MATCH(G324,Events!$A$5:$A$505,0)),ev_split,INDEX(Events!$I$5:$I$505,MATCH(G324,Events!$A$5:$A$505,0)),att_offset,MATCH(G324,Attendance!$B$3:$AY$3,0),attendees,COUNTIF(INDEX(Attendance!$B$7:$AY$206,0,att_offset),"1"),IF(ev_split="Equal Split",ev_cost/MAX(1,COUNTA(Roster!$A$5:$A$204)),ev_cost/MAX(1,attendees))),"N/A"))</f>
        <v/>
      </c>
    </row>
    <row r="325" ht="20" customHeight="1">
      <c r="A325" s="16" t="n"/>
      <c r="B325" s="14" t="n"/>
      <c r="C325" s="14" t="n"/>
      <c r="D325" s="14" t="n"/>
      <c r="E325" s="14" t="n"/>
      <c r="F325" s="17" t="n"/>
      <c r="G325" s="14" t="n"/>
      <c r="H325" s="14" t="n"/>
      <c r="I325" s="14" t="n"/>
      <c r="J325" s="108">
        <f>IF(G325="","",IFERROR(LET(ev_cost,INDEX(Events!$G$5:$G$505,MATCH(G325,Events!$A$5:$A$505,0)),ev_split,INDEX(Events!$I$5:$I$505,MATCH(G325,Events!$A$5:$A$505,0)),att_offset,MATCH(G325,Attendance!$B$3:$AY$3,0),attendees,COUNTIF(INDEX(Attendance!$B$7:$AY$206,0,att_offset),"1"),IF(ev_split="Equal Split",ev_cost/MAX(1,COUNTA(Roster!$A$5:$A$204)),ev_cost/MAX(1,attendees))),"N/A"))</f>
        <v/>
      </c>
    </row>
    <row r="326" ht="20" customHeight="1">
      <c r="A326" s="12" t="n"/>
      <c r="B326" s="10" t="n"/>
      <c r="C326" s="10" t="n"/>
      <c r="D326" s="10" t="n"/>
      <c r="E326" s="10" t="n"/>
      <c r="F326" s="13" t="n"/>
      <c r="G326" s="10" t="n"/>
      <c r="H326" s="10" t="n"/>
      <c r="I326" s="10" t="n"/>
      <c r="J326" s="108">
        <f>IF(G326="","",IFERROR(LET(ev_cost,INDEX(Events!$G$5:$G$505,MATCH(G326,Events!$A$5:$A$505,0)),ev_split,INDEX(Events!$I$5:$I$505,MATCH(G326,Events!$A$5:$A$505,0)),att_offset,MATCH(G326,Attendance!$B$3:$AY$3,0),attendees,COUNTIF(INDEX(Attendance!$B$7:$AY$206,0,att_offset),"1"),IF(ev_split="Equal Split",ev_cost/MAX(1,COUNTA(Roster!$A$5:$A$204)),ev_cost/MAX(1,attendees))),"N/A"))</f>
        <v/>
      </c>
    </row>
    <row r="327" ht="20" customHeight="1">
      <c r="A327" s="16" t="n"/>
      <c r="B327" s="14" t="n"/>
      <c r="C327" s="14" t="n"/>
      <c r="D327" s="14" t="n"/>
      <c r="E327" s="14" t="n"/>
      <c r="F327" s="17" t="n"/>
      <c r="G327" s="14" t="n"/>
      <c r="H327" s="14" t="n"/>
      <c r="I327" s="14" t="n"/>
      <c r="J327" s="108">
        <f>IF(G327="","",IFERROR(LET(ev_cost,INDEX(Events!$G$5:$G$505,MATCH(G327,Events!$A$5:$A$505,0)),ev_split,INDEX(Events!$I$5:$I$505,MATCH(G327,Events!$A$5:$A$505,0)),att_offset,MATCH(G327,Attendance!$B$3:$AY$3,0),attendees,COUNTIF(INDEX(Attendance!$B$7:$AY$206,0,att_offset),"1"),IF(ev_split="Equal Split",ev_cost/MAX(1,COUNTA(Roster!$A$5:$A$204)),ev_cost/MAX(1,attendees))),"N/A"))</f>
        <v/>
      </c>
    </row>
    <row r="328" ht="20" customHeight="1">
      <c r="A328" s="12" t="n"/>
      <c r="B328" s="10" t="n"/>
      <c r="C328" s="10" t="n"/>
      <c r="D328" s="10" t="n"/>
      <c r="E328" s="10" t="n"/>
      <c r="F328" s="13" t="n"/>
      <c r="G328" s="10" t="n"/>
      <c r="H328" s="10" t="n"/>
      <c r="I328" s="10" t="n"/>
      <c r="J328" s="108">
        <f>IF(G328="","",IFERROR(LET(ev_cost,INDEX(Events!$G$5:$G$505,MATCH(G328,Events!$A$5:$A$505,0)),ev_split,INDEX(Events!$I$5:$I$505,MATCH(G328,Events!$A$5:$A$505,0)),att_offset,MATCH(G328,Attendance!$B$3:$AY$3,0),attendees,COUNTIF(INDEX(Attendance!$B$7:$AY$206,0,att_offset),"1"),IF(ev_split="Equal Split",ev_cost/MAX(1,COUNTA(Roster!$A$5:$A$204)),ev_cost/MAX(1,attendees))),"N/A"))</f>
        <v/>
      </c>
    </row>
    <row r="329" ht="20" customHeight="1">
      <c r="A329" s="16" t="n"/>
      <c r="B329" s="14" t="n"/>
      <c r="C329" s="14" t="n"/>
      <c r="D329" s="14" t="n"/>
      <c r="E329" s="14" t="n"/>
      <c r="F329" s="17" t="n"/>
      <c r="G329" s="14" t="n"/>
      <c r="H329" s="14" t="n"/>
      <c r="I329" s="14" t="n"/>
      <c r="J329" s="108">
        <f>IF(G329="","",IFERROR(LET(ev_cost,INDEX(Events!$G$5:$G$505,MATCH(G329,Events!$A$5:$A$505,0)),ev_split,INDEX(Events!$I$5:$I$505,MATCH(G329,Events!$A$5:$A$505,0)),att_offset,MATCH(G329,Attendance!$B$3:$AY$3,0),attendees,COUNTIF(INDEX(Attendance!$B$7:$AY$206,0,att_offset),"1"),IF(ev_split="Equal Split",ev_cost/MAX(1,COUNTA(Roster!$A$5:$A$204)),ev_cost/MAX(1,attendees))),"N/A"))</f>
        <v/>
      </c>
    </row>
    <row r="330" ht="20" customHeight="1">
      <c r="A330" s="12" t="n"/>
      <c r="B330" s="10" t="n"/>
      <c r="C330" s="10" t="n"/>
      <c r="D330" s="10" t="n"/>
      <c r="E330" s="10" t="n"/>
      <c r="F330" s="13" t="n"/>
      <c r="G330" s="10" t="n"/>
      <c r="H330" s="10" t="n"/>
      <c r="I330" s="10" t="n"/>
      <c r="J330" s="108">
        <f>IF(G330="","",IFERROR(LET(ev_cost,INDEX(Events!$G$5:$G$505,MATCH(G330,Events!$A$5:$A$505,0)),ev_split,INDEX(Events!$I$5:$I$505,MATCH(G330,Events!$A$5:$A$505,0)),att_offset,MATCH(G330,Attendance!$B$3:$AY$3,0),attendees,COUNTIF(INDEX(Attendance!$B$7:$AY$206,0,att_offset),"1"),IF(ev_split="Equal Split",ev_cost/MAX(1,COUNTA(Roster!$A$5:$A$204)),ev_cost/MAX(1,attendees))),"N/A"))</f>
        <v/>
      </c>
    </row>
    <row r="331" ht="20" customHeight="1">
      <c r="A331" s="16" t="n"/>
      <c r="B331" s="14" t="n"/>
      <c r="C331" s="14" t="n"/>
      <c r="D331" s="14" t="n"/>
      <c r="E331" s="14" t="n"/>
      <c r="F331" s="17" t="n"/>
      <c r="G331" s="14" t="n"/>
      <c r="H331" s="14" t="n"/>
      <c r="I331" s="14" t="n"/>
      <c r="J331" s="108">
        <f>IF(G331="","",IFERROR(LET(ev_cost,INDEX(Events!$G$5:$G$505,MATCH(G331,Events!$A$5:$A$505,0)),ev_split,INDEX(Events!$I$5:$I$505,MATCH(G331,Events!$A$5:$A$505,0)),att_offset,MATCH(G331,Attendance!$B$3:$AY$3,0),attendees,COUNTIF(INDEX(Attendance!$B$7:$AY$206,0,att_offset),"1"),IF(ev_split="Equal Split",ev_cost/MAX(1,COUNTA(Roster!$A$5:$A$204)),ev_cost/MAX(1,attendees))),"N/A"))</f>
        <v/>
      </c>
    </row>
    <row r="332" ht="20" customHeight="1">
      <c r="A332" s="12" t="n"/>
      <c r="B332" s="10" t="n"/>
      <c r="C332" s="10" t="n"/>
      <c r="D332" s="10" t="n"/>
      <c r="E332" s="10" t="n"/>
      <c r="F332" s="13" t="n"/>
      <c r="G332" s="10" t="n"/>
      <c r="H332" s="10" t="n"/>
      <c r="I332" s="10" t="n"/>
      <c r="J332" s="108">
        <f>IF(G332="","",IFERROR(LET(ev_cost,INDEX(Events!$G$5:$G$505,MATCH(G332,Events!$A$5:$A$505,0)),ev_split,INDEX(Events!$I$5:$I$505,MATCH(G332,Events!$A$5:$A$505,0)),att_offset,MATCH(G332,Attendance!$B$3:$AY$3,0),attendees,COUNTIF(INDEX(Attendance!$B$7:$AY$206,0,att_offset),"1"),IF(ev_split="Equal Split",ev_cost/MAX(1,COUNTA(Roster!$A$5:$A$204)),ev_cost/MAX(1,attendees))),"N/A"))</f>
        <v/>
      </c>
    </row>
    <row r="333" ht="20" customHeight="1">
      <c r="A333" s="16" t="n"/>
      <c r="B333" s="14" t="n"/>
      <c r="C333" s="14" t="n"/>
      <c r="D333" s="14" t="n"/>
      <c r="E333" s="14" t="n"/>
      <c r="F333" s="17" t="n"/>
      <c r="G333" s="14" t="n"/>
      <c r="H333" s="14" t="n"/>
      <c r="I333" s="14" t="n"/>
      <c r="J333" s="108">
        <f>IF(G333="","",IFERROR(LET(ev_cost,INDEX(Events!$G$5:$G$505,MATCH(G333,Events!$A$5:$A$505,0)),ev_split,INDEX(Events!$I$5:$I$505,MATCH(G333,Events!$A$5:$A$505,0)),att_offset,MATCH(G333,Attendance!$B$3:$AY$3,0),attendees,COUNTIF(INDEX(Attendance!$B$7:$AY$206,0,att_offset),"1"),IF(ev_split="Equal Split",ev_cost/MAX(1,COUNTA(Roster!$A$5:$A$204)),ev_cost/MAX(1,attendees))),"N/A"))</f>
        <v/>
      </c>
    </row>
    <row r="334" ht="20" customHeight="1">
      <c r="A334" s="12" t="n"/>
      <c r="B334" s="10" t="n"/>
      <c r="C334" s="10" t="n"/>
      <c r="D334" s="10" t="n"/>
      <c r="E334" s="10" t="n"/>
      <c r="F334" s="13" t="n"/>
      <c r="G334" s="10" t="n"/>
      <c r="H334" s="10" t="n"/>
      <c r="I334" s="10" t="n"/>
      <c r="J334" s="108">
        <f>IF(G334="","",IFERROR(LET(ev_cost,INDEX(Events!$G$5:$G$505,MATCH(G334,Events!$A$5:$A$505,0)),ev_split,INDEX(Events!$I$5:$I$505,MATCH(G334,Events!$A$5:$A$505,0)),att_offset,MATCH(G334,Attendance!$B$3:$AY$3,0),attendees,COUNTIF(INDEX(Attendance!$B$7:$AY$206,0,att_offset),"1"),IF(ev_split="Equal Split",ev_cost/MAX(1,COUNTA(Roster!$A$5:$A$204)),ev_cost/MAX(1,attendees))),"N/A"))</f>
        <v/>
      </c>
    </row>
    <row r="335" ht="20" customHeight="1">
      <c r="A335" s="16" t="n"/>
      <c r="B335" s="14" t="n"/>
      <c r="C335" s="14" t="n"/>
      <c r="D335" s="14" t="n"/>
      <c r="E335" s="14" t="n"/>
      <c r="F335" s="17" t="n"/>
      <c r="G335" s="14" t="n"/>
      <c r="H335" s="14" t="n"/>
      <c r="I335" s="14" t="n"/>
      <c r="J335" s="108">
        <f>IF(G335="","",IFERROR(LET(ev_cost,INDEX(Events!$G$5:$G$505,MATCH(G335,Events!$A$5:$A$505,0)),ev_split,INDEX(Events!$I$5:$I$505,MATCH(G335,Events!$A$5:$A$505,0)),att_offset,MATCH(G335,Attendance!$B$3:$AY$3,0),attendees,COUNTIF(INDEX(Attendance!$B$7:$AY$206,0,att_offset),"1"),IF(ev_split="Equal Split",ev_cost/MAX(1,COUNTA(Roster!$A$5:$A$204)),ev_cost/MAX(1,attendees))),"N/A"))</f>
        <v/>
      </c>
    </row>
    <row r="336" ht="20" customHeight="1">
      <c r="A336" s="12" t="n"/>
      <c r="B336" s="10" t="n"/>
      <c r="C336" s="10" t="n"/>
      <c r="D336" s="10" t="n"/>
      <c r="E336" s="10" t="n"/>
      <c r="F336" s="13" t="n"/>
      <c r="G336" s="10" t="n"/>
      <c r="H336" s="10" t="n"/>
      <c r="I336" s="10" t="n"/>
      <c r="J336" s="108">
        <f>IF(G336="","",IFERROR(LET(ev_cost,INDEX(Events!$G$5:$G$505,MATCH(G336,Events!$A$5:$A$505,0)),ev_split,INDEX(Events!$I$5:$I$505,MATCH(G336,Events!$A$5:$A$505,0)),att_offset,MATCH(G336,Attendance!$B$3:$AY$3,0),attendees,COUNTIF(INDEX(Attendance!$B$7:$AY$206,0,att_offset),"1"),IF(ev_split="Equal Split",ev_cost/MAX(1,COUNTA(Roster!$A$5:$A$204)),ev_cost/MAX(1,attendees))),"N/A"))</f>
        <v/>
      </c>
    </row>
    <row r="337" ht="20" customHeight="1">
      <c r="A337" s="16" t="n"/>
      <c r="B337" s="14" t="n"/>
      <c r="C337" s="14" t="n"/>
      <c r="D337" s="14" t="n"/>
      <c r="E337" s="14" t="n"/>
      <c r="F337" s="17" t="n"/>
      <c r="G337" s="14" t="n"/>
      <c r="H337" s="14" t="n"/>
      <c r="I337" s="14" t="n"/>
      <c r="J337" s="108">
        <f>IF(G337="","",IFERROR(LET(ev_cost,INDEX(Events!$G$5:$G$505,MATCH(G337,Events!$A$5:$A$505,0)),ev_split,INDEX(Events!$I$5:$I$505,MATCH(G337,Events!$A$5:$A$505,0)),att_offset,MATCH(G337,Attendance!$B$3:$AY$3,0),attendees,COUNTIF(INDEX(Attendance!$B$7:$AY$206,0,att_offset),"1"),IF(ev_split="Equal Split",ev_cost/MAX(1,COUNTA(Roster!$A$5:$A$204)),ev_cost/MAX(1,attendees))),"N/A"))</f>
        <v/>
      </c>
    </row>
    <row r="338" ht="20" customHeight="1">
      <c r="A338" s="12" t="n"/>
      <c r="B338" s="10" t="n"/>
      <c r="C338" s="10" t="n"/>
      <c r="D338" s="10" t="n"/>
      <c r="E338" s="10" t="n"/>
      <c r="F338" s="13" t="n"/>
      <c r="G338" s="10" t="n"/>
      <c r="H338" s="10" t="n"/>
      <c r="I338" s="10" t="n"/>
      <c r="J338" s="108">
        <f>IF(G338="","",IFERROR(LET(ev_cost,INDEX(Events!$G$5:$G$505,MATCH(G338,Events!$A$5:$A$505,0)),ev_split,INDEX(Events!$I$5:$I$505,MATCH(G338,Events!$A$5:$A$505,0)),att_offset,MATCH(G338,Attendance!$B$3:$AY$3,0),attendees,COUNTIF(INDEX(Attendance!$B$7:$AY$206,0,att_offset),"1"),IF(ev_split="Equal Split",ev_cost/MAX(1,COUNTA(Roster!$A$5:$A$204)),ev_cost/MAX(1,attendees))),"N/A"))</f>
        <v/>
      </c>
    </row>
    <row r="339" ht="20" customHeight="1">
      <c r="A339" s="16" t="n"/>
      <c r="B339" s="14" t="n"/>
      <c r="C339" s="14" t="n"/>
      <c r="D339" s="14" t="n"/>
      <c r="E339" s="14" t="n"/>
      <c r="F339" s="17" t="n"/>
      <c r="G339" s="14" t="n"/>
      <c r="H339" s="14" t="n"/>
      <c r="I339" s="14" t="n"/>
      <c r="J339" s="108">
        <f>IF(G339="","",IFERROR(LET(ev_cost,INDEX(Events!$G$5:$G$505,MATCH(G339,Events!$A$5:$A$505,0)),ev_split,INDEX(Events!$I$5:$I$505,MATCH(G339,Events!$A$5:$A$505,0)),att_offset,MATCH(G339,Attendance!$B$3:$AY$3,0),attendees,COUNTIF(INDEX(Attendance!$B$7:$AY$206,0,att_offset),"1"),IF(ev_split="Equal Split",ev_cost/MAX(1,COUNTA(Roster!$A$5:$A$204)),ev_cost/MAX(1,attendees))),"N/A"))</f>
        <v/>
      </c>
    </row>
    <row r="340" ht="20" customHeight="1">
      <c r="A340" s="12" t="n"/>
      <c r="B340" s="10" t="n"/>
      <c r="C340" s="10" t="n"/>
      <c r="D340" s="10" t="n"/>
      <c r="E340" s="10" t="n"/>
      <c r="F340" s="13" t="n"/>
      <c r="G340" s="10" t="n"/>
      <c r="H340" s="10" t="n"/>
      <c r="I340" s="10" t="n"/>
      <c r="J340" s="108">
        <f>IF(G340="","",IFERROR(LET(ev_cost,INDEX(Events!$G$5:$G$505,MATCH(G340,Events!$A$5:$A$505,0)),ev_split,INDEX(Events!$I$5:$I$505,MATCH(G340,Events!$A$5:$A$505,0)),att_offset,MATCH(G340,Attendance!$B$3:$AY$3,0),attendees,COUNTIF(INDEX(Attendance!$B$7:$AY$206,0,att_offset),"1"),IF(ev_split="Equal Split",ev_cost/MAX(1,COUNTA(Roster!$A$5:$A$204)),ev_cost/MAX(1,attendees))),"N/A"))</f>
        <v/>
      </c>
    </row>
    <row r="341" ht="20" customHeight="1">
      <c r="A341" s="16" t="n"/>
      <c r="B341" s="14" t="n"/>
      <c r="C341" s="14" t="n"/>
      <c r="D341" s="14" t="n"/>
      <c r="E341" s="14" t="n"/>
      <c r="F341" s="17" t="n"/>
      <c r="G341" s="14" t="n"/>
      <c r="H341" s="14" t="n"/>
      <c r="I341" s="14" t="n"/>
      <c r="J341" s="108">
        <f>IF(G341="","",IFERROR(LET(ev_cost,INDEX(Events!$G$5:$G$505,MATCH(G341,Events!$A$5:$A$505,0)),ev_split,INDEX(Events!$I$5:$I$505,MATCH(G341,Events!$A$5:$A$505,0)),att_offset,MATCH(G341,Attendance!$B$3:$AY$3,0),attendees,COUNTIF(INDEX(Attendance!$B$7:$AY$206,0,att_offset),"1"),IF(ev_split="Equal Split",ev_cost/MAX(1,COUNTA(Roster!$A$5:$A$204)),ev_cost/MAX(1,attendees))),"N/A"))</f>
        <v/>
      </c>
    </row>
    <row r="342" ht="20" customHeight="1">
      <c r="A342" s="12" t="n"/>
      <c r="B342" s="10" t="n"/>
      <c r="C342" s="10" t="n"/>
      <c r="D342" s="10" t="n"/>
      <c r="E342" s="10" t="n"/>
      <c r="F342" s="13" t="n"/>
      <c r="G342" s="10" t="n"/>
      <c r="H342" s="10" t="n"/>
      <c r="I342" s="10" t="n"/>
      <c r="J342" s="108">
        <f>IF(G342="","",IFERROR(LET(ev_cost,INDEX(Events!$G$5:$G$505,MATCH(G342,Events!$A$5:$A$505,0)),ev_split,INDEX(Events!$I$5:$I$505,MATCH(G342,Events!$A$5:$A$505,0)),att_offset,MATCH(G342,Attendance!$B$3:$AY$3,0),attendees,COUNTIF(INDEX(Attendance!$B$7:$AY$206,0,att_offset),"1"),IF(ev_split="Equal Split",ev_cost/MAX(1,COUNTA(Roster!$A$5:$A$204)),ev_cost/MAX(1,attendees))),"N/A"))</f>
        <v/>
      </c>
    </row>
    <row r="343" ht="20" customHeight="1">
      <c r="A343" s="16" t="n"/>
      <c r="B343" s="14" t="n"/>
      <c r="C343" s="14" t="n"/>
      <c r="D343" s="14" t="n"/>
      <c r="E343" s="14" t="n"/>
      <c r="F343" s="17" t="n"/>
      <c r="G343" s="14" t="n"/>
      <c r="H343" s="14" t="n"/>
      <c r="I343" s="14" t="n"/>
      <c r="J343" s="108">
        <f>IF(G343="","",IFERROR(LET(ev_cost,INDEX(Events!$G$5:$G$505,MATCH(G343,Events!$A$5:$A$505,0)),ev_split,INDEX(Events!$I$5:$I$505,MATCH(G343,Events!$A$5:$A$505,0)),att_offset,MATCH(G343,Attendance!$B$3:$AY$3,0),attendees,COUNTIF(INDEX(Attendance!$B$7:$AY$206,0,att_offset),"1"),IF(ev_split="Equal Split",ev_cost/MAX(1,COUNTA(Roster!$A$5:$A$204)),ev_cost/MAX(1,attendees))),"N/A"))</f>
        <v/>
      </c>
    </row>
    <row r="344" ht="20" customHeight="1">
      <c r="A344" s="12" t="n"/>
      <c r="B344" s="10" t="n"/>
      <c r="C344" s="10" t="n"/>
      <c r="D344" s="10" t="n"/>
      <c r="E344" s="10" t="n"/>
      <c r="F344" s="13" t="n"/>
      <c r="G344" s="10" t="n"/>
      <c r="H344" s="10" t="n"/>
      <c r="I344" s="10" t="n"/>
      <c r="J344" s="108">
        <f>IF(G344="","",IFERROR(LET(ev_cost,INDEX(Events!$G$5:$G$505,MATCH(G344,Events!$A$5:$A$505,0)),ev_split,INDEX(Events!$I$5:$I$505,MATCH(G344,Events!$A$5:$A$505,0)),att_offset,MATCH(G344,Attendance!$B$3:$AY$3,0),attendees,COUNTIF(INDEX(Attendance!$B$7:$AY$206,0,att_offset),"1"),IF(ev_split="Equal Split",ev_cost/MAX(1,COUNTA(Roster!$A$5:$A$204)),ev_cost/MAX(1,attendees))),"N/A"))</f>
        <v/>
      </c>
    </row>
    <row r="345" ht="20" customHeight="1">
      <c r="A345" s="16" t="n"/>
      <c r="B345" s="14" t="n"/>
      <c r="C345" s="14" t="n"/>
      <c r="D345" s="14" t="n"/>
      <c r="E345" s="14" t="n"/>
      <c r="F345" s="17" t="n"/>
      <c r="G345" s="14" t="n"/>
      <c r="H345" s="14" t="n"/>
      <c r="I345" s="14" t="n"/>
      <c r="J345" s="108">
        <f>IF(G345="","",IFERROR(LET(ev_cost,INDEX(Events!$G$5:$G$505,MATCH(G345,Events!$A$5:$A$505,0)),ev_split,INDEX(Events!$I$5:$I$505,MATCH(G345,Events!$A$5:$A$505,0)),att_offset,MATCH(G345,Attendance!$B$3:$AY$3,0),attendees,COUNTIF(INDEX(Attendance!$B$7:$AY$206,0,att_offset),"1"),IF(ev_split="Equal Split",ev_cost/MAX(1,COUNTA(Roster!$A$5:$A$204)),ev_cost/MAX(1,attendees))),"N/A"))</f>
        <v/>
      </c>
    </row>
    <row r="346" ht="20" customHeight="1">
      <c r="A346" s="12" t="n"/>
      <c r="B346" s="10" t="n"/>
      <c r="C346" s="10" t="n"/>
      <c r="D346" s="10" t="n"/>
      <c r="E346" s="10" t="n"/>
      <c r="F346" s="13" t="n"/>
      <c r="G346" s="10" t="n"/>
      <c r="H346" s="10" t="n"/>
      <c r="I346" s="10" t="n"/>
      <c r="J346" s="108">
        <f>IF(G346="","",IFERROR(LET(ev_cost,INDEX(Events!$G$5:$G$505,MATCH(G346,Events!$A$5:$A$505,0)),ev_split,INDEX(Events!$I$5:$I$505,MATCH(G346,Events!$A$5:$A$505,0)),att_offset,MATCH(G346,Attendance!$B$3:$AY$3,0),attendees,COUNTIF(INDEX(Attendance!$B$7:$AY$206,0,att_offset),"1"),IF(ev_split="Equal Split",ev_cost/MAX(1,COUNTA(Roster!$A$5:$A$204)),ev_cost/MAX(1,attendees))),"N/A"))</f>
        <v/>
      </c>
    </row>
    <row r="347" ht="20" customHeight="1">
      <c r="A347" s="16" t="n"/>
      <c r="B347" s="14" t="n"/>
      <c r="C347" s="14" t="n"/>
      <c r="D347" s="14" t="n"/>
      <c r="E347" s="14" t="n"/>
      <c r="F347" s="17" t="n"/>
      <c r="G347" s="14" t="n"/>
      <c r="H347" s="14" t="n"/>
      <c r="I347" s="14" t="n"/>
      <c r="J347" s="108">
        <f>IF(G347="","",IFERROR(LET(ev_cost,INDEX(Events!$G$5:$G$505,MATCH(G347,Events!$A$5:$A$505,0)),ev_split,INDEX(Events!$I$5:$I$505,MATCH(G347,Events!$A$5:$A$505,0)),att_offset,MATCH(G347,Attendance!$B$3:$AY$3,0),attendees,COUNTIF(INDEX(Attendance!$B$7:$AY$206,0,att_offset),"1"),IF(ev_split="Equal Split",ev_cost/MAX(1,COUNTA(Roster!$A$5:$A$204)),ev_cost/MAX(1,attendees))),"N/A"))</f>
        <v/>
      </c>
    </row>
    <row r="348" ht="20" customHeight="1">
      <c r="A348" s="12" t="n"/>
      <c r="B348" s="10" t="n"/>
      <c r="C348" s="10" t="n"/>
      <c r="D348" s="10" t="n"/>
      <c r="E348" s="10" t="n"/>
      <c r="F348" s="13" t="n"/>
      <c r="G348" s="10" t="n"/>
      <c r="H348" s="10" t="n"/>
      <c r="I348" s="10" t="n"/>
      <c r="J348" s="108">
        <f>IF(G348="","",IFERROR(LET(ev_cost,INDEX(Events!$G$5:$G$505,MATCH(G348,Events!$A$5:$A$505,0)),ev_split,INDEX(Events!$I$5:$I$505,MATCH(G348,Events!$A$5:$A$505,0)),att_offset,MATCH(G348,Attendance!$B$3:$AY$3,0),attendees,COUNTIF(INDEX(Attendance!$B$7:$AY$206,0,att_offset),"1"),IF(ev_split="Equal Split",ev_cost/MAX(1,COUNTA(Roster!$A$5:$A$204)),ev_cost/MAX(1,attendees))),"N/A"))</f>
        <v/>
      </c>
    </row>
    <row r="349" ht="20" customHeight="1">
      <c r="A349" s="16" t="n"/>
      <c r="B349" s="14" t="n"/>
      <c r="C349" s="14" t="n"/>
      <c r="D349" s="14" t="n"/>
      <c r="E349" s="14" t="n"/>
      <c r="F349" s="17" t="n"/>
      <c r="G349" s="14" t="n"/>
      <c r="H349" s="14" t="n"/>
      <c r="I349" s="14" t="n"/>
      <c r="J349" s="108">
        <f>IF(G349="","",IFERROR(LET(ev_cost,INDEX(Events!$G$5:$G$505,MATCH(G349,Events!$A$5:$A$505,0)),ev_split,INDEX(Events!$I$5:$I$505,MATCH(G349,Events!$A$5:$A$505,0)),att_offset,MATCH(G349,Attendance!$B$3:$AY$3,0),attendees,COUNTIF(INDEX(Attendance!$B$7:$AY$206,0,att_offset),"1"),IF(ev_split="Equal Split",ev_cost/MAX(1,COUNTA(Roster!$A$5:$A$204)),ev_cost/MAX(1,attendees))),"N/A"))</f>
        <v/>
      </c>
    </row>
    <row r="350" ht="20" customHeight="1">
      <c r="A350" s="12" t="n"/>
      <c r="B350" s="10" t="n"/>
      <c r="C350" s="10" t="n"/>
      <c r="D350" s="10" t="n"/>
      <c r="E350" s="10" t="n"/>
      <c r="F350" s="13" t="n"/>
      <c r="G350" s="10" t="n"/>
      <c r="H350" s="10" t="n"/>
      <c r="I350" s="10" t="n"/>
      <c r="J350" s="108">
        <f>IF(G350="","",IFERROR(LET(ev_cost,INDEX(Events!$G$5:$G$505,MATCH(G350,Events!$A$5:$A$505,0)),ev_split,INDEX(Events!$I$5:$I$505,MATCH(G350,Events!$A$5:$A$505,0)),att_offset,MATCH(G350,Attendance!$B$3:$AY$3,0),attendees,COUNTIF(INDEX(Attendance!$B$7:$AY$206,0,att_offset),"1"),IF(ev_split="Equal Split",ev_cost/MAX(1,COUNTA(Roster!$A$5:$A$204)),ev_cost/MAX(1,attendees))),"N/A"))</f>
        <v/>
      </c>
    </row>
    <row r="351" ht="20" customHeight="1">
      <c r="A351" s="16" t="n"/>
      <c r="B351" s="14" t="n"/>
      <c r="C351" s="14" t="n"/>
      <c r="D351" s="14" t="n"/>
      <c r="E351" s="14" t="n"/>
      <c r="F351" s="17" t="n"/>
      <c r="G351" s="14" t="n"/>
      <c r="H351" s="14" t="n"/>
      <c r="I351" s="14" t="n"/>
      <c r="J351" s="108">
        <f>IF(G351="","",IFERROR(LET(ev_cost,INDEX(Events!$G$5:$G$505,MATCH(G351,Events!$A$5:$A$505,0)),ev_split,INDEX(Events!$I$5:$I$505,MATCH(G351,Events!$A$5:$A$505,0)),att_offset,MATCH(G351,Attendance!$B$3:$AY$3,0),attendees,COUNTIF(INDEX(Attendance!$B$7:$AY$206,0,att_offset),"1"),IF(ev_split="Equal Split",ev_cost/MAX(1,COUNTA(Roster!$A$5:$A$204)),ev_cost/MAX(1,attendees))),"N/A"))</f>
        <v/>
      </c>
    </row>
    <row r="352" ht="20" customHeight="1">
      <c r="A352" s="12" t="n"/>
      <c r="B352" s="10" t="n"/>
      <c r="C352" s="10" t="n"/>
      <c r="D352" s="10" t="n"/>
      <c r="E352" s="10" t="n"/>
      <c r="F352" s="13" t="n"/>
      <c r="G352" s="10" t="n"/>
      <c r="H352" s="10" t="n"/>
      <c r="I352" s="10" t="n"/>
      <c r="J352" s="108">
        <f>IF(G352="","",IFERROR(LET(ev_cost,INDEX(Events!$G$5:$G$505,MATCH(G352,Events!$A$5:$A$505,0)),ev_split,INDEX(Events!$I$5:$I$505,MATCH(G352,Events!$A$5:$A$505,0)),att_offset,MATCH(G352,Attendance!$B$3:$AY$3,0),attendees,COUNTIF(INDEX(Attendance!$B$7:$AY$206,0,att_offset),"1"),IF(ev_split="Equal Split",ev_cost/MAX(1,COUNTA(Roster!$A$5:$A$204)),ev_cost/MAX(1,attendees))),"N/A"))</f>
        <v/>
      </c>
    </row>
    <row r="353" ht="20" customHeight="1">
      <c r="A353" s="16" t="n"/>
      <c r="B353" s="14" t="n"/>
      <c r="C353" s="14" t="n"/>
      <c r="D353" s="14" t="n"/>
      <c r="E353" s="14" t="n"/>
      <c r="F353" s="17" t="n"/>
      <c r="G353" s="14" t="n"/>
      <c r="H353" s="14" t="n"/>
      <c r="I353" s="14" t="n"/>
      <c r="J353" s="108">
        <f>IF(G353="","",IFERROR(LET(ev_cost,INDEX(Events!$G$5:$G$505,MATCH(G353,Events!$A$5:$A$505,0)),ev_split,INDEX(Events!$I$5:$I$505,MATCH(G353,Events!$A$5:$A$505,0)),att_offset,MATCH(G353,Attendance!$B$3:$AY$3,0),attendees,COUNTIF(INDEX(Attendance!$B$7:$AY$206,0,att_offset),"1"),IF(ev_split="Equal Split",ev_cost/MAX(1,COUNTA(Roster!$A$5:$A$204)),ev_cost/MAX(1,attendees))),"N/A"))</f>
        <v/>
      </c>
    </row>
    <row r="354" ht="20" customHeight="1">
      <c r="A354" s="12" t="n"/>
      <c r="B354" s="10" t="n"/>
      <c r="C354" s="10" t="n"/>
      <c r="D354" s="10" t="n"/>
      <c r="E354" s="10" t="n"/>
      <c r="F354" s="13" t="n"/>
      <c r="G354" s="10" t="n"/>
      <c r="H354" s="10" t="n"/>
      <c r="I354" s="10" t="n"/>
      <c r="J354" s="108">
        <f>IF(G354="","",IFERROR(LET(ev_cost,INDEX(Events!$G$5:$G$505,MATCH(G354,Events!$A$5:$A$505,0)),ev_split,INDEX(Events!$I$5:$I$505,MATCH(G354,Events!$A$5:$A$505,0)),att_offset,MATCH(G354,Attendance!$B$3:$AY$3,0),attendees,COUNTIF(INDEX(Attendance!$B$7:$AY$206,0,att_offset),"1"),IF(ev_split="Equal Split",ev_cost/MAX(1,COUNTA(Roster!$A$5:$A$204)),ev_cost/MAX(1,attendees))),"N/A"))</f>
        <v/>
      </c>
    </row>
    <row r="355" ht="20" customHeight="1">
      <c r="A355" s="16" t="n"/>
      <c r="B355" s="14" t="n"/>
      <c r="C355" s="14" t="n"/>
      <c r="D355" s="14" t="n"/>
      <c r="E355" s="14" t="n"/>
      <c r="F355" s="17" t="n"/>
      <c r="G355" s="14" t="n"/>
      <c r="H355" s="14" t="n"/>
      <c r="I355" s="14" t="n"/>
      <c r="J355" s="108">
        <f>IF(G355="","",IFERROR(LET(ev_cost,INDEX(Events!$G$5:$G$505,MATCH(G355,Events!$A$5:$A$505,0)),ev_split,INDEX(Events!$I$5:$I$505,MATCH(G355,Events!$A$5:$A$505,0)),att_offset,MATCH(G355,Attendance!$B$3:$AY$3,0),attendees,COUNTIF(INDEX(Attendance!$B$7:$AY$206,0,att_offset),"1"),IF(ev_split="Equal Split",ev_cost/MAX(1,COUNTA(Roster!$A$5:$A$204)),ev_cost/MAX(1,attendees))),"N/A"))</f>
        <v/>
      </c>
    </row>
    <row r="356" ht="20" customHeight="1">
      <c r="A356" s="12" t="n"/>
      <c r="B356" s="10" t="n"/>
      <c r="C356" s="10" t="n"/>
      <c r="D356" s="10" t="n"/>
      <c r="E356" s="10" t="n"/>
      <c r="F356" s="13" t="n"/>
      <c r="G356" s="10" t="n"/>
      <c r="H356" s="10" t="n"/>
      <c r="I356" s="10" t="n"/>
      <c r="J356" s="108">
        <f>IF(G356="","",IFERROR(LET(ev_cost,INDEX(Events!$G$5:$G$505,MATCH(G356,Events!$A$5:$A$505,0)),ev_split,INDEX(Events!$I$5:$I$505,MATCH(G356,Events!$A$5:$A$505,0)),att_offset,MATCH(G356,Attendance!$B$3:$AY$3,0),attendees,COUNTIF(INDEX(Attendance!$B$7:$AY$206,0,att_offset),"1"),IF(ev_split="Equal Split",ev_cost/MAX(1,COUNTA(Roster!$A$5:$A$204)),ev_cost/MAX(1,attendees))),"N/A"))</f>
        <v/>
      </c>
    </row>
    <row r="357" ht="20" customHeight="1">
      <c r="A357" s="16" t="n"/>
      <c r="B357" s="14" t="n"/>
      <c r="C357" s="14" t="n"/>
      <c r="D357" s="14" t="n"/>
      <c r="E357" s="14" t="n"/>
      <c r="F357" s="17" t="n"/>
      <c r="G357" s="14" t="n"/>
      <c r="H357" s="14" t="n"/>
      <c r="I357" s="14" t="n"/>
      <c r="J357" s="108">
        <f>IF(G357="","",IFERROR(LET(ev_cost,INDEX(Events!$G$5:$G$505,MATCH(G357,Events!$A$5:$A$505,0)),ev_split,INDEX(Events!$I$5:$I$505,MATCH(G357,Events!$A$5:$A$505,0)),att_offset,MATCH(G357,Attendance!$B$3:$AY$3,0),attendees,COUNTIF(INDEX(Attendance!$B$7:$AY$206,0,att_offset),"1"),IF(ev_split="Equal Split",ev_cost/MAX(1,COUNTA(Roster!$A$5:$A$204)),ev_cost/MAX(1,attendees))),"N/A"))</f>
        <v/>
      </c>
    </row>
    <row r="358" ht="20" customHeight="1">
      <c r="A358" s="12" t="n"/>
      <c r="B358" s="10" t="n"/>
      <c r="C358" s="10" t="n"/>
      <c r="D358" s="10" t="n"/>
      <c r="E358" s="10" t="n"/>
      <c r="F358" s="13" t="n"/>
      <c r="G358" s="10" t="n"/>
      <c r="H358" s="10" t="n"/>
      <c r="I358" s="10" t="n"/>
      <c r="J358" s="108">
        <f>IF(G358="","",IFERROR(LET(ev_cost,INDEX(Events!$G$5:$G$505,MATCH(G358,Events!$A$5:$A$505,0)),ev_split,INDEX(Events!$I$5:$I$505,MATCH(G358,Events!$A$5:$A$505,0)),att_offset,MATCH(G358,Attendance!$B$3:$AY$3,0),attendees,COUNTIF(INDEX(Attendance!$B$7:$AY$206,0,att_offset),"1"),IF(ev_split="Equal Split",ev_cost/MAX(1,COUNTA(Roster!$A$5:$A$204)),ev_cost/MAX(1,attendees))),"N/A"))</f>
        <v/>
      </c>
    </row>
    <row r="359" ht="20" customHeight="1">
      <c r="A359" s="16" t="n"/>
      <c r="B359" s="14" t="n"/>
      <c r="C359" s="14" t="n"/>
      <c r="D359" s="14" t="n"/>
      <c r="E359" s="14" t="n"/>
      <c r="F359" s="17" t="n"/>
      <c r="G359" s="14" t="n"/>
      <c r="H359" s="14" t="n"/>
      <c r="I359" s="14" t="n"/>
      <c r="J359" s="108">
        <f>IF(G359="","",IFERROR(LET(ev_cost,INDEX(Events!$G$5:$G$505,MATCH(G359,Events!$A$5:$A$505,0)),ev_split,INDEX(Events!$I$5:$I$505,MATCH(G359,Events!$A$5:$A$505,0)),att_offset,MATCH(G359,Attendance!$B$3:$AY$3,0),attendees,COUNTIF(INDEX(Attendance!$B$7:$AY$206,0,att_offset),"1"),IF(ev_split="Equal Split",ev_cost/MAX(1,COUNTA(Roster!$A$5:$A$204)),ev_cost/MAX(1,attendees))),"N/A"))</f>
        <v/>
      </c>
    </row>
    <row r="360" ht="20" customHeight="1">
      <c r="A360" s="12" t="n"/>
      <c r="B360" s="10" t="n"/>
      <c r="C360" s="10" t="n"/>
      <c r="D360" s="10" t="n"/>
      <c r="E360" s="10" t="n"/>
      <c r="F360" s="13" t="n"/>
      <c r="G360" s="10" t="n"/>
      <c r="H360" s="10" t="n"/>
      <c r="I360" s="10" t="n"/>
      <c r="J360" s="108">
        <f>IF(G360="","",IFERROR(LET(ev_cost,INDEX(Events!$G$5:$G$505,MATCH(G360,Events!$A$5:$A$505,0)),ev_split,INDEX(Events!$I$5:$I$505,MATCH(G360,Events!$A$5:$A$505,0)),att_offset,MATCH(G360,Attendance!$B$3:$AY$3,0),attendees,COUNTIF(INDEX(Attendance!$B$7:$AY$206,0,att_offset),"1"),IF(ev_split="Equal Split",ev_cost/MAX(1,COUNTA(Roster!$A$5:$A$204)),ev_cost/MAX(1,attendees))),"N/A"))</f>
        <v/>
      </c>
    </row>
    <row r="361" ht="20" customHeight="1">
      <c r="A361" s="16" t="n"/>
      <c r="B361" s="14" t="n"/>
      <c r="C361" s="14" t="n"/>
      <c r="D361" s="14" t="n"/>
      <c r="E361" s="14" t="n"/>
      <c r="F361" s="17" t="n"/>
      <c r="G361" s="14" t="n"/>
      <c r="H361" s="14" t="n"/>
      <c r="I361" s="14" t="n"/>
      <c r="J361" s="108">
        <f>IF(G361="","",IFERROR(LET(ev_cost,INDEX(Events!$G$5:$G$505,MATCH(G361,Events!$A$5:$A$505,0)),ev_split,INDEX(Events!$I$5:$I$505,MATCH(G361,Events!$A$5:$A$505,0)),att_offset,MATCH(G361,Attendance!$B$3:$AY$3,0),attendees,COUNTIF(INDEX(Attendance!$B$7:$AY$206,0,att_offset),"1"),IF(ev_split="Equal Split",ev_cost/MAX(1,COUNTA(Roster!$A$5:$A$204)),ev_cost/MAX(1,attendees))),"N/A"))</f>
        <v/>
      </c>
    </row>
    <row r="362" ht="20" customHeight="1">
      <c r="A362" s="12" t="n"/>
      <c r="B362" s="10" t="n"/>
      <c r="C362" s="10" t="n"/>
      <c r="D362" s="10" t="n"/>
      <c r="E362" s="10" t="n"/>
      <c r="F362" s="13" t="n"/>
      <c r="G362" s="10" t="n"/>
      <c r="H362" s="10" t="n"/>
      <c r="I362" s="10" t="n"/>
      <c r="J362" s="108">
        <f>IF(G362="","",IFERROR(LET(ev_cost,INDEX(Events!$G$5:$G$505,MATCH(G362,Events!$A$5:$A$505,0)),ev_split,INDEX(Events!$I$5:$I$505,MATCH(G362,Events!$A$5:$A$505,0)),att_offset,MATCH(G362,Attendance!$B$3:$AY$3,0),attendees,COUNTIF(INDEX(Attendance!$B$7:$AY$206,0,att_offset),"1"),IF(ev_split="Equal Split",ev_cost/MAX(1,COUNTA(Roster!$A$5:$A$204)),ev_cost/MAX(1,attendees))),"N/A"))</f>
        <v/>
      </c>
    </row>
    <row r="363" ht="20" customHeight="1">
      <c r="A363" s="16" t="n"/>
      <c r="B363" s="14" t="n"/>
      <c r="C363" s="14" t="n"/>
      <c r="D363" s="14" t="n"/>
      <c r="E363" s="14" t="n"/>
      <c r="F363" s="17" t="n"/>
      <c r="G363" s="14" t="n"/>
      <c r="H363" s="14" t="n"/>
      <c r="I363" s="14" t="n"/>
      <c r="J363" s="108">
        <f>IF(G363="","",IFERROR(LET(ev_cost,INDEX(Events!$G$5:$G$505,MATCH(G363,Events!$A$5:$A$505,0)),ev_split,INDEX(Events!$I$5:$I$505,MATCH(G363,Events!$A$5:$A$505,0)),att_offset,MATCH(G363,Attendance!$B$3:$AY$3,0),attendees,COUNTIF(INDEX(Attendance!$B$7:$AY$206,0,att_offset),"1"),IF(ev_split="Equal Split",ev_cost/MAX(1,COUNTA(Roster!$A$5:$A$204)),ev_cost/MAX(1,attendees))),"N/A"))</f>
        <v/>
      </c>
    </row>
    <row r="364" ht="20" customHeight="1">
      <c r="A364" s="12" t="n"/>
      <c r="B364" s="10" t="n"/>
      <c r="C364" s="10" t="n"/>
      <c r="D364" s="10" t="n"/>
      <c r="E364" s="10" t="n"/>
      <c r="F364" s="13" t="n"/>
      <c r="G364" s="10" t="n"/>
      <c r="H364" s="10" t="n"/>
      <c r="I364" s="10" t="n"/>
      <c r="J364" s="108">
        <f>IF(G364="","",IFERROR(LET(ev_cost,INDEX(Events!$G$5:$G$505,MATCH(G364,Events!$A$5:$A$505,0)),ev_split,INDEX(Events!$I$5:$I$505,MATCH(G364,Events!$A$5:$A$505,0)),att_offset,MATCH(G364,Attendance!$B$3:$AY$3,0),attendees,COUNTIF(INDEX(Attendance!$B$7:$AY$206,0,att_offset),"1"),IF(ev_split="Equal Split",ev_cost/MAX(1,COUNTA(Roster!$A$5:$A$204)),ev_cost/MAX(1,attendees))),"N/A"))</f>
        <v/>
      </c>
    </row>
    <row r="365" ht="20" customHeight="1">
      <c r="A365" s="16" t="n"/>
      <c r="B365" s="14" t="n"/>
      <c r="C365" s="14" t="n"/>
      <c r="D365" s="14" t="n"/>
      <c r="E365" s="14" t="n"/>
      <c r="F365" s="17" t="n"/>
      <c r="G365" s="14" t="n"/>
      <c r="H365" s="14" t="n"/>
      <c r="I365" s="14" t="n"/>
      <c r="J365" s="108">
        <f>IF(G365="","",IFERROR(LET(ev_cost,INDEX(Events!$G$5:$G$505,MATCH(G365,Events!$A$5:$A$505,0)),ev_split,INDEX(Events!$I$5:$I$505,MATCH(G365,Events!$A$5:$A$505,0)),att_offset,MATCH(G365,Attendance!$B$3:$AY$3,0),attendees,COUNTIF(INDEX(Attendance!$B$7:$AY$206,0,att_offset),"1"),IF(ev_split="Equal Split",ev_cost/MAX(1,COUNTA(Roster!$A$5:$A$204)),ev_cost/MAX(1,attendees))),"N/A"))</f>
        <v/>
      </c>
    </row>
    <row r="366" ht="20" customHeight="1">
      <c r="A366" s="12" t="n"/>
      <c r="B366" s="10" t="n"/>
      <c r="C366" s="10" t="n"/>
      <c r="D366" s="10" t="n"/>
      <c r="E366" s="10" t="n"/>
      <c r="F366" s="13" t="n"/>
      <c r="G366" s="10" t="n"/>
      <c r="H366" s="10" t="n"/>
      <c r="I366" s="10" t="n"/>
      <c r="J366" s="108">
        <f>IF(G366="","",IFERROR(LET(ev_cost,INDEX(Events!$G$5:$G$505,MATCH(G366,Events!$A$5:$A$505,0)),ev_split,INDEX(Events!$I$5:$I$505,MATCH(G366,Events!$A$5:$A$505,0)),att_offset,MATCH(G366,Attendance!$B$3:$AY$3,0),attendees,COUNTIF(INDEX(Attendance!$B$7:$AY$206,0,att_offset),"1"),IF(ev_split="Equal Split",ev_cost/MAX(1,COUNTA(Roster!$A$5:$A$204)),ev_cost/MAX(1,attendees))),"N/A"))</f>
        <v/>
      </c>
    </row>
    <row r="367" ht="20" customHeight="1">
      <c r="A367" s="16" t="n"/>
      <c r="B367" s="14" t="n"/>
      <c r="C367" s="14" t="n"/>
      <c r="D367" s="14" t="n"/>
      <c r="E367" s="14" t="n"/>
      <c r="F367" s="17" t="n"/>
      <c r="G367" s="14" t="n"/>
      <c r="H367" s="14" t="n"/>
      <c r="I367" s="14" t="n"/>
      <c r="J367" s="108">
        <f>IF(G367="","",IFERROR(LET(ev_cost,INDEX(Events!$G$5:$G$505,MATCH(G367,Events!$A$5:$A$505,0)),ev_split,INDEX(Events!$I$5:$I$505,MATCH(G367,Events!$A$5:$A$505,0)),att_offset,MATCH(G367,Attendance!$B$3:$AY$3,0),attendees,COUNTIF(INDEX(Attendance!$B$7:$AY$206,0,att_offset),"1"),IF(ev_split="Equal Split",ev_cost/MAX(1,COUNTA(Roster!$A$5:$A$204)),ev_cost/MAX(1,attendees))),"N/A"))</f>
        <v/>
      </c>
    </row>
    <row r="368" ht="20" customHeight="1">
      <c r="A368" s="12" t="n"/>
      <c r="B368" s="10" t="n"/>
      <c r="C368" s="10" t="n"/>
      <c r="D368" s="10" t="n"/>
      <c r="E368" s="10" t="n"/>
      <c r="F368" s="13" t="n"/>
      <c r="G368" s="10" t="n"/>
      <c r="H368" s="10" t="n"/>
      <c r="I368" s="10" t="n"/>
      <c r="J368" s="108">
        <f>IF(G368="","",IFERROR(LET(ev_cost,INDEX(Events!$G$5:$G$505,MATCH(G368,Events!$A$5:$A$505,0)),ev_split,INDEX(Events!$I$5:$I$505,MATCH(G368,Events!$A$5:$A$505,0)),att_offset,MATCH(G368,Attendance!$B$3:$AY$3,0),attendees,COUNTIF(INDEX(Attendance!$B$7:$AY$206,0,att_offset),"1"),IF(ev_split="Equal Split",ev_cost/MAX(1,COUNTA(Roster!$A$5:$A$204)),ev_cost/MAX(1,attendees))),"N/A"))</f>
        <v/>
      </c>
    </row>
    <row r="369" ht="20" customHeight="1">
      <c r="A369" s="16" t="n"/>
      <c r="B369" s="14" t="n"/>
      <c r="C369" s="14" t="n"/>
      <c r="D369" s="14" t="n"/>
      <c r="E369" s="14" t="n"/>
      <c r="F369" s="17" t="n"/>
      <c r="G369" s="14" t="n"/>
      <c r="H369" s="14" t="n"/>
      <c r="I369" s="14" t="n"/>
      <c r="J369" s="108">
        <f>IF(G369="","",IFERROR(LET(ev_cost,INDEX(Events!$G$5:$G$505,MATCH(G369,Events!$A$5:$A$505,0)),ev_split,INDEX(Events!$I$5:$I$505,MATCH(G369,Events!$A$5:$A$505,0)),att_offset,MATCH(G369,Attendance!$B$3:$AY$3,0),attendees,COUNTIF(INDEX(Attendance!$B$7:$AY$206,0,att_offset),"1"),IF(ev_split="Equal Split",ev_cost/MAX(1,COUNTA(Roster!$A$5:$A$204)),ev_cost/MAX(1,attendees))),"N/A"))</f>
        <v/>
      </c>
    </row>
    <row r="370" ht="20" customHeight="1">
      <c r="A370" s="12" t="n"/>
      <c r="B370" s="10" t="n"/>
      <c r="C370" s="10" t="n"/>
      <c r="D370" s="10" t="n"/>
      <c r="E370" s="10" t="n"/>
      <c r="F370" s="13" t="n"/>
      <c r="G370" s="10" t="n"/>
      <c r="H370" s="10" t="n"/>
      <c r="I370" s="10" t="n"/>
      <c r="J370" s="108">
        <f>IF(G370="","",IFERROR(LET(ev_cost,INDEX(Events!$G$5:$G$505,MATCH(G370,Events!$A$5:$A$505,0)),ev_split,INDEX(Events!$I$5:$I$505,MATCH(G370,Events!$A$5:$A$505,0)),att_offset,MATCH(G370,Attendance!$B$3:$AY$3,0),attendees,COUNTIF(INDEX(Attendance!$B$7:$AY$206,0,att_offset),"1"),IF(ev_split="Equal Split",ev_cost/MAX(1,COUNTA(Roster!$A$5:$A$204)),ev_cost/MAX(1,attendees))),"N/A"))</f>
        <v/>
      </c>
    </row>
    <row r="371" ht="20" customHeight="1">
      <c r="A371" s="16" t="n"/>
      <c r="B371" s="14" t="n"/>
      <c r="C371" s="14" t="n"/>
      <c r="D371" s="14" t="n"/>
      <c r="E371" s="14" t="n"/>
      <c r="F371" s="17" t="n"/>
      <c r="G371" s="14" t="n"/>
      <c r="H371" s="14" t="n"/>
      <c r="I371" s="14" t="n"/>
      <c r="J371" s="108">
        <f>IF(G371="","",IFERROR(LET(ev_cost,INDEX(Events!$G$5:$G$505,MATCH(G371,Events!$A$5:$A$505,0)),ev_split,INDEX(Events!$I$5:$I$505,MATCH(G371,Events!$A$5:$A$505,0)),att_offset,MATCH(G371,Attendance!$B$3:$AY$3,0),attendees,COUNTIF(INDEX(Attendance!$B$7:$AY$206,0,att_offset),"1"),IF(ev_split="Equal Split",ev_cost/MAX(1,COUNTA(Roster!$A$5:$A$204)),ev_cost/MAX(1,attendees))),"N/A"))</f>
        <v/>
      </c>
    </row>
    <row r="372" ht="20" customHeight="1">
      <c r="A372" s="12" t="n"/>
      <c r="B372" s="10" t="n"/>
      <c r="C372" s="10" t="n"/>
      <c r="D372" s="10" t="n"/>
      <c r="E372" s="10" t="n"/>
      <c r="F372" s="13" t="n"/>
      <c r="G372" s="10" t="n"/>
      <c r="H372" s="10" t="n"/>
      <c r="I372" s="10" t="n"/>
      <c r="J372" s="108">
        <f>IF(G372="","",IFERROR(LET(ev_cost,INDEX(Events!$G$5:$G$505,MATCH(G372,Events!$A$5:$A$505,0)),ev_split,INDEX(Events!$I$5:$I$505,MATCH(G372,Events!$A$5:$A$505,0)),att_offset,MATCH(G372,Attendance!$B$3:$AY$3,0),attendees,COUNTIF(INDEX(Attendance!$B$7:$AY$206,0,att_offset),"1"),IF(ev_split="Equal Split",ev_cost/MAX(1,COUNTA(Roster!$A$5:$A$204)),ev_cost/MAX(1,attendees))),"N/A"))</f>
        <v/>
      </c>
    </row>
    <row r="373" ht="20" customHeight="1">
      <c r="A373" s="16" t="n"/>
      <c r="B373" s="14" t="n"/>
      <c r="C373" s="14" t="n"/>
      <c r="D373" s="14" t="n"/>
      <c r="E373" s="14" t="n"/>
      <c r="F373" s="17" t="n"/>
      <c r="G373" s="14" t="n"/>
      <c r="H373" s="14" t="n"/>
      <c r="I373" s="14" t="n"/>
      <c r="J373" s="108">
        <f>IF(G373="","",IFERROR(LET(ev_cost,INDEX(Events!$G$5:$G$505,MATCH(G373,Events!$A$5:$A$505,0)),ev_split,INDEX(Events!$I$5:$I$505,MATCH(G373,Events!$A$5:$A$505,0)),att_offset,MATCH(G373,Attendance!$B$3:$AY$3,0),attendees,COUNTIF(INDEX(Attendance!$B$7:$AY$206,0,att_offset),"1"),IF(ev_split="Equal Split",ev_cost/MAX(1,COUNTA(Roster!$A$5:$A$204)),ev_cost/MAX(1,attendees))),"N/A"))</f>
        <v/>
      </c>
    </row>
    <row r="374" ht="20" customHeight="1">
      <c r="A374" s="12" t="n"/>
      <c r="B374" s="10" t="n"/>
      <c r="C374" s="10" t="n"/>
      <c r="D374" s="10" t="n"/>
      <c r="E374" s="10" t="n"/>
      <c r="F374" s="13" t="n"/>
      <c r="G374" s="10" t="n"/>
      <c r="H374" s="10" t="n"/>
      <c r="I374" s="10" t="n"/>
      <c r="J374" s="108">
        <f>IF(G374="","",IFERROR(LET(ev_cost,INDEX(Events!$G$5:$G$505,MATCH(G374,Events!$A$5:$A$505,0)),ev_split,INDEX(Events!$I$5:$I$505,MATCH(G374,Events!$A$5:$A$505,0)),att_offset,MATCH(G374,Attendance!$B$3:$AY$3,0),attendees,COUNTIF(INDEX(Attendance!$B$7:$AY$206,0,att_offset),"1"),IF(ev_split="Equal Split",ev_cost/MAX(1,COUNTA(Roster!$A$5:$A$204)),ev_cost/MAX(1,attendees))),"N/A"))</f>
        <v/>
      </c>
    </row>
    <row r="375" ht="20" customHeight="1">
      <c r="A375" s="16" t="n"/>
      <c r="B375" s="14" t="n"/>
      <c r="C375" s="14" t="n"/>
      <c r="D375" s="14" t="n"/>
      <c r="E375" s="14" t="n"/>
      <c r="F375" s="17" t="n"/>
      <c r="G375" s="14" t="n"/>
      <c r="H375" s="14" t="n"/>
      <c r="I375" s="14" t="n"/>
      <c r="J375" s="108">
        <f>IF(G375="","",IFERROR(LET(ev_cost,INDEX(Events!$G$5:$G$505,MATCH(G375,Events!$A$5:$A$505,0)),ev_split,INDEX(Events!$I$5:$I$505,MATCH(G375,Events!$A$5:$A$505,0)),att_offset,MATCH(G375,Attendance!$B$3:$AY$3,0),attendees,COUNTIF(INDEX(Attendance!$B$7:$AY$206,0,att_offset),"1"),IF(ev_split="Equal Split",ev_cost/MAX(1,COUNTA(Roster!$A$5:$A$204)),ev_cost/MAX(1,attendees))),"N/A"))</f>
        <v/>
      </c>
    </row>
    <row r="376" ht="20" customHeight="1">
      <c r="A376" s="12" t="n"/>
      <c r="B376" s="10" t="n"/>
      <c r="C376" s="10" t="n"/>
      <c r="D376" s="10" t="n"/>
      <c r="E376" s="10" t="n"/>
      <c r="F376" s="13" t="n"/>
      <c r="G376" s="10" t="n"/>
      <c r="H376" s="10" t="n"/>
      <c r="I376" s="10" t="n"/>
      <c r="J376" s="108">
        <f>IF(G376="","",IFERROR(LET(ev_cost,INDEX(Events!$G$5:$G$505,MATCH(G376,Events!$A$5:$A$505,0)),ev_split,INDEX(Events!$I$5:$I$505,MATCH(G376,Events!$A$5:$A$505,0)),att_offset,MATCH(G376,Attendance!$B$3:$AY$3,0),attendees,COUNTIF(INDEX(Attendance!$B$7:$AY$206,0,att_offset),"1"),IF(ev_split="Equal Split",ev_cost/MAX(1,COUNTA(Roster!$A$5:$A$204)),ev_cost/MAX(1,attendees))),"N/A"))</f>
        <v/>
      </c>
    </row>
    <row r="377" ht="20" customHeight="1">
      <c r="A377" s="16" t="n"/>
      <c r="B377" s="14" t="n"/>
      <c r="C377" s="14" t="n"/>
      <c r="D377" s="14" t="n"/>
      <c r="E377" s="14" t="n"/>
      <c r="F377" s="17" t="n"/>
      <c r="G377" s="14" t="n"/>
      <c r="H377" s="14" t="n"/>
      <c r="I377" s="14" t="n"/>
      <c r="J377" s="108">
        <f>IF(G377="","",IFERROR(LET(ev_cost,INDEX(Events!$G$5:$G$505,MATCH(G377,Events!$A$5:$A$505,0)),ev_split,INDEX(Events!$I$5:$I$505,MATCH(G377,Events!$A$5:$A$505,0)),att_offset,MATCH(G377,Attendance!$B$3:$AY$3,0),attendees,COUNTIF(INDEX(Attendance!$B$7:$AY$206,0,att_offset),"1"),IF(ev_split="Equal Split",ev_cost/MAX(1,COUNTA(Roster!$A$5:$A$204)),ev_cost/MAX(1,attendees))),"N/A"))</f>
        <v/>
      </c>
    </row>
    <row r="378" ht="20" customHeight="1">
      <c r="A378" s="12" t="n"/>
      <c r="B378" s="10" t="n"/>
      <c r="C378" s="10" t="n"/>
      <c r="D378" s="10" t="n"/>
      <c r="E378" s="10" t="n"/>
      <c r="F378" s="13" t="n"/>
      <c r="G378" s="10" t="n"/>
      <c r="H378" s="10" t="n"/>
      <c r="I378" s="10" t="n"/>
      <c r="J378" s="108">
        <f>IF(G378="","",IFERROR(LET(ev_cost,INDEX(Events!$G$5:$G$505,MATCH(G378,Events!$A$5:$A$505,0)),ev_split,INDEX(Events!$I$5:$I$505,MATCH(G378,Events!$A$5:$A$505,0)),att_offset,MATCH(G378,Attendance!$B$3:$AY$3,0),attendees,COUNTIF(INDEX(Attendance!$B$7:$AY$206,0,att_offset),"1"),IF(ev_split="Equal Split",ev_cost/MAX(1,COUNTA(Roster!$A$5:$A$204)),ev_cost/MAX(1,attendees))),"N/A"))</f>
        <v/>
      </c>
    </row>
    <row r="379" ht="20" customHeight="1">
      <c r="A379" s="16" t="n"/>
      <c r="B379" s="14" t="n"/>
      <c r="C379" s="14" t="n"/>
      <c r="D379" s="14" t="n"/>
      <c r="E379" s="14" t="n"/>
      <c r="F379" s="17" t="n"/>
      <c r="G379" s="14" t="n"/>
      <c r="H379" s="14" t="n"/>
      <c r="I379" s="14" t="n"/>
      <c r="J379" s="108">
        <f>IF(G379="","",IFERROR(LET(ev_cost,INDEX(Events!$G$5:$G$505,MATCH(G379,Events!$A$5:$A$505,0)),ev_split,INDEX(Events!$I$5:$I$505,MATCH(G379,Events!$A$5:$A$505,0)),att_offset,MATCH(G379,Attendance!$B$3:$AY$3,0),attendees,COUNTIF(INDEX(Attendance!$B$7:$AY$206,0,att_offset),"1"),IF(ev_split="Equal Split",ev_cost/MAX(1,COUNTA(Roster!$A$5:$A$204)),ev_cost/MAX(1,attendees))),"N/A"))</f>
        <v/>
      </c>
    </row>
    <row r="380" ht="20" customHeight="1">
      <c r="A380" s="12" t="n"/>
      <c r="B380" s="10" t="n"/>
      <c r="C380" s="10" t="n"/>
      <c r="D380" s="10" t="n"/>
      <c r="E380" s="10" t="n"/>
      <c r="F380" s="13" t="n"/>
      <c r="G380" s="10" t="n"/>
      <c r="H380" s="10" t="n"/>
      <c r="I380" s="10" t="n"/>
      <c r="J380" s="108">
        <f>IF(G380="","",IFERROR(LET(ev_cost,INDEX(Events!$G$5:$G$505,MATCH(G380,Events!$A$5:$A$505,0)),ev_split,INDEX(Events!$I$5:$I$505,MATCH(G380,Events!$A$5:$A$505,0)),att_offset,MATCH(G380,Attendance!$B$3:$AY$3,0),attendees,COUNTIF(INDEX(Attendance!$B$7:$AY$206,0,att_offset),"1"),IF(ev_split="Equal Split",ev_cost/MAX(1,COUNTA(Roster!$A$5:$A$204)),ev_cost/MAX(1,attendees))),"N/A"))</f>
        <v/>
      </c>
    </row>
    <row r="381" ht="20" customHeight="1">
      <c r="A381" s="16" t="n"/>
      <c r="B381" s="14" t="n"/>
      <c r="C381" s="14" t="n"/>
      <c r="D381" s="14" t="n"/>
      <c r="E381" s="14" t="n"/>
      <c r="F381" s="17" t="n"/>
      <c r="G381" s="14" t="n"/>
      <c r="H381" s="14" t="n"/>
      <c r="I381" s="14" t="n"/>
      <c r="J381" s="108">
        <f>IF(G381="","",IFERROR(LET(ev_cost,INDEX(Events!$G$5:$G$505,MATCH(G381,Events!$A$5:$A$505,0)),ev_split,INDEX(Events!$I$5:$I$505,MATCH(G381,Events!$A$5:$A$505,0)),att_offset,MATCH(G381,Attendance!$B$3:$AY$3,0),attendees,COUNTIF(INDEX(Attendance!$B$7:$AY$206,0,att_offset),"1"),IF(ev_split="Equal Split",ev_cost/MAX(1,COUNTA(Roster!$A$5:$A$204)),ev_cost/MAX(1,attendees))),"N/A"))</f>
        <v/>
      </c>
    </row>
    <row r="382" ht="20" customHeight="1">
      <c r="A382" s="12" t="n"/>
      <c r="B382" s="10" t="n"/>
      <c r="C382" s="10" t="n"/>
      <c r="D382" s="10" t="n"/>
      <c r="E382" s="10" t="n"/>
      <c r="F382" s="13" t="n"/>
      <c r="G382" s="10" t="n"/>
      <c r="H382" s="10" t="n"/>
      <c r="I382" s="10" t="n"/>
      <c r="J382" s="108">
        <f>IF(G382="","",IFERROR(LET(ev_cost,INDEX(Events!$G$5:$G$505,MATCH(G382,Events!$A$5:$A$505,0)),ev_split,INDEX(Events!$I$5:$I$505,MATCH(G382,Events!$A$5:$A$505,0)),att_offset,MATCH(G382,Attendance!$B$3:$AY$3,0),attendees,COUNTIF(INDEX(Attendance!$B$7:$AY$206,0,att_offset),"1"),IF(ev_split="Equal Split",ev_cost/MAX(1,COUNTA(Roster!$A$5:$A$204)),ev_cost/MAX(1,attendees))),"N/A"))</f>
        <v/>
      </c>
    </row>
    <row r="383" ht="20" customHeight="1">
      <c r="A383" s="16" t="n"/>
      <c r="B383" s="14" t="n"/>
      <c r="C383" s="14" t="n"/>
      <c r="D383" s="14" t="n"/>
      <c r="E383" s="14" t="n"/>
      <c r="F383" s="17" t="n"/>
      <c r="G383" s="14" t="n"/>
      <c r="H383" s="14" t="n"/>
      <c r="I383" s="14" t="n"/>
      <c r="J383" s="108">
        <f>IF(G383="","",IFERROR(LET(ev_cost,INDEX(Events!$G$5:$G$505,MATCH(G383,Events!$A$5:$A$505,0)),ev_split,INDEX(Events!$I$5:$I$505,MATCH(G383,Events!$A$5:$A$505,0)),att_offset,MATCH(G383,Attendance!$B$3:$AY$3,0),attendees,COUNTIF(INDEX(Attendance!$B$7:$AY$206,0,att_offset),"1"),IF(ev_split="Equal Split",ev_cost/MAX(1,COUNTA(Roster!$A$5:$A$204)),ev_cost/MAX(1,attendees))),"N/A"))</f>
        <v/>
      </c>
    </row>
    <row r="384" ht="20" customHeight="1">
      <c r="A384" s="12" t="n"/>
      <c r="B384" s="10" t="n"/>
      <c r="C384" s="10" t="n"/>
      <c r="D384" s="10" t="n"/>
      <c r="E384" s="10" t="n"/>
      <c r="F384" s="13" t="n"/>
      <c r="G384" s="10" t="n"/>
      <c r="H384" s="10" t="n"/>
      <c r="I384" s="10" t="n"/>
      <c r="J384" s="108">
        <f>IF(G384="","",IFERROR(LET(ev_cost,INDEX(Events!$G$5:$G$505,MATCH(G384,Events!$A$5:$A$505,0)),ev_split,INDEX(Events!$I$5:$I$505,MATCH(G384,Events!$A$5:$A$505,0)),att_offset,MATCH(G384,Attendance!$B$3:$AY$3,0),attendees,COUNTIF(INDEX(Attendance!$B$7:$AY$206,0,att_offset),"1"),IF(ev_split="Equal Split",ev_cost/MAX(1,COUNTA(Roster!$A$5:$A$204)),ev_cost/MAX(1,attendees))),"N/A"))</f>
        <v/>
      </c>
    </row>
    <row r="385" ht="20" customHeight="1">
      <c r="A385" s="16" t="n"/>
      <c r="B385" s="14" t="n"/>
      <c r="C385" s="14" t="n"/>
      <c r="D385" s="14" t="n"/>
      <c r="E385" s="14" t="n"/>
      <c r="F385" s="17" t="n"/>
      <c r="G385" s="14" t="n"/>
      <c r="H385" s="14" t="n"/>
      <c r="I385" s="14" t="n"/>
      <c r="J385" s="108">
        <f>IF(G385="","",IFERROR(LET(ev_cost,INDEX(Events!$G$5:$G$505,MATCH(G385,Events!$A$5:$A$505,0)),ev_split,INDEX(Events!$I$5:$I$505,MATCH(G385,Events!$A$5:$A$505,0)),att_offset,MATCH(G385,Attendance!$B$3:$AY$3,0),attendees,COUNTIF(INDEX(Attendance!$B$7:$AY$206,0,att_offset),"1"),IF(ev_split="Equal Split",ev_cost/MAX(1,COUNTA(Roster!$A$5:$A$204)),ev_cost/MAX(1,attendees))),"N/A"))</f>
        <v/>
      </c>
    </row>
    <row r="386" ht="20" customHeight="1">
      <c r="A386" s="12" t="n"/>
      <c r="B386" s="10" t="n"/>
      <c r="C386" s="10" t="n"/>
      <c r="D386" s="10" t="n"/>
      <c r="E386" s="10" t="n"/>
      <c r="F386" s="13" t="n"/>
      <c r="G386" s="10" t="n"/>
      <c r="H386" s="10" t="n"/>
      <c r="I386" s="10" t="n"/>
      <c r="J386" s="108">
        <f>IF(G386="","",IFERROR(LET(ev_cost,INDEX(Events!$G$5:$G$505,MATCH(G386,Events!$A$5:$A$505,0)),ev_split,INDEX(Events!$I$5:$I$505,MATCH(G386,Events!$A$5:$A$505,0)),att_offset,MATCH(G386,Attendance!$B$3:$AY$3,0),attendees,COUNTIF(INDEX(Attendance!$B$7:$AY$206,0,att_offset),"1"),IF(ev_split="Equal Split",ev_cost/MAX(1,COUNTA(Roster!$A$5:$A$204)),ev_cost/MAX(1,attendees))),"N/A"))</f>
        <v/>
      </c>
    </row>
    <row r="387" ht="20" customHeight="1">
      <c r="A387" s="16" t="n"/>
      <c r="B387" s="14" t="n"/>
      <c r="C387" s="14" t="n"/>
      <c r="D387" s="14" t="n"/>
      <c r="E387" s="14" t="n"/>
      <c r="F387" s="17" t="n"/>
      <c r="G387" s="14" t="n"/>
      <c r="H387" s="14" t="n"/>
      <c r="I387" s="14" t="n"/>
      <c r="J387" s="108">
        <f>IF(G387="","",IFERROR(LET(ev_cost,INDEX(Events!$G$5:$G$505,MATCH(G387,Events!$A$5:$A$505,0)),ev_split,INDEX(Events!$I$5:$I$505,MATCH(G387,Events!$A$5:$A$505,0)),att_offset,MATCH(G387,Attendance!$B$3:$AY$3,0),attendees,COUNTIF(INDEX(Attendance!$B$7:$AY$206,0,att_offset),"1"),IF(ev_split="Equal Split",ev_cost/MAX(1,COUNTA(Roster!$A$5:$A$204)),ev_cost/MAX(1,attendees))),"N/A"))</f>
        <v/>
      </c>
    </row>
    <row r="388" ht="20" customHeight="1">
      <c r="A388" s="12" t="n"/>
      <c r="B388" s="10" t="n"/>
      <c r="C388" s="10" t="n"/>
      <c r="D388" s="10" t="n"/>
      <c r="E388" s="10" t="n"/>
      <c r="F388" s="13" t="n"/>
      <c r="G388" s="10" t="n"/>
      <c r="H388" s="10" t="n"/>
      <c r="I388" s="10" t="n"/>
      <c r="J388" s="108">
        <f>IF(G388="","",IFERROR(LET(ev_cost,INDEX(Events!$G$5:$G$505,MATCH(G388,Events!$A$5:$A$505,0)),ev_split,INDEX(Events!$I$5:$I$505,MATCH(G388,Events!$A$5:$A$505,0)),att_offset,MATCH(G388,Attendance!$B$3:$AY$3,0),attendees,COUNTIF(INDEX(Attendance!$B$7:$AY$206,0,att_offset),"1"),IF(ev_split="Equal Split",ev_cost/MAX(1,COUNTA(Roster!$A$5:$A$204)),ev_cost/MAX(1,attendees))),"N/A"))</f>
        <v/>
      </c>
    </row>
    <row r="389" ht="20" customHeight="1">
      <c r="A389" s="16" t="n"/>
      <c r="B389" s="14" t="n"/>
      <c r="C389" s="14" t="n"/>
      <c r="D389" s="14" t="n"/>
      <c r="E389" s="14" t="n"/>
      <c r="F389" s="17" t="n"/>
      <c r="G389" s="14" t="n"/>
      <c r="H389" s="14" t="n"/>
      <c r="I389" s="14" t="n"/>
      <c r="J389" s="108">
        <f>IF(G389="","",IFERROR(LET(ev_cost,INDEX(Events!$G$5:$G$505,MATCH(G389,Events!$A$5:$A$505,0)),ev_split,INDEX(Events!$I$5:$I$505,MATCH(G389,Events!$A$5:$A$505,0)),att_offset,MATCH(G389,Attendance!$B$3:$AY$3,0),attendees,COUNTIF(INDEX(Attendance!$B$7:$AY$206,0,att_offset),"1"),IF(ev_split="Equal Split",ev_cost/MAX(1,COUNTA(Roster!$A$5:$A$204)),ev_cost/MAX(1,attendees))),"N/A"))</f>
        <v/>
      </c>
    </row>
    <row r="390" ht="20" customHeight="1">
      <c r="A390" s="12" t="n"/>
      <c r="B390" s="10" t="n"/>
      <c r="C390" s="10" t="n"/>
      <c r="D390" s="10" t="n"/>
      <c r="E390" s="10" t="n"/>
      <c r="F390" s="13" t="n"/>
      <c r="G390" s="10" t="n"/>
      <c r="H390" s="10" t="n"/>
      <c r="I390" s="10" t="n"/>
      <c r="J390" s="108">
        <f>IF(G390="","",IFERROR(LET(ev_cost,INDEX(Events!$G$5:$G$505,MATCH(G390,Events!$A$5:$A$505,0)),ev_split,INDEX(Events!$I$5:$I$505,MATCH(G390,Events!$A$5:$A$505,0)),att_offset,MATCH(G390,Attendance!$B$3:$AY$3,0),attendees,COUNTIF(INDEX(Attendance!$B$7:$AY$206,0,att_offset),"1"),IF(ev_split="Equal Split",ev_cost/MAX(1,COUNTA(Roster!$A$5:$A$204)),ev_cost/MAX(1,attendees))),"N/A"))</f>
        <v/>
      </c>
    </row>
    <row r="391" ht="20" customHeight="1">
      <c r="A391" s="16" t="n"/>
      <c r="B391" s="14" t="n"/>
      <c r="C391" s="14" t="n"/>
      <c r="D391" s="14" t="n"/>
      <c r="E391" s="14" t="n"/>
      <c r="F391" s="17" t="n"/>
      <c r="G391" s="14" t="n"/>
      <c r="H391" s="14" t="n"/>
      <c r="I391" s="14" t="n"/>
      <c r="J391" s="108">
        <f>IF(G391="","",IFERROR(LET(ev_cost,INDEX(Events!$G$5:$G$505,MATCH(G391,Events!$A$5:$A$505,0)),ev_split,INDEX(Events!$I$5:$I$505,MATCH(G391,Events!$A$5:$A$505,0)),att_offset,MATCH(G391,Attendance!$B$3:$AY$3,0),attendees,COUNTIF(INDEX(Attendance!$B$7:$AY$206,0,att_offset),"1"),IF(ev_split="Equal Split",ev_cost/MAX(1,COUNTA(Roster!$A$5:$A$204)),ev_cost/MAX(1,attendees))),"N/A"))</f>
        <v/>
      </c>
    </row>
    <row r="392" ht="20" customHeight="1">
      <c r="A392" s="12" t="n"/>
      <c r="B392" s="10" t="n"/>
      <c r="C392" s="10" t="n"/>
      <c r="D392" s="10" t="n"/>
      <c r="E392" s="10" t="n"/>
      <c r="F392" s="13" t="n"/>
      <c r="G392" s="10" t="n"/>
      <c r="H392" s="10" t="n"/>
      <c r="I392" s="10" t="n"/>
      <c r="J392" s="108">
        <f>IF(G392="","",IFERROR(LET(ev_cost,INDEX(Events!$G$5:$G$505,MATCH(G392,Events!$A$5:$A$505,0)),ev_split,INDEX(Events!$I$5:$I$505,MATCH(G392,Events!$A$5:$A$505,0)),att_offset,MATCH(G392,Attendance!$B$3:$AY$3,0),attendees,COUNTIF(INDEX(Attendance!$B$7:$AY$206,0,att_offset),"1"),IF(ev_split="Equal Split",ev_cost/MAX(1,COUNTA(Roster!$A$5:$A$204)),ev_cost/MAX(1,attendees))),"N/A"))</f>
        <v/>
      </c>
    </row>
    <row r="393" ht="20" customHeight="1">
      <c r="A393" s="16" t="n"/>
      <c r="B393" s="14" t="n"/>
      <c r="C393" s="14" t="n"/>
      <c r="D393" s="14" t="n"/>
      <c r="E393" s="14" t="n"/>
      <c r="F393" s="17" t="n"/>
      <c r="G393" s="14" t="n"/>
      <c r="H393" s="14" t="n"/>
      <c r="I393" s="14" t="n"/>
      <c r="J393" s="108">
        <f>IF(G393="","",IFERROR(LET(ev_cost,INDEX(Events!$G$5:$G$505,MATCH(G393,Events!$A$5:$A$505,0)),ev_split,INDEX(Events!$I$5:$I$505,MATCH(G393,Events!$A$5:$A$505,0)),att_offset,MATCH(G393,Attendance!$B$3:$AY$3,0),attendees,COUNTIF(INDEX(Attendance!$B$7:$AY$206,0,att_offset),"1"),IF(ev_split="Equal Split",ev_cost/MAX(1,COUNTA(Roster!$A$5:$A$204)),ev_cost/MAX(1,attendees))),"N/A"))</f>
        <v/>
      </c>
    </row>
    <row r="394" ht="20" customHeight="1">
      <c r="A394" s="12" t="n"/>
      <c r="B394" s="10" t="n"/>
      <c r="C394" s="10" t="n"/>
      <c r="D394" s="10" t="n"/>
      <c r="E394" s="10" t="n"/>
      <c r="F394" s="13" t="n"/>
      <c r="G394" s="10" t="n"/>
      <c r="H394" s="10" t="n"/>
      <c r="I394" s="10" t="n"/>
      <c r="J394" s="108">
        <f>IF(G394="","",IFERROR(LET(ev_cost,INDEX(Events!$G$5:$G$505,MATCH(G394,Events!$A$5:$A$505,0)),ev_split,INDEX(Events!$I$5:$I$505,MATCH(G394,Events!$A$5:$A$505,0)),att_offset,MATCH(G394,Attendance!$B$3:$AY$3,0),attendees,COUNTIF(INDEX(Attendance!$B$7:$AY$206,0,att_offset),"1"),IF(ev_split="Equal Split",ev_cost/MAX(1,COUNTA(Roster!$A$5:$A$204)),ev_cost/MAX(1,attendees))),"N/A"))</f>
        <v/>
      </c>
    </row>
    <row r="395" ht="20" customHeight="1">
      <c r="A395" s="16" t="n"/>
      <c r="B395" s="14" t="n"/>
      <c r="C395" s="14" t="n"/>
      <c r="D395" s="14" t="n"/>
      <c r="E395" s="14" t="n"/>
      <c r="F395" s="17" t="n"/>
      <c r="G395" s="14" t="n"/>
      <c r="H395" s="14" t="n"/>
      <c r="I395" s="14" t="n"/>
      <c r="J395" s="108">
        <f>IF(G395="","",IFERROR(LET(ev_cost,INDEX(Events!$G$5:$G$505,MATCH(G395,Events!$A$5:$A$505,0)),ev_split,INDEX(Events!$I$5:$I$505,MATCH(G395,Events!$A$5:$A$505,0)),att_offset,MATCH(G395,Attendance!$B$3:$AY$3,0),attendees,COUNTIF(INDEX(Attendance!$B$7:$AY$206,0,att_offset),"1"),IF(ev_split="Equal Split",ev_cost/MAX(1,COUNTA(Roster!$A$5:$A$204)),ev_cost/MAX(1,attendees))),"N/A"))</f>
        <v/>
      </c>
    </row>
    <row r="396" ht="20" customHeight="1">
      <c r="A396" s="12" t="n"/>
      <c r="B396" s="10" t="n"/>
      <c r="C396" s="10" t="n"/>
      <c r="D396" s="10" t="n"/>
      <c r="E396" s="10" t="n"/>
      <c r="F396" s="13" t="n"/>
      <c r="G396" s="10" t="n"/>
      <c r="H396" s="10" t="n"/>
      <c r="I396" s="10" t="n"/>
      <c r="J396" s="108">
        <f>IF(G396="","",IFERROR(LET(ev_cost,INDEX(Events!$G$5:$G$505,MATCH(G396,Events!$A$5:$A$505,0)),ev_split,INDEX(Events!$I$5:$I$505,MATCH(G396,Events!$A$5:$A$505,0)),att_offset,MATCH(G396,Attendance!$B$3:$AY$3,0),attendees,COUNTIF(INDEX(Attendance!$B$7:$AY$206,0,att_offset),"1"),IF(ev_split="Equal Split",ev_cost/MAX(1,COUNTA(Roster!$A$5:$A$204)),ev_cost/MAX(1,attendees))),"N/A"))</f>
        <v/>
      </c>
    </row>
    <row r="397" ht="20" customHeight="1">
      <c r="A397" s="16" t="n"/>
      <c r="B397" s="14" t="n"/>
      <c r="C397" s="14" t="n"/>
      <c r="D397" s="14" t="n"/>
      <c r="E397" s="14" t="n"/>
      <c r="F397" s="17" t="n"/>
      <c r="G397" s="14" t="n"/>
      <c r="H397" s="14" t="n"/>
      <c r="I397" s="14" t="n"/>
      <c r="J397" s="108">
        <f>IF(G397="","",IFERROR(LET(ev_cost,INDEX(Events!$G$5:$G$505,MATCH(G397,Events!$A$5:$A$505,0)),ev_split,INDEX(Events!$I$5:$I$505,MATCH(G397,Events!$A$5:$A$505,0)),att_offset,MATCH(G397,Attendance!$B$3:$AY$3,0),attendees,COUNTIF(INDEX(Attendance!$B$7:$AY$206,0,att_offset),"1"),IF(ev_split="Equal Split",ev_cost/MAX(1,COUNTA(Roster!$A$5:$A$204)),ev_cost/MAX(1,attendees))),"N/A"))</f>
        <v/>
      </c>
    </row>
    <row r="398" ht="20" customHeight="1">
      <c r="A398" s="12" t="n"/>
      <c r="B398" s="10" t="n"/>
      <c r="C398" s="10" t="n"/>
      <c r="D398" s="10" t="n"/>
      <c r="E398" s="10" t="n"/>
      <c r="F398" s="13" t="n"/>
      <c r="G398" s="10" t="n"/>
      <c r="H398" s="10" t="n"/>
      <c r="I398" s="10" t="n"/>
      <c r="J398" s="108">
        <f>IF(G398="","",IFERROR(LET(ev_cost,INDEX(Events!$G$5:$G$505,MATCH(G398,Events!$A$5:$A$505,0)),ev_split,INDEX(Events!$I$5:$I$505,MATCH(G398,Events!$A$5:$A$505,0)),att_offset,MATCH(G398,Attendance!$B$3:$AY$3,0),attendees,COUNTIF(INDEX(Attendance!$B$7:$AY$206,0,att_offset),"1"),IF(ev_split="Equal Split",ev_cost/MAX(1,COUNTA(Roster!$A$5:$A$204)),ev_cost/MAX(1,attendees))),"N/A"))</f>
        <v/>
      </c>
    </row>
    <row r="399" ht="20" customHeight="1">
      <c r="A399" s="16" t="n"/>
      <c r="B399" s="14" t="n"/>
      <c r="C399" s="14" t="n"/>
      <c r="D399" s="14" t="n"/>
      <c r="E399" s="14" t="n"/>
      <c r="F399" s="17" t="n"/>
      <c r="G399" s="14" t="n"/>
      <c r="H399" s="14" t="n"/>
      <c r="I399" s="14" t="n"/>
      <c r="J399" s="108">
        <f>IF(G399="","",IFERROR(LET(ev_cost,INDEX(Events!$G$5:$G$505,MATCH(G399,Events!$A$5:$A$505,0)),ev_split,INDEX(Events!$I$5:$I$505,MATCH(G399,Events!$A$5:$A$505,0)),att_offset,MATCH(G399,Attendance!$B$3:$AY$3,0),attendees,COUNTIF(INDEX(Attendance!$B$7:$AY$206,0,att_offset),"1"),IF(ev_split="Equal Split",ev_cost/MAX(1,COUNTA(Roster!$A$5:$A$204)),ev_cost/MAX(1,attendees))),"N/A"))</f>
        <v/>
      </c>
    </row>
    <row r="400" ht="20" customHeight="1">
      <c r="A400" s="12" t="n"/>
      <c r="B400" s="10" t="n"/>
      <c r="C400" s="10" t="n"/>
      <c r="D400" s="10" t="n"/>
      <c r="E400" s="10" t="n"/>
      <c r="F400" s="13" t="n"/>
      <c r="G400" s="10" t="n"/>
      <c r="H400" s="10" t="n"/>
      <c r="I400" s="10" t="n"/>
      <c r="J400" s="108">
        <f>IF(G400="","",IFERROR(LET(ev_cost,INDEX(Events!$G$5:$G$505,MATCH(G400,Events!$A$5:$A$505,0)),ev_split,INDEX(Events!$I$5:$I$505,MATCH(G400,Events!$A$5:$A$505,0)),att_offset,MATCH(G400,Attendance!$B$3:$AY$3,0),attendees,COUNTIF(INDEX(Attendance!$B$7:$AY$206,0,att_offset),"1"),IF(ev_split="Equal Split",ev_cost/MAX(1,COUNTA(Roster!$A$5:$A$204)),ev_cost/MAX(1,attendees))),"N/A"))</f>
        <v/>
      </c>
    </row>
    <row r="401" ht="20" customHeight="1">
      <c r="A401" s="16" t="n"/>
      <c r="B401" s="14" t="n"/>
      <c r="C401" s="14" t="n"/>
      <c r="D401" s="14" t="n"/>
      <c r="E401" s="14" t="n"/>
      <c r="F401" s="17" t="n"/>
      <c r="G401" s="14" t="n"/>
      <c r="H401" s="14" t="n"/>
      <c r="I401" s="14" t="n"/>
      <c r="J401" s="108">
        <f>IF(G401="","",IFERROR(LET(ev_cost,INDEX(Events!$G$5:$G$505,MATCH(G401,Events!$A$5:$A$505,0)),ev_split,INDEX(Events!$I$5:$I$505,MATCH(G401,Events!$A$5:$A$505,0)),att_offset,MATCH(G401,Attendance!$B$3:$AY$3,0),attendees,COUNTIF(INDEX(Attendance!$B$7:$AY$206,0,att_offset),"1"),IF(ev_split="Equal Split",ev_cost/MAX(1,COUNTA(Roster!$A$5:$A$204)),ev_cost/MAX(1,attendees))),"N/A"))</f>
        <v/>
      </c>
    </row>
    <row r="402" ht="20" customHeight="1">
      <c r="A402" s="12" t="n"/>
      <c r="B402" s="10" t="n"/>
      <c r="C402" s="10" t="n"/>
      <c r="D402" s="10" t="n"/>
      <c r="E402" s="10" t="n"/>
      <c r="F402" s="13" t="n"/>
      <c r="G402" s="10" t="n"/>
      <c r="H402" s="10" t="n"/>
      <c r="I402" s="10" t="n"/>
      <c r="J402" s="108">
        <f>IF(G402="","",IFERROR(LET(ev_cost,INDEX(Events!$G$5:$G$505,MATCH(G402,Events!$A$5:$A$505,0)),ev_split,INDEX(Events!$I$5:$I$505,MATCH(G402,Events!$A$5:$A$505,0)),att_offset,MATCH(G402,Attendance!$B$3:$AY$3,0),attendees,COUNTIF(INDEX(Attendance!$B$7:$AY$206,0,att_offset),"1"),IF(ev_split="Equal Split",ev_cost/MAX(1,COUNTA(Roster!$A$5:$A$204)),ev_cost/MAX(1,attendees))),"N/A"))</f>
        <v/>
      </c>
    </row>
    <row r="403" ht="20" customHeight="1">
      <c r="A403" s="16" t="n"/>
      <c r="B403" s="14" t="n"/>
      <c r="C403" s="14" t="n"/>
      <c r="D403" s="14" t="n"/>
      <c r="E403" s="14" t="n"/>
      <c r="F403" s="17" t="n"/>
      <c r="G403" s="14" t="n"/>
      <c r="H403" s="14" t="n"/>
      <c r="I403" s="14" t="n"/>
      <c r="J403" s="108">
        <f>IF(G403="","",IFERROR(LET(ev_cost,INDEX(Events!$G$5:$G$505,MATCH(G403,Events!$A$5:$A$505,0)),ev_split,INDEX(Events!$I$5:$I$505,MATCH(G403,Events!$A$5:$A$505,0)),att_offset,MATCH(G403,Attendance!$B$3:$AY$3,0),attendees,COUNTIF(INDEX(Attendance!$B$7:$AY$206,0,att_offset),"1"),IF(ev_split="Equal Split",ev_cost/MAX(1,COUNTA(Roster!$A$5:$A$204)),ev_cost/MAX(1,attendees))),"N/A"))</f>
        <v/>
      </c>
    </row>
    <row r="404" ht="20" customHeight="1">
      <c r="A404" s="12" t="n"/>
      <c r="B404" s="10" t="n"/>
      <c r="C404" s="10" t="n"/>
      <c r="D404" s="10" t="n"/>
      <c r="E404" s="10" t="n"/>
      <c r="F404" s="13" t="n"/>
      <c r="G404" s="10" t="n"/>
      <c r="H404" s="10" t="n"/>
      <c r="I404" s="10" t="n"/>
      <c r="J404" s="108">
        <f>IF(G404="","",IFERROR(LET(ev_cost,INDEX(Events!$G$5:$G$505,MATCH(G404,Events!$A$5:$A$505,0)),ev_split,INDEX(Events!$I$5:$I$505,MATCH(G404,Events!$A$5:$A$505,0)),att_offset,MATCH(G404,Attendance!$B$3:$AY$3,0),attendees,COUNTIF(INDEX(Attendance!$B$7:$AY$206,0,att_offset),"1"),IF(ev_split="Equal Split",ev_cost/MAX(1,COUNTA(Roster!$A$5:$A$204)),ev_cost/MAX(1,attendees))),"N/A"))</f>
        <v/>
      </c>
    </row>
    <row r="405" ht="20" customHeight="1">
      <c r="A405" s="16" t="n"/>
      <c r="B405" s="14" t="n"/>
      <c r="C405" s="14" t="n"/>
      <c r="D405" s="14" t="n"/>
      <c r="E405" s="14" t="n"/>
      <c r="F405" s="17" t="n"/>
      <c r="G405" s="14" t="n"/>
      <c r="H405" s="14" t="n"/>
      <c r="I405" s="14" t="n"/>
      <c r="J405" s="108">
        <f>IF(G405="","",IFERROR(LET(ev_cost,INDEX(Events!$G$5:$G$505,MATCH(G405,Events!$A$5:$A$505,0)),ev_split,INDEX(Events!$I$5:$I$505,MATCH(G405,Events!$A$5:$A$505,0)),att_offset,MATCH(G405,Attendance!$B$3:$AY$3,0),attendees,COUNTIF(INDEX(Attendance!$B$7:$AY$206,0,att_offset),"1"),IF(ev_split="Equal Split",ev_cost/MAX(1,COUNTA(Roster!$A$5:$A$204)),ev_cost/MAX(1,attendees))),"N/A"))</f>
        <v/>
      </c>
    </row>
    <row r="406" ht="20" customHeight="1">
      <c r="A406" s="12" t="n"/>
      <c r="B406" s="10" t="n"/>
      <c r="C406" s="10" t="n"/>
      <c r="D406" s="10" t="n"/>
      <c r="E406" s="10" t="n"/>
      <c r="F406" s="13" t="n"/>
      <c r="G406" s="10" t="n"/>
      <c r="H406" s="10" t="n"/>
      <c r="I406" s="10" t="n"/>
      <c r="J406" s="108">
        <f>IF(G406="","",IFERROR(LET(ev_cost,INDEX(Events!$G$5:$G$505,MATCH(G406,Events!$A$5:$A$505,0)),ev_split,INDEX(Events!$I$5:$I$505,MATCH(G406,Events!$A$5:$A$505,0)),att_offset,MATCH(G406,Attendance!$B$3:$AY$3,0),attendees,COUNTIF(INDEX(Attendance!$B$7:$AY$206,0,att_offset),"1"),IF(ev_split="Equal Split",ev_cost/MAX(1,COUNTA(Roster!$A$5:$A$204)),ev_cost/MAX(1,attendees))),"N/A"))</f>
        <v/>
      </c>
    </row>
    <row r="407" ht="20" customHeight="1">
      <c r="A407" s="16" t="n"/>
      <c r="B407" s="14" t="n"/>
      <c r="C407" s="14" t="n"/>
      <c r="D407" s="14" t="n"/>
      <c r="E407" s="14" t="n"/>
      <c r="F407" s="17" t="n"/>
      <c r="G407" s="14" t="n"/>
      <c r="H407" s="14" t="n"/>
      <c r="I407" s="14" t="n"/>
      <c r="J407" s="108">
        <f>IF(G407="","",IFERROR(LET(ev_cost,INDEX(Events!$G$5:$G$505,MATCH(G407,Events!$A$5:$A$505,0)),ev_split,INDEX(Events!$I$5:$I$505,MATCH(G407,Events!$A$5:$A$505,0)),att_offset,MATCH(G407,Attendance!$B$3:$AY$3,0),attendees,COUNTIF(INDEX(Attendance!$B$7:$AY$206,0,att_offset),"1"),IF(ev_split="Equal Split",ev_cost/MAX(1,COUNTA(Roster!$A$5:$A$204)),ev_cost/MAX(1,attendees))),"N/A"))</f>
        <v/>
      </c>
    </row>
    <row r="408" ht="20" customHeight="1">
      <c r="A408" s="12" t="n"/>
      <c r="B408" s="10" t="n"/>
      <c r="C408" s="10" t="n"/>
      <c r="D408" s="10" t="n"/>
      <c r="E408" s="10" t="n"/>
      <c r="F408" s="13" t="n"/>
      <c r="G408" s="10" t="n"/>
      <c r="H408" s="10" t="n"/>
      <c r="I408" s="10" t="n"/>
      <c r="J408" s="108">
        <f>IF(G408="","",IFERROR(LET(ev_cost,INDEX(Events!$G$5:$G$505,MATCH(G408,Events!$A$5:$A$505,0)),ev_split,INDEX(Events!$I$5:$I$505,MATCH(G408,Events!$A$5:$A$505,0)),att_offset,MATCH(G408,Attendance!$B$3:$AY$3,0),attendees,COUNTIF(INDEX(Attendance!$B$7:$AY$206,0,att_offset),"1"),IF(ev_split="Equal Split",ev_cost/MAX(1,COUNTA(Roster!$A$5:$A$204)),ev_cost/MAX(1,attendees))),"N/A"))</f>
        <v/>
      </c>
    </row>
    <row r="409" ht="20" customHeight="1">
      <c r="A409" s="16" t="n"/>
      <c r="B409" s="14" t="n"/>
      <c r="C409" s="14" t="n"/>
      <c r="D409" s="14" t="n"/>
      <c r="E409" s="14" t="n"/>
      <c r="F409" s="17" t="n"/>
      <c r="G409" s="14" t="n"/>
      <c r="H409" s="14" t="n"/>
      <c r="I409" s="14" t="n"/>
      <c r="J409" s="108">
        <f>IF(G409="","",IFERROR(LET(ev_cost,INDEX(Events!$G$5:$G$505,MATCH(G409,Events!$A$5:$A$505,0)),ev_split,INDEX(Events!$I$5:$I$505,MATCH(G409,Events!$A$5:$A$505,0)),att_offset,MATCH(G409,Attendance!$B$3:$AY$3,0),attendees,COUNTIF(INDEX(Attendance!$B$7:$AY$206,0,att_offset),"1"),IF(ev_split="Equal Split",ev_cost/MAX(1,COUNTA(Roster!$A$5:$A$204)),ev_cost/MAX(1,attendees))),"N/A"))</f>
        <v/>
      </c>
    </row>
    <row r="410" ht="20" customHeight="1">
      <c r="A410" s="12" t="n"/>
      <c r="B410" s="10" t="n"/>
      <c r="C410" s="10" t="n"/>
      <c r="D410" s="10" t="n"/>
      <c r="E410" s="10" t="n"/>
      <c r="F410" s="13" t="n"/>
      <c r="G410" s="10" t="n"/>
      <c r="H410" s="10" t="n"/>
      <c r="I410" s="10" t="n"/>
      <c r="J410" s="108">
        <f>IF(G410="","",IFERROR(LET(ev_cost,INDEX(Events!$G$5:$G$505,MATCH(G410,Events!$A$5:$A$505,0)),ev_split,INDEX(Events!$I$5:$I$505,MATCH(G410,Events!$A$5:$A$505,0)),att_offset,MATCH(G410,Attendance!$B$3:$AY$3,0),attendees,COUNTIF(INDEX(Attendance!$B$7:$AY$206,0,att_offset),"1"),IF(ev_split="Equal Split",ev_cost/MAX(1,COUNTA(Roster!$A$5:$A$204)),ev_cost/MAX(1,attendees))),"N/A"))</f>
        <v/>
      </c>
    </row>
    <row r="411" ht="20" customHeight="1">
      <c r="A411" s="16" t="n"/>
      <c r="B411" s="14" t="n"/>
      <c r="C411" s="14" t="n"/>
      <c r="D411" s="14" t="n"/>
      <c r="E411" s="14" t="n"/>
      <c r="F411" s="17" t="n"/>
      <c r="G411" s="14" t="n"/>
      <c r="H411" s="14" t="n"/>
      <c r="I411" s="14" t="n"/>
      <c r="J411" s="108">
        <f>IF(G411="","",IFERROR(LET(ev_cost,INDEX(Events!$G$5:$G$505,MATCH(G411,Events!$A$5:$A$505,0)),ev_split,INDEX(Events!$I$5:$I$505,MATCH(G411,Events!$A$5:$A$505,0)),att_offset,MATCH(G411,Attendance!$B$3:$AY$3,0),attendees,COUNTIF(INDEX(Attendance!$B$7:$AY$206,0,att_offset),"1"),IF(ev_split="Equal Split",ev_cost/MAX(1,COUNTA(Roster!$A$5:$A$204)),ev_cost/MAX(1,attendees))),"N/A"))</f>
        <v/>
      </c>
    </row>
    <row r="412" ht="20" customHeight="1">
      <c r="A412" s="12" t="n"/>
      <c r="B412" s="10" t="n"/>
      <c r="C412" s="10" t="n"/>
      <c r="D412" s="10" t="n"/>
      <c r="E412" s="10" t="n"/>
      <c r="F412" s="13" t="n"/>
      <c r="G412" s="10" t="n"/>
      <c r="H412" s="10" t="n"/>
      <c r="I412" s="10" t="n"/>
      <c r="J412" s="108">
        <f>IF(G412="","",IFERROR(LET(ev_cost,INDEX(Events!$G$5:$G$505,MATCH(G412,Events!$A$5:$A$505,0)),ev_split,INDEX(Events!$I$5:$I$505,MATCH(G412,Events!$A$5:$A$505,0)),att_offset,MATCH(G412,Attendance!$B$3:$AY$3,0),attendees,COUNTIF(INDEX(Attendance!$B$7:$AY$206,0,att_offset),"1"),IF(ev_split="Equal Split",ev_cost/MAX(1,COUNTA(Roster!$A$5:$A$204)),ev_cost/MAX(1,attendees))),"N/A"))</f>
        <v/>
      </c>
    </row>
    <row r="413" ht="20" customHeight="1">
      <c r="A413" s="16" t="n"/>
      <c r="B413" s="14" t="n"/>
      <c r="C413" s="14" t="n"/>
      <c r="D413" s="14" t="n"/>
      <c r="E413" s="14" t="n"/>
      <c r="F413" s="17" t="n"/>
      <c r="G413" s="14" t="n"/>
      <c r="H413" s="14" t="n"/>
      <c r="I413" s="14" t="n"/>
      <c r="J413" s="108">
        <f>IF(G413="","",IFERROR(LET(ev_cost,INDEX(Events!$G$5:$G$505,MATCH(G413,Events!$A$5:$A$505,0)),ev_split,INDEX(Events!$I$5:$I$505,MATCH(G413,Events!$A$5:$A$505,0)),att_offset,MATCH(G413,Attendance!$B$3:$AY$3,0),attendees,COUNTIF(INDEX(Attendance!$B$7:$AY$206,0,att_offset),"1"),IF(ev_split="Equal Split",ev_cost/MAX(1,COUNTA(Roster!$A$5:$A$204)),ev_cost/MAX(1,attendees))),"N/A"))</f>
        <v/>
      </c>
    </row>
    <row r="414" ht="20" customHeight="1">
      <c r="A414" s="12" t="n"/>
      <c r="B414" s="10" t="n"/>
      <c r="C414" s="10" t="n"/>
      <c r="D414" s="10" t="n"/>
      <c r="E414" s="10" t="n"/>
      <c r="F414" s="13" t="n"/>
      <c r="G414" s="10" t="n"/>
      <c r="H414" s="10" t="n"/>
      <c r="I414" s="10" t="n"/>
      <c r="J414" s="108">
        <f>IF(G414="","",IFERROR(LET(ev_cost,INDEX(Events!$G$5:$G$505,MATCH(G414,Events!$A$5:$A$505,0)),ev_split,INDEX(Events!$I$5:$I$505,MATCH(G414,Events!$A$5:$A$505,0)),att_offset,MATCH(G414,Attendance!$B$3:$AY$3,0),attendees,COUNTIF(INDEX(Attendance!$B$7:$AY$206,0,att_offset),"1"),IF(ev_split="Equal Split",ev_cost/MAX(1,COUNTA(Roster!$A$5:$A$204)),ev_cost/MAX(1,attendees))),"N/A"))</f>
        <v/>
      </c>
    </row>
    <row r="415" ht="20" customHeight="1">
      <c r="A415" s="16" t="n"/>
      <c r="B415" s="14" t="n"/>
      <c r="C415" s="14" t="n"/>
      <c r="D415" s="14" t="n"/>
      <c r="E415" s="14" t="n"/>
      <c r="F415" s="17" t="n"/>
      <c r="G415" s="14" t="n"/>
      <c r="H415" s="14" t="n"/>
      <c r="I415" s="14" t="n"/>
      <c r="J415" s="108">
        <f>IF(G415="","",IFERROR(LET(ev_cost,INDEX(Events!$G$5:$G$505,MATCH(G415,Events!$A$5:$A$505,0)),ev_split,INDEX(Events!$I$5:$I$505,MATCH(G415,Events!$A$5:$A$505,0)),att_offset,MATCH(G415,Attendance!$B$3:$AY$3,0),attendees,COUNTIF(INDEX(Attendance!$B$7:$AY$206,0,att_offset),"1"),IF(ev_split="Equal Split",ev_cost/MAX(1,COUNTA(Roster!$A$5:$A$204)),ev_cost/MAX(1,attendees))),"N/A"))</f>
        <v/>
      </c>
    </row>
    <row r="416" ht="20" customHeight="1">
      <c r="A416" s="12" t="n"/>
      <c r="B416" s="10" t="n"/>
      <c r="C416" s="10" t="n"/>
      <c r="D416" s="10" t="n"/>
      <c r="E416" s="10" t="n"/>
      <c r="F416" s="13" t="n"/>
      <c r="G416" s="10" t="n"/>
      <c r="H416" s="10" t="n"/>
      <c r="I416" s="10" t="n"/>
      <c r="J416" s="108">
        <f>IF(G416="","",IFERROR(LET(ev_cost,INDEX(Events!$G$5:$G$505,MATCH(G416,Events!$A$5:$A$505,0)),ev_split,INDEX(Events!$I$5:$I$505,MATCH(G416,Events!$A$5:$A$505,0)),att_offset,MATCH(G416,Attendance!$B$3:$AY$3,0),attendees,COUNTIF(INDEX(Attendance!$B$7:$AY$206,0,att_offset),"1"),IF(ev_split="Equal Split",ev_cost/MAX(1,COUNTA(Roster!$A$5:$A$204)),ev_cost/MAX(1,attendees))),"N/A"))</f>
        <v/>
      </c>
    </row>
    <row r="417" ht="20" customHeight="1">
      <c r="A417" s="16" t="n"/>
      <c r="B417" s="14" t="n"/>
      <c r="C417" s="14" t="n"/>
      <c r="D417" s="14" t="n"/>
      <c r="E417" s="14" t="n"/>
      <c r="F417" s="17" t="n"/>
      <c r="G417" s="14" t="n"/>
      <c r="H417" s="14" t="n"/>
      <c r="I417" s="14" t="n"/>
      <c r="J417" s="108">
        <f>IF(G417="","",IFERROR(LET(ev_cost,INDEX(Events!$G$5:$G$505,MATCH(G417,Events!$A$5:$A$505,0)),ev_split,INDEX(Events!$I$5:$I$505,MATCH(G417,Events!$A$5:$A$505,0)),att_offset,MATCH(G417,Attendance!$B$3:$AY$3,0),attendees,COUNTIF(INDEX(Attendance!$B$7:$AY$206,0,att_offset),"1"),IF(ev_split="Equal Split",ev_cost/MAX(1,COUNTA(Roster!$A$5:$A$204)),ev_cost/MAX(1,attendees))),"N/A"))</f>
        <v/>
      </c>
    </row>
    <row r="418" ht="20" customHeight="1">
      <c r="A418" s="12" t="n"/>
      <c r="B418" s="10" t="n"/>
      <c r="C418" s="10" t="n"/>
      <c r="D418" s="10" t="n"/>
      <c r="E418" s="10" t="n"/>
      <c r="F418" s="13" t="n"/>
      <c r="G418" s="10" t="n"/>
      <c r="H418" s="10" t="n"/>
      <c r="I418" s="10" t="n"/>
      <c r="J418" s="108">
        <f>IF(G418="","",IFERROR(LET(ev_cost,INDEX(Events!$G$5:$G$505,MATCH(G418,Events!$A$5:$A$505,0)),ev_split,INDEX(Events!$I$5:$I$505,MATCH(G418,Events!$A$5:$A$505,0)),att_offset,MATCH(G418,Attendance!$B$3:$AY$3,0),attendees,COUNTIF(INDEX(Attendance!$B$7:$AY$206,0,att_offset),"1"),IF(ev_split="Equal Split",ev_cost/MAX(1,COUNTA(Roster!$A$5:$A$204)),ev_cost/MAX(1,attendees))),"N/A"))</f>
        <v/>
      </c>
    </row>
    <row r="419" ht="20" customHeight="1">
      <c r="A419" s="16" t="n"/>
      <c r="B419" s="14" t="n"/>
      <c r="C419" s="14" t="n"/>
      <c r="D419" s="14" t="n"/>
      <c r="E419" s="14" t="n"/>
      <c r="F419" s="17" t="n"/>
      <c r="G419" s="14" t="n"/>
      <c r="H419" s="14" t="n"/>
      <c r="I419" s="14" t="n"/>
      <c r="J419" s="108">
        <f>IF(G419="","",IFERROR(LET(ev_cost,INDEX(Events!$G$5:$G$505,MATCH(G419,Events!$A$5:$A$505,0)),ev_split,INDEX(Events!$I$5:$I$505,MATCH(G419,Events!$A$5:$A$505,0)),att_offset,MATCH(G419,Attendance!$B$3:$AY$3,0),attendees,COUNTIF(INDEX(Attendance!$B$7:$AY$206,0,att_offset),"1"),IF(ev_split="Equal Split",ev_cost/MAX(1,COUNTA(Roster!$A$5:$A$204)),ev_cost/MAX(1,attendees))),"N/A"))</f>
        <v/>
      </c>
    </row>
    <row r="420" ht="20" customHeight="1">
      <c r="A420" s="12" t="n"/>
      <c r="B420" s="10" t="n"/>
      <c r="C420" s="10" t="n"/>
      <c r="D420" s="10" t="n"/>
      <c r="E420" s="10" t="n"/>
      <c r="F420" s="13" t="n"/>
      <c r="G420" s="10" t="n"/>
      <c r="H420" s="10" t="n"/>
      <c r="I420" s="10" t="n"/>
      <c r="J420" s="108">
        <f>IF(G420="","",IFERROR(LET(ev_cost,INDEX(Events!$G$5:$G$505,MATCH(G420,Events!$A$5:$A$505,0)),ev_split,INDEX(Events!$I$5:$I$505,MATCH(G420,Events!$A$5:$A$505,0)),att_offset,MATCH(G420,Attendance!$B$3:$AY$3,0),attendees,COUNTIF(INDEX(Attendance!$B$7:$AY$206,0,att_offset),"1"),IF(ev_split="Equal Split",ev_cost/MAX(1,COUNTA(Roster!$A$5:$A$204)),ev_cost/MAX(1,attendees))),"N/A"))</f>
        <v/>
      </c>
    </row>
    <row r="421" ht="20" customHeight="1">
      <c r="A421" s="16" t="n"/>
      <c r="B421" s="14" t="n"/>
      <c r="C421" s="14" t="n"/>
      <c r="D421" s="14" t="n"/>
      <c r="E421" s="14" t="n"/>
      <c r="F421" s="17" t="n"/>
      <c r="G421" s="14" t="n"/>
      <c r="H421" s="14" t="n"/>
      <c r="I421" s="14" t="n"/>
      <c r="J421" s="108">
        <f>IF(G421="","",IFERROR(LET(ev_cost,INDEX(Events!$G$5:$G$505,MATCH(G421,Events!$A$5:$A$505,0)),ev_split,INDEX(Events!$I$5:$I$505,MATCH(G421,Events!$A$5:$A$505,0)),att_offset,MATCH(G421,Attendance!$B$3:$AY$3,0),attendees,COUNTIF(INDEX(Attendance!$B$7:$AY$206,0,att_offset),"1"),IF(ev_split="Equal Split",ev_cost/MAX(1,COUNTA(Roster!$A$5:$A$204)),ev_cost/MAX(1,attendees))),"N/A"))</f>
        <v/>
      </c>
    </row>
    <row r="422" ht="20" customHeight="1">
      <c r="A422" s="12" t="n"/>
      <c r="B422" s="10" t="n"/>
      <c r="C422" s="10" t="n"/>
      <c r="D422" s="10" t="n"/>
      <c r="E422" s="10" t="n"/>
      <c r="F422" s="13" t="n"/>
      <c r="G422" s="10" t="n"/>
      <c r="H422" s="10" t="n"/>
      <c r="I422" s="10" t="n"/>
      <c r="J422" s="108">
        <f>IF(G422="","",IFERROR(LET(ev_cost,INDEX(Events!$G$5:$G$505,MATCH(G422,Events!$A$5:$A$505,0)),ev_split,INDEX(Events!$I$5:$I$505,MATCH(G422,Events!$A$5:$A$505,0)),att_offset,MATCH(G422,Attendance!$B$3:$AY$3,0),attendees,COUNTIF(INDEX(Attendance!$B$7:$AY$206,0,att_offset),"1"),IF(ev_split="Equal Split",ev_cost/MAX(1,COUNTA(Roster!$A$5:$A$204)),ev_cost/MAX(1,attendees))),"N/A"))</f>
        <v/>
      </c>
    </row>
    <row r="423" ht="20" customHeight="1">
      <c r="A423" s="16" t="n"/>
      <c r="B423" s="14" t="n"/>
      <c r="C423" s="14" t="n"/>
      <c r="D423" s="14" t="n"/>
      <c r="E423" s="14" t="n"/>
      <c r="F423" s="17" t="n"/>
      <c r="G423" s="14" t="n"/>
      <c r="H423" s="14" t="n"/>
      <c r="I423" s="14" t="n"/>
      <c r="J423" s="108">
        <f>IF(G423="","",IFERROR(LET(ev_cost,INDEX(Events!$G$5:$G$505,MATCH(G423,Events!$A$5:$A$505,0)),ev_split,INDEX(Events!$I$5:$I$505,MATCH(G423,Events!$A$5:$A$505,0)),att_offset,MATCH(G423,Attendance!$B$3:$AY$3,0),attendees,COUNTIF(INDEX(Attendance!$B$7:$AY$206,0,att_offset),"1"),IF(ev_split="Equal Split",ev_cost/MAX(1,COUNTA(Roster!$A$5:$A$204)),ev_cost/MAX(1,attendees))),"N/A"))</f>
        <v/>
      </c>
    </row>
    <row r="424" ht="20" customHeight="1">
      <c r="A424" s="12" t="n"/>
      <c r="B424" s="10" t="n"/>
      <c r="C424" s="10" t="n"/>
      <c r="D424" s="10" t="n"/>
      <c r="E424" s="10" t="n"/>
      <c r="F424" s="13" t="n"/>
      <c r="G424" s="10" t="n"/>
      <c r="H424" s="10" t="n"/>
      <c r="I424" s="10" t="n"/>
      <c r="J424" s="108">
        <f>IF(G424="","",IFERROR(LET(ev_cost,INDEX(Events!$G$5:$G$505,MATCH(G424,Events!$A$5:$A$505,0)),ev_split,INDEX(Events!$I$5:$I$505,MATCH(G424,Events!$A$5:$A$505,0)),att_offset,MATCH(G424,Attendance!$B$3:$AY$3,0),attendees,COUNTIF(INDEX(Attendance!$B$7:$AY$206,0,att_offset),"1"),IF(ev_split="Equal Split",ev_cost/MAX(1,COUNTA(Roster!$A$5:$A$204)),ev_cost/MAX(1,attendees))),"N/A"))</f>
        <v/>
      </c>
    </row>
    <row r="425" ht="20" customHeight="1">
      <c r="A425" s="16" t="n"/>
      <c r="B425" s="14" t="n"/>
      <c r="C425" s="14" t="n"/>
      <c r="D425" s="14" t="n"/>
      <c r="E425" s="14" t="n"/>
      <c r="F425" s="17" t="n"/>
      <c r="G425" s="14" t="n"/>
      <c r="H425" s="14" t="n"/>
      <c r="I425" s="14" t="n"/>
      <c r="J425" s="108">
        <f>IF(G425="","",IFERROR(LET(ev_cost,INDEX(Events!$G$5:$G$505,MATCH(G425,Events!$A$5:$A$505,0)),ev_split,INDEX(Events!$I$5:$I$505,MATCH(G425,Events!$A$5:$A$505,0)),att_offset,MATCH(G425,Attendance!$B$3:$AY$3,0),attendees,COUNTIF(INDEX(Attendance!$B$7:$AY$206,0,att_offset),"1"),IF(ev_split="Equal Split",ev_cost/MAX(1,COUNTA(Roster!$A$5:$A$204)),ev_cost/MAX(1,attendees))),"N/A"))</f>
        <v/>
      </c>
    </row>
    <row r="426" ht="20" customHeight="1">
      <c r="A426" s="12" t="n"/>
      <c r="B426" s="10" t="n"/>
      <c r="C426" s="10" t="n"/>
      <c r="D426" s="10" t="n"/>
      <c r="E426" s="10" t="n"/>
      <c r="F426" s="13" t="n"/>
      <c r="G426" s="10" t="n"/>
      <c r="H426" s="10" t="n"/>
      <c r="I426" s="10" t="n"/>
      <c r="J426" s="108">
        <f>IF(G426="","",IFERROR(LET(ev_cost,INDEX(Events!$G$5:$G$505,MATCH(G426,Events!$A$5:$A$505,0)),ev_split,INDEX(Events!$I$5:$I$505,MATCH(G426,Events!$A$5:$A$505,0)),att_offset,MATCH(G426,Attendance!$B$3:$AY$3,0),attendees,COUNTIF(INDEX(Attendance!$B$7:$AY$206,0,att_offset),"1"),IF(ev_split="Equal Split",ev_cost/MAX(1,COUNTA(Roster!$A$5:$A$204)),ev_cost/MAX(1,attendees))),"N/A"))</f>
        <v/>
      </c>
    </row>
    <row r="427" ht="20" customHeight="1">
      <c r="A427" s="16" t="n"/>
      <c r="B427" s="14" t="n"/>
      <c r="C427" s="14" t="n"/>
      <c r="D427" s="14" t="n"/>
      <c r="E427" s="14" t="n"/>
      <c r="F427" s="17" t="n"/>
      <c r="G427" s="14" t="n"/>
      <c r="H427" s="14" t="n"/>
      <c r="I427" s="14" t="n"/>
      <c r="J427" s="108">
        <f>IF(G427="","",IFERROR(LET(ev_cost,INDEX(Events!$G$5:$G$505,MATCH(G427,Events!$A$5:$A$505,0)),ev_split,INDEX(Events!$I$5:$I$505,MATCH(G427,Events!$A$5:$A$505,0)),att_offset,MATCH(G427,Attendance!$B$3:$AY$3,0),attendees,COUNTIF(INDEX(Attendance!$B$7:$AY$206,0,att_offset),"1"),IF(ev_split="Equal Split",ev_cost/MAX(1,COUNTA(Roster!$A$5:$A$204)),ev_cost/MAX(1,attendees))),"N/A"))</f>
        <v/>
      </c>
    </row>
    <row r="428" ht="20" customHeight="1">
      <c r="A428" s="12" t="n"/>
      <c r="B428" s="10" t="n"/>
      <c r="C428" s="10" t="n"/>
      <c r="D428" s="10" t="n"/>
      <c r="E428" s="10" t="n"/>
      <c r="F428" s="13" t="n"/>
      <c r="G428" s="10" t="n"/>
      <c r="H428" s="10" t="n"/>
      <c r="I428" s="10" t="n"/>
      <c r="J428" s="108">
        <f>IF(G428="","",IFERROR(LET(ev_cost,INDEX(Events!$G$5:$G$505,MATCH(G428,Events!$A$5:$A$505,0)),ev_split,INDEX(Events!$I$5:$I$505,MATCH(G428,Events!$A$5:$A$505,0)),att_offset,MATCH(G428,Attendance!$B$3:$AY$3,0),attendees,COUNTIF(INDEX(Attendance!$B$7:$AY$206,0,att_offset),"1"),IF(ev_split="Equal Split",ev_cost/MAX(1,COUNTA(Roster!$A$5:$A$204)),ev_cost/MAX(1,attendees))),"N/A"))</f>
        <v/>
      </c>
    </row>
    <row r="429" ht="20" customHeight="1">
      <c r="A429" s="16" t="n"/>
      <c r="B429" s="14" t="n"/>
      <c r="C429" s="14" t="n"/>
      <c r="D429" s="14" t="n"/>
      <c r="E429" s="14" t="n"/>
      <c r="F429" s="17" t="n"/>
      <c r="G429" s="14" t="n"/>
      <c r="H429" s="14" t="n"/>
      <c r="I429" s="14" t="n"/>
      <c r="J429" s="108">
        <f>IF(G429="","",IFERROR(LET(ev_cost,INDEX(Events!$G$5:$G$505,MATCH(G429,Events!$A$5:$A$505,0)),ev_split,INDEX(Events!$I$5:$I$505,MATCH(G429,Events!$A$5:$A$505,0)),att_offset,MATCH(G429,Attendance!$B$3:$AY$3,0),attendees,COUNTIF(INDEX(Attendance!$B$7:$AY$206,0,att_offset),"1"),IF(ev_split="Equal Split",ev_cost/MAX(1,COUNTA(Roster!$A$5:$A$204)),ev_cost/MAX(1,attendees))),"N/A"))</f>
        <v/>
      </c>
    </row>
    <row r="430" ht="20" customHeight="1">
      <c r="A430" s="12" t="n"/>
      <c r="B430" s="10" t="n"/>
      <c r="C430" s="10" t="n"/>
      <c r="D430" s="10" t="n"/>
      <c r="E430" s="10" t="n"/>
      <c r="F430" s="13" t="n"/>
      <c r="G430" s="10" t="n"/>
      <c r="H430" s="10" t="n"/>
      <c r="I430" s="10" t="n"/>
      <c r="J430" s="108">
        <f>IF(G430="","",IFERROR(LET(ev_cost,INDEX(Events!$G$5:$G$505,MATCH(G430,Events!$A$5:$A$505,0)),ev_split,INDEX(Events!$I$5:$I$505,MATCH(G430,Events!$A$5:$A$505,0)),att_offset,MATCH(G430,Attendance!$B$3:$AY$3,0),attendees,COUNTIF(INDEX(Attendance!$B$7:$AY$206,0,att_offset),"1"),IF(ev_split="Equal Split",ev_cost/MAX(1,COUNTA(Roster!$A$5:$A$204)),ev_cost/MAX(1,attendees))),"N/A"))</f>
        <v/>
      </c>
    </row>
    <row r="431" ht="20" customHeight="1">
      <c r="A431" s="16" t="n"/>
      <c r="B431" s="14" t="n"/>
      <c r="C431" s="14" t="n"/>
      <c r="D431" s="14" t="n"/>
      <c r="E431" s="14" t="n"/>
      <c r="F431" s="17" t="n"/>
      <c r="G431" s="14" t="n"/>
      <c r="H431" s="14" t="n"/>
      <c r="I431" s="14" t="n"/>
      <c r="J431" s="108">
        <f>IF(G431="","",IFERROR(LET(ev_cost,INDEX(Events!$G$5:$G$505,MATCH(G431,Events!$A$5:$A$505,0)),ev_split,INDEX(Events!$I$5:$I$505,MATCH(G431,Events!$A$5:$A$505,0)),att_offset,MATCH(G431,Attendance!$B$3:$AY$3,0),attendees,COUNTIF(INDEX(Attendance!$B$7:$AY$206,0,att_offset),"1"),IF(ev_split="Equal Split",ev_cost/MAX(1,COUNTA(Roster!$A$5:$A$204)),ev_cost/MAX(1,attendees))),"N/A"))</f>
        <v/>
      </c>
    </row>
    <row r="432" ht="20" customHeight="1">
      <c r="A432" s="12" t="n"/>
      <c r="B432" s="10" t="n"/>
      <c r="C432" s="10" t="n"/>
      <c r="D432" s="10" t="n"/>
      <c r="E432" s="10" t="n"/>
      <c r="F432" s="13" t="n"/>
      <c r="G432" s="10" t="n"/>
      <c r="H432" s="10" t="n"/>
      <c r="I432" s="10" t="n"/>
      <c r="J432" s="108">
        <f>IF(G432="","",IFERROR(LET(ev_cost,INDEX(Events!$G$5:$G$505,MATCH(G432,Events!$A$5:$A$505,0)),ev_split,INDEX(Events!$I$5:$I$505,MATCH(G432,Events!$A$5:$A$505,0)),att_offset,MATCH(G432,Attendance!$B$3:$AY$3,0),attendees,COUNTIF(INDEX(Attendance!$B$7:$AY$206,0,att_offset),"1"),IF(ev_split="Equal Split",ev_cost/MAX(1,COUNTA(Roster!$A$5:$A$204)),ev_cost/MAX(1,attendees))),"N/A"))</f>
        <v/>
      </c>
    </row>
    <row r="433" ht="20" customHeight="1">
      <c r="A433" s="16" t="n"/>
      <c r="B433" s="14" t="n"/>
      <c r="C433" s="14" t="n"/>
      <c r="D433" s="14" t="n"/>
      <c r="E433" s="14" t="n"/>
      <c r="F433" s="17" t="n"/>
      <c r="G433" s="14" t="n"/>
      <c r="H433" s="14" t="n"/>
      <c r="I433" s="14" t="n"/>
      <c r="J433" s="108">
        <f>IF(G433="","",IFERROR(LET(ev_cost,INDEX(Events!$G$5:$G$505,MATCH(G433,Events!$A$5:$A$505,0)),ev_split,INDEX(Events!$I$5:$I$505,MATCH(G433,Events!$A$5:$A$505,0)),att_offset,MATCH(G433,Attendance!$B$3:$AY$3,0),attendees,COUNTIF(INDEX(Attendance!$B$7:$AY$206,0,att_offset),"1"),IF(ev_split="Equal Split",ev_cost/MAX(1,COUNTA(Roster!$A$5:$A$204)),ev_cost/MAX(1,attendees))),"N/A"))</f>
        <v/>
      </c>
    </row>
    <row r="434" ht="20" customHeight="1">
      <c r="A434" s="12" t="n"/>
      <c r="B434" s="10" t="n"/>
      <c r="C434" s="10" t="n"/>
      <c r="D434" s="10" t="n"/>
      <c r="E434" s="10" t="n"/>
      <c r="F434" s="13" t="n"/>
      <c r="G434" s="10" t="n"/>
      <c r="H434" s="10" t="n"/>
      <c r="I434" s="10" t="n"/>
      <c r="J434" s="108">
        <f>IF(G434="","",IFERROR(LET(ev_cost,INDEX(Events!$G$5:$G$505,MATCH(G434,Events!$A$5:$A$505,0)),ev_split,INDEX(Events!$I$5:$I$505,MATCH(G434,Events!$A$5:$A$505,0)),att_offset,MATCH(G434,Attendance!$B$3:$AY$3,0),attendees,COUNTIF(INDEX(Attendance!$B$7:$AY$206,0,att_offset),"1"),IF(ev_split="Equal Split",ev_cost/MAX(1,COUNTA(Roster!$A$5:$A$204)),ev_cost/MAX(1,attendees))),"N/A"))</f>
        <v/>
      </c>
    </row>
    <row r="435" ht="20" customHeight="1">
      <c r="A435" s="16" t="n"/>
      <c r="B435" s="14" t="n"/>
      <c r="C435" s="14" t="n"/>
      <c r="D435" s="14" t="n"/>
      <c r="E435" s="14" t="n"/>
      <c r="F435" s="17" t="n"/>
      <c r="G435" s="14" t="n"/>
      <c r="H435" s="14" t="n"/>
      <c r="I435" s="14" t="n"/>
      <c r="J435" s="108">
        <f>IF(G435="","",IFERROR(LET(ev_cost,INDEX(Events!$G$5:$G$505,MATCH(G435,Events!$A$5:$A$505,0)),ev_split,INDEX(Events!$I$5:$I$505,MATCH(G435,Events!$A$5:$A$505,0)),att_offset,MATCH(G435,Attendance!$B$3:$AY$3,0),attendees,COUNTIF(INDEX(Attendance!$B$7:$AY$206,0,att_offset),"1"),IF(ev_split="Equal Split",ev_cost/MAX(1,COUNTA(Roster!$A$5:$A$204)),ev_cost/MAX(1,attendees))),"N/A"))</f>
        <v/>
      </c>
    </row>
    <row r="436" ht="20" customHeight="1">
      <c r="A436" s="12" t="n"/>
      <c r="B436" s="10" t="n"/>
      <c r="C436" s="10" t="n"/>
      <c r="D436" s="10" t="n"/>
      <c r="E436" s="10" t="n"/>
      <c r="F436" s="13" t="n"/>
      <c r="G436" s="10" t="n"/>
      <c r="H436" s="10" t="n"/>
      <c r="I436" s="10" t="n"/>
      <c r="J436" s="108">
        <f>IF(G436="","",IFERROR(LET(ev_cost,INDEX(Events!$G$5:$G$505,MATCH(G436,Events!$A$5:$A$505,0)),ev_split,INDEX(Events!$I$5:$I$505,MATCH(G436,Events!$A$5:$A$505,0)),att_offset,MATCH(G436,Attendance!$B$3:$AY$3,0),attendees,COUNTIF(INDEX(Attendance!$B$7:$AY$206,0,att_offset),"1"),IF(ev_split="Equal Split",ev_cost/MAX(1,COUNTA(Roster!$A$5:$A$204)),ev_cost/MAX(1,attendees))),"N/A"))</f>
        <v/>
      </c>
    </row>
    <row r="437" ht="20" customHeight="1">
      <c r="A437" s="16" t="n"/>
      <c r="B437" s="14" t="n"/>
      <c r="C437" s="14" t="n"/>
      <c r="D437" s="14" t="n"/>
      <c r="E437" s="14" t="n"/>
      <c r="F437" s="17" t="n"/>
      <c r="G437" s="14" t="n"/>
      <c r="H437" s="14" t="n"/>
      <c r="I437" s="14" t="n"/>
      <c r="J437" s="108">
        <f>IF(G437="","",IFERROR(LET(ev_cost,INDEX(Events!$G$5:$G$505,MATCH(G437,Events!$A$5:$A$505,0)),ev_split,INDEX(Events!$I$5:$I$505,MATCH(G437,Events!$A$5:$A$505,0)),att_offset,MATCH(G437,Attendance!$B$3:$AY$3,0),attendees,COUNTIF(INDEX(Attendance!$B$7:$AY$206,0,att_offset),"1"),IF(ev_split="Equal Split",ev_cost/MAX(1,COUNTA(Roster!$A$5:$A$204)),ev_cost/MAX(1,attendees))),"N/A"))</f>
        <v/>
      </c>
    </row>
    <row r="438" ht="20" customHeight="1">
      <c r="A438" s="12" t="n"/>
      <c r="B438" s="10" t="n"/>
      <c r="C438" s="10" t="n"/>
      <c r="D438" s="10" t="n"/>
      <c r="E438" s="10" t="n"/>
      <c r="F438" s="13" t="n"/>
      <c r="G438" s="10" t="n"/>
      <c r="H438" s="10" t="n"/>
      <c r="I438" s="10" t="n"/>
      <c r="J438" s="108">
        <f>IF(G438="","",IFERROR(LET(ev_cost,INDEX(Events!$G$5:$G$505,MATCH(G438,Events!$A$5:$A$505,0)),ev_split,INDEX(Events!$I$5:$I$505,MATCH(G438,Events!$A$5:$A$505,0)),att_offset,MATCH(G438,Attendance!$B$3:$AY$3,0),attendees,COUNTIF(INDEX(Attendance!$B$7:$AY$206,0,att_offset),"1"),IF(ev_split="Equal Split",ev_cost/MAX(1,COUNTA(Roster!$A$5:$A$204)),ev_cost/MAX(1,attendees))),"N/A"))</f>
        <v/>
      </c>
    </row>
    <row r="439" ht="20" customHeight="1">
      <c r="A439" s="16" t="n"/>
      <c r="B439" s="14" t="n"/>
      <c r="C439" s="14" t="n"/>
      <c r="D439" s="14" t="n"/>
      <c r="E439" s="14" t="n"/>
      <c r="F439" s="17" t="n"/>
      <c r="G439" s="14" t="n"/>
      <c r="H439" s="14" t="n"/>
      <c r="I439" s="14" t="n"/>
      <c r="J439" s="108">
        <f>IF(G439="","",IFERROR(LET(ev_cost,INDEX(Events!$G$5:$G$505,MATCH(G439,Events!$A$5:$A$505,0)),ev_split,INDEX(Events!$I$5:$I$505,MATCH(G439,Events!$A$5:$A$505,0)),att_offset,MATCH(G439,Attendance!$B$3:$AY$3,0),attendees,COUNTIF(INDEX(Attendance!$B$7:$AY$206,0,att_offset),"1"),IF(ev_split="Equal Split",ev_cost/MAX(1,COUNTA(Roster!$A$5:$A$204)),ev_cost/MAX(1,attendees))),"N/A"))</f>
        <v/>
      </c>
    </row>
    <row r="440" ht="20" customHeight="1">
      <c r="A440" s="12" t="n"/>
      <c r="B440" s="10" t="n"/>
      <c r="C440" s="10" t="n"/>
      <c r="D440" s="10" t="n"/>
      <c r="E440" s="10" t="n"/>
      <c r="F440" s="13" t="n"/>
      <c r="G440" s="10" t="n"/>
      <c r="H440" s="10" t="n"/>
      <c r="I440" s="10" t="n"/>
      <c r="J440" s="108">
        <f>IF(G440="","",IFERROR(LET(ev_cost,INDEX(Events!$G$5:$G$505,MATCH(G440,Events!$A$5:$A$505,0)),ev_split,INDEX(Events!$I$5:$I$505,MATCH(G440,Events!$A$5:$A$505,0)),att_offset,MATCH(G440,Attendance!$B$3:$AY$3,0),attendees,COUNTIF(INDEX(Attendance!$B$7:$AY$206,0,att_offset),"1"),IF(ev_split="Equal Split",ev_cost/MAX(1,COUNTA(Roster!$A$5:$A$204)),ev_cost/MAX(1,attendees))),"N/A"))</f>
        <v/>
      </c>
    </row>
    <row r="441" ht="20" customHeight="1">
      <c r="A441" s="16" t="n"/>
      <c r="B441" s="14" t="n"/>
      <c r="C441" s="14" t="n"/>
      <c r="D441" s="14" t="n"/>
      <c r="E441" s="14" t="n"/>
      <c r="F441" s="17" t="n"/>
      <c r="G441" s="14" t="n"/>
      <c r="H441" s="14" t="n"/>
      <c r="I441" s="14" t="n"/>
      <c r="J441" s="108">
        <f>IF(G441="","",IFERROR(LET(ev_cost,INDEX(Events!$G$5:$G$505,MATCH(G441,Events!$A$5:$A$505,0)),ev_split,INDEX(Events!$I$5:$I$505,MATCH(G441,Events!$A$5:$A$505,0)),att_offset,MATCH(G441,Attendance!$B$3:$AY$3,0),attendees,COUNTIF(INDEX(Attendance!$B$7:$AY$206,0,att_offset),"1"),IF(ev_split="Equal Split",ev_cost/MAX(1,COUNTA(Roster!$A$5:$A$204)),ev_cost/MAX(1,attendees))),"N/A"))</f>
        <v/>
      </c>
    </row>
    <row r="442" ht="20" customHeight="1">
      <c r="A442" s="12" t="n"/>
      <c r="B442" s="10" t="n"/>
      <c r="C442" s="10" t="n"/>
      <c r="D442" s="10" t="n"/>
      <c r="E442" s="10" t="n"/>
      <c r="F442" s="13" t="n"/>
      <c r="G442" s="10" t="n"/>
      <c r="H442" s="10" t="n"/>
      <c r="I442" s="10" t="n"/>
      <c r="J442" s="108">
        <f>IF(G442="","",IFERROR(LET(ev_cost,INDEX(Events!$G$5:$G$505,MATCH(G442,Events!$A$5:$A$505,0)),ev_split,INDEX(Events!$I$5:$I$505,MATCH(G442,Events!$A$5:$A$505,0)),att_offset,MATCH(G442,Attendance!$B$3:$AY$3,0),attendees,COUNTIF(INDEX(Attendance!$B$7:$AY$206,0,att_offset),"1"),IF(ev_split="Equal Split",ev_cost/MAX(1,COUNTA(Roster!$A$5:$A$204)),ev_cost/MAX(1,attendees))),"N/A"))</f>
        <v/>
      </c>
    </row>
    <row r="443" ht="20" customHeight="1">
      <c r="A443" s="16" t="n"/>
      <c r="B443" s="14" t="n"/>
      <c r="C443" s="14" t="n"/>
      <c r="D443" s="14" t="n"/>
      <c r="E443" s="14" t="n"/>
      <c r="F443" s="17" t="n"/>
      <c r="G443" s="14" t="n"/>
      <c r="H443" s="14" t="n"/>
      <c r="I443" s="14" t="n"/>
      <c r="J443" s="108">
        <f>IF(G443="","",IFERROR(LET(ev_cost,INDEX(Events!$G$5:$G$505,MATCH(G443,Events!$A$5:$A$505,0)),ev_split,INDEX(Events!$I$5:$I$505,MATCH(G443,Events!$A$5:$A$505,0)),att_offset,MATCH(G443,Attendance!$B$3:$AY$3,0),attendees,COUNTIF(INDEX(Attendance!$B$7:$AY$206,0,att_offset),"1"),IF(ev_split="Equal Split",ev_cost/MAX(1,COUNTA(Roster!$A$5:$A$204)),ev_cost/MAX(1,attendees))),"N/A"))</f>
        <v/>
      </c>
    </row>
    <row r="444" ht="20" customHeight="1">
      <c r="A444" s="12" t="n"/>
      <c r="B444" s="10" t="n"/>
      <c r="C444" s="10" t="n"/>
      <c r="D444" s="10" t="n"/>
      <c r="E444" s="10" t="n"/>
      <c r="F444" s="13" t="n"/>
      <c r="G444" s="10" t="n"/>
      <c r="H444" s="10" t="n"/>
      <c r="I444" s="10" t="n"/>
      <c r="J444" s="108">
        <f>IF(G444="","",IFERROR(LET(ev_cost,INDEX(Events!$G$5:$G$505,MATCH(G444,Events!$A$5:$A$505,0)),ev_split,INDEX(Events!$I$5:$I$505,MATCH(G444,Events!$A$5:$A$505,0)),att_offset,MATCH(G444,Attendance!$B$3:$AY$3,0),attendees,COUNTIF(INDEX(Attendance!$B$7:$AY$206,0,att_offset),"1"),IF(ev_split="Equal Split",ev_cost/MAX(1,COUNTA(Roster!$A$5:$A$204)),ev_cost/MAX(1,attendees))),"N/A"))</f>
        <v/>
      </c>
    </row>
    <row r="445" ht="20" customHeight="1">
      <c r="A445" s="16" t="n"/>
      <c r="B445" s="14" t="n"/>
      <c r="C445" s="14" t="n"/>
      <c r="D445" s="14" t="n"/>
      <c r="E445" s="14" t="n"/>
      <c r="F445" s="17" t="n"/>
      <c r="G445" s="14" t="n"/>
      <c r="H445" s="14" t="n"/>
      <c r="I445" s="14" t="n"/>
      <c r="J445" s="108">
        <f>IF(G445="","",IFERROR(LET(ev_cost,INDEX(Events!$G$5:$G$505,MATCH(G445,Events!$A$5:$A$505,0)),ev_split,INDEX(Events!$I$5:$I$505,MATCH(G445,Events!$A$5:$A$505,0)),att_offset,MATCH(G445,Attendance!$B$3:$AY$3,0),attendees,COUNTIF(INDEX(Attendance!$B$7:$AY$206,0,att_offset),"1"),IF(ev_split="Equal Split",ev_cost/MAX(1,COUNTA(Roster!$A$5:$A$204)),ev_cost/MAX(1,attendees))),"N/A"))</f>
        <v/>
      </c>
    </row>
    <row r="446" ht="20" customHeight="1">
      <c r="A446" s="12" t="n"/>
      <c r="B446" s="10" t="n"/>
      <c r="C446" s="10" t="n"/>
      <c r="D446" s="10" t="n"/>
      <c r="E446" s="10" t="n"/>
      <c r="F446" s="13" t="n"/>
      <c r="G446" s="10" t="n"/>
      <c r="H446" s="10" t="n"/>
      <c r="I446" s="10" t="n"/>
      <c r="J446" s="108">
        <f>IF(G446="","",IFERROR(LET(ev_cost,INDEX(Events!$G$5:$G$505,MATCH(G446,Events!$A$5:$A$505,0)),ev_split,INDEX(Events!$I$5:$I$505,MATCH(G446,Events!$A$5:$A$505,0)),att_offset,MATCH(G446,Attendance!$B$3:$AY$3,0),attendees,COUNTIF(INDEX(Attendance!$B$7:$AY$206,0,att_offset),"1"),IF(ev_split="Equal Split",ev_cost/MAX(1,COUNTA(Roster!$A$5:$A$204)),ev_cost/MAX(1,attendees))),"N/A"))</f>
        <v/>
      </c>
    </row>
    <row r="447" ht="20" customHeight="1">
      <c r="A447" s="16" t="n"/>
      <c r="B447" s="14" t="n"/>
      <c r="C447" s="14" t="n"/>
      <c r="D447" s="14" t="n"/>
      <c r="E447" s="14" t="n"/>
      <c r="F447" s="17" t="n"/>
      <c r="G447" s="14" t="n"/>
      <c r="H447" s="14" t="n"/>
      <c r="I447" s="14" t="n"/>
      <c r="J447" s="108">
        <f>IF(G447="","",IFERROR(LET(ev_cost,INDEX(Events!$G$5:$G$505,MATCH(G447,Events!$A$5:$A$505,0)),ev_split,INDEX(Events!$I$5:$I$505,MATCH(G447,Events!$A$5:$A$505,0)),att_offset,MATCH(G447,Attendance!$B$3:$AY$3,0),attendees,COUNTIF(INDEX(Attendance!$B$7:$AY$206,0,att_offset),"1"),IF(ev_split="Equal Split",ev_cost/MAX(1,COUNTA(Roster!$A$5:$A$204)),ev_cost/MAX(1,attendees))),"N/A"))</f>
        <v/>
      </c>
    </row>
    <row r="448" ht="20" customHeight="1">
      <c r="A448" s="12" t="n"/>
      <c r="B448" s="10" t="n"/>
      <c r="C448" s="10" t="n"/>
      <c r="D448" s="10" t="n"/>
      <c r="E448" s="10" t="n"/>
      <c r="F448" s="13" t="n"/>
      <c r="G448" s="10" t="n"/>
      <c r="H448" s="10" t="n"/>
      <c r="I448" s="10" t="n"/>
      <c r="J448" s="108">
        <f>IF(G448="","",IFERROR(LET(ev_cost,INDEX(Events!$G$5:$G$505,MATCH(G448,Events!$A$5:$A$505,0)),ev_split,INDEX(Events!$I$5:$I$505,MATCH(G448,Events!$A$5:$A$505,0)),att_offset,MATCH(G448,Attendance!$B$3:$AY$3,0),attendees,COUNTIF(INDEX(Attendance!$B$7:$AY$206,0,att_offset),"1"),IF(ev_split="Equal Split",ev_cost/MAX(1,COUNTA(Roster!$A$5:$A$204)),ev_cost/MAX(1,attendees))),"N/A"))</f>
        <v/>
      </c>
    </row>
    <row r="449" ht="20" customHeight="1">
      <c r="A449" s="16" t="n"/>
      <c r="B449" s="14" t="n"/>
      <c r="C449" s="14" t="n"/>
      <c r="D449" s="14" t="n"/>
      <c r="E449" s="14" t="n"/>
      <c r="F449" s="17" t="n"/>
      <c r="G449" s="14" t="n"/>
      <c r="H449" s="14" t="n"/>
      <c r="I449" s="14" t="n"/>
      <c r="J449" s="108">
        <f>IF(G449="","",IFERROR(LET(ev_cost,INDEX(Events!$G$5:$G$505,MATCH(G449,Events!$A$5:$A$505,0)),ev_split,INDEX(Events!$I$5:$I$505,MATCH(G449,Events!$A$5:$A$505,0)),att_offset,MATCH(G449,Attendance!$B$3:$AY$3,0),attendees,COUNTIF(INDEX(Attendance!$B$7:$AY$206,0,att_offset),"1"),IF(ev_split="Equal Split",ev_cost/MAX(1,COUNTA(Roster!$A$5:$A$204)),ev_cost/MAX(1,attendees))),"N/A"))</f>
        <v/>
      </c>
    </row>
    <row r="450" ht="20" customHeight="1">
      <c r="A450" s="12" t="n"/>
      <c r="B450" s="10" t="n"/>
      <c r="C450" s="10" t="n"/>
      <c r="D450" s="10" t="n"/>
      <c r="E450" s="10" t="n"/>
      <c r="F450" s="13" t="n"/>
      <c r="G450" s="10" t="n"/>
      <c r="H450" s="10" t="n"/>
      <c r="I450" s="10" t="n"/>
      <c r="J450" s="108">
        <f>IF(G450="","",IFERROR(LET(ev_cost,INDEX(Events!$G$5:$G$505,MATCH(G450,Events!$A$5:$A$505,0)),ev_split,INDEX(Events!$I$5:$I$505,MATCH(G450,Events!$A$5:$A$505,0)),att_offset,MATCH(G450,Attendance!$B$3:$AY$3,0),attendees,COUNTIF(INDEX(Attendance!$B$7:$AY$206,0,att_offset),"1"),IF(ev_split="Equal Split",ev_cost/MAX(1,COUNTA(Roster!$A$5:$A$204)),ev_cost/MAX(1,attendees))),"N/A"))</f>
        <v/>
      </c>
    </row>
    <row r="451" ht="20" customHeight="1">
      <c r="A451" s="16" t="n"/>
      <c r="B451" s="14" t="n"/>
      <c r="C451" s="14" t="n"/>
      <c r="D451" s="14" t="n"/>
      <c r="E451" s="14" t="n"/>
      <c r="F451" s="17" t="n"/>
      <c r="G451" s="14" t="n"/>
      <c r="H451" s="14" t="n"/>
      <c r="I451" s="14" t="n"/>
      <c r="J451" s="108">
        <f>IF(G451="","",IFERROR(LET(ev_cost,INDEX(Events!$G$5:$G$505,MATCH(G451,Events!$A$5:$A$505,0)),ev_split,INDEX(Events!$I$5:$I$505,MATCH(G451,Events!$A$5:$A$505,0)),att_offset,MATCH(G451,Attendance!$B$3:$AY$3,0),attendees,COUNTIF(INDEX(Attendance!$B$7:$AY$206,0,att_offset),"1"),IF(ev_split="Equal Split",ev_cost/MAX(1,COUNTA(Roster!$A$5:$A$204)),ev_cost/MAX(1,attendees))),"N/A"))</f>
        <v/>
      </c>
    </row>
    <row r="452" ht="20" customHeight="1">
      <c r="A452" s="12" t="n"/>
      <c r="B452" s="10" t="n"/>
      <c r="C452" s="10" t="n"/>
      <c r="D452" s="10" t="n"/>
      <c r="E452" s="10" t="n"/>
      <c r="F452" s="13" t="n"/>
      <c r="G452" s="10" t="n"/>
      <c r="H452" s="10" t="n"/>
      <c r="I452" s="10" t="n"/>
      <c r="J452" s="108">
        <f>IF(G452="","",IFERROR(LET(ev_cost,INDEX(Events!$G$5:$G$505,MATCH(G452,Events!$A$5:$A$505,0)),ev_split,INDEX(Events!$I$5:$I$505,MATCH(G452,Events!$A$5:$A$505,0)),att_offset,MATCH(G452,Attendance!$B$3:$AY$3,0),attendees,COUNTIF(INDEX(Attendance!$B$7:$AY$206,0,att_offset),"1"),IF(ev_split="Equal Split",ev_cost/MAX(1,COUNTA(Roster!$A$5:$A$204)),ev_cost/MAX(1,attendees))),"N/A"))</f>
        <v/>
      </c>
    </row>
    <row r="453" ht="20" customHeight="1">
      <c r="A453" s="16" t="n"/>
      <c r="B453" s="14" t="n"/>
      <c r="C453" s="14" t="n"/>
      <c r="D453" s="14" t="n"/>
      <c r="E453" s="14" t="n"/>
      <c r="F453" s="17" t="n"/>
      <c r="G453" s="14" t="n"/>
      <c r="H453" s="14" t="n"/>
      <c r="I453" s="14" t="n"/>
      <c r="J453" s="108">
        <f>IF(G453="","",IFERROR(LET(ev_cost,INDEX(Events!$G$5:$G$505,MATCH(G453,Events!$A$5:$A$505,0)),ev_split,INDEX(Events!$I$5:$I$505,MATCH(G453,Events!$A$5:$A$505,0)),att_offset,MATCH(G453,Attendance!$B$3:$AY$3,0),attendees,COUNTIF(INDEX(Attendance!$B$7:$AY$206,0,att_offset),"1"),IF(ev_split="Equal Split",ev_cost/MAX(1,COUNTA(Roster!$A$5:$A$204)),ev_cost/MAX(1,attendees))),"N/A"))</f>
        <v/>
      </c>
    </row>
    <row r="454" ht="20" customHeight="1">
      <c r="A454" s="12" t="n"/>
      <c r="B454" s="10" t="n"/>
      <c r="C454" s="10" t="n"/>
      <c r="D454" s="10" t="n"/>
      <c r="E454" s="10" t="n"/>
      <c r="F454" s="13" t="n"/>
      <c r="G454" s="10" t="n"/>
      <c r="H454" s="10" t="n"/>
      <c r="I454" s="10" t="n"/>
      <c r="J454" s="108">
        <f>IF(G454="","",IFERROR(LET(ev_cost,INDEX(Events!$G$5:$G$505,MATCH(G454,Events!$A$5:$A$505,0)),ev_split,INDEX(Events!$I$5:$I$505,MATCH(G454,Events!$A$5:$A$505,0)),att_offset,MATCH(G454,Attendance!$B$3:$AY$3,0),attendees,COUNTIF(INDEX(Attendance!$B$7:$AY$206,0,att_offset),"1"),IF(ev_split="Equal Split",ev_cost/MAX(1,COUNTA(Roster!$A$5:$A$204)),ev_cost/MAX(1,attendees))),"N/A"))</f>
        <v/>
      </c>
    </row>
    <row r="455" ht="20" customHeight="1">
      <c r="A455" s="16" t="n"/>
      <c r="B455" s="14" t="n"/>
      <c r="C455" s="14" t="n"/>
      <c r="D455" s="14" t="n"/>
      <c r="E455" s="14" t="n"/>
      <c r="F455" s="17" t="n"/>
      <c r="G455" s="14" t="n"/>
      <c r="H455" s="14" t="n"/>
      <c r="I455" s="14" t="n"/>
      <c r="J455" s="108">
        <f>IF(G455="","",IFERROR(LET(ev_cost,INDEX(Events!$G$5:$G$505,MATCH(G455,Events!$A$5:$A$505,0)),ev_split,INDEX(Events!$I$5:$I$505,MATCH(G455,Events!$A$5:$A$505,0)),att_offset,MATCH(G455,Attendance!$B$3:$AY$3,0),attendees,COUNTIF(INDEX(Attendance!$B$7:$AY$206,0,att_offset),"1"),IF(ev_split="Equal Split",ev_cost/MAX(1,COUNTA(Roster!$A$5:$A$204)),ev_cost/MAX(1,attendees))),"N/A"))</f>
        <v/>
      </c>
    </row>
    <row r="456" ht="20" customHeight="1">
      <c r="A456" s="12" t="n"/>
      <c r="B456" s="10" t="n"/>
      <c r="C456" s="10" t="n"/>
      <c r="D456" s="10" t="n"/>
      <c r="E456" s="10" t="n"/>
      <c r="F456" s="13" t="n"/>
      <c r="G456" s="10" t="n"/>
      <c r="H456" s="10" t="n"/>
      <c r="I456" s="10" t="n"/>
      <c r="J456" s="108">
        <f>IF(G456="","",IFERROR(LET(ev_cost,INDEX(Events!$G$5:$G$505,MATCH(G456,Events!$A$5:$A$505,0)),ev_split,INDEX(Events!$I$5:$I$505,MATCH(G456,Events!$A$5:$A$505,0)),att_offset,MATCH(G456,Attendance!$B$3:$AY$3,0),attendees,COUNTIF(INDEX(Attendance!$B$7:$AY$206,0,att_offset),"1"),IF(ev_split="Equal Split",ev_cost/MAX(1,COUNTA(Roster!$A$5:$A$204)),ev_cost/MAX(1,attendees))),"N/A"))</f>
        <v/>
      </c>
    </row>
    <row r="457" ht="20" customHeight="1">
      <c r="A457" s="16" t="n"/>
      <c r="B457" s="14" t="n"/>
      <c r="C457" s="14" t="n"/>
      <c r="D457" s="14" t="n"/>
      <c r="E457" s="14" t="n"/>
      <c r="F457" s="17" t="n"/>
      <c r="G457" s="14" t="n"/>
      <c r="H457" s="14" t="n"/>
      <c r="I457" s="14" t="n"/>
      <c r="J457" s="108">
        <f>IF(G457="","",IFERROR(LET(ev_cost,INDEX(Events!$G$5:$G$505,MATCH(G457,Events!$A$5:$A$505,0)),ev_split,INDEX(Events!$I$5:$I$505,MATCH(G457,Events!$A$5:$A$505,0)),att_offset,MATCH(G457,Attendance!$B$3:$AY$3,0),attendees,COUNTIF(INDEX(Attendance!$B$7:$AY$206,0,att_offset),"1"),IF(ev_split="Equal Split",ev_cost/MAX(1,COUNTA(Roster!$A$5:$A$204)),ev_cost/MAX(1,attendees))),"N/A"))</f>
        <v/>
      </c>
    </row>
    <row r="458" ht="20" customHeight="1">
      <c r="A458" s="12" t="n"/>
      <c r="B458" s="10" t="n"/>
      <c r="C458" s="10" t="n"/>
      <c r="D458" s="10" t="n"/>
      <c r="E458" s="10" t="n"/>
      <c r="F458" s="13" t="n"/>
      <c r="G458" s="10" t="n"/>
      <c r="H458" s="10" t="n"/>
      <c r="I458" s="10" t="n"/>
      <c r="J458" s="108">
        <f>IF(G458="","",IFERROR(LET(ev_cost,INDEX(Events!$G$5:$G$505,MATCH(G458,Events!$A$5:$A$505,0)),ev_split,INDEX(Events!$I$5:$I$505,MATCH(G458,Events!$A$5:$A$505,0)),att_offset,MATCH(G458,Attendance!$B$3:$AY$3,0),attendees,COUNTIF(INDEX(Attendance!$B$7:$AY$206,0,att_offset),"1"),IF(ev_split="Equal Split",ev_cost/MAX(1,COUNTA(Roster!$A$5:$A$204)),ev_cost/MAX(1,attendees))),"N/A"))</f>
        <v/>
      </c>
    </row>
    <row r="459" ht="20" customHeight="1">
      <c r="A459" s="16" t="n"/>
      <c r="B459" s="14" t="n"/>
      <c r="C459" s="14" t="n"/>
      <c r="D459" s="14" t="n"/>
      <c r="E459" s="14" t="n"/>
      <c r="F459" s="17" t="n"/>
      <c r="G459" s="14" t="n"/>
      <c r="H459" s="14" t="n"/>
      <c r="I459" s="14" t="n"/>
      <c r="J459" s="108">
        <f>IF(G459="","",IFERROR(LET(ev_cost,INDEX(Events!$G$5:$G$505,MATCH(G459,Events!$A$5:$A$505,0)),ev_split,INDEX(Events!$I$5:$I$505,MATCH(G459,Events!$A$5:$A$505,0)),att_offset,MATCH(G459,Attendance!$B$3:$AY$3,0),attendees,COUNTIF(INDEX(Attendance!$B$7:$AY$206,0,att_offset),"1"),IF(ev_split="Equal Split",ev_cost/MAX(1,COUNTA(Roster!$A$5:$A$204)),ev_cost/MAX(1,attendees))),"N/A"))</f>
        <v/>
      </c>
    </row>
    <row r="460" ht="20" customHeight="1">
      <c r="A460" s="12" t="n"/>
      <c r="B460" s="10" t="n"/>
      <c r="C460" s="10" t="n"/>
      <c r="D460" s="10" t="n"/>
      <c r="E460" s="10" t="n"/>
      <c r="F460" s="13" t="n"/>
      <c r="G460" s="10" t="n"/>
      <c r="H460" s="10" t="n"/>
      <c r="I460" s="10" t="n"/>
      <c r="J460" s="108">
        <f>IF(G460="","",IFERROR(LET(ev_cost,INDEX(Events!$G$5:$G$505,MATCH(G460,Events!$A$5:$A$505,0)),ev_split,INDEX(Events!$I$5:$I$505,MATCH(G460,Events!$A$5:$A$505,0)),att_offset,MATCH(G460,Attendance!$B$3:$AY$3,0),attendees,COUNTIF(INDEX(Attendance!$B$7:$AY$206,0,att_offset),"1"),IF(ev_split="Equal Split",ev_cost/MAX(1,COUNTA(Roster!$A$5:$A$204)),ev_cost/MAX(1,attendees))),"N/A"))</f>
        <v/>
      </c>
    </row>
    <row r="461" ht="20" customHeight="1">
      <c r="A461" s="16" t="n"/>
      <c r="B461" s="14" t="n"/>
      <c r="C461" s="14" t="n"/>
      <c r="D461" s="14" t="n"/>
      <c r="E461" s="14" t="n"/>
      <c r="F461" s="17" t="n"/>
      <c r="G461" s="14" t="n"/>
      <c r="H461" s="14" t="n"/>
      <c r="I461" s="14" t="n"/>
      <c r="J461" s="108">
        <f>IF(G461="","",IFERROR(LET(ev_cost,INDEX(Events!$G$5:$G$505,MATCH(G461,Events!$A$5:$A$505,0)),ev_split,INDEX(Events!$I$5:$I$505,MATCH(G461,Events!$A$5:$A$505,0)),att_offset,MATCH(G461,Attendance!$B$3:$AY$3,0),attendees,COUNTIF(INDEX(Attendance!$B$7:$AY$206,0,att_offset),"1"),IF(ev_split="Equal Split",ev_cost/MAX(1,COUNTA(Roster!$A$5:$A$204)),ev_cost/MAX(1,attendees))),"N/A"))</f>
        <v/>
      </c>
    </row>
    <row r="462" ht="20" customHeight="1">
      <c r="A462" s="12" t="n"/>
      <c r="B462" s="10" t="n"/>
      <c r="C462" s="10" t="n"/>
      <c r="D462" s="10" t="n"/>
      <c r="E462" s="10" t="n"/>
      <c r="F462" s="13" t="n"/>
      <c r="G462" s="10" t="n"/>
      <c r="H462" s="10" t="n"/>
      <c r="I462" s="10" t="n"/>
      <c r="J462" s="108">
        <f>IF(G462="","",IFERROR(LET(ev_cost,INDEX(Events!$G$5:$G$505,MATCH(G462,Events!$A$5:$A$505,0)),ev_split,INDEX(Events!$I$5:$I$505,MATCH(G462,Events!$A$5:$A$505,0)),att_offset,MATCH(G462,Attendance!$B$3:$AY$3,0),attendees,COUNTIF(INDEX(Attendance!$B$7:$AY$206,0,att_offset),"1"),IF(ev_split="Equal Split",ev_cost/MAX(1,COUNTA(Roster!$A$5:$A$204)),ev_cost/MAX(1,attendees))),"N/A"))</f>
        <v/>
      </c>
    </row>
    <row r="463" ht="20" customHeight="1">
      <c r="A463" s="16" t="n"/>
      <c r="B463" s="14" t="n"/>
      <c r="C463" s="14" t="n"/>
      <c r="D463" s="14" t="n"/>
      <c r="E463" s="14" t="n"/>
      <c r="F463" s="17" t="n"/>
      <c r="G463" s="14" t="n"/>
      <c r="H463" s="14" t="n"/>
      <c r="I463" s="14" t="n"/>
      <c r="J463" s="108">
        <f>IF(G463="","",IFERROR(LET(ev_cost,INDEX(Events!$G$5:$G$505,MATCH(G463,Events!$A$5:$A$505,0)),ev_split,INDEX(Events!$I$5:$I$505,MATCH(G463,Events!$A$5:$A$505,0)),att_offset,MATCH(G463,Attendance!$B$3:$AY$3,0),attendees,COUNTIF(INDEX(Attendance!$B$7:$AY$206,0,att_offset),"1"),IF(ev_split="Equal Split",ev_cost/MAX(1,COUNTA(Roster!$A$5:$A$204)),ev_cost/MAX(1,attendees))),"N/A"))</f>
        <v/>
      </c>
    </row>
    <row r="464" ht="20" customHeight="1">
      <c r="A464" s="12" t="n"/>
      <c r="B464" s="10" t="n"/>
      <c r="C464" s="10" t="n"/>
      <c r="D464" s="10" t="n"/>
      <c r="E464" s="10" t="n"/>
      <c r="F464" s="13" t="n"/>
      <c r="G464" s="10" t="n"/>
      <c r="H464" s="10" t="n"/>
      <c r="I464" s="10" t="n"/>
      <c r="J464" s="108">
        <f>IF(G464="","",IFERROR(LET(ev_cost,INDEX(Events!$G$5:$G$505,MATCH(G464,Events!$A$5:$A$505,0)),ev_split,INDEX(Events!$I$5:$I$505,MATCH(G464,Events!$A$5:$A$505,0)),att_offset,MATCH(G464,Attendance!$B$3:$AY$3,0),attendees,COUNTIF(INDEX(Attendance!$B$7:$AY$206,0,att_offset),"1"),IF(ev_split="Equal Split",ev_cost/MAX(1,COUNTA(Roster!$A$5:$A$204)),ev_cost/MAX(1,attendees))),"N/A"))</f>
        <v/>
      </c>
    </row>
    <row r="465" ht="20" customHeight="1">
      <c r="A465" s="16" t="n"/>
      <c r="B465" s="14" t="n"/>
      <c r="C465" s="14" t="n"/>
      <c r="D465" s="14" t="n"/>
      <c r="E465" s="14" t="n"/>
      <c r="F465" s="17" t="n"/>
      <c r="G465" s="14" t="n"/>
      <c r="H465" s="14" t="n"/>
      <c r="I465" s="14" t="n"/>
      <c r="J465" s="108">
        <f>IF(G465="","",IFERROR(LET(ev_cost,INDEX(Events!$G$5:$G$505,MATCH(G465,Events!$A$5:$A$505,0)),ev_split,INDEX(Events!$I$5:$I$505,MATCH(G465,Events!$A$5:$A$505,0)),att_offset,MATCH(G465,Attendance!$B$3:$AY$3,0),attendees,COUNTIF(INDEX(Attendance!$B$7:$AY$206,0,att_offset),"1"),IF(ev_split="Equal Split",ev_cost/MAX(1,COUNTA(Roster!$A$5:$A$204)),ev_cost/MAX(1,attendees))),"N/A"))</f>
        <v/>
      </c>
    </row>
    <row r="466" ht="20" customHeight="1">
      <c r="A466" s="12" t="n"/>
      <c r="B466" s="10" t="n"/>
      <c r="C466" s="10" t="n"/>
      <c r="D466" s="10" t="n"/>
      <c r="E466" s="10" t="n"/>
      <c r="F466" s="13" t="n"/>
      <c r="G466" s="10" t="n"/>
      <c r="H466" s="10" t="n"/>
      <c r="I466" s="10" t="n"/>
      <c r="J466" s="108">
        <f>IF(G466="","",IFERROR(LET(ev_cost,INDEX(Events!$G$5:$G$505,MATCH(G466,Events!$A$5:$A$505,0)),ev_split,INDEX(Events!$I$5:$I$505,MATCH(G466,Events!$A$5:$A$505,0)),att_offset,MATCH(G466,Attendance!$B$3:$AY$3,0),attendees,COUNTIF(INDEX(Attendance!$B$7:$AY$206,0,att_offset),"1"),IF(ev_split="Equal Split",ev_cost/MAX(1,COUNTA(Roster!$A$5:$A$204)),ev_cost/MAX(1,attendees))),"N/A"))</f>
        <v/>
      </c>
    </row>
    <row r="467" ht="20" customHeight="1">
      <c r="A467" s="16" t="n"/>
      <c r="B467" s="14" t="n"/>
      <c r="C467" s="14" t="n"/>
      <c r="D467" s="14" t="n"/>
      <c r="E467" s="14" t="n"/>
      <c r="F467" s="17" t="n"/>
      <c r="G467" s="14" t="n"/>
      <c r="H467" s="14" t="n"/>
      <c r="I467" s="14" t="n"/>
      <c r="J467" s="108">
        <f>IF(G467="","",IFERROR(LET(ev_cost,INDEX(Events!$G$5:$G$505,MATCH(G467,Events!$A$5:$A$505,0)),ev_split,INDEX(Events!$I$5:$I$505,MATCH(G467,Events!$A$5:$A$505,0)),att_offset,MATCH(G467,Attendance!$B$3:$AY$3,0),attendees,COUNTIF(INDEX(Attendance!$B$7:$AY$206,0,att_offset),"1"),IF(ev_split="Equal Split",ev_cost/MAX(1,COUNTA(Roster!$A$5:$A$204)),ev_cost/MAX(1,attendees))),"N/A"))</f>
        <v/>
      </c>
    </row>
    <row r="468" ht="20" customHeight="1">
      <c r="A468" s="12" t="n"/>
      <c r="B468" s="10" t="n"/>
      <c r="C468" s="10" t="n"/>
      <c r="D468" s="10" t="n"/>
      <c r="E468" s="10" t="n"/>
      <c r="F468" s="13" t="n"/>
      <c r="G468" s="10" t="n"/>
      <c r="H468" s="10" t="n"/>
      <c r="I468" s="10" t="n"/>
      <c r="J468" s="108">
        <f>IF(G468="","",IFERROR(LET(ev_cost,INDEX(Events!$G$5:$G$505,MATCH(G468,Events!$A$5:$A$505,0)),ev_split,INDEX(Events!$I$5:$I$505,MATCH(G468,Events!$A$5:$A$505,0)),att_offset,MATCH(G468,Attendance!$B$3:$AY$3,0),attendees,COUNTIF(INDEX(Attendance!$B$7:$AY$206,0,att_offset),"1"),IF(ev_split="Equal Split",ev_cost/MAX(1,COUNTA(Roster!$A$5:$A$204)),ev_cost/MAX(1,attendees))),"N/A"))</f>
        <v/>
      </c>
    </row>
    <row r="469" ht="20" customHeight="1">
      <c r="A469" s="16" t="n"/>
      <c r="B469" s="14" t="n"/>
      <c r="C469" s="14" t="n"/>
      <c r="D469" s="14" t="n"/>
      <c r="E469" s="14" t="n"/>
      <c r="F469" s="17" t="n"/>
      <c r="G469" s="14" t="n"/>
      <c r="H469" s="14" t="n"/>
      <c r="I469" s="14" t="n"/>
      <c r="J469" s="108">
        <f>IF(G469="","",IFERROR(LET(ev_cost,INDEX(Events!$G$5:$G$505,MATCH(G469,Events!$A$5:$A$505,0)),ev_split,INDEX(Events!$I$5:$I$505,MATCH(G469,Events!$A$5:$A$505,0)),att_offset,MATCH(G469,Attendance!$B$3:$AY$3,0),attendees,COUNTIF(INDEX(Attendance!$B$7:$AY$206,0,att_offset),"1"),IF(ev_split="Equal Split",ev_cost/MAX(1,COUNTA(Roster!$A$5:$A$204)),ev_cost/MAX(1,attendees))),"N/A"))</f>
        <v/>
      </c>
    </row>
    <row r="470" ht="20" customHeight="1">
      <c r="A470" s="12" t="n"/>
      <c r="B470" s="10" t="n"/>
      <c r="C470" s="10" t="n"/>
      <c r="D470" s="10" t="n"/>
      <c r="E470" s="10" t="n"/>
      <c r="F470" s="13" t="n"/>
      <c r="G470" s="10" t="n"/>
      <c r="H470" s="10" t="n"/>
      <c r="I470" s="10" t="n"/>
      <c r="J470" s="108">
        <f>IF(G470="","",IFERROR(LET(ev_cost,INDEX(Events!$G$5:$G$505,MATCH(G470,Events!$A$5:$A$505,0)),ev_split,INDEX(Events!$I$5:$I$505,MATCH(G470,Events!$A$5:$A$505,0)),att_offset,MATCH(G470,Attendance!$B$3:$AY$3,0),attendees,COUNTIF(INDEX(Attendance!$B$7:$AY$206,0,att_offset),"1"),IF(ev_split="Equal Split",ev_cost/MAX(1,COUNTA(Roster!$A$5:$A$204)),ev_cost/MAX(1,attendees))),"N/A"))</f>
        <v/>
      </c>
    </row>
    <row r="471" ht="20" customHeight="1">
      <c r="A471" s="16" t="n"/>
      <c r="B471" s="14" t="n"/>
      <c r="C471" s="14" t="n"/>
      <c r="D471" s="14" t="n"/>
      <c r="E471" s="14" t="n"/>
      <c r="F471" s="17" t="n"/>
      <c r="G471" s="14" t="n"/>
      <c r="H471" s="14" t="n"/>
      <c r="I471" s="14" t="n"/>
      <c r="J471" s="108">
        <f>IF(G471="","",IFERROR(LET(ev_cost,INDEX(Events!$G$5:$G$505,MATCH(G471,Events!$A$5:$A$505,0)),ev_split,INDEX(Events!$I$5:$I$505,MATCH(G471,Events!$A$5:$A$505,0)),att_offset,MATCH(G471,Attendance!$B$3:$AY$3,0),attendees,COUNTIF(INDEX(Attendance!$B$7:$AY$206,0,att_offset),"1"),IF(ev_split="Equal Split",ev_cost/MAX(1,COUNTA(Roster!$A$5:$A$204)),ev_cost/MAX(1,attendees))),"N/A"))</f>
        <v/>
      </c>
    </row>
    <row r="472" ht="20" customHeight="1">
      <c r="A472" s="12" t="n"/>
      <c r="B472" s="10" t="n"/>
      <c r="C472" s="10" t="n"/>
      <c r="D472" s="10" t="n"/>
      <c r="E472" s="10" t="n"/>
      <c r="F472" s="13" t="n"/>
      <c r="G472" s="10" t="n"/>
      <c r="H472" s="10" t="n"/>
      <c r="I472" s="10" t="n"/>
      <c r="J472" s="108">
        <f>IF(G472="","",IFERROR(LET(ev_cost,INDEX(Events!$G$5:$G$505,MATCH(G472,Events!$A$5:$A$505,0)),ev_split,INDEX(Events!$I$5:$I$505,MATCH(G472,Events!$A$5:$A$505,0)),att_offset,MATCH(G472,Attendance!$B$3:$AY$3,0),attendees,COUNTIF(INDEX(Attendance!$B$7:$AY$206,0,att_offset),"1"),IF(ev_split="Equal Split",ev_cost/MAX(1,COUNTA(Roster!$A$5:$A$204)),ev_cost/MAX(1,attendees))),"N/A"))</f>
        <v/>
      </c>
    </row>
    <row r="473" ht="20" customHeight="1">
      <c r="A473" s="16" t="n"/>
      <c r="B473" s="14" t="n"/>
      <c r="C473" s="14" t="n"/>
      <c r="D473" s="14" t="n"/>
      <c r="E473" s="14" t="n"/>
      <c r="F473" s="17" t="n"/>
      <c r="G473" s="14" t="n"/>
      <c r="H473" s="14" t="n"/>
      <c r="I473" s="14" t="n"/>
      <c r="J473" s="108">
        <f>IF(G473="","",IFERROR(LET(ev_cost,INDEX(Events!$G$5:$G$505,MATCH(G473,Events!$A$5:$A$505,0)),ev_split,INDEX(Events!$I$5:$I$505,MATCH(G473,Events!$A$5:$A$505,0)),att_offset,MATCH(G473,Attendance!$B$3:$AY$3,0),attendees,COUNTIF(INDEX(Attendance!$B$7:$AY$206,0,att_offset),"1"),IF(ev_split="Equal Split",ev_cost/MAX(1,COUNTA(Roster!$A$5:$A$204)),ev_cost/MAX(1,attendees))),"N/A"))</f>
        <v/>
      </c>
    </row>
    <row r="474" ht="20" customHeight="1">
      <c r="A474" s="12" t="n"/>
      <c r="B474" s="10" t="n"/>
      <c r="C474" s="10" t="n"/>
      <c r="D474" s="10" t="n"/>
      <c r="E474" s="10" t="n"/>
      <c r="F474" s="13" t="n"/>
      <c r="G474" s="10" t="n"/>
      <c r="H474" s="10" t="n"/>
      <c r="I474" s="10" t="n"/>
      <c r="J474" s="108">
        <f>IF(G474="","",IFERROR(LET(ev_cost,INDEX(Events!$G$5:$G$505,MATCH(G474,Events!$A$5:$A$505,0)),ev_split,INDEX(Events!$I$5:$I$505,MATCH(G474,Events!$A$5:$A$505,0)),att_offset,MATCH(G474,Attendance!$B$3:$AY$3,0),attendees,COUNTIF(INDEX(Attendance!$B$7:$AY$206,0,att_offset),"1"),IF(ev_split="Equal Split",ev_cost/MAX(1,COUNTA(Roster!$A$5:$A$204)),ev_cost/MAX(1,attendees))),"N/A"))</f>
        <v/>
      </c>
    </row>
    <row r="475" ht="20" customHeight="1">
      <c r="A475" s="16" t="n"/>
      <c r="B475" s="14" t="n"/>
      <c r="C475" s="14" t="n"/>
      <c r="D475" s="14" t="n"/>
      <c r="E475" s="14" t="n"/>
      <c r="F475" s="17" t="n"/>
      <c r="G475" s="14" t="n"/>
      <c r="H475" s="14" t="n"/>
      <c r="I475" s="14" t="n"/>
      <c r="J475" s="108">
        <f>IF(G475="","",IFERROR(LET(ev_cost,INDEX(Events!$G$5:$G$505,MATCH(G475,Events!$A$5:$A$505,0)),ev_split,INDEX(Events!$I$5:$I$505,MATCH(G475,Events!$A$5:$A$505,0)),att_offset,MATCH(G475,Attendance!$B$3:$AY$3,0),attendees,COUNTIF(INDEX(Attendance!$B$7:$AY$206,0,att_offset),"1"),IF(ev_split="Equal Split",ev_cost/MAX(1,COUNTA(Roster!$A$5:$A$204)),ev_cost/MAX(1,attendees))),"N/A"))</f>
        <v/>
      </c>
    </row>
    <row r="476" ht="20" customHeight="1">
      <c r="A476" s="12" t="n"/>
      <c r="B476" s="10" t="n"/>
      <c r="C476" s="10" t="n"/>
      <c r="D476" s="10" t="n"/>
      <c r="E476" s="10" t="n"/>
      <c r="F476" s="13" t="n"/>
      <c r="G476" s="10" t="n"/>
      <c r="H476" s="10" t="n"/>
      <c r="I476" s="10" t="n"/>
      <c r="J476" s="108">
        <f>IF(G476="","",IFERROR(LET(ev_cost,INDEX(Events!$G$5:$G$505,MATCH(G476,Events!$A$5:$A$505,0)),ev_split,INDEX(Events!$I$5:$I$505,MATCH(G476,Events!$A$5:$A$505,0)),att_offset,MATCH(G476,Attendance!$B$3:$AY$3,0),attendees,COUNTIF(INDEX(Attendance!$B$7:$AY$206,0,att_offset),"1"),IF(ev_split="Equal Split",ev_cost/MAX(1,COUNTA(Roster!$A$5:$A$204)),ev_cost/MAX(1,attendees))),"N/A"))</f>
        <v/>
      </c>
    </row>
    <row r="477" ht="20" customHeight="1">
      <c r="A477" s="16" t="n"/>
      <c r="B477" s="14" t="n"/>
      <c r="C477" s="14" t="n"/>
      <c r="D477" s="14" t="n"/>
      <c r="E477" s="14" t="n"/>
      <c r="F477" s="17" t="n"/>
      <c r="G477" s="14" t="n"/>
      <c r="H477" s="14" t="n"/>
      <c r="I477" s="14" t="n"/>
      <c r="J477" s="108">
        <f>IF(G477="","",IFERROR(LET(ev_cost,INDEX(Events!$G$5:$G$505,MATCH(G477,Events!$A$5:$A$505,0)),ev_split,INDEX(Events!$I$5:$I$505,MATCH(G477,Events!$A$5:$A$505,0)),att_offset,MATCH(G477,Attendance!$B$3:$AY$3,0),attendees,COUNTIF(INDEX(Attendance!$B$7:$AY$206,0,att_offset),"1"),IF(ev_split="Equal Split",ev_cost/MAX(1,COUNTA(Roster!$A$5:$A$204)),ev_cost/MAX(1,attendees))),"N/A"))</f>
        <v/>
      </c>
    </row>
    <row r="478" ht="20" customHeight="1">
      <c r="A478" s="12" t="n"/>
      <c r="B478" s="10" t="n"/>
      <c r="C478" s="10" t="n"/>
      <c r="D478" s="10" t="n"/>
      <c r="E478" s="10" t="n"/>
      <c r="F478" s="13" t="n"/>
      <c r="G478" s="10" t="n"/>
      <c r="H478" s="10" t="n"/>
      <c r="I478" s="10" t="n"/>
      <c r="J478" s="108">
        <f>IF(G478="","",IFERROR(LET(ev_cost,INDEX(Events!$G$5:$G$505,MATCH(G478,Events!$A$5:$A$505,0)),ev_split,INDEX(Events!$I$5:$I$505,MATCH(G478,Events!$A$5:$A$505,0)),att_offset,MATCH(G478,Attendance!$B$3:$AY$3,0),attendees,COUNTIF(INDEX(Attendance!$B$7:$AY$206,0,att_offset),"1"),IF(ev_split="Equal Split",ev_cost/MAX(1,COUNTA(Roster!$A$5:$A$204)),ev_cost/MAX(1,attendees))),"N/A"))</f>
        <v/>
      </c>
    </row>
    <row r="479" ht="20" customHeight="1">
      <c r="A479" s="16" t="n"/>
      <c r="B479" s="14" t="n"/>
      <c r="C479" s="14" t="n"/>
      <c r="D479" s="14" t="n"/>
      <c r="E479" s="14" t="n"/>
      <c r="F479" s="17" t="n"/>
      <c r="G479" s="14" t="n"/>
      <c r="H479" s="14" t="n"/>
      <c r="I479" s="14" t="n"/>
      <c r="J479" s="108">
        <f>IF(G479="","",IFERROR(LET(ev_cost,INDEX(Events!$G$5:$G$505,MATCH(G479,Events!$A$5:$A$505,0)),ev_split,INDEX(Events!$I$5:$I$505,MATCH(G479,Events!$A$5:$A$505,0)),att_offset,MATCH(G479,Attendance!$B$3:$AY$3,0),attendees,COUNTIF(INDEX(Attendance!$B$7:$AY$206,0,att_offset),"1"),IF(ev_split="Equal Split",ev_cost/MAX(1,COUNTA(Roster!$A$5:$A$204)),ev_cost/MAX(1,attendees))),"N/A"))</f>
        <v/>
      </c>
    </row>
    <row r="480" ht="20" customHeight="1">
      <c r="A480" s="12" t="n"/>
      <c r="B480" s="10" t="n"/>
      <c r="C480" s="10" t="n"/>
      <c r="D480" s="10" t="n"/>
      <c r="E480" s="10" t="n"/>
      <c r="F480" s="13" t="n"/>
      <c r="G480" s="10" t="n"/>
      <c r="H480" s="10" t="n"/>
      <c r="I480" s="10" t="n"/>
      <c r="J480" s="108">
        <f>IF(G480="","",IFERROR(LET(ev_cost,INDEX(Events!$G$5:$G$505,MATCH(G480,Events!$A$5:$A$505,0)),ev_split,INDEX(Events!$I$5:$I$505,MATCH(G480,Events!$A$5:$A$505,0)),att_offset,MATCH(G480,Attendance!$B$3:$AY$3,0),attendees,COUNTIF(INDEX(Attendance!$B$7:$AY$206,0,att_offset),"1"),IF(ev_split="Equal Split",ev_cost/MAX(1,COUNTA(Roster!$A$5:$A$204)),ev_cost/MAX(1,attendees))),"N/A"))</f>
        <v/>
      </c>
    </row>
    <row r="481" ht="20" customHeight="1">
      <c r="A481" s="16" t="n"/>
      <c r="B481" s="14" t="n"/>
      <c r="C481" s="14" t="n"/>
      <c r="D481" s="14" t="n"/>
      <c r="E481" s="14" t="n"/>
      <c r="F481" s="17" t="n"/>
      <c r="G481" s="14" t="n"/>
      <c r="H481" s="14" t="n"/>
      <c r="I481" s="14" t="n"/>
      <c r="J481" s="108">
        <f>IF(G481="","",IFERROR(LET(ev_cost,INDEX(Events!$G$5:$G$505,MATCH(G481,Events!$A$5:$A$505,0)),ev_split,INDEX(Events!$I$5:$I$505,MATCH(G481,Events!$A$5:$A$505,0)),att_offset,MATCH(G481,Attendance!$B$3:$AY$3,0),attendees,COUNTIF(INDEX(Attendance!$B$7:$AY$206,0,att_offset),"1"),IF(ev_split="Equal Split",ev_cost/MAX(1,COUNTA(Roster!$A$5:$A$204)),ev_cost/MAX(1,attendees))),"N/A"))</f>
        <v/>
      </c>
    </row>
    <row r="482" ht="20" customHeight="1">
      <c r="A482" s="12" t="n"/>
      <c r="B482" s="10" t="n"/>
      <c r="C482" s="10" t="n"/>
      <c r="D482" s="10" t="n"/>
      <c r="E482" s="10" t="n"/>
      <c r="F482" s="13" t="n"/>
      <c r="G482" s="10" t="n"/>
      <c r="H482" s="10" t="n"/>
      <c r="I482" s="10" t="n"/>
      <c r="J482" s="108">
        <f>IF(G482="","",IFERROR(LET(ev_cost,INDEX(Events!$G$5:$G$505,MATCH(G482,Events!$A$5:$A$505,0)),ev_split,INDEX(Events!$I$5:$I$505,MATCH(G482,Events!$A$5:$A$505,0)),att_offset,MATCH(G482,Attendance!$B$3:$AY$3,0),attendees,COUNTIF(INDEX(Attendance!$B$7:$AY$206,0,att_offset),"1"),IF(ev_split="Equal Split",ev_cost/MAX(1,COUNTA(Roster!$A$5:$A$204)),ev_cost/MAX(1,attendees))),"N/A"))</f>
        <v/>
      </c>
    </row>
    <row r="483" ht="20" customHeight="1">
      <c r="A483" s="16" t="n"/>
      <c r="B483" s="14" t="n"/>
      <c r="C483" s="14" t="n"/>
      <c r="D483" s="14" t="n"/>
      <c r="E483" s="14" t="n"/>
      <c r="F483" s="17" t="n"/>
      <c r="G483" s="14" t="n"/>
      <c r="H483" s="14" t="n"/>
      <c r="I483" s="14" t="n"/>
      <c r="J483" s="108">
        <f>IF(G483="","",IFERROR(LET(ev_cost,INDEX(Events!$G$5:$G$505,MATCH(G483,Events!$A$5:$A$505,0)),ev_split,INDEX(Events!$I$5:$I$505,MATCH(G483,Events!$A$5:$A$505,0)),att_offset,MATCH(G483,Attendance!$B$3:$AY$3,0),attendees,COUNTIF(INDEX(Attendance!$B$7:$AY$206,0,att_offset),"1"),IF(ev_split="Equal Split",ev_cost/MAX(1,COUNTA(Roster!$A$5:$A$204)),ev_cost/MAX(1,attendees))),"N/A"))</f>
        <v/>
      </c>
    </row>
    <row r="484" ht="20" customHeight="1">
      <c r="A484" s="12" t="n"/>
      <c r="B484" s="10" t="n"/>
      <c r="C484" s="10" t="n"/>
      <c r="D484" s="10" t="n"/>
      <c r="E484" s="10" t="n"/>
      <c r="F484" s="13" t="n"/>
      <c r="G484" s="10" t="n"/>
      <c r="H484" s="10" t="n"/>
      <c r="I484" s="10" t="n"/>
      <c r="J484" s="108">
        <f>IF(G484="","",IFERROR(LET(ev_cost,INDEX(Events!$G$5:$G$505,MATCH(G484,Events!$A$5:$A$505,0)),ev_split,INDEX(Events!$I$5:$I$505,MATCH(G484,Events!$A$5:$A$505,0)),att_offset,MATCH(G484,Attendance!$B$3:$AY$3,0),attendees,COUNTIF(INDEX(Attendance!$B$7:$AY$206,0,att_offset),"1"),IF(ev_split="Equal Split",ev_cost/MAX(1,COUNTA(Roster!$A$5:$A$204)),ev_cost/MAX(1,attendees))),"N/A"))</f>
        <v/>
      </c>
    </row>
    <row r="485" ht="20" customHeight="1">
      <c r="A485" s="16" t="n"/>
      <c r="B485" s="14" t="n"/>
      <c r="C485" s="14" t="n"/>
      <c r="D485" s="14" t="n"/>
      <c r="E485" s="14" t="n"/>
      <c r="F485" s="17" t="n"/>
      <c r="G485" s="14" t="n"/>
      <c r="H485" s="14" t="n"/>
      <c r="I485" s="14" t="n"/>
      <c r="J485" s="108">
        <f>IF(G485="","",IFERROR(LET(ev_cost,INDEX(Events!$G$5:$G$505,MATCH(G485,Events!$A$5:$A$505,0)),ev_split,INDEX(Events!$I$5:$I$505,MATCH(G485,Events!$A$5:$A$505,0)),att_offset,MATCH(G485,Attendance!$B$3:$AY$3,0),attendees,COUNTIF(INDEX(Attendance!$B$7:$AY$206,0,att_offset),"1"),IF(ev_split="Equal Split",ev_cost/MAX(1,COUNTA(Roster!$A$5:$A$204)),ev_cost/MAX(1,attendees))),"N/A"))</f>
        <v/>
      </c>
    </row>
    <row r="486" ht="20" customHeight="1">
      <c r="A486" s="12" t="n"/>
      <c r="B486" s="10" t="n"/>
      <c r="C486" s="10" t="n"/>
      <c r="D486" s="10" t="n"/>
      <c r="E486" s="10" t="n"/>
      <c r="F486" s="13" t="n"/>
      <c r="G486" s="10" t="n"/>
      <c r="H486" s="10" t="n"/>
      <c r="I486" s="10" t="n"/>
      <c r="J486" s="108">
        <f>IF(G486="","",IFERROR(LET(ev_cost,INDEX(Events!$G$5:$G$505,MATCH(G486,Events!$A$5:$A$505,0)),ev_split,INDEX(Events!$I$5:$I$505,MATCH(G486,Events!$A$5:$A$505,0)),att_offset,MATCH(G486,Attendance!$B$3:$AY$3,0),attendees,COUNTIF(INDEX(Attendance!$B$7:$AY$206,0,att_offset),"1"),IF(ev_split="Equal Split",ev_cost/MAX(1,COUNTA(Roster!$A$5:$A$204)),ev_cost/MAX(1,attendees))),"N/A"))</f>
        <v/>
      </c>
    </row>
    <row r="487" ht="20" customHeight="1">
      <c r="A487" s="16" t="n"/>
      <c r="B487" s="14" t="n"/>
      <c r="C487" s="14" t="n"/>
      <c r="D487" s="14" t="n"/>
      <c r="E487" s="14" t="n"/>
      <c r="F487" s="17" t="n"/>
      <c r="G487" s="14" t="n"/>
      <c r="H487" s="14" t="n"/>
      <c r="I487" s="14" t="n"/>
      <c r="J487" s="108">
        <f>IF(G487="","",IFERROR(LET(ev_cost,INDEX(Events!$G$5:$G$505,MATCH(G487,Events!$A$5:$A$505,0)),ev_split,INDEX(Events!$I$5:$I$505,MATCH(G487,Events!$A$5:$A$505,0)),att_offset,MATCH(G487,Attendance!$B$3:$AY$3,0),attendees,COUNTIF(INDEX(Attendance!$B$7:$AY$206,0,att_offset),"1"),IF(ev_split="Equal Split",ev_cost/MAX(1,COUNTA(Roster!$A$5:$A$204)),ev_cost/MAX(1,attendees))),"N/A"))</f>
        <v/>
      </c>
    </row>
    <row r="488" ht="20" customHeight="1">
      <c r="A488" s="12" t="n"/>
      <c r="B488" s="10" t="n"/>
      <c r="C488" s="10" t="n"/>
      <c r="D488" s="10" t="n"/>
      <c r="E488" s="10" t="n"/>
      <c r="F488" s="13" t="n"/>
      <c r="G488" s="10" t="n"/>
      <c r="H488" s="10" t="n"/>
      <c r="I488" s="10" t="n"/>
      <c r="J488" s="108">
        <f>IF(G488="","",IFERROR(LET(ev_cost,INDEX(Events!$G$5:$G$505,MATCH(G488,Events!$A$5:$A$505,0)),ev_split,INDEX(Events!$I$5:$I$505,MATCH(G488,Events!$A$5:$A$505,0)),att_offset,MATCH(G488,Attendance!$B$3:$AY$3,0),attendees,COUNTIF(INDEX(Attendance!$B$7:$AY$206,0,att_offset),"1"),IF(ev_split="Equal Split",ev_cost/MAX(1,COUNTA(Roster!$A$5:$A$204)),ev_cost/MAX(1,attendees))),"N/A"))</f>
        <v/>
      </c>
    </row>
    <row r="489" ht="20" customHeight="1">
      <c r="A489" s="16" t="n"/>
      <c r="B489" s="14" t="n"/>
      <c r="C489" s="14" t="n"/>
      <c r="D489" s="14" t="n"/>
      <c r="E489" s="14" t="n"/>
      <c r="F489" s="17" t="n"/>
      <c r="G489" s="14" t="n"/>
      <c r="H489" s="14" t="n"/>
      <c r="I489" s="14" t="n"/>
      <c r="J489" s="108">
        <f>IF(G489="","",IFERROR(LET(ev_cost,INDEX(Events!$G$5:$G$505,MATCH(G489,Events!$A$5:$A$505,0)),ev_split,INDEX(Events!$I$5:$I$505,MATCH(G489,Events!$A$5:$A$505,0)),att_offset,MATCH(G489,Attendance!$B$3:$AY$3,0),attendees,COUNTIF(INDEX(Attendance!$B$7:$AY$206,0,att_offset),"1"),IF(ev_split="Equal Split",ev_cost/MAX(1,COUNTA(Roster!$A$5:$A$204)),ev_cost/MAX(1,attendees))),"N/A"))</f>
        <v/>
      </c>
    </row>
    <row r="490" ht="20" customHeight="1">
      <c r="A490" s="12" t="n"/>
      <c r="B490" s="10" t="n"/>
      <c r="C490" s="10" t="n"/>
      <c r="D490" s="10" t="n"/>
      <c r="E490" s="10" t="n"/>
      <c r="F490" s="13" t="n"/>
      <c r="G490" s="10" t="n"/>
      <c r="H490" s="10" t="n"/>
      <c r="I490" s="10" t="n"/>
      <c r="J490" s="108">
        <f>IF(G490="","",IFERROR(LET(ev_cost,INDEX(Events!$G$5:$G$505,MATCH(G490,Events!$A$5:$A$505,0)),ev_split,INDEX(Events!$I$5:$I$505,MATCH(G490,Events!$A$5:$A$505,0)),att_offset,MATCH(G490,Attendance!$B$3:$AY$3,0),attendees,COUNTIF(INDEX(Attendance!$B$7:$AY$206,0,att_offset),"1"),IF(ev_split="Equal Split",ev_cost/MAX(1,COUNTA(Roster!$A$5:$A$204)),ev_cost/MAX(1,attendees))),"N/A"))</f>
        <v/>
      </c>
    </row>
    <row r="491" ht="20" customHeight="1">
      <c r="A491" s="16" t="n"/>
      <c r="B491" s="14" t="n"/>
      <c r="C491" s="14" t="n"/>
      <c r="D491" s="14" t="n"/>
      <c r="E491" s="14" t="n"/>
      <c r="F491" s="17" t="n"/>
      <c r="G491" s="14" t="n"/>
      <c r="H491" s="14" t="n"/>
      <c r="I491" s="14" t="n"/>
      <c r="J491" s="108">
        <f>IF(G491="","",IFERROR(LET(ev_cost,INDEX(Events!$G$5:$G$505,MATCH(G491,Events!$A$5:$A$505,0)),ev_split,INDEX(Events!$I$5:$I$505,MATCH(G491,Events!$A$5:$A$505,0)),att_offset,MATCH(G491,Attendance!$B$3:$AY$3,0),attendees,COUNTIF(INDEX(Attendance!$B$7:$AY$206,0,att_offset),"1"),IF(ev_split="Equal Split",ev_cost/MAX(1,COUNTA(Roster!$A$5:$A$204)),ev_cost/MAX(1,attendees))),"N/A"))</f>
        <v/>
      </c>
    </row>
    <row r="492" ht="20" customHeight="1">
      <c r="A492" s="12" t="n"/>
      <c r="B492" s="10" t="n"/>
      <c r="C492" s="10" t="n"/>
      <c r="D492" s="10" t="n"/>
      <c r="E492" s="10" t="n"/>
      <c r="F492" s="13" t="n"/>
      <c r="G492" s="10" t="n"/>
      <c r="H492" s="10" t="n"/>
      <c r="I492" s="10" t="n"/>
      <c r="J492" s="108">
        <f>IF(G492="","",IFERROR(LET(ev_cost,INDEX(Events!$G$5:$G$505,MATCH(G492,Events!$A$5:$A$505,0)),ev_split,INDEX(Events!$I$5:$I$505,MATCH(G492,Events!$A$5:$A$505,0)),att_offset,MATCH(G492,Attendance!$B$3:$AY$3,0),attendees,COUNTIF(INDEX(Attendance!$B$7:$AY$206,0,att_offset),"1"),IF(ev_split="Equal Split",ev_cost/MAX(1,COUNTA(Roster!$A$5:$A$204)),ev_cost/MAX(1,attendees))),"N/A"))</f>
        <v/>
      </c>
    </row>
    <row r="493" ht="20" customHeight="1">
      <c r="A493" s="16" t="n"/>
      <c r="B493" s="14" t="n"/>
      <c r="C493" s="14" t="n"/>
      <c r="D493" s="14" t="n"/>
      <c r="E493" s="14" t="n"/>
      <c r="F493" s="17" t="n"/>
      <c r="G493" s="14" t="n"/>
      <c r="H493" s="14" t="n"/>
      <c r="I493" s="14" t="n"/>
      <c r="J493" s="108">
        <f>IF(G493="","",IFERROR(LET(ev_cost,INDEX(Events!$G$5:$G$505,MATCH(G493,Events!$A$5:$A$505,0)),ev_split,INDEX(Events!$I$5:$I$505,MATCH(G493,Events!$A$5:$A$505,0)),att_offset,MATCH(G493,Attendance!$B$3:$AY$3,0),attendees,COUNTIF(INDEX(Attendance!$B$7:$AY$206,0,att_offset),"1"),IF(ev_split="Equal Split",ev_cost/MAX(1,COUNTA(Roster!$A$5:$A$204)),ev_cost/MAX(1,attendees))),"N/A"))</f>
        <v/>
      </c>
    </row>
    <row r="494" ht="20" customHeight="1">
      <c r="A494" s="12" t="n"/>
      <c r="B494" s="10" t="n"/>
      <c r="C494" s="10" t="n"/>
      <c r="D494" s="10" t="n"/>
      <c r="E494" s="10" t="n"/>
      <c r="F494" s="13" t="n"/>
      <c r="G494" s="10" t="n"/>
      <c r="H494" s="10" t="n"/>
      <c r="I494" s="10" t="n"/>
      <c r="J494" s="108">
        <f>IF(G494="","",IFERROR(LET(ev_cost,INDEX(Events!$G$5:$G$505,MATCH(G494,Events!$A$5:$A$505,0)),ev_split,INDEX(Events!$I$5:$I$505,MATCH(G494,Events!$A$5:$A$505,0)),att_offset,MATCH(G494,Attendance!$B$3:$AY$3,0),attendees,COUNTIF(INDEX(Attendance!$B$7:$AY$206,0,att_offset),"1"),IF(ev_split="Equal Split",ev_cost/MAX(1,COUNTA(Roster!$A$5:$A$204)),ev_cost/MAX(1,attendees))),"N/A"))</f>
        <v/>
      </c>
    </row>
    <row r="495" ht="20" customHeight="1">
      <c r="A495" s="16" t="n"/>
      <c r="B495" s="14" t="n"/>
      <c r="C495" s="14" t="n"/>
      <c r="D495" s="14" t="n"/>
      <c r="E495" s="14" t="n"/>
      <c r="F495" s="17" t="n"/>
      <c r="G495" s="14" t="n"/>
      <c r="H495" s="14" t="n"/>
      <c r="I495" s="14" t="n"/>
      <c r="J495" s="108">
        <f>IF(G495="","",IFERROR(LET(ev_cost,INDEX(Events!$G$5:$G$505,MATCH(G495,Events!$A$5:$A$505,0)),ev_split,INDEX(Events!$I$5:$I$505,MATCH(G495,Events!$A$5:$A$505,0)),att_offset,MATCH(G495,Attendance!$B$3:$AY$3,0),attendees,COUNTIF(INDEX(Attendance!$B$7:$AY$206,0,att_offset),"1"),IF(ev_split="Equal Split",ev_cost/MAX(1,COUNTA(Roster!$A$5:$A$204)),ev_cost/MAX(1,attendees))),"N/A"))</f>
        <v/>
      </c>
    </row>
    <row r="496" ht="20" customHeight="1">
      <c r="A496" s="12" t="n"/>
      <c r="B496" s="10" t="n"/>
      <c r="C496" s="10" t="n"/>
      <c r="D496" s="10" t="n"/>
      <c r="E496" s="10" t="n"/>
      <c r="F496" s="13" t="n"/>
      <c r="G496" s="10" t="n"/>
      <c r="H496" s="10" t="n"/>
      <c r="I496" s="10" t="n"/>
      <c r="J496" s="108">
        <f>IF(G496="","",IFERROR(LET(ev_cost,INDEX(Events!$G$5:$G$505,MATCH(G496,Events!$A$5:$A$505,0)),ev_split,INDEX(Events!$I$5:$I$505,MATCH(G496,Events!$A$5:$A$505,0)),att_offset,MATCH(G496,Attendance!$B$3:$AY$3,0),attendees,COUNTIF(INDEX(Attendance!$B$7:$AY$206,0,att_offset),"1"),IF(ev_split="Equal Split",ev_cost/MAX(1,COUNTA(Roster!$A$5:$A$204)),ev_cost/MAX(1,attendees))),"N/A"))</f>
        <v/>
      </c>
    </row>
    <row r="497" ht="20" customHeight="1">
      <c r="A497" s="16" t="n"/>
      <c r="B497" s="14" t="n"/>
      <c r="C497" s="14" t="n"/>
      <c r="D497" s="14" t="n"/>
      <c r="E497" s="14" t="n"/>
      <c r="F497" s="17" t="n"/>
      <c r="G497" s="14" t="n"/>
      <c r="H497" s="14" t="n"/>
      <c r="I497" s="14" t="n"/>
      <c r="J497" s="108">
        <f>IF(G497="","",IFERROR(LET(ev_cost,INDEX(Events!$G$5:$G$505,MATCH(G497,Events!$A$5:$A$505,0)),ev_split,INDEX(Events!$I$5:$I$505,MATCH(G497,Events!$A$5:$A$505,0)),att_offset,MATCH(G497,Attendance!$B$3:$AY$3,0),attendees,COUNTIF(INDEX(Attendance!$B$7:$AY$206,0,att_offset),"1"),IF(ev_split="Equal Split",ev_cost/MAX(1,COUNTA(Roster!$A$5:$A$204)),ev_cost/MAX(1,attendees))),"N/A"))</f>
        <v/>
      </c>
    </row>
    <row r="498" ht="20" customHeight="1">
      <c r="A498" s="12" t="n"/>
      <c r="B498" s="10" t="n"/>
      <c r="C498" s="10" t="n"/>
      <c r="D498" s="10" t="n"/>
      <c r="E498" s="10" t="n"/>
      <c r="F498" s="13" t="n"/>
      <c r="G498" s="10" t="n"/>
      <c r="H498" s="10" t="n"/>
      <c r="I498" s="10" t="n"/>
      <c r="J498" s="108">
        <f>IF(G498="","",IFERROR(LET(ev_cost,INDEX(Events!$G$5:$G$505,MATCH(G498,Events!$A$5:$A$505,0)),ev_split,INDEX(Events!$I$5:$I$505,MATCH(G498,Events!$A$5:$A$505,0)),att_offset,MATCH(G498,Attendance!$B$3:$AY$3,0),attendees,COUNTIF(INDEX(Attendance!$B$7:$AY$206,0,att_offset),"1"),IF(ev_split="Equal Split",ev_cost/MAX(1,COUNTA(Roster!$A$5:$A$204)),ev_cost/MAX(1,attendees))),"N/A"))</f>
        <v/>
      </c>
    </row>
    <row r="499" ht="20" customHeight="1">
      <c r="A499" s="16" t="n"/>
      <c r="B499" s="14" t="n"/>
      <c r="C499" s="14" t="n"/>
      <c r="D499" s="14" t="n"/>
      <c r="E499" s="14" t="n"/>
      <c r="F499" s="17" t="n"/>
      <c r="G499" s="14" t="n"/>
      <c r="H499" s="14" t="n"/>
      <c r="I499" s="14" t="n"/>
      <c r="J499" s="108">
        <f>IF(G499="","",IFERROR(LET(ev_cost,INDEX(Events!$G$5:$G$505,MATCH(G499,Events!$A$5:$A$505,0)),ev_split,INDEX(Events!$I$5:$I$505,MATCH(G499,Events!$A$5:$A$505,0)),att_offset,MATCH(G499,Attendance!$B$3:$AY$3,0),attendees,COUNTIF(INDEX(Attendance!$B$7:$AY$206,0,att_offset),"1"),IF(ev_split="Equal Split",ev_cost/MAX(1,COUNTA(Roster!$A$5:$A$204)),ev_cost/MAX(1,attendees))),"N/A"))</f>
        <v/>
      </c>
    </row>
    <row r="500" ht="20" customHeight="1">
      <c r="A500" s="12" t="n"/>
      <c r="B500" s="10" t="n"/>
      <c r="C500" s="10" t="n"/>
      <c r="D500" s="10" t="n"/>
      <c r="E500" s="10" t="n"/>
      <c r="F500" s="13" t="n"/>
      <c r="G500" s="10" t="n"/>
      <c r="H500" s="10" t="n"/>
      <c r="I500" s="10" t="n"/>
      <c r="J500" s="108">
        <f>IF(G500="","",IFERROR(LET(ev_cost,INDEX(Events!$G$5:$G$505,MATCH(G500,Events!$A$5:$A$505,0)),ev_split,INDEX(Events!$I$5:$I$505,MATCH(G500,Events!$A$5:$A$505,0)),att_offset,MATCH(G500,Attendance!$B$3:$AY$3,0),attendees,COUNTIF(INDEX(Attendance!$B$7:$AY$206,0,att_offset),"1"),IF(ev_split="Equal Split",ev_cost/MAX(1,COUNTA(Roster!$A$5:$A$204)),ev_cost/MAX(1,attendees))),"N/A"))</f>
        <v/>
      </c>
    </row>
    <row r="501" ht="20" customHeight="1">
      <c r="A501" s="16" t="n"/>
      <c r="B501" s="14" t="n"/>
      <c r="C501" s="14" t="n"/>
      <c r="D501" s="14" t="n"/>
      <c r="E501" s="14" t="n"/>
      <c r="F501" s="17" t="n"/>
      <c r="G501" s="14" t="n"/>
      <c r="H501" s="14" t="n"/>
      <c r="I501" s="14" t="n"/>
      <c r="J501" s="108">
        <f>IF(G501="","",IFERROR(LET(ev_cost,INDEX(Events!$G$5:$G$505,MATCH(G501,Events!$A$5:$A$505,0)),ev_split,INDEX(Events!$I$5:$I$505,MATCH(G501,Events!$A$5:$A$505,0)),att_offset,MATCH(G501,Attendance!$B$3:$AY$3,0),attendees,COUNTIF(INDEX(Attendance!$B$7:$AY$206,0,att_offset),"1"),IF(ev_split="Equal Split",ev_cost/MAX(1,COUNTA(Roster!$A$5:$A$204)),ev_cost/MAX(1,attendees))),"N/A"))</f>
        <v/>
      </c>
    </row>
    <row r="502" ht="20" customHeight="1">
      <c r="A502" s="12" t="n"/>
      <c r="B502" s="10" t="n"/>
      <c r="C502" s="10" t="n"/>
      <c r="D502" s="10" t="n"/>
      <c r="E502" s="10" t="n"/>
      <c r="F502" s="13" t="n"/>
      <c r="G502" s="10" t="n"/>
      <c r="H502" s="10" t="n"/>
      <c r="I502" s="10" t="n"/>
      <c r="J502" s="108">
        <f>IF(G502="","",IFERROR(LET(ev_cost,INDEX(Events!$G$5:$G$505,MATCH(G502,Events!$A$5:$A$505,0)),ev_split,INDEX(Events!$I$5:$I$505,MATCH(G502,Events!$A$5:$A$505,0)),att_offset,MATCH(G502,Attendance!$B$3:$AY$3,0),attendees,COUNTIF(INDEX(Attendance!$B$7:$AY$206,0,att_offset),"1"),IF(ev_split="Equal Split",ev_cost/MAX(1,COUNTA(Roster!$A$5:$A$204)),ev_cost/MAX(1,attendees))),"N/A"))</f>
        <v/>
      </c>
    </row>
    <row r="503" ht="20" customHeight="1">
      <c r="A503" s="16" t="n"/>
      <c r="B503" s="14" t="n"/>
      <c r="C503" s="14" t="n"/>
      <c r="D503" s="14" t="n"/>
      <c r="E503" s="14" t="n"/>
      <c r="F503" s="17" t="n"/>
      <c r="G503" s="14" t="n"/>
      <c r="H503" s="14" t="n"/>
      <c r="I503" s="14" t="n"/>
      <c r="J503" s="108">
        <f>IF(G503="","",IFERROR(LET(ev_cost,INDEX(Events!$G$5:$G$505,MATCH(G503,Events!$A$5:$A$505,0)),ev_split,INDEX(Events!$I$5:$I$505,MATCH(G503,Events!$A$5:$A$505,0)),att_offset,MATCH(G503,Attendance!$B$3:$AY$3,0),attendees,COUNTIF(INDEX(Attendance!$B$7:$AY$206,0,att_offset),"1"),IF(ev_split="Equal Split",ev_cost/MAX(1,COUNTA(Roster!$A$5:$A$204)),ev_cost/MAX(1,attendees))),"N/A"))</f>
        <v/>
      </c>
    </row>
    <row r="504" ht="20" customHeight="1">
      <c r="A504" s="12" t="n"/>
      <c r="B504" s="10" t="n"/>
      <c r="C504" s="10" t="n"/>
      <c r="D504" s="10" t="n"/>
      <c r="E504" s="10" t="n"/>
      <c r="F504" s="13" t="n"/>
      <c r="G504" s="10" t="n"/>
      <c r="H504" s="10" t="n"/>
      <c r="I504" s="10" t="n"/>
      <c r="J504" s="108">
        <f>IF(G504="","",IFERROR(LET(ev_cost,INDEX(Events!$G$5:$G$505,MATCH(G504,Events!$A$5:$A$505,0)),ev_split,INDEX(Events!$I$5:$I$505,MATCH(G504,Events!$A$5:$A$505,0)),att_offset,MATCH(G504,Attendance!$B$3:$AY$3,0),attendees,COUNTIF(INDEX(Attendance!$B$7:$AY$206,0,att_offset),"1"),IF(ev_split="Equal Split",ev_cost/MAX(1,COUNTA(Roster!$A$5:$A$204)),ev_cost/MAX(1,attendees))),"N/A"))</f>
        <v/>
      </c>
    </row>
    <row r="505" ht="20" customHeight="1">
      <c r="A505" s="16" t="n"/>
      <c r="B505" s="14" t="n"/>
      <c r="C505" s="14" t="n"/>
      <c r="D505" s="14" t="n"/>
      <c r="E505" s="14" t="n"/>
      <c r="F505" s="17" t="n"/>
      <c r="G505" s="14" t="n"/>
      <c r="H505" s="14" t="n"/>
      <c r="I505" s="14" t="n"/>
      <c r="J505" s="108">
        <f>IF(G505="","",IFERROR(LET(ev_cost,INDEX(Events!$G$5:$G$505,MATCH(G505,Events!$A$5:$A$505,0)),ev_split,INDEX(Events!$I$5:$I$505,MATCH(G505,Events!$A$5:$A$505,0)),att_offset,MATCH(G505,Attendance!$B$3:$AY$3,0),attendees,COUNTIF(INDEX(Attendance!$B$7:$AY$206,0,att_offset),"1"),IF(ev_split="Equal Split",ev_cost/MAX(1,COUNTA(Roster!$A$5:$A$204)),ev_cost/MAX(1,attendees))),"N/A"))</f>
        <v/>
      </c>
    </row>
    <row r="506" ht="20" customHeight="1">
      <c r="A506" s="12" t="n"/>
      <c r="B506" s="10" t="n"/>
      <c r="C506" s="10" t="n"/>
      <c r="D506" s="10" t="n"/>
      <c r="E506" s="10" t="n"/>
      <c r="F506" s="13" t="n"/>
      <c r="G506" s="10" t="n"/>
      <c r="H506" s="10" t="n"/>
      <c r="I506" s="10" t="n"/>
      <c r="J506" s="108">
        <f>IF(G506="","",IFERROR(LET(ev_cost,INDEX(Events!$G$5:$G$505,MATCH(G506,Events!$A$5:$A$505,0)),ev_split,INDEX(Events!$I$5:$I$505,MATCH(G506,Events!$A$5:$A$505,0)),att_offset,MATCH(G506,Attendance!$B$3:$AY$3,0),attendees,COUNTIF(INDEX(Attendance!$B$7:$AY$206,0,att_offset),"1"),IF(ev_split="Equal Split",ev_cost/MAX(1,COUNTA(Roster!$A$5:$A$204)),ev_cost/MAX(1,attendees))),"N/A"))</f>
        <v/>
      </c>
    </row>
    <row r="507" ht="20" customHeight="1">
      <c r="A507" s="16" t="n"/>
      <c r="B507" s="14" t="n"/>
      <c r="C507" s="14" t="n"/>
      <c r="D507" s="14" t="n"/>
      <c r="E507" s="14" t="n"/>
      <c r="F507" s="17" t="n"/>
      <c r="G507" s="14" t="n"/>
      <c r="H507" s="14" t="n"/>
      <c r="I507" s="14" t="n"/>
      <c r="J507" s="108">
        <f>IF(G507="","",IFERROR(LET(ev_cost,INDEX(Events!$G$5:$G$505,MATCH(G507,Events!$A$5:$A$505,0)),ev_split,INDEX(Events!$I$5:$I$505,MATCH(G507,Events!$A$5:$A$505,0)),att_offset,MATCH(G507,Attendance!$B$3:$AY$3,0),attendees,COUNTIF(INDEX(Attendance!$B$7:$AY$206,0,att_offset),"1"),IF(ev_split="Equal Split",ev_cost/MAX(1,COUNTA(Roster!$A$5:$A$204)),ev_cost/MAX(1,attendees))),"N/A"))</f>
        <v/>
      </c>
    </row>
    <row r="508" ht="20" customHeight="1">
      <c r="A508" s="12" t="n"/>
      <c r="B508" s="10" t="n"/>
      <c r="C508" s="10" t="n"/>
      <c r="D508" s="10" t="n"/>
      <c r="E508" s="10" t="n"/>
      <c r="F508" s="13" t="n"/>
      <c r="G508" s="10" t="n"/>
      <c r="H508" s="10" t="n"/>
      <c r="I508" s="10" t="n"/>
      <c r="J508" s="108">
        <f>IF(G508="","",IFERROR(LET(ev_cost,INDEX(Events!$G$5:$G$505,MATCH(G508,Events!$A$5:$A$505,0)),ev_split,INDEX(Events!$I$5:$I$505,MATCH(G508,Events!$A$5:$A$505,0)),att_offset,MATCH(G508,Attendance!$B$3:$AY$3,0),attendees,COUNTIF(INDEX(Attendance!$B$7:$AY$206,0,att_offset),"1"),IF(ev_split="Equal Split",ev_cost/MAX(1,COUNTA(Roster!$A$5:$A$204)),ev_cost/MAX(1,attendees))),"N/A"))</f>
        <v/>
      </c>
    </row>
    <row r="509" ht="20" customHeight="1">
      <c r="A509" s="16" t="n"/>
      <c r="B509" s="14" t="n"/>
      <c r="C509" s="14" t="n"/>
      <c r="D509" s="14" t="n"/>
      <c r="E509" s="14" t="n"/>
      <c r="F509" s="17" t="n"/>
      <c r="G509" s="14" t="n"/>
      <c r="H509" s="14" t="n"/>
      <c r="I509" s="14" t="n"/>
      <c r="J509" s="108">
        <f>IF(G509="","",IFERROR(LET(ev_cost,INDEX(Events!$G$5:$G$505,MATCH(G509,Events!$A$5:$A$505,0)),ev_split,INDEX(Events!$I$5:$I$505,MATCH(G509,Events!$A$5:$A$505,0)),att_offset,MATCH(G509,Attendance!$B$3:$AY$3,0),attendees,COUNTIF(INDEX(Attendance!$B$7:$AY$206,0,att_offset),"1"),IF(ev_split="Equal Split",ev_cost/MAX(1,COUNTA(Roster!$A$5:$A$204)),ev_cost/MAX(1,attendees))),"N/A"))</f>
        <v/>
      </c>
    </row>
    <row r="510" ht="20" customHeight="1">
      <c r="A510" s="12" t="n"/>
      <c r="B510" s="10" t="n"/>
      <c r="C510" s="10" t="n"/>
      <c r="D510" s="10" t="n"/>
      <c r="E510" s="10" t="n"/>
      <c r="F510" s="13" t="n"/>
      <c r="G510" s="10" t="n"/>
      <c r="H510" s="10" t="n"/>
      <c r="I510" s="10" t="n"/>
      <c r="J510" s="108">
        <f>IF(G510="","",IFERROR(LET(ev_cost,INDEX(Events!$G$5:$G$505,MATCH(G510,Events!$A$5:$A$505,0)),ev_split,INDEX(Events!$I$5:$I$505,MATCH(G510,Events!$A$5:$A$505,0)),att_offset,MATCH(G510,Attendance!$B$3:$AY$3,0),attendees,COUNTIF(INDEX(Attendance!$B$7:$AY$206,0,att_offset),"1"),IF(ev_split="Equal Split",ev_cost/MAX(1,COUNTA(Roster!$A$5:$A$204)),ev_cost/MAX(1,attendees))),"N/A"))</f>
        <v/>
      </c>
    </row>
    <row r="511" ht="20" customHeight="1">
      <c r="A511" s="16" t="n"/>
      <c r="B511" s="14" t="n"/>
      <c r="C511" s="14" t="n"/>
      <c r="D511" s="14" t="n"/>
      <c r="E511" s="14" t="n"/>
      <c r="F511" s="17" t="n"/>
      <c r="G511" s="14" t="n"/>
      <c r="H511" s="14" t="n"/>
      <c r="I511" s="14" t="n"/>
      <c r="J511" s="108">
        <f>IF(G511="","",IFERROR(LET(ev_cost,INDEX(Events!$G$5:$G$505,MATCH(G511,Events!$A$5:$A$505,0)),ev_split,INDEX(Events!$I$5:$I$505,MATCH(G511,Events!$A$5:$A$505,0)),att_offset,MATCH(G511,Attendance!$B$3:$AY$3,0),attendees,COUNTIF(INDEX(Attendance!$B$7:$AY$206,0,att_offset),"1"),IF(ev_split="Equal Split",ev_cost/MAX(1,COUNTA(Roster!$A$5:$A$204)),ev_cost/MAX(1,attendees))),"N/A"))</f>
        <v/>
      </c>
    </row>
    <row r="512" ht="20" customHeight="1">
      <c r="A512" s="12" t="n"/>
      <c r="B512" s="10" t="n"/>
      <c r="C512" s="10" t="n"/>
      <c r="D512" s="10" t="n"/>
      <c r="E512" s="10" t="n"/>
      <c r="F512" s="13" t="n"/>
      <c r="G512" s="10" t="n"/>
      <c r="H512" s="10" t="n"/>
      <c r="I512" s="10" t="n"/>
      <c r="J512" s="108">
        <f>IF(G512="","",IFERROR(LET(ev_cost,INDEX(Events!$G$5:$G$505,MATCH(G512,Events!$A$5:$A$505,0)),ev_split,INDEX(Events!$I$5:$I$505,MATCH(G512,Events!$A$5:$A$505,0)),att_offset,MATCH(G512,Attendance!$B$3:$AY$3,0),attendees,COUNTIF(INDEX(Attendance!$B$7:$AY$206,0,att_offset),"1"),IF(ev_split="Equal Split",ev_cost/MAX(1,COUNTA(Roster!$A$5:$A$204)),ev_cost/MAX(1,attendees))),"N/A"))</f>
        <v/>
      </c>
    </row>
    <row r="513" ht="20" customHeight="1">
      <c r="A513" s="16" t="n"/>
      <c r="B513" s="14" t="n"/>
      <c r="C513" s="14" t="n"/>
      <c r="D513" s="14" t="n"/>
      <c r="E513" s="14" t="n"/>
      <c r="F513" s="17" t="n"/>
      <c r="G513" s="14" t="n"/>
      <c r="H513" s="14" t="n"/>
      <c r="I513" s="14" t="n"/>
      <c r="J513" s="108">
        <f>IF(G513="","",IFERROR(LET(ev_cost,INDEX(Events!$G$5:$G$505,MATCH(G513,Events!$A$5:$A$505,0)),ev_split,INDEX(Events!$I$5:$I$505,MATCH(G513,Events!$A$5:$A$505,0)),att_offset,MATCH(G513,Attendance!$B$3:$AY$3,0),attendees,COUNTIF(INDEX(Attendance!$B$7:$AY$206,0,att_offset),"1"),IF(ev_split="Equal Split",ev_cost/MAX(1,COUNTA(Roster!$A$5:$A$204)),ev_cost/MAX(1,attendees))),"N/A"))</f>
        <v/>
      </c>
    </row>
    <row r="514" ht="20" customHeight="1">
      <c r="A514" s="12" t="n"/>
      <c r="B514" s="10" t="n"/>
      <c r="C514" s="10" t="n"/>
      <c r="D514" s="10" t="n"/>
      <c r="E514" s="10" t="n"/>
      <c r="F514" s="13" t="n"/>
      <c r="G514" s="10" t="n"/>
      <c r="H514" s="10" t="n"/>
      <c r="I514" s="10" t="n"/>
      <c r="J514" s="108">
        <f>IF(G514="","",IFERROR(LET(ev_cost,INDEX(Events!$G$5:$G$505,MATCH(G514,Events!$A$5:$A$505,0)),ev_split,INDEX(Events!$I$5:$I$505,MATCH(G514,Events!$A$5:$A$505,0)),att_offset,MATCH(G514,Attendance!$B$3:$AY$3,0),attendees,COUNTIF(INDEX(Attendance!$B$7:$AY$206,0,att_offset),"1"),IF(ev_split="Equal Split",ev_cost/MAX(1,COUNTA(Roster!$A$5:$A$204)),ev_cost/MAX(1,attendees))),"N/A"))</f>
        <v/>
      </c>
    </row>
    <row r="515" ht="20" customHeight="1">
      <c r="A515" s="16" t="n"/>
      <c r="B515" s="14" t="n"/>
      <c r="C515" s="14" t="n"/>
      <c r="D515" s="14" t="n"/>
      <c r="E515" s="14" t="n"/>
      <c r="F515" s="17" t="n"/>
      <c r="G515" s="14" t="n"/>
      <c r="H515" s="14" t="n"/>
      <c r="I515" s="14" t="n"/>
      <c r="J515" s="108">
        <f>IF(G515="","",IFERROR(LET(ev_cost,INDEX(Events!$G$5:$G$505,MATCH(G515,Events!$A$5:$A$505,0)),ev_split,INDEX(Events!$I$5:$I$505,MATCH(G515,Events!$A$5:$A$505,0)),att_offset,MATCH(G515,Attendance!$B$3:$AY$3,0),attendees,COUNTIF(INDEX(Attendance!$B$7:$AY$206,0,att_offset),"1"),IF(ev_split="Equal Split",ev_cost/MAX(1,COUNTA(Roster!$A$5:$A$204)),ev_cost/MAX(1,attendees))),"N/A"))</f>
        <v/>
      </c>
    </row>
    <row r="516" ht="20" customHeight="1">
      <c r="A516" s="12" t="n"/>
      <c r="B516" s="10" t="n"/>
      <c r="C516" s="10" t="n"/>
      <c r="D516" s="10" t="n"/>
      <c r="E516" s="10" t="n"/>
      <c r="F516" s="13" t="n"/>
      <c r="G516" s="10" t="n"/>
      <c r="H516" s="10" t="n"/>
      <c r="I516" s="10" t="n"/>
      <c r="J516" s="108">
        <f>IF(G516="","",IFERROR(LET(ev_cost,INDEX(Events!$G$5:$G$505,MATCH(G516,Events!$A$5:$A$505,0)),ev_split,INDEX(Events!$I$5:$I$505,MATCH(G516,Events!$A$5:$A$505,0)),att_offset,MATCH(G516,Attendance!$B$3:$AY$3,0),attendees,COUNTIF(INDEX(Attendance!$B$7:$AY$206,0,att_offset),"1"),IF(ev_split="Equal Split",ev_cost/MAX(1,COUNTA(Roster!$A$5:$A$204)),ev_cost/MAX(1,attendees))),"N/A"))</f>
        <v/>
      </c>
    </row>
    <row r="517" ht="20" customHeight="1">
      <c r="A517" s="16" t="n"/>
      <c r="B517" s="14" t="n"/>
      <c r="C517" s="14" t="n"/>
      <c r="D517" s="14" t="n"/>
      <c r="E517" s="14" t="n"/>
      <c r="F517" s="17" t="n"/>
      <c r="G517" s="14" t="n"/>
      <c r="H517" s="14" t="n"/>
      <c r="I517" s="14" t="n"/>
      <c r="J517" s="108">
        <f>IF(G517="","",IFERROR(LET(ev_cost,INDEX(Events!$G$5:$G$505,MATCH(G517,Events!$A$5:$A$505,0)),ev_split,INDEX(Events!$I$5:$I$505,MATCH(G517,Events!$A$5:$A$505,0)),att_offset,MATCH(G517,Attendance!$B$3:$AY$3,0),attendees,COUNTIF(INDEX(Attendance!$B$7:$AY$206,0,att_offset),"1"),IF(ev_split="Equal Split",ev_cost/MAX(1,COUNTA(Roster!$A$5:$A$204)),ev_cost/MAX(1,attendees))),"N/A"))</f>
        <v/>
      </c>
    </row>
    <row r="518" ht="20" customHeight="1">
      <c r="A518" s="12" t="n"/>
      <c r="B518" s="10" t="n"/>
      <c r="C518" s="10" t="n"/>
      <c r="D518" s="10" t="n"/>
      <c r="E518" s="10" t="n"/>
      <c r="F518" s="13" t="n"/>
      <c r="G518" s="10" t="n"/>
      <c r="H518" s="10" t="n"/>
      <c r="I518" s="10" t="n"/>
      <c r="J518" s="108">
        <f>IF(G518="","",IFERROR(LET(ev_cost,INDEX(Events!$G$5:$G$505,MATCH(G518,Events!$A$5:$A$505,0)),ev_split,INDEX(Events!$I$5:$I$505,MATCH(G518,Events!$A$5:$A$505,0)),att_offset,MATCH(G518,Attendance!$B$3:$AY$3,0),attendees,COUNTIF(INDEX(Attendance!$B$7:$AY$206,0,att_offset),"1"),IF(ev_split="Equal Split",ev_cost/MAX(1,COUNTA(Roster!$A$5:$A$204)),ev_cost/MAX(1,attendees))),"N/A"))</f>
        <v/>
      </c>
    </row>
    <row r="519" ht="20" customHeight="1">
      <c r="A519" s="16" t="n"/>
      <c r="B519" s="14" t="n"/>
      <c r="C519" s="14" t="n"/>
      <c r="D519" s="14" t="n"/>
      <c r="E519" s="14" t="n"/>
      <c r="F519" s="17" t="n"/>
      <c r="G519" s="14" t="n"/>
      <c r="H519" s="14" t="n"/>
      <c r="I519" s="14" t="n"/>
      <c r="J519" s="108">
        <f>IF(G519="","",IFERROR(LET(ev_cost,INDEX(Events!$G$5:$G$505,MATCH(G519,Events!$A$5:$A$505,0)),ev_split,INDEX(Events!$I$5:$I$505,MATCH(G519,Events!$A$5:$A$505,0)),att_offset,MATCH(G519,Attendance!$B$3:$AY$3,0),attendees,COUNTIF(INDEX(Attendance!$B$7:$AY$206,0,att_offset),"1"),IF(ev_split="Equal Split",ev_cost/MAX(1,COUNTA(Roster!$A$5:$A$204)),ev_cost/MAX(1,attendees))),"N/A"))</f>
        <v/>
      </c>
    </row>
    <row r="520" ht="20" customHeight="1">
      <c r="A520" s="12" t="n"/>
      <c r="B520" s="10" t="n"/>
      <c r="C520" s="10" t="n"/>
      <c r="D520" s="10" t="n"/>
      <c r="E520" s="10" t="n"/>
      <c r="F520" s="13" t="n"/>
      <c r="G520" s="10" t="n"/>
      <c r="H520" s="10" t="n"/>
      <c r="I520" s="10" t="n"/>
      <c r="J520" s="108">
        <f>IF(G520="","",IFERROR(LET(ev_cost,INDEX(Events!$G$5:$G$505,MATCH(G520,Events!$A$5:$A$505,0)),ev_split,INDEX(Events!$I$5:$I$505,MATCH(G520,Events!$A$5:$A$505,0)),att_offset,MATCH(G520,Attendance!$B$3:$AY$3,0),attendees,COUNTIF(INDEX(Attendance!$B$7:$AY$206,0,att_offset),"1"),IF(ev_split="Equal Split",ev_cost/MAX(1,COUNTA(Roster!$A$5:$A$204)),ev_cost/MAX(1,attendees))),"N/A"))</f>
        <v/>
      </c>
    </row>
    <row r="521" ht="20" customHeight="1">
      <c r="A521" s="16" t="n"/>
      <c r="B521" s="14" t="n"/>
      <c r="C521" s="14" t="n"/>
      <c r="D521" s="14" t="n"/>
      <c r="E521" s="14" t="n"/>
      <c r="F521" s="17" t="n"/>
      <c r="G521" s="14" t="n"/>
      <c r="H521" s="14" t="n"/>
      <c r="I521" s="14" t="n"/>
      <c r="J521" s="108">
        <f>IF(G521="","",IFERROR(LET(ev_cost,INDEX(Events!$G$5:$G$505,MATCH(G521,Events!$A$5:$A$505,0)),ev_split,INDEX(Events!$I$5:$I$505,MATCH(G521,Events!$A$5:$A$505,0)),att_offset,MATCH(G521,Attendance!$B$3:$AY$3,0),attendees,COUNTIF(INDEX(Attendance!$B$7:$AY$206,0,att_offset),"1"),IF(ev_split="Equal Split",ev_cost/MAX(1,COUNTA(Roster!$A$5:$A$204)),ev_cost/MAX(1,attendees))),"N/A"))</f>
        <v/>
      </c>
    </row>
    <row r="522" ht="20" customHeight="1">
      <c r="A522" s="12" t="n"/>
      <c r="B522" s="10" t="n"/>
      <c r="C522" s="10" t="n"/>
      <c r="D522" s="10" t="n"/>
      <c r="E522" s="10" t="n"/>
      <c r="F522" s="13" t="n"/>
      <c r="G522" s="10" t="n"/>
      <c r="H522" s="10" t="n"/>
      <c r="I522" s="10" t="n"/>
      <c r="J522" s="108">
        <f>IF(G522="","",IFERROR(LET(ev_cost,INDEX(Events!$G$5:$G$505,MATCH(G522,Events!$A$5:$A$505,0)),ev_split,INDEX(Events!$I$5:$I$505,MATCH(G522,Events!$A$5:$A$505,0)),att_offset,MATCH(G522,Attendance!$B$3:$AY$3,0),attendees,COUNTIF(INDEX(Attendance!$B$7:$AY$206,0,att_offset),"1"),IF(ev_split="Equal Split",ev_cost/MAX(1,COUNTA(Roster!$A$5:$A$204)),ev_cost/MAX(1,attendees))),"N/A"))</f>
        <v/>
      </c>
    </row>
    <row r="523" ht="20" customHeight="1">
      <c r="A523" s="16" t="n"/>
      <c r="B523" s="14" t="n"/>
      <c r="C523" s="14" t="n"/>
      <c r="D523" s="14" t="n"/>
      <c r="E523" s="14" t="n"/>
      <c r="F523" s="17" t="n"/>
      <c r="G523" s="14" t="n"/>
      <c r="H523" s="14" t="n"/>
      <c r="I523" s="14" t="n"/>
      <c r="J523" s="108">
        <f>IF(G523="","",IFERROR(LET(ev_cost,INDEX(Events!$G$5:$G$505,MATCH(G523,Events!$A$5:$A$505,0)),ev_split,INDEX(Events!$I$5:$I$505,MATCH(G523,Events!$A$5:$A$505,0)),att_offset,MATCH(G523,Attendance!$B$3:$AY$3,0),attendees,COUNTIF(INDEX(Attendance!$B$7:$AY$206,0,att_offset),"1"),IF(ev_split="Equal Split",ev_cost/MAX(1,COUNTA(Roster!$A$5:$A$204)),ev_cost/MAX(1,attendees))),"N/A"))</f>
        <v/>
      </c>
    </row>
    <row r="524" ht="20" customHeight="1">
      <c r="A524" s="12" t="n"/>
      <c r="B524" s="10" t="n"/>
      <c r="C524" s="10" t="n"/>
      <c r="D524" s="10" t="n"/>
      <c r="E524" s="10" t="n"/>
      <c r="F524" s="13" t="n"/>
      <c r="G524" s="10" t="n"/>
      <c r="H524" s="10" t="n"/>
      <c r="I524" s="10" t="n"/>
      <c r="J524" s="108">
        <f>IF(G524="","",IFERROR(LET(ev_cost,INDEX(Events!$G$5:$G$505,MATCH(G524,Events!$A$5:$A$505,0)),ev_split,INDEX(Events!$I$5:$I$505,MATCH(G524,Events!$A$5:$A$505,0)),att_offset,MATCH(G524,Attendance!$B$3:$AY$3,0),attendees,COUNTIF(INDEX(Attendance!$B$7:$AY$206,0,att_offset),"1"),IF(ev_split="Equal Split",ev_cost/MAX(1,COUNTA(Roster!$A$5:$A$204)),ev_cost/MAX(1,attendees))),"N/A"))</f>
        <v/>
      </c>
    </row>
    <row r="525" ht="20" customHeight="1">
      <c r="A525" s="16" t="n"/>
      <c r="B525" s="14" t="n"/>
      <c r="C525" s="14" t="n"/>
      <c r="D525" s="14" t="n"/>
      <c r="E525" s="14" t="n"/>
      <c r="F525" s="17" t="n"/>
      <c r="G525" s="14" t="n"/>
      <c r="H525" s="14" t="n"/>
      <c r="I525" s="14" t="n"/>
      <c r="J525" s="108">
        <f>IF(G525="","",IFERROR(LET(ev_cost,INDEX(Events!$G$5:$G$505,MATCH(G525,Events!$A$5:$A$505,0)),ev_split,INDEX(Events!$I$5:$I$505,MATCH(G525,Events!$A$5:$A$505,0)),att_offset,MATCH(G525,Attendance!$B$3:$AY$3,0),attendees,COUNTIF(INDEX(Attendance!$B$7:$AY$206,0,att_offset),"1"),IF(ev_split="Equal Split",ev_cost/MAX(1,COUNTA(Roster!$A$5:$A$204)),ev_cost/MAX(1,attendees))),"N/A"))</f>
        <v/>
      </c>
    </row>
    <row r="526" ht="20" customHeight="1">
      <c r="A526" s="12" t="n"/>
      <c r="B526" s="10" t="n"/>
      <c r="C526" s="10" t="n"/>
      <c r="D526" s="10" t="n"/>
      <c r="E526" s="10" t="n"/>
      <c r="F526" s="13" t="n"/>
      <c r="G526" s="10" t="n"/>
      <c r="H526" s="10" t="n"/>
      <c r="I526" s="10" t="n"/>
      <c r="J526" s="108">
        <f>IF(G526="","",IFERROR(LET(ev_cost,INDEX(Events!$G$5:$G$505,MATCH(G526,Events!$A$5:$A$505,0)),ev_split,INDEX(Events!$I$5:$I$505,MATCH(G526,Events!$A$5:$A$505,0)),att_offset,MATCH(G526,Attendance!$B$3:$AY$3,0),attendees,COUNTIF(INDEX(Attendance!$B$7:$AY$206,0,att_offset),"1"),IF(ev_split="Equal Split",ev_cost/MAX(1,COUNTA(Roster!$A$5:$A$204)),ev_cost/MAX(1,attendees))),"N/A"))</f>
        <v/>
      </c>
    </row>
    <row r="527" ht="20" customHeight="1">
      <c r="A527" s="16" t="n"/>
      <c r="B527" s="14" t="n"/>
      <c r="C527" s="14" t="n"/>
      <c r="D527" s="14" t="n"/>
      <c r="E527" s="14" t="n"/>
      <c r="F527" s="17" t="n"/>
      <c r="G527" s="14" t="n"/>
      <c r="H527" s="14" t="n"/>
      <c r="I527" s="14" t="n"/>
      <c r="J527" s="108">
        <f>IF(G527="","",IFERROR(LET(ev_cost,INDEX(Events!$G$5:$G$505,MATCH(G527,Events!$A$5:$A$505,0)),ev_split,INDEX(Events!$I$5:$I$505,MATCH(G527,Events!$A$5:$A$505,0)),att_offset,MATCH(G527,Attendance!$B$3:$AY$3,0),attendees,COUNTIF(INDEX(Attendance!$B$7:$AY$206,0,att_offset),"1"),IF(ev_split="Equal Split",ev_cost/MAX(1,COUNTA(Roster!$A$5:$A$204)),ev_cost/MAX(1,attendees))),"N/A"))</f>
        <v/>
      </c>
    </row>
    <row r="528" ht="20" customHeight="1">
      <c r="A528" s="12" t="n"/>
      <c r="B528" s="10" t="n"/>
      <c r="C528" s="10" t="n"/>
      <c r="D528" s="10" t="n"/>
      <c r="E528" s="10" t="n"/>
      <c r="F528" s="13" t="n"/>
      <c r="G528" s="10" t="n"/>
      <c r="H528" s="10" t="n"/>
      <c r="I528" s="10" t="n"/>
      <c r="J528" s="108">
        <f>IF(G528="","",IFERROR(LET(ev_cost,INDEX(Events!$G$5:$G$505,MATCH(G528,Events!$A$5:$A$505,0)),ev_split,INDEX(Events!$I$5:$I$505,MATCH(G528,Events!$A$5:$A$505,0)),att_offset,MATCH(G528,Attendance!$B$3:$AY$3,0),attendees,COUNTIF(INDEX(Attendance!$B$7:$AY$206,0,att_offset),"1"),IF(ev_split="Equal Split",ev_cost/MAX(1,COUNTA(Roster!$A$5:$A$204)),ev_cost/MAX(1,attendees))),"N/A"))</f>
        <v/>
      </c>
    </row>
    <row r="529" ht="20" customHeight="1">
      <c r="A529" s="16" t="n"/>
      <c r="B529" s="14" t="n"/>
      <c r="C529" s="14" t="n"/>
      <c r="D529" s="14" t="n"/>
      <c r="E529" s="14" t="n"/>
      <c r="F529" s="17" t="n"/>
      <c r="G529" s="14" t="n"/>
      <c r="H529" s="14" t="n"/>
      <c r="I529" s="14" t="n"/>
      <c r="J529" s="108">
        <f>IF(G529="","",IFERROR(LET(ev_cost,INDEX(Events!$G$5:$G$505,MATCH(G529,Events!$A$5:$A$505,0)),ev_split,INDEX(Events!$I$5:$I$505,MATCH(G529,Events!$A$5:$A$505,0)),att_offset,MATCH(G529,Attendance!$B$3:$AY$3,0),attendees,COUNTIF(INDEX(Attendance!$B$7:$AY$206,0,att_offset),"1"),IF(ev_split="Equal Split",ev_cost/MAX(1,COUNTA(Roster!$A$5:$A$204)),ev_cost/MAX(1,attendees))),"N/A"))</f>
        <v/>
      </c>
    </row>
    <row r="530" ht="20" customHeight="1">
      <c r="A530" s="12" t="n"/>
      <c r="B530" s="10" t="n"/>
      <c r="C530" s="10" t="n"/>
      <c r="D530" s="10" t="n"/>
      <c r="E530" s="10" t="n"/>
      <c r="F530" s="13" t="n"/>
      <c r="G530" s="10" t="n"/>
      <c r="H530" s="10" t="n"/>
      <c r="I530" s="10" t="n"/>
      <c r="J530" s="108">
        <f>IF(G530="","",IFERROR(LET(ev_cost,INDEX(Events!$G$5:$G$505,MATCH(G530,Events!$A$5:$A$505,0)),ev_split,INDEX(Events!$I$5:$I$505,MATCH(G530,Events!$A$5:$A$505,0)),att_offset,MATCH(G530,Attendance!$B$3:$AY$3,0),attendees,COUNTIF(INDEX(Attendance!$B$7:$AY$206,0,att_offset),"1"),IF(ev_split="Equal Split",ev_cost/MAX(1,COUNTA(Roster!$A$5:$A$204)),ev_cost/MAX(1,attendees))),"N/A"))</f>
        <v/>
      </c>
    </row>
    <row r="531" ht="20" customHeight="1">
      <c r="A531" s="16" t="n"/>
      <c r="B531" s="14" t="n"/>
      <c r="C531" s="14" t="n"/>
      <c r="D531" s="14" t="n"/>
      <c r="E531" s="14" t="n"/>
      <c r="F531" s="17" t="n"/>
      <c r="G531" s="14" t="n"/>
      <c r="H531" s="14" t="n"/>
      <c r="I531" s="14" t="n"/>
      <c r="J531" s="108">
        <f>IF(G531="","",IFERROR(LET(ev_cost,INDEX(Events!$G$5:$G$505,MATCH(G531,Events!$A$5:$A$505,0)),ev_split,INDEX(Events!$I$5:$I$505,MATCH(G531,Events!$A$5:$A$505,0)),att_offset,MATCH(G531,Attendance!$B$3:$AY$3,0),attendees,COUNTIF(INDEX(Attendance!$B$7:$AY$206,0,att_offset),"1"),IF(ev_split="Equal Split",ev_cost/MAX(1,COUNTA(Roster!$A$5:$A$204)),ev_cost/MAX(1,attendees))),"N/A"))</f>
        <v/>
      </c>
    </row>
    <row r="532" ht="20" customHeight="1">
      <c r="A532" s="12" t="n"/>
      <c r="B532" s="10" t="n"/>
      <c r="C532" s="10" t="n"/>
      <c r="D532" s="10" t="n"/>
      <c r="E532" s="10" t="n"/>
      <c r="F532" s="13" t="n"/>
      <c r="G532" s="10" t="n"/>
      <c r="H532" s="10" t="n"/>
      <c r="I532" s="10" t="n"/>
      <c r="J532" s="108">
        <f>IF(G532="","",IFERROR(LET(ev_cost,INDEX(Events!$G$5:$G$505,MATCH(G532,Events!$A$5:$A$505,0)),ev_split,INDEX(Events!$I$5:$I$505,MATCH(G532,Events!$A$5:$A$505,0)),att_offset,MATCH(G532,Attendance!$B$3:$AY$3,0),attendees,COUNTIF(INDEX(Attendance!$B$7:$AY$206,0,att_offset),"1"),IF(ev_split="Equal Split",ev_cost/MAX(1,COUNTA(Roster!$A$5:$A$204)),ev_cost/MAX(1,attendees))),"N/A"))</f>
        <v/>
      </c>
    </row>
    <row r="533" ht="20" customHeight="1">
      <c r="A533" s="16" t="n"/>
      <c r="B533" s="14" t="n"/>
      <c r="C533" s="14" t="n"/>
      <c r="D533" s="14" t="n"/>
      <c r="E533" s="14" t="n"/>
      <c r="F533" s="17" t="n"/>
      <c r="G533" s="14" t="n"/>
      <c r="H533" s="14" t="n"/>
      <c r="I533" s="14" t="n"/>
      <c r="J533" s="108">
        <f>IF(G533="","",IFERROR(LET(ev_cost,INDEX(Events!$G$5:$G$505,MATCH(G533,Events!$A$5:$A$505,0)),ev_split,INDEX(Events!$I$5:$I$505,MATCH(G533,Events!$A$5:$A$505,0)),att_offset,MATCH(G533,Attendance!$B$3:$AY$3,0),attendees,COUNTIF(INDEX(Attendance!$B$7:$AY$206,0,att_offset),"1"),IF(ev_split="Equal Split",ev_cost/MAX(1,COUNTA(Roster!$A$5:$A$204)),ev_cost/MAX(1,attendees))),"N/A"))</f>
        <v/>
      </c>
    </row>
    <row r="534" ht="20" customHeight="1">
      <c r="A534" s="12" t="n"/>
      <c r="B534" s="10" t="n"/>
      <c r="C534" s="10" t="n"/>
      <c r="D534" s="10" t="n"/>
      <c r="E534" s="10" t="n"/>
      <c r="F534" s="13" t="n"/>
      <c r="G534" s="10" t="n"/>
      <c r="H534" s="10" t="n"/>
      <c r="I534" s="10" t="n"/>
      <c r="J534" s="108">
        <f>IF(G534="","",IFERROR(LET(ev_cost,INDEX(Events!$G$5:$G$505,MATCH(G534,Events!$A$5:$A$505,0)),ev_split,INDEX(Events!$I$5:$I$505,MATCH(G534,Events!$A$5:$A$505,0)),att_offset,MATCH(G534,Attendance!$B$3:$AY$3,0),attendees,COUNTIF(INDEX(Attendance!$B$7:$AY$206,0,att_offset),"1"),IF(ev_split="Equal Split",ev_cost/MAX(1,COUNTA(Roster!$A$5:$A$204)),ev_cost/MAX(1,attendees))),"N/A"))</f>
        <v/>
      </c>
    </row>
    <row r="535" ht="20" customHeight="1">
      <c r="A535" s="16" t="n"/>
      <c r="B535" s="14" t="n"/>
      <c r="C535" s="14" t="n"/>
      <c r="D535" s="14" t="n"/>
      <c r="E535" s="14" t="n"/>
      <c r="F535" s="17" t="n"/>
      <c r="G535" s="14" t="n"/>
      <c r="H535" s="14" t="n"/>
      <c r="I535" s="14" t="n"/>
      <c r="J535" s="108">
        <f>IF(G535="","",IFERROR(LET(ev_cost,INDEX(Events!$G$5:$G$505,MATCH(G535,Events!$A$5:$A$505,0)),ev_split,INDEX(Events!$I$5:$I$505,MATCH(G535,Events!$A$5:$A$505,0)),att_offset,MATCH(G535,Attendance!$B$3:$AY$3,0),attendees,COUNTIF(INDEX(Attendance!$B$7:$AY$206,0,att_offset),"1"),IF(ev_split="Equal Split",ev_cost/MAX(1,COUNTA(Roster!$A$5:$A$204)),ev_cost/MAX(1,attendees))),"N/A"))</f>
        <v/>
      </c>
    </row>
    <row r="536" ht="20" customHeight="1">
      <c r="A536" s="12" t="n"/>
      <c r="B536" s="10" t="n"/>
      <c r="C536" s="10" t="n"/>
      <c r="D536" s="10" t="n"/>
      <c r="E536" s="10" t="n"/>
      <c r="F536" s="13" t="n"/>
      <c r="G536" s="10" t="n"/>
      <c r="H536" s="10" t="n"/>
      <c r="I536" s="10" t="n"/>
      <c r="J536" s="108">
        <f>IF(G536="","",IFERROR(LET(ev_cost,INDEX(Events!$G$5:$G$505,MATCH(G536,Events!$A$5:$A$505,0)),ev_split,INDEX(Events!$I$5:$I$505,MATCH(G536,Events!$A$5:$A$505,0)),att_offset,MATCH(G536,Attendance!$B$3:$AY$3,0),attendees,COUNTIF(INDEX(Attendance!$B$7:$AY$206,0,att_offset),"1"),IF(ev_split="Equal Split",ev_cost/MAX(1,COUNTA(Roster!$A$5:$A$204)),ev_cost/MAX(1,attendees))),"N/A"))</f>
        <v/>
      </c>
    </row>
    <row r="537" ht="20" customHeight="1">
      <c r="A537" s="16" t="n"/>
      <c r="B537" s="14" t="n"/>
      <c r="C537" s="14" t="n"/>
      <c r="D537" s="14" t="n"/>
      <c r="E537" s="14" t="n"/>
      <c r="F537" s="17" t="n"/>
      <c r="G537" s="14" t="n"/>
      <c r="H537" s="14" t="n"/>
      <c r="I537" s="14" t="n"/>
      <c r="J537" s="108">
        <f>IF(G537="","",IFERROR(LET(ev_cost,INDEX(Events!$G$5:$G$505,MATCH(G537,Events!$A$5:$A$505,0)),ev_split,INDEX(Events!$I$5:$I$505,MATCH(G537,Events!$A$5:$A$505,0)),att_offset,MATCH(G537,Attendance!$B$3:$AY$3,0),attendees,COUNTIF(INDEX(Attendance!$B$7:$AY$206,0,att_offset),"1"),IF(ev_split="Equal Split",ev_cost/MAX(1,COUNTA(Roster!$A$5:$A$204)),ev_cost/MAX(1,attendees))),"N/A"))</f>
        <v/>
      </c>
    </row>
    <row r="538" ht="20" customHeight="1">
      <c r="A538" s="12" t="n"/>
      <c r="B538" s="10" t="n"/>
      <c r="C538" s="10" t="n"/>
      <c r="D538" s="10" t="n"/>
      <c r="E538" s="10" t="n"/>
      <c r="F538" s="13" t="n"/>
      <c r="G538" s="10" t="n"/>
      <c r="H538" s="10" t="n"/>
      <c r="I538" s="10" t="n"/>
      <c r="J538" s="108">
        <f>IF(G538="","",IFERROR(LET(ev_cost,INDEX(Events!$G$5:$G$505,MATCH(G538,Events!$A$5:$A$505,0)),ev_split,INDEX(Events!$I$5:$I$505,MATCH(G538,Events!$A$5:$A$505,0)),att_offset,MATCH(G538,Attendance!$B$3:$AY$3,0),attendees,COUNTIF(INDEX(Attendance!$B$7:$AY$206,0,att_offset),"1"),IF(ev_split="Equal Split",ev_cost/MAX(1,COUNTA(Roster!$A$5:$A$204)),ev_cost/MAX(1,attendees))),"N/A"))</f>
        <v/>
      </c>
    </row>
    <row r="539" ht="20" customHeight="1">
      <c r="A539" s="16" t="n"/>
      <c r="B539" s="14" t="n"/>
      <c r="C539" s="14" t="n"/>
      <c r="D539" s="14" t="n"/>
      <c r="E539" s="14" t="n"/>
      <c r="F539" s="17" t="n"/>
      <c r="G539" s="14" t="n"/>
      <c r="H539" s="14" t="n"/>
      <c r="I539" s="14" t="n"/>
      <c r="J539" s="108">
        <f>IF(G539="","",IFERROR(LET(ev_cost,INDEX(Events!$G$5:$G$505,MATCH(G539,Events!$A$5:$A$505,0)),ev_split,INDEX(Events!$I$5:$I$505,MATCH(G539,Events!$A$5:$A$505,0)),att_offset,MATCH(G539,Attendance!$B$3:$AY$3,0),attendees,COUNTIF(INDEX(Attendance!$B$7:$AY$206,0,att_offset),"1"),IF(ev_split="Equal Split",ev_cost/MAX(1,COUNTA(Roster!$A$5:$A$204)),ev_cost/MAX(1,attendees))),"N/A"))</f>
        <v/>
      </c>
    </row>
    <row r="540" ht="20" customHeight="1">
      <c r="A540" s="12" t="n"/>
      <c r="B540" s="10" t="n"/>
      <c r="C540" s="10" t="n"/>
      <c r="D540" s="10" t="n"/>
      <c r="E540" s="10" t="n"/>
      <c r="F540" s="13" t="n"/>
      <c r="G540" s="10" t="n"/>
      <c r="H540" s="10" t="n"/>
      <c r="I540" s="10" t="n"/>
      <c r="J540" s="108">
        <f>IF(G540="","",IFERROR(LET(ev_cost,INDEX(Events!$G$5:$G$505,MATCH(G540,Events!$A$5:$A$505,0)),ev_split,INDEX(Events!$I$5:$I$505,MATCH(G540,Events!$A$5:$A$505,0)),att_offset,MATCH(G540,Attendance!$B$3:$AY$3,0),attendees,COUNTIF(INDEX(Attendance!$B$7:$AY$206,0,att_offset),"1"),IF(ev_split="Equal Split",ev_cost/MAX(1,COUNTA(Roster!$A$5:$A$204)),ev_cost/MAX(1,attendees))),"N/A"))</f>
        <v/>
      </c>
    </row>
    <row r="541" ht="20" customHeight="1">
      <c r="A541" s="16" t="n"/>
      <c r="B541" s="14" t="n"/>
      <c r="C541" s="14" t="n"/>
      <c r="D541" s="14" t="n"/>
      <c r="E541" s="14" t="n"/>
      <c r="F541" s="17" t="n"/>
      <c r="G541" s="14" t="n"/>
      <c r="H541" s="14" t="n"/>
      <c r="I541" s="14" t="n"/>
      <c r="J541" s="108">
        <f>IF(G541="","",IFERROR(LET(ev_cost,INDEX(Events!$G$5:$G$505,MATCH(G541,Events!$A$5:$A$505,0)),ev_split,INDEX(Events!$I$5:$I$505,MATCH(G541,Events!$A$5:$A$505,0)),att_offset,MATCH(G541,Attendance!$B$3:$AY$3,0),attendees,COUNTIF(INDEX(Attendance!$B$7:$AY$206,0,att_offset),"1"),IF(ev_split="Equal Split",ev_cost/MAX(1,COUNTA(Roster!$A$5:$A$204)),ev_cost/MAX(1,attendees))),"N/A"))</f>
        <v/>
      </c>
    </row>
    <row r="542" ht="20" customHeight="1">
      <c r="A542" s="12" t="n"/>
      <c r="B542" s="10" t="n"/>
      <c r="C542" s="10" t="n"/>
      <c r="D542" s="10" t="n"/>
      <c r="E542" s="10" t="n"/>
      <c r="F542" s="13" t="n"/>
      <c r="G542" s="10" t="n"/>
      <c r="H542" s="10" t="n"/>
      <c r="I542" s="10" t="n"/>
      <c r="J542" s="108">
        <f>IF(G542="","",IFERROR(LET(ev_cost,INDEX(Events!$G$5:$G$505,MATCH(G542,Events!$A$5:$A$505,0)),ev_split,INDEX(Events!$I$5:$I$505,MATCH(G542,Events!$A$5:$A$505,0)),att_offset,MATCH(G542,Attendance!$B$3:$AY$3,0),attendees,COUNTIF(INDEX(Attendance!$B$7:$AY$206,0,att_offset),"1"),IF(ev_split="Equal Split",ev_cost/MAX(1,COUNTA(Roster!$A$5:$A$204)),ev_cost/MAX(1,attendees))),"N/A"))</f>
        <v/>
      </c>
    </row>
    <row r="543" ht="20" customHeight="1">
      <c r="A543" s="16" t="n"/>
      <c r="B543" s="14" t="n"/>
      <c r="C543" s="14" t="n"/>
      <c r="D543" s="14" t="n"/>
      <c r="E543" s="14" t="n"/>
      <c r="F543" s="17" t="n"/>
      <c r="G543" s="14" t="n"/>
      <c r="H543" s="14" t="n"/>
      <c r="I543" s="14" t="n"/>
      <c r="J543" s="108">
        <f>IF(G543="","",IFERROR(LET(ev_cost,INDEX(Events!$G$5:$G$505,MATCH(G543,Events!$A$5:$A$505,0)),ev_split,INDEX(Events!$I$5:$I$505,MATCH(G543,Events!$A$5:$A$505,0)),att_offset,MATCH(G543,Attendance!$B$3:$AY$3,0),attendees,COUNTIF(INDEX(Attendance!$B$7:$AY$206,0,att_offset),"1"),IF(ev_split="Equal Split",ev_cost/MAX(1,COUNTA(Roster!$A$5:$A$204)),ev_cost/MAX(1,attendees))),"N/A"))</f>
        <v/>
      </c>
    </row>
    <row r="544" ht="20" customHeight="1">
      <c r="A544" s="12" t="n"/>
      <c r="B544" s="10" t="n"/>
      <c r="C544" s="10" t="n"/>
      <c r="D544" s="10" t="n"/>
      <c r="E544" s="10" t="n"/>
      <c r="F544" s="13" t="n"/>
      <c r="G544" s="10" t="n"/>
      <c r="H544" s="10" t="n"/>
      <c r="I544" s="10" t="n"/>
      <c r="J544" s="108">
        <f>IF(G544="","",IFERROR(LET(ev_cost,INDEX(Events!$G$5:$G$505,MATCH(G544,Events!$A$5:$A$505,0)),ev_split,INDEX(Events!$I$5:$I$505,MATCH(G544,Events!$A$5:$A$505,0)),att_offset,MATCH(G544,Attendance!$B$3:$AY$3,0),attendees,COUNTIF(INDEX(Attendance!$B$7:$AY$206,0,att_offset),"1"),IF(ev_split="Equal Split",ev_cost/MAX(1,COUNTA(Roster!$A$5:$A$204)),ev_cost/MAX(1,attendees))),"N/A"))</f>
        <v/>
      </c>
    </row>
    <row r="545" ht="20" customHeight="1">
      <c r="A545" s="16" t="n"/>
      <c r="B545" s="14" t="n"/>
      <c r="C545" s="14" t="n"/>
      <c r="D545" s="14" t="n"/>
      <c r="E545" s="14" t="n"/>
      <c r="F545" s="17" t="n"/>
      <c r="G545" s="14" t="n"/>
      <c r="H545" s="14" t="n"/>
      <c r="I545" s="14" t="n"/>
      <c r="J545" s="108">
        <f>IF(G545="","",IFERROR(LET(ev_cost,INDEX(Events!$G$5:$G$505,MATCH(G545,Events!$A$5:$A$505,0)),ev_split,INDEX(Events!$I$5:$I$505,MATCH(G545,Events!$A$5:$A$505,0)),att_offset,MATCH(G545,Attendance!$B$3:$AY$3,0),attendees,COUNTIF(INDEX(Attendance!$B$7:$AY$206,0,att_offset),"1"),IF(ev_split="Equal Split",ev_cost/MAX(1,COUNTA(Roster!$A$5:$A$204)),ev_cost/MAX(1,attendees))),"N/A"))</f>
        <v/>
      </c>
    </row>
    <row r="546" ht="20" customHeight="1">
      <c r="A546" s="12" t="n"/>
      <c r="B546" s="10" t="n"/>
      <c r="C546" s="10" t="n"/>
      <c r="D546" s="10" t="n"/>
      <c r="E546" s="10" t="n"/>
      <c r="F546" s="13" t="n"/>
      <c r="G546" s="10" t="n"/>
      <c r="H546" s="10" t="n"/>
      <c r="I546" s="10" t="n"/>
      <c r="J546" s="108">
        <f>IF(G546="","",IFERROR(LET(ev_cost,INDEX(Events!$G$5:$G$505,MATCH(G546,Events!$A$5:$A$505,0)),ev_split,INDEX(Events!$I$5:$I$505,MATCH(G546,Events!$A$5:$A$505,0)),att_offset,MATCH(G546,Attendance!$B$3:$AY$3,0),attendees,COUNTIF(INDEX(Attendance!$B$7:$AY$206,0,att_offset),"1"),IF(ev_split="Equal Split",ev_cost/MAX(1,COUNTA(Roster!$A$5:$A$204)),ev_cost/MAX(1,attendees))),"N/A"))</f>
        <v/>
      </c>
    </row>
    <row r="547" ht="20" customHeight="1">
      <c r="A547" s="16" t="n"/>
      <c r="B547" s="14" t="n"/>
      <c r="C547" s="14" t="n"/>
      <c r="D547" s="14" t="n"/>
      <c r="E547" s="14" t="n"/>
      <c r="F547" s="17" t="n"/>
      <c r="G547" s="14" t="n"/>
      <c r="H547" s="14" t="n"/>
      <c r="I547" s="14" t="n"/>
      <c r="J547" s="108">
        <f>IF(G547="","",IFERROR(LET(ev_cost,INDEX(Events!$G$5:$G$505,MATCH(G547,Events!$A$5:$A$505,0)),ev_split,INDEX(Events!$I$5:$I$505,MATCH(G547,Events!$A$5:$A$505,0)),att_offset,MATCH(G547,Attendance!$B$3:$AY$3,0),attendees,COUNTIF(INDEX(Attendance!$B$7:$AY$206,0,att_offset),"1"),IF(ev_split="Equal Split",ev_cost/MAX(1,COUNTA(Roster!$A$5:$A$204)),ev_cost/MAX(1,attendees))),"N/A"))</f>
        <v/>
      </c>
    </row>
    <row r="548" ht="20" customHeight="1">
      <c r="A548" s="12" t="n"/>
      <c r="B548" s="10" t="n"/>
      <c r="C548" s="10" t="n"/>
      <c r="D548" s="10" t="n"/>
      <c r="E548" s="10" t="n"/>
      <c r="F548" s="13" t="n"/>
      <c r="G548" s="10" t="n"/>
      <c r="H548" s="10" t="n"/>
      <c r="I548" s="10" t="n"/>
      <c r="J548" s="108">
        <f>IF(G548="","",IFERROR(LET(ev_cost,INDEX(Events!$G$5:$G$505,MATCH(G548,Events!$A$5:$A$505,0)),ev_split,INDEX(Events!$I$5:$I$505,MATCH(G548,Events!$A$5:$A$505,0)),att_offset,MATCH(G548,Attendance!$B$3:$AY$3,0),attendees,COUNTIF(INDEX(Attendance!$B$7:$AY$206,0,att_offset),"1"),IF(ev_split="Equal Split",ev_cost/MAX(1,COUNTA(Roster!$A$5:$A$204)),ev_cost/MAX(1,attendees))),"N/A"))</f>
        <v/>
      </c>
    </row>
    <row r="549" ht="20" customHeight="1">
      <c r="A549" s="16" t="n"/>
      <c r="B549" s="14" t="n"/>
      <c r="C549" s="14" t="n"/>
      <c r="D549" s="14" t="n"/>
      <c r="E549" s="14" t="n"/>
      <c r="F549" s="17" t="n"/>
      <c r="G549" s="14" t="n"/>
      <c r="H549" s="14" t="n"/>
      <c r="I549" s="14" t="n"/>
      <c r="J549" s="108">
        <f>IF(G549="","",IFERROR(LET(ev_cost,INDEX(Events!$G$5:$G$505,MATCH(G549,Events!$A$5:$A$505,0)),ev_split,INDEX(Events!$I$5:$I$505,MATCH(G549,Events!$A$5:$A$505,0)),att_offset,MATCH(G549,Attendance!$B$3:$AY$3,0),attendees,COUNTIF(INDEX(Attendance!$B$7:$AY$206,0,att_offset),"1"),IF(ev_split="Equal Split",ev_cost/MAX(1,COUNTA(Roster!$A$5:$A$204)),ev_cost/MAX(1,attendees))),"N/A"))</f>
        <v/>
      </c>
    </row>
    <row r="550" ht="20" customHeight="1">
      <c r="A550" s="12" t="n"/>
      <c r="B550" s="10" t="n"/>
      <c r="C550" s="10" t="n"/>
      <c r="D550" s="10" t="n"/>
      <c r="E550" s="10" t="n"/>
      <c r="F550" s="13" t="n"/>
      <c r="G550" s="10" t="n"/>
      <c r="H550" s="10" t="n"/>
      <c r="I550" s="10" t="n"/>
      <c r="J550" s="108">
        <f>IF(G550="","",IFERROR(LET(ev_cost,INDEX(Events!$G$5:$G$505,MATCH(G550,Events!$A$5:$A$505,0)),ev_split,INDEX(Events!$I$5:$I$505,MATCH(G550,Events!$A$5:$A$505,0)),att_offset,MATCH(G550,Attendance!$B$3:$AY$3,0),attendees,COUNTIF(INDEX(Attendance!$B$7:$AY$206,0,att_offset),"1"),IF(ev_split="Equal Split",ev_cost/MAX(1,COUNTA(Roster!$A$5:$A$204)),ev_cost/MAX(1,attendees))),"N/A"))</f>
        <v/>
      </c>
    </row>
    <row r="551" ht="20" customHeight="1">
      <c r="A551" s="16" t="n"/>
      <c r="B551" s="14" t="n"/>
      <c r="C551" s="14" t="n"/>
      <c r="D551" s="14" t="n"/>
      <c r="E551" s="14" t="n"/>
      <c r="F551" s="17" t="n"/>
      <c r="G551" s="14" t="n"/>
      <c r="H551" s="14" t="n"/>
      <c r="I551" s="14" t="n"/>
      <c r="J551" s="108">
        <f>IF(G551="","",IFERROR(LET(ev_cost,INDEX(Events!$G$5:$G$505,MATCH(G551,Events!$A$5:$A$505,0)),ev_split,INDEX(Events!$I$5:$I$505,MATCH(G551,Events!$A$5:$A$505,0)),att_offset,MATCH(G551,Attendance!$B$3:$AY$3,0),attendees,COUNTIF(INDEX(Attendance!$B$7:$AY$206,0,att_offset),"1"),IF(ev_split="Equal Split",ev_cost/MAX(1,COUNTA(Roster!$A$5:$A$204)),ev_cost/MAX(1,attendees))),"N/A"))</f>
        <v/>
      </c>
    </row>
    <row r="552" ht="20" customHeight="1">
      <c r="A552" s="12" t="n"/>
      <c r="B552" s="10" t="n"/>
      <c r="C552" s="10" t="n"/>
      <c r="D552" s="10" t="n"/>
      <c r="E552" s="10" t="n"/>
      <c r="F552" s="13" t="n"/>
      <c r="G552" s="10" t="n"/>
      <c r="H552" s="10" t="n"/>
      <c r="I552" s="10" t="n"/>
      <c r="J552" s="108">
        <f>IF(G552="","",IFERROR(LET(ev_cost,INDEX(Events!$G$5:$G$505,MATCH(G552,Events!$A$5:$A$505,0)),ev_split,INDEX(Events!$I$5:$I$505,MATCH(G552,Events!$A$5:$A$505,0)),att_offset,MATCH(G552,Attendance!$B$3:$AY$3,0),attendees,COUNTIF(INDEX(Attendance!$B$7:$AY$206,0,att_offset),"1"),IF(ev_split="Equal Split",ev_cost/MAX(1,COUNTA(Roster!$A$5:$A$204)),ev_cost/MAX(1,attendees))),"N/A"))</f>
        <v/>
      </c>
    </row>
    <row r="553" ht="20" customHeight="1">
      <c r="A553" s="16" t="n"/>
      <c r="B553" s="14" t="n"/>
      <c r="C553" s="14" t="n"/>
      <c r="D553" s="14" t="n"/>
      <c r="E553" s="14" t="n"/>
      <c r="F553" s="17" t="n"/>
      <c r="G553" s="14" t="n"/>
      <c r="H553" s="14" t="n"/>
      <c r="I553" s="14" t="n"/>
      <c r="J553" s="108">
        <f>IF(G553="","",IFERROR(LET(ev_cost,INDEX(Events!$G$5:$G$505,MATCH(G553,Events!$A$5:$A$505,0)),ev_split,INDEX(Events!$I$5:$I$505,MATCH(G553,Events!$A$5:$A$505,0)),att_offset,MATCH(G553,Attendance!$B$3:$AY$3,0),attendees,COUNTIF(INDEX(Attendance!$B$7:$AY$206,0,att_offset),"1"),IF(ev_split="Equal Split",ev_cost/MAX(1,COUNTA(Roster!$A$5:$A$204)),ev_cost/MAX(1,attendees))),"N/A"))</f>
        <v/>
      </c>
    </row>
    <row r="554" ht="20" customHeight="1">
      <c r="A554" s="12" t="n"/>
      <c r="B554" s="10" t="n"/>
      <c r="C554" s="10" t="n"/>
      <c r="D554" s="10" t="n"/>
      <c r="E554" s="10" t="n"/>
      <c r="F554" s="13" t="n"/>
      <c r="G554" s="10" t="n"/>
      <c r="H554" s="10" t="n"/>
      <c r="I554" s="10" t="n"/>
      <c r="J554" s="108">
        <f>IF(G554="","",IFERROR(LET(ev_cost,INDEX(Events!$G$5:$G$505,MATCH(G554,Events!$A$5:$A$505,0)),ev_split,INDEX(Events!$I$5:$I$505,MATCH(G554,Events!$A$5:$A$505,0)),att_offset,MATCH(G554,Attendance!$B$3:$AY$3,0),attendees,COUNTIF(INDEX(Attendance!$B$7:$AY$206,0,att_offset),"1"),IF(ev_split="Equal Split",ev_cost/MAX(1,COUNTA(Roster!$A$5:$A$204)),ev_cost/MAX(1,attendees))),"N/A"))</f>
        <v/>
      </c>
    </row>
    <row r="555" ht="20" customHeight="1">
      <c r="A555" s="16" t="n"/>
      <c r="B555" s="14" t="n"/>
      <c r="C555" s="14" t="n"/>
      <c r="D555" s="14" t="n"/>
      <c r="E555" s="14" t="n"/>
      <c r="F555" s="17" t="n"/>
      <c r="G555" s="14" t="n"/>
      <c r="H555" s="14" t="n"/>
      <c r="I555" s="14" t="n"/>
      <c r="J555" s="108">
        <f>IF(G555="","",IFERROR(LET(ev_cost,INDEX(Events!$G$5:$G$505,MATCH(G555,Events!$A$5:$A$505,0)),ev_split,INDEX(Events!$I$5:$I$505,MATCH(G555,Events!$A$5:$A$505,0)),att_offset,MATCH(G555,Attendance!$B$3:$AY$3,0),attendees,COUNTIF(INDEX(Attendance!$B$7:$AY$206,0,att_offset),"1"),IF(ev_split="Equal Split",ev_cost/MAX(1,COUNTA(Roster!$A$5:$A$204)),ev_cost/MAX(1,attendees))),"N/A"))</f>
        <v/>
      </c>
    </row>
    <row r="556" ht="20" customHeight="1">
      <c r="A556" s="12" t="n"/>
      <c r="B556" s="10" t="n"/>
      <c r="C556" s="10" t="n"/>
      <c r="D556" s="10" t="n"/>
      <c r="E556" s="10" t="n"/>
      <c r="F556" s="13" t="n"/>
      <c r="G556" s="10" t="n"/>
      <c r="H556" s="10" t="n"/>
      <c r="I556" s="10" t="n"/>
      <c r="J556" s="108">
        <f>IF(G556="","",IFERROR(LET(ev_cost,INDEX(Events!$G$5:$G$505,MATCH(G556,Events!$A$5:$A$505,0)),ev_split,INDEX(Events!$I$5:$I$505,MATCH(G556,Events!$A$5:$A$505,0)),att_offset,MATCH(G556,Attendance!$B$3:$AY$3,0),attendees,COUNTIF(INDEX(Attendance!$B$7:$AY$206,0,att_offset),"1"),IF(ev_split="Equal Split",ev_cost/MAX(1,COUNTA(Roster!$A$5:$A$204)),ev_cost/MAX(1,attendees))),"N/A"))</f>
        <v/>
      </c>
    </row>
    <row r="557" ht="20" customHeight="1">
      <c r="A557" s="16" t="n"/>
      <c r="B557" s="14" t="n"/>
      <c r="C557" s="14" t="n"/>
      <c r="D557" s="14" t="n"/>
      <c r="E557" s="14" t="n"/>
      <c r="F557" s="17" t="n"/>
      <c r="G557" s="14" t="n"/>
      <c r="H557" s="14" t="n"/>
      <c r="I557" s="14" t="n"/>
      <c r="J557" s="108">
        <f>IF(G557="","",IFERROR(LET(ev_cost,INDEX(Events!$G$5:$G$505,MATCH(G557,Events!$A$5:$A$505,0)),ev_split,INDEX(Events!$I$5:$I$505,MATCH(G557,Events!$A$5:$A$505,0)),att_offset,MATCH(G557,Attendance!$B$3:$AY$3,0),attendees,COUNTIF(INDEX(Attendance!$B$7:$AY$206,0,att_offset),"1"),IF(ev_split="Equal Split",ev_cost/MAX(1,COUNTA(Roster!$A$5:$A$204)),ev_cost/MAX(1,attendees))),"N/A"))</f>
        <v/>
      </c>
    </row>
    <row r="558" ht="20" customHeight="1">
      <c r="A558" s="12" t="n"/>
      <c r="B558" s="10" t="n"/>
      <c r="C558" s="10" t="n"/>
      <c r="D558" s="10" t="n"/>
      <c r="E558" s="10" t="n"/>
      <c r="F558" s="13" t="n"/>
      <c r="G558" s="10" t="n"/>
      <c r="H558" s="10" t="n"/>
      <c r="I558" s="10" t="n"/>
      <c r="J558" s="108">
        <f>IF(G558="","",IFERROR(LET(ev_cost,INDEX(Events!$G$5:$G$505,MATCH(G558,Events!$A$5:$A$505,0)),ev_split,INDEX(Events!$I$5:$I$505,MATCH(G558,Events!$A$5:$A$505,0)),att_offset,MATCH(G558,Attendance!$B$3:$AY$3,0),attendees,COUNTIF(INDEX(Attendance!$B$7:$AY$206,0,att_offset),"1"),IF(ev_split="Equal Split",ev_cost/MAX(1,COUNTA(Roster!$A$5:$A$204)),ev_cost/MAX(1,attendees))),"N/A"))</f>
        <v/>
      </c>
    </row>
    <row r="559" ht="20" customHeight="1">
      <c r="A559" s="16" t="n"/>
      <c r="B559" s="14" t="n"/>
      <c r="C559" s="14" t="n"/>
      <c r="D559" s="14" t="n"/>
      <c r="E559" s="14" t="n"/>
      <c r="F559" s="17" t="n"/>
      <c r="G559" s="14" t="n"/>
      <c r="H559" s="14" t="n"/>
      <c r="I559" s="14" t="n"/>
      <c r="J559" s="108">
        <f>IF(G559="","",IFERROR(LET(ev_cost,INDEX(Events!$G$5:$G$505,MATCH(G559,Events!$A$5:$A$505,0)),ev_split,INDEX(Events!$I$5:$I$505,MATCH(G559,Events!$A$5:$A$505,0)),att_offset,MATCH(G559,Attendance!$B$3:$AY$3,0),attendees,COUNTIF(INDEX(Attendance!$B$7:$AY$206,0,att_offset),"1"),IF(ev_split="Equal Split",ev_cost/MAX(1,COUNTA(Roster!$A$5:$A$204)),ev_cost/MAX(1,attendees))),"N/A"))</f>
        <v/>
      </c>
    </row>
    <row r="560" ht="20" customHeight="1">
      <c r="A560" s="12" t="n"/>
      <c r="B560" s="10" t="n"/>
      <c r="C560" s="10" t="n"/>
      <c r="D560" s="10" t="n"/>
      <c r="E560" s="10" t="n"/>
      <c r="F560" s="13" t="n"/>
      <c r="G560" s="10" t="n"/>
      <c r="H560" s="10" t="n"/>
      <c r="I560" s="10" t="n"/>
      <c r="J560" s="108">
        <f>IF(G560="","",IFERROR(LET(ev_cost,INDEX(Events!$G$5:$G$505,MATCH(G560,Events!$A$5:$A$505,0)),ev_split,INDEX(Events!$I$5:$I$505,MATCH(G560,Events!$A$5:$A$505,0)),att_offset,MATCH(G560,Attendance!$B$3:$AY$3,0),attendees,COUNTIF(INDEX(Attendance!$B$7:$AY$206,0,att_offset),"1"),IF(ev_split="Equal Split",ev_cost/MAX(1,COUNTA(Roster!$A$5:$A$204)),ev_cost/MAX(1,attendees))),"N/A"))</f>
        <v/>
      </c>
    </row>
    <row r="561" ht="20" customHeight="1">
      <c r="A561" s="16" t="n"/>
      <c r="B561" s="14" t="n"/>
      <c r="C561" s="14" t="n"/>
      <c r="D561" s="14" t="n"/>
      <c r="E561" s="14" t="n"/>
      <c r="F561" s="17" t="n"/>
      <c r="G561" s="14" t="n"/>
      <c r="H561" s="14" t="n"/>
      <c r="I561" s="14" t="n"/>
      <c r="J561" s="108">
        <f>IF(G561="","",IFERROR(LET(ev_cost,INDEX(Events!$G$5:$G$505,MATCH(G561,Events!$A$5:$A$505,0)),ev_split,INDEX(Events!$I$5:$I$505,MATCH(G561,Events!$A$5:$A$505,0)),att_offset,MATCH(G561,Attendance!$B$3:$AY$3,0),attendees,COUNTIF(INDEX(Attendance!$B$7:$AY$206,0,att_offset),"1"),IF(ev_split="Equal Split",ev_cost/MAX(1,COUNTA(Roster!$A$5:$A$204)),ev_cost/MAX(1,attendees))),"N/A"))</f>
        <v/>
      </c>
    </row>
    <row r="562" ht="20" customHeight="1">
      <c r="A562" s="12" t="n"/>
      <c r="B562" s="10" t="n"/>
      <c r="C562" s="10" t="n"/>
      <c r="D562" s="10" t="n"/>
      <c r="E562" s="10" t="n"/>
      <c r="F562" s="13" t="n"/>
      <c r="G562" s="10" t="n"/>
      <c r="H562" s="10" t="n"/>
      <c r="I562" s="10" t="n"/>
      <c r="J562" s="108">
        <f>IF(G562="","",IFERROR(LET(ev_cost,INDEX(Events!$G$5:$G$505,MATCH(G562,Events!$A$5:$A$505,0)),ev_split,INDEX(Events!$I$5:$I$505,MATCH(G562,Events!$A$5:$A$505,0)),att_offset,MATCH(G562,Attendance!$B$3:$AY$3,0),attendees,COUNTIF(INDEX(Attendance!$B$7:$AY$206,0,att_offset),"1"),IF(ev_split="Equal Split",ev_cost/MAX(1,COUNTA(Roster!$A$5:$A$204)),ev_cost/MAX(1,attendees))),"N/A"))</f>
        <v/>
      </c>
    </row>
    <row r="563" ht="20" customHeight="1">
      <c r="A563" s="16" t="n"/>
      <c r="B563" s="14" t="n"/>
      <c r="C563" s="14" t="n"/>
      <c r="D563" s="14" t="n"/>
      <c r="E563" s="14" t="n"/>
      <c r="F563" s="17" t="n"/>
      <c r="G563" s="14" t="n"/>
      <c r="H563" s="14" t="n"/>
      <c r="I563" s="14" t="n"/>
      <c r="J563" s="108">
        <f>IF(G563="","",IFERROR(LET(ev_cost,INDEX(Events!$G$5:$G$505,MATCH(G563,Events!$A$5:$A$505,0)),ev_split,INDEX(Events!$I$5:$I$505,MATCH(G563,Events!$A$5:$A$505,0)),att_offset,MATCH(G563,Attendance!$B$3:$AY$3,0),attendees,COUNTIF(INDEX(Attendance!$B$7:$AY$206,0,att_offset),"1"),IF(ev_split="Equal Split",ev_cost/MAX(1,COUNTA(Roster!$A$5:$A$204)),ev_cost/MAX(1,attendees))),"N/A"))</f>
        <v/>
      </c>
    </row>
    <row r="564" ht="20" customHeight="1">
      <c r="A564" s="12" t="n"/>
      <c r="B564" s="10" t="n"/>
      <c r="C564" s="10" t="n"/>
      <c r="D564" s="10" t="n"/>
      <c r="E564" s="10" t="n"/>
      <c r="F564" s="13" t="n"/>
      <c r="G564" s="10" t="n"/>
      <c r="H564" s="10" t="n"/>
      <c r="I564" s="10" t="n"/>
      <c r="J564" s="108">
        <f>IF(G564="","",IFERROR(LET(ev_cost,INDEX(Events!$G$5:$G$505,MATCH(G564,Events!$A$5:$A$505,0)),ev_split,INDEX(Events!$I$5:$I$505,MATCH(G564,Events!$A$5:$A$505,0)),att_offset,MATCH(G564,Attendance!$B$3:$AY$3,0),attendees,COUNTIF(INDEX(Attendance!$B$7:$AY$206,0,att_offset),"1"),IF(ev_split="Equal Split",ev_cost/MAX(1,COUNTA(Roster!$A$5:$A$204)),ev_cost/MAX(1,attendees))),"N/A"))</f>
        <v/>
      </c>
    </row>
    <row r="565" ht="20" customHeight="1">
      <c r="A565" s="16" t="n"/>
      <c r="B565" s="14" t="n"/>
      <c r="C565" s="14" t="n"/>
      <c r="D565" s="14" t="n"/>
      <c r="E565" s="14" t="n"/>
      <c r="F565" s="17" t="n"/>
      <c r="G565" s="14" t="n"/>
      <c r="H565" s="14" t="n"/>
      <c r="I565" s="14" t="n"/>
      <c r="J565" s="108">
        <f>IF(G565="","",IFERROR(LET(ev_cost,INDEX(Events!$G$5:$G$505,MATCH(G565,Events!$A$5:$A$505,0)),ev_split,INDEX(Events!$I$5:$I$505,MATCH(G565,Events!$A$5:$A$505,0)),att_offset,MATCH(G565,Attendance!$B$3:$AY$3,0),attendees,COUNTIF(INDEX(Attendance!$B$7:$AY$206,0,att_offset),"1"),IF(ev_split="Equal Split",ev_cost/MAX(1,COUNTA(Roster!$A$5:$A$204)),ev_cost/MAX(1,attendees))),"N/A"))</f>
        <v/>
      </c>
    </row>
    <row r="566" ht="20" customHeight="1">
      <c r="A566" s="12" t="n"/>
      <c r="B566" s="10" t="n"/>
      <c r="C566" s="10" t="n"/>
      <c r="D566" s="10" t="n"/>
      <c r="E566" s="10" t="n"/>
      <c r="F566" s="13" t="n"/>
      <c r="G566" s="10" t="n"/>
      <c r="H566" s="10" t="n"/>
      <c r="I566" s="10" t="n"/>
      <c r="J566" s="108">
        <f>IF(G566="","",IFERROR(LET(ev_cost,INDEX(Events!$G$5:$G$505,MATCH(G566,Events!$A$5:$A$505,0)),ev_split,INDEX(Events!$I$5:$I$505,MATCH(G566,Events!$A$5:$A$505,0)),att_offset,MATCH(G566,Attendance!$B$3:$AY$3,0),attendees,COUNTIF(INDEX(Attendance!$B$7:$AY$206,0,att_offset),"1"),IF(ev_split="Equal Split",ev_cost/MAX(1,COUNTA(Roster!$A$5:$A$204)),ev_cost/MAX(1,attendees))),"N/A"))</f>
        <v/>
      </c>
    </row>
    <row r="567" ht="20" customHeight="1">
      <c r="A567" s="16" t="n"/>
      <c r="B567" s="14" t="n"/>
      <c r="C567" s="14" t="n"/>
      <c r="D567" s="14" t="n"/>
      <c r="E567" s="14" t="n"/>
      <c r="F567" s="17" t="n"/>
      <c r="G567" s="14" t="n"/>
      <c r="H567" s="14" t="n"/>
      <c r="I567" s="14" t="n"/>
      <c r="J567" s="108">
        <f>IF(G567="","",IFERROR(LET(ev_cost,INDEX(Events!$G$5:$G$505,MATCH(G567,Events!$A$5:$A$505,0)),ev_split,INDEX(Events!$I$5:$I$505,MATCH(G567,Events!$A$5:$A$505,0)),att_offset,MATCH(G567,Attendance!$B$3:$AY$3,0),attendees,COUNTIF(INDEX(Attendance!$B$7:$AY$206,0,att_offset),"1"),IF(ev_split="Equal Split",ev_cost/MAX(1,COUNTA(Roster!$A$5:$A$204)),ev_cost/MAX(1,attendees))),"N/A"))</f>
        <v/>
      </c>
    </row>
    <row r="568" ht="20" customHeight="1">
      <c r="A568" s="12" t="n"/>
      <c r="B568" s="10" t="n"/>
      <c r="C568" s="10" t="n"/>
      <c r="D568" s="10" t="n"/>
      <c r="E568" s="10" t="n"/>
      <c r="F568" s="13" t="n"/>
      <c r="G568" s="10" t="n"/>
      <c r="H568" s="10" t="n"/>
      <c r="I568" s="10" t="n"/>
      <c r="J568" s="108">
        <f>IF(G568="","",IFERROR(LET(ev_cost,INDEX(Events!$G$5:$G$505,MATCH(G568,Events!$A$5:$A$505,0)),ev_split,INDEX(Events!$I$5:$I$505,MATCH(G568,Events!$A$5:$A$505,0)),att_offset,MATCH(G568,Attendance!$B$3:$AY$3,0),attendees,COUNTIF(INDEX(Attendance!$B$7:$AY$206,0,att_offset),"1"),IF(ev_split="Equal Split",ev_cost/MAX(1,COUNTA(Roster!$A$5:$A$204)),ev_cost/MAX(1,attendees))),"N/A"))</f>
        <v/>
      </c>
    </row>
    <row r="569" ht="20" customHeight="1">
      <c r="A569" s="16" t="n"/>
      <c r="B569" s="14" t="n"/>
      <c r="C569" s="14" t="n"/>
      <c r="D569" s="14" t="n"/>
      <c r="E569" s="14" t="n"/>
      <c r="F569" s="17" t="n"/>
      <c r="G569" s="14" t="n"/>
      <c r="H569" s="14" t="n"/>
      <c r="I569" s="14" t="n"/>
      <c r="J569" s="108">
        <f>IF(G569="","",IFERROR(LET(ev_cost,INDEX(Events!$G$5:$G$505,MATCH(G569,Events!$A$5:$A$505,0)),ev_split,INDEX(Events!$I$5:$I$505,MATCH(G569,Events!$A$5:$A$505,0)),att_offset,MATCH(G569,Attendance!$B$3:$AY$3,0),attendees,COUNTIF(INDEX(Attendance!$B$7:$AY$206,0,att_offset),"1"),IF(ev_split="Equal Split",ev_cost/MAX(1,COUNTA(Roster!$A$5:$A$204)),ev_cost/MAX(1,attendees))),"N/A"))</f>
        <v/>
      </c>
    </row>
    <row r="570" ht="20" customHeight="1">
      <c r="A570" s="12" t="n"/>
      <c r="B570" s="10" t="n"/>
      <c r="C570" s="10" t="n"/>
      <c r="D570" s="10" t="n"/>
      <c r="E570" s="10" t="n"/>
      <c r="F570" s="13" t="n"/>
      <c r="G570" s="10" t="n"/>
      <c r="H570" s="10" t="n"/>
      <c r="I570" s="10" t="n"/>
      <c r="J570" s="108">
        <f>IF(G570="","",IFERROR(LET(ev_cost,INDEX(Events!$G$5:$G$505,MATCH(G570,Events!$A$5:$A$505,0)),ev_split,INDEX(Events!$I$5:$I$505,MATCH(G570,Events!$A$5:$A$505,0)),att_offset,MATCH(G570,Attendance!$B$3:$AY$3,0),attendees,COUNTIF(INDEX(Attendance!$B$7:$AY$206,0,att_offset),"1"),IF(ev_split="Equal Split",ev_cost/MAX(1,COUNTA(Roster!$A$5:$A$204)),ev_cost/MAX(1,attendees))),"N/A"))</f>
        <v/>
      </c>
    </row>
    <row r="571" ht="20" customHeight="1">
      <c r="A571" s="16" t="n"/>
      <c r="B571" s="14" t="n"/>
      <c r="C571" s="14" t="n"/>
      <c r="D571" s="14" t="n"/>
      <c r="E571" s="14" t="n"/>
      <c r="F571" s="17" t="n"/>
      <c r="G571" s="14" t="n"/>
      <c r="H571" s="14" t="n"/>
      <c r="I571" s="14" t="n"/>
      <c r="J571" s="108">
        <f>IF(G571="","",IFERROR(LET(ev_cost,INDEX(Events!$G$5:$G$505,MATCH(G571,Events!$A$5:$A$505,0)),ev_split,INDEX(Events!$I$5:$I$505,MATCH(G571,Events!$A$5:$A$505,0)),att_offset,MATCH(G571,Attendance!$B$3:$AY$3,0),attendees,COUNTIF(INDEX(Attendance!$B$7:$AY$206,0,att_offset),"1"),IF(ev_split="Equal Split",ev_cost/MAX(1,COUNTA(Roster!$A$5:$A$204)),ev_cost/MAX(1,attendees))),"N/A"))</f>
        <v/>
      </c>
    </row>
    <row r="572" ht="20" customHeight="1">
      <c r="A572" s="12" t="n"/>
      <c r="B572" s="10" t="n"/>
      <c r="C572" s="10" t="n"/>
      <c r="D572" s="10" t="n"/>
      <c r="E572" s="10" t="n"/>
      <c r="F572" s="13" t="n"/>
      <c r="G572" s="10" t="n"/>
      <c r="H572" s="10" t="n"/>
      <c r="I572" s="10" t="n"/>
      <c r="J572" s="108">
        <f>IF(G572="","",IFERROR(LET(ev_cost,INDEX(Events!$G$5:$G$505,MATCH(G572,Events!$A$5:$A$505,0)),ev_split,INDEX(Events!$I$5:$I$505,MATCH(G572,Events!$A$5:$A$505,0)),att_offset,MATCH(G572,Attendance!$B$3:$AY$3,0),attendees,COUNTIF(INDEX(Attendance!$B$7:$AY$206,0,att_offset),"1"),IF(ev_split="Equal Split",ev_cost/MAX(1,COUNTA(Roster!$A$5:$A$204)),ev_cost/MAX(1,attendees))),"N/A"))</f>
        <v/>
      </c>
    </row>
    <row r="573" ht="20" customHeight="1">
      <c r="A573" s="16" t="n"/>
      <c r="B573" s="14" t="n"/>
      <c r="C573" s="14" t="n"/>
      <c r="D573" s="14" t="n"/>
      <c r="E573" s="14" t="n"/>
      <c r="F573" s="17" t="n"/>
      <c r="G573" s="14" t="n"/>
      <c r="H573" s="14" t="n"/>
      <c r="I573" s="14" t="n"/>
      <c r="J573" s="108">
        <f>IF(G573="","",IFERROR(LET(ev_cost,INDEX(Events!$G$5:$G$505,MATCH(G573,Events!$A$5:$A$505,0)),ev_split,INDEX(Events!$I$5:$I$505,MATCH(G573,Events!$A$5:$A$505,0)),att_offset,MATCH(G573,Attendance!$B$3:$AY$3,0),attendees,COUNTIF(INDEX(Attendance!$B$7:$AY$206,0,att_offset),"1"),IF(ev_split="Equal Split",ev_cost/MAX(1,COUNTA(Roster!$A$5:$A$204)),ev_cost/MAX(1,attendees))),"N/A"))</f>
        <v/>
      </c>
    </row>
    <row r="574" ht="20" customHeight="1">
      <c r="A574" s="12" t="n"/>
      <c r="B574" s="10" t="n"/>
      <c r="C574" s="10" t="n"/>
      <c r="D574" s="10" t="n"/>
      <c r="E574" s="10" t="n"/>
      <c r="F574" s="13" t="n"/>
      <c r="G574" s="10" t="n"/>
      <c r="H574" s="10" t="n"/>
      <c r="I574" s="10" t="n"/>
      <c r="J574" s="108">
        <f>IF(G574="","",IFERROR(LET(ev_cost,INDEX(Events!$G$5:$G$505,MATCH(G574,Events!$A$5:$A$505,0)),ev_split,INDEX(Events!$I$5:$I$505,MATCH(G574,Events!$A$5:$A$505,0)),att_offset,MATCH(G574,Attendance!$B$3:$AY$3,0),attendees,COUNTIF(INDEX(Attendance!$B$7:$AY$206,0,att_offset),"1"),IF(ev_split="Equal Split",ev_cost/MAX(1,COUNTA(Roster!$A$5:$A$204)),ev_cost/MAX(1,attendees))),"N/A"))</f>
        <v/>
      </c>
    </row>
    <row r="575" ht="20" customHeight="1">
      <c r="A575" s="16" t="n"/>
      <c r="B575" s="14" t="n"/>
      <c r="C575" s="14" t="n"/>
      <c r="D575" s="14" t="n"/>
      <c r="E575" s="14" t="n"/>
      <c r="F575" s="17" t="n"/>
      <c r="G575" s="14" t="n"/>
      <c r="H575" s="14" t="n"/>
      <c r="I575" s="14" t="n"/>
      <c r="J575" s="108">
        <f>IF(G575="","",IFERROR(LET(ev_cost,INDEX(Events!$G$5:$G$505,MATCH(G575,Events!$A$5:$A$505,0)),ev_split,INDEX(Events!$I$5:$I$505,MATCH(G575,Events!$A$5:$A$505,0)),att_offset,MATCH(G575,Attendance!$B$3:$AY$3,0),attendees,COUNTIF(INDEX(Attendance!$B$7:$AY$206,0,att_offset),"1"),IF(ev_split="Equal Split",ev_cost/MAX(1,COUNTA(Roster!$A$5:$A$204)),ev_cost/MAX(1,attendees))),"N/A"))</f>
        <v/>
      </c>
    </row>
    <row r="576" ht="20" customHeight="1">
      <c r="A576" s="12" t="n"/>
      <c r="B576" s="10" t="n"/>
      <c r="C576" s="10" t="n"/>
      <c r="D576" s="10" t="n"/>
      <c r="E576" s="10" t="n"/>
      <c r="F576" s="13" t="n"/>
      <c r="G576" s="10" t="n"/>
      <c r="H576" s="10" t="n"/>
      <c r="I576" s="10" t="n"/>
      <c r="J576" s="108">
        <f>IF(G576="","",IFERROR(LET(ev_cost,INDEX(Events!$G$5:$G$505,MATCH(G576,Events!$A$5:$A$505,0)),ev_split,INDEX(Events!$I$5:$I$505,MATCH(G576,Events!$A$5:$A$505,0)),att_offset,MATCH(G576,Attendance!$B$3:$AY$3,0),attendees,COUNTIF(INDEX(Attendance!$B$7:$AY$206,0,att_offset),"1"),IF(ev_split="Equal Split",ev_cost/MAX(1,COUNTA(Roster!$A$5:$A$204)),ev_cost/MAX(1,attendees))),"N/A"))</f>
        <v/>
      </c>
    </row>
    <row r="577" ht="20" customHeight="1">
      <c r="A577" s="16" t="n"/>
      <c r="B577" s="14" t="n"/>
      <c r="C577" s="14" t="n"/>
      <c r="D577" s="14" t="n"/>
      <c r="E577" s="14" t="n"/>
      <c r="F577" s="17" t="n"/>
      <c r="G577" s="14" t="n"/>
      <c r="H577" s="14" t="n"/>
      <c r="I577" s="14" t="n"/>
      <c r="J577" s="108">
        <f>IF(G577="","",IFERROR(LET(ev_cost,INDEX(Events!$G$5:$G$505,MATCH(G577,Events!$A$5:$A$505,0)),ev_split,INDEX(Events!$I$5:$I$505,MATCH(G577,Events!$A$5:$A$505,0)),att_offset,MATCH(G577,Attendance!$B$3:$AY$3,0),attendees,COUNTIF(INDEX(Attendance!$B$7:$AY$206,0,att_offset),"1"),IF(ev_split="Equal Split",ev_cost/MAX(1,COUNTA(Roster!$A$5:$A$204)),ev_cost/MAX(1,attendees))),"N/A"))</f>
        <v/>
      </c>
    </row>
    <row r="578" ht="20" customHeight="1">
      <c r="A578" s="12" t="n"/>
      <c r="B578" s="10" t="n"/>
      <c r="C578" s="10" t="n"/>
      <c r="D578" s="10" t="n"/>
      <c r="E578" s="10" t="n"/>
      <c r="F578" s="13" t="n"/>
      <c r="G578" s="10" t="n"/>
      <c r="H578" s="10" t="n"/>
      <c r="I578" s="10" t="n"/>
      <c r="J578" s="108">
        <f>IF(G578="","",IFERROR(LET(ev_cost,INDEX(Events!$G$5:$G$505,MATCH(G578,Events!$A$5:$A$505,0)),ev_split,INDEX(Events!$I$5:$I$505,MATCH(G578,Events!$A$5:$A$505,0)),att_offset,MATCH(G578,Attendance!$B$3:$AY$3,0),attendees,COUNTIF(INDEX(Attendance!$B$7:$AY$206,0,att_offset),"1"),IF(ev_split="Equal Split",ev_cost/MAX(1,COUNTA(Roster!$A$5:$A$204)),ev_cost/MAX(1,attendees))),"N/A"))</f>
        <v/>
      </c>
    </row>
    <row r="579" ht="20" customHeight="1">
      <c r="A579" s="16" t="n"/>
      <c r="B579" s="14" t="n"/>
      <c r="C579" s="14" t="n"/>
      <c r="D579" s="14" t="n"/>
      <c r="E579" s="14" t="n"/>
      <c r="F579" s="17" t="n"/>
      <c r="G579" s="14" t="n"/>
      <c r="H579" s="14" t="n"/>
      <c r="I579" s="14" t="n"/>
      <c r="J579" s="108">
        <f>IF(G579="","",IFERROR(LET(ev_cost,INDEX(Events!$G$5:$G$505,MATCH(G579,Events!$A$5:$A$505,0)),ev_split,INDEX(Events!$I$5:$I$505,MATCH(G579,Events!$A$5:$A$505,0)),att_offset,MATCH(G579,Attendance!$B$3:$AY$3,0),attendees,COUNTIF(INDEX(Attendance!$B$7:$AY$206,0,att_offset),"1"),IF(ev_split="Equal Split",ev_cost/MAX(1,COUNTA(Roster!$A$5:$A$204)),ev_cost/MAX(1,attendees))),"N/A"))</f>
        <v/>
      </c>
    </row>
    <row r="580" ht="20" customHeight="1">
      <c r="A580" s="12" t="n"/>
      <c r="B580" s="10" t="n"/>
      <c r="C580" s="10" t="n"/>
      <c r="D580" s="10" t="n"/>
      <c r="E580" s="10" t="n"/>
      <c r="F580" s="13" t="n"/>
      <c r="G580" s="10" t="n"/>
      <c r="H580" s="10" t="n"/>
      <c r="I580" s="10" t="n"/>
      <c r="J580" s="108">
        <f>IF(G580="","",IFERROR(LET(ev_cost,INDEX(Events!$G$5:$G$505,MATCH(G580,Events!$A$5:$A$505,0)),ev_split,INDEX(Events!$I$5:$I$505,MATCH(G580,Events!$A$5:$A$505,0)),att_offset,MATCH(G580,Attendance!$B$3:$AY$3,0),attendees,COUNTIF(INDEX(Attendance!$B$7:$AY$206,0,att_offset),"1"),IF(ev_split="Equal Split",ev_cost/MAX(1,COUNTA(Roster!$A$5:$A$204)),ev_cost/MAX(1,attendees))),"N/A"))</f>
        <v/>
      </c>
    </row>
    <row r="581" ht="20" customHeight="1">
      <c r="A581" s="16" t="n"/>
      <c r="B581" s="14" t="n"/>
      <c r="C581" s="14" t="n"/>
      <c r="D581" s="14" t="n"/>
      <c r="E581" s="14" t="n"/>
      <c r="F581" s="17" t="n"/>
      <c r="G581" s="14" t="n"/>
      <c r="H581" s="14" t="n"/>
      <c r="I581" s="14" t="n"/>
      <c r="J581" s="108">
        <f>IF(G581="","",IFERROR(LET(ev_cost,INDEX(Events!$G$5:$G$505,MATCH(G581,Events!$A$5:$A$505,0)),ev_split,INDEX(Events!$I$5:$I$505,MATCH(G581,Events!$A$5:$A$505,0)),att_offset,MATCH(G581,Attendance!$B$3:$AY$3,0),attendees,COUNTIF(INDEX(Attendance!$B$7:$AY$206,0,att_offset),"1"),IF(ev_split="Equal Split",ev_cost/MAX(1,COUNTA(Roster!$A$5:$A$204)),ev_cost/MAX(1,attendees))),"N/A"))</f>
        <v/>
      </c>
    </row>
    <row r="582" ht="20" customHeight="1">
      <c r="A582" s="12" t="n"/>
      <c r="B582" s="10" t="n"/>
      <c r="C582" s="10" t="n"/>
      <c r="D582" s="10" t="n"/>
      <c r="E582" s="10" t="n"/>
      <c r="F582" s="13" t="n"/>
      <c r="G582" s="10" t="n"/>
      <c r="H582" s="10" t="n"/>
      <c r="I582" s="10" t="n"/>
      <c r="J582" s="108">
        <f>IF(G582="","",IFERROR(LET(ev_cost,INDEX(Events!$G$5:$G$505,MATCH(G582,Events!$A$5:$A$505,0)),ev_split,INDEX(Events!$I$5:$I$505,MATCH(G582,Events!$A$5:$A$505,0)),att_offset,MATCH(G582,Attendance!$B$3:$AY$3,0),attendees,COUNTIF(INDEX(Attendance!$B$7:$AY$206,0,att_offset),"1"),IF(ev_split="Equal Split",ev_cost/MAX(1,COUNTA(Roster!$A$5:$A$204)),ev_cost/MAX(1,attendees))),"N/A"))</f>
        <v/>
      </c>
    </row>
    <row r="583" ht="20" customHeight="1">
      <c r="A583" s="16" t="n"/>
      <c r="B583" s="14" t="n"/>
      <c r="C583" s="14" t="n"/>
      <c r="D583" s="14" t="n"/>
      <c r="E583" s="14" t="n"/>
      <c r="F583" s="17" t="n"/>
      <c r="G583" s="14" t="n"/>
      <c r="H583" s="14" t="n"/>
      <c r="I583" s="14" t="n"/>
      <c r="J583" s="108">
        <f>IF(G583="","",IFERROR(LET(ev_cost,INDEX(Events!$G$5:$G$505,MATCH(G583,Events!$A$5:$A$505,0)),ev_split,INDEX(Events!$I$5:$I$505,MATCH(G583,Events!$A$5:$A$505,0)),att_offset,MATCH(G583,Attendance!$B$3:$AY$3,0),attendees,COUNTIF(INDEX(Attendance!$B$7:$AY$206,0,att_offset),"1"),IF(ev_split="Equal Split",ev_cost/MAX(1,COUNTA(Roster!$A$5:$A$204)),ev_cost/MAX(1,attendees))),"N/A"))</f>
        <v/>
      </c>
    </row>
    <row r="584" ht="20" customHeight="1">
      <c r="A584" s="12" t="n"/>
      <c r="B584" s="10" t="n"/>
      <c r="C584" s="10" t="n"/>
      <c r="D584" s="10" t="n"/>
      <c r="E584" s="10" t="n"/>
      <c r="F584" s="13" t="n"/>
      <c r="G584" s="10" t="n"/>
      <c r="H584" s="10" t="n"/>
      <c r="I584" s="10" t="n"/>
      <c r="J584" s="108">
        <f>IF(G584="","",IFERROR(LET(ev_cost,INDEX(Events!$G$5:$G$505,MATCH(G584,Events!$A$5:$A$505,0)),ev_split,INDEX(Events!$I$5:$I$505,MATCH(G584,Events!$A$5:$A$505,0)),att_offset,MATCH(G584,Attendance!$B$3:$AY$3,0),attendees,COUNTIF(INDEX(Attendance!$B$7:$AY$206,0,att_offset),"1"),IF(ev_split="Equal Split",ev_cost/MAX(1,COUNTA(Roster!$A$5:$A$204)),ev_cost/MAX(1,attendees))),"N/A"))</f>
        <v/>
      </c>
    </row>
    <row r="585" ht="20" customHeight="1">
      <c r="A585" s="16" t="n"/>
      <c r="B585" s="14" t="n"/>
      <c r="C585" s="14" t="n"/>
      <c r="D585" s="14" t="n"/>
      <c r="E585" s="14" t="n"/>
      <c r="F585" s="17" t="n"/>
      <c r="G585" s="14" t="n"/>
      <c r="H585" s="14" t="n"/>
      <c r="I585" s="14" t="n"/>
      <c r="J585" s="108">
        <f>IF(G585="","",IFERROR(LET(ev_cost,INDEX(Events!$G$5:$G$505,MATCH(G585,Events!$A$5:$A$505,0)),ev_split,INDEX(Events!$I$5:$I$505,MATCH(G585,Events!$A$5:$A$505,0)),att_offset,MATCH(G585,Attendance!$B$3:$AY$3,0),attendees,COUNTIF(INDEX(Attendance!$B$7:$AY$206,0,att_offset),"1"),IF(ev_split="Equal Split",ev_cost/MAX(1,COUNTA(Roster!$A$5:$A$204)),ev_cost/MAX(1,attendees))),"N/A"))</f>
        <v/>
      </c>
    </row>
    <row r="586" ht="20" customHeight="1">
      <c r="A586" s="12" t="n"/>
      <c r="B586" s="10" t="n"/>
      <c r="C586" s="10" t="n"/>
      <c r="D586" s="10" t="n"/>
      <c r="E586" s="10" t="n"/>
      <c r="F586" s="13" t="n"/>
      <c r="G586" s="10" t="n"/>
      <c r="H586" s="10" t="n"/>
      <c r="I586" s="10" t="n"/>
      <c r="J586" s="108">
        <f>IF(G586="","",IFERROR(LET(ev_cost,INDEX(Events!$G$5:$G$505,MATCH(G586,Events!$A$5:$A$505,0)),ev_split,INDEX(Events!$I$5:$I$505,MATCH(G586,Events!$A$5:$A$505,0)),att_offset,MATCH(G586,Attendance!$B$3:$AY$3,0),attendees,COUNTIF(INDEX(Attendance!$B$7:$AY$206,0,att_offset),"1"),IF(ev_split="Equal Split",ev_cost/MAX(1,COUNTA(Roster!$A$5:$A$204)),ev_cost/MAX(1,attendees))),"N/A"))</f>
        <v/>
      </c>
    </row>
    <row r="587" ht="20" customHeight="1">
      <c r="A587" s="16" t="n"/>
      <c r="B587" s="14" t="n"/>
      <c r="C587" s="14" t="n"/>
      <c r="D587" s="14" t="n"/>
      <c r="E587" s="14" t="n"/>
      <c r="F587" s="17" t="n"/>
      <c r="G587" s="14" t="n"/>
      <c r="H587" s="14" t="n"/>
      <c r="I587" s="14" t="n"/>
      <c r="J587" s="108">
        <f>IF(G587="","",IFERROR(LET(ev_cost,INDEX(Events!$G$5:$G$505,MATCH(G587,Events!$A$5:$A$505,0)),ev_split,INDEX(Events!$I$5:$I$505,MATCH(G587,Events!$A$5:$A$505,0)),att_offset,MATCH(G587,Attendance!$B$3:$AY$3,0),attendees,COUNTIF(INDEX(Attendance!$B$7:$AY$206,0,att_offset),"1"),IF(ev_split="Equal Split",ev_cost/MAX(1,COUNTA(Roster!$A$5:$A$204)),ev_cost/MAX(1,attendees))),"N/A"))</f>
        <v/>
      </c>
    </row>
    <row r="588" ht="20" customHeight="1">
      <c r="A588" s="12" t="n"/>
      <c r="B588" s="10" t="n"/>
      <c r="C588" s="10" t="n"/>
      <c r="D588" s="10" t="n"/>
      <c r="E588" s="10" t="n"/>
      <c r="F588" s="13" t="n"/>
      <c r="G588" s="10" t="n"/>
      <c r="H588" s="10" t="n"/>
      <c r="I588" s="10" t="n"/>
      <c r="J588" s="108">
        <f>IF(G588="","",IFERROR(LET(ev_cost,INDEX(Events!$G$5:$G$505,MATCH(G588,Events!$A$5:$A$505,0)),ev_split,INDEX(Events!$I$5:$I$505,MATCH(G588,Events!$A$5:$A$505,0)),att_offset,MATCH(G588,Attendance!$B$3:$AY$3,0),attendees,COUNTIF(INDEX(Attendance!$B$7:$AY$206,0,att_offset),"1"),IF(ev_split="Equal Split",ev_cost/MAX(1,COUNTA(Roster!$A$5:$A$204)),ev_cost/MAX(1,attendees))),"N/A"))</f>
        <v/>
      </c>
    </row>
    <row r="589" ht="20" customHeight="1">
      <c r="A589" s="16" t="n"/>
      <c r="B589" s="14" t="n"/>
      <c r="C589" s="14" t="n"/>
      <c r="D589" s="14" t="n"/>
      <c r="E589" s="14" t="n"/>
      <c r="F589" s="17" t="n"/>
      <c r="G589" s="14" t="n"/>
      <c r="H589" s="14" t="n"/>
      <c r="I589" s="14" t="n"/>
      <c r="J589" s="108">
        <f>IF(G589="","",IFERROR(LET(ev_cost,INDEX(Events!$G$5:$G$505,MATCH(G589,Events!$A$5:$A$505,0)),ev_split,INDEX(Events!$I$5:$I$505,MATCH(G589,Events!$A$5:$A$505,0)),att_offset,MATCH(G589,Attendance!$B$3:$AY$3,0),attendees,COUNTIF(INDEX(Attendance!$B$7:$AY$206,0,att_offset),"1"),IF(ev_split="Equal Split",ev_cost/MAX(1,COUNTA(Roster!$A$5:$A$204)),ev_cost/MAX(1,attendees))),"N/A"))</f>
        <v/>
      </c>
    </row>
    <row r="590" ht="20" customHeight="1">
      <c r="A590" s="12" t="n"/>
      <c r="B590" s="10" t="n"/>
      <c r="C590" s="10" t="n"/>
      <c r="D590" s="10" t="n"/>
      <c r="E590" s="10" t="n"/>
      <c r="F590" s="13" t="n"/>
      <c r="G590" s="10" t="n"/>
      <c r="H590" s="10" t="n"/>
      <c r="I590" s="10" t="n"/>
      <c r="J590" s="108">
        <f>IF(G590="","",IFERROR(LET(ev_cost,INDEX(Events!$G$5:$G$505,MATCH(G590,Events!$A$5:$A$505,0)),ev_split,INDEX(Events!$I$5:$I$505,MATCH(G590,Events!$A$5:$A$505,0)),att_offset,MATCH(G590,Attendance!$B$3:$AY$3,0),attendees,COUNTIF(INDEX(Attendance!$B$7:$AY$206,0,att_offset),"1"),IF(ev_split="Equal Split",ev_cost/MAX(1,COUNTA(Roster!$A$5:$A$204)),ev_cost/MAX(1,attendees))),"N/A"))</f>
        <v/>
      </c>
    </row>
    <row r="591" ht="20" customHeight="1">
      <c r="A591" s="16" t="n"/>
      <c r="B591" s="14" t="n"/>
      <c r="C591" s="14" t="n"/>
      <c r="D591" s="14" t="n"/>
      <c r="E591" s="14" t="n"/>
      <c r="F591" s="17" t="n"/>
      <c r="G591" s="14" t="n"/>
      <c r="H591" s="14" t="n"/>
      <c r="I591" s="14" t="n"/>
      <c r="J591" s="108">
        <f>IF(G591="","",IFERROR(LET(ev_cost,INDEX(Events!$G$5:$G$505,MATCH(G591,Events!$A$5:$A$505,0)),ev_split,INDEX(Events!$I$5:$I$505,MATCH(G591,Events!$A$5:$A$505,0)),att_offset,MATCH(G591,Attendance!$B$3:$AY$3,0),attendees,COUNTIF(INDEX(Attendance!$B$7:$AY$206,0,att_offset),"1"),IF(ev_split="Equal Split",ev_cost/MAX(1,COUNTA(Roster!$A$5:$A$204)),ev_cost/MAX(1,attendees))),"N/A"))</f>
        <v/>
      </c>
    </row>
    <row r="592" ht="20" customHeight="1">
      <c r="A592" s="12" t="n"/>
      <c r="B592" s="10" t="n"/>
      <c r="C592" s="10" t="n"/>
      <c r="D592" s="10" t="n"/>
      <c r="E592" s="10" t="n"/>
      <c r="F592" s="13" t="n"/>
      <c r="G592" s="10" t="n"/>
      <c r="H592" s="10" t="n"/>
      <c r="I592" s="10" t="n"/>
      <c r="J592" s="108">
        <f>IF(G592="","",IFERROR(LET(ev_cost,INDEX(Events!$G$5:$G$505,MATCH(G592,Events!$A$5:$A$505,0)),ev_split,INDEX(Events!$I$5:$I$505,MATCH(G592,Events!$A$5:$A$505,0)),att_offset,MATCH(G592,Attendance!$B$3:$AY$3,0),attendees,COUNTIF(INDEX(Attendance!$B$7:$AY$206,0,att_offset),"1"),IF(ev_split="Equal Split",ev_cost/MAX(1,COUNTA(Roster!$A$5:$A$204)),ev_cost/MAX(1,attendees))),"N/A"))</f>
        <v/>
      </c>
    </row>
    <row r="593" ht="20" customHeight="1">
      <c r="A593" s="16" t="n"/>
      <c r="B593" s="14" t="n"/>
      <c r="C593" s="14" t="n"/>
      <c r="D593" s="14" t="n"/>
      <c r="E593" s="14" t="n"/>
      <c r="F593" s="17" t="n"/>
      <c r="G593" s="14" t="n"/>
      <c r="H593" s="14" t="n"/>
      <c r="I593" s="14" t="n"/>
      <c r="J593" s="108">
        <f>IF(G593="","",IFERROR(LET(ev_cost,INDEX(Events!$G$5:$G$505,MATCH(G593,Events!$A$5:$A$505,0)),ev_split,INDEX(Events!$I$5:$I$505,MATCH(G593,Events!$A$5:$A$505,0)),att_offset,MATCH(G593,Attendance!$B$3:$AY$3,0),attendees,COUNTIF(INDEX(Attendance!$B$7:$AY$206,0,att_offset),"1"),IF(ev_split="Equal Split",ev_cost/MAX(1,COUNTA(Roster!$A$5:$A$204)),ev_cost/MAX(1,attendees))),"N/A"))</f>
        <v/>
      </c>
    </row>
    <row r="594" ht="20" customHeight="1">
      <c r="A594" s="12" t="n"/>
      <c r="B594" s="10" t="n"/>
      <c r="C594" s="10" t="n"/>
      <c r="D594" s="10" t="n"/>
      <c r="E594" s="10" t="n"/>
      <c r="F594" s="13" t="n"/>
      <c r="G594" s="10" t="n"/>
      <c r="H594" s="10" t="n"/>
      <c r="I594" s="10" t="n"/>
      <c r="J594" s="108">
        <f>IF(G594="","",IFERROR(LET(ev_cost,INDEX(Events!$G$5:$G$505,MATCH(G594,Events!$A$5:$A$505,0)),ev_split,INDEX(Events!$I$5:$I$505,MATCH(G594,Events!$A$5:$A$505,0)),att_offset,MATCH(G594,Attendance!$B$3:$AY$3,0),attendees,COUNTIF(INDEX(Attendance!$B$7:$AY$206,0,att_offset),"1"),IF(ev_split="Equal Split",ev_cost/MAX(1,COUNTA(Roster!$A$5:$A$204)),ev_cost/MAX(1,attendees))),"N/A"))</f>
        <v/>
      </c>
    </row>
    <row r="595" ht="20" customHeight="1">
      <c r="A595" s="16" t="n"/>
      <c r="B595" s="14" t="n"/>
      <c r="C595" s="14" t="n"/>
      <c r="D595" s="14" t="n"/>
      <c r="E595" s="14" t="n"/>
      <c r="F595" s="17" t="n"/>
      <c r="G595" s="14" t="n"/>
      <c r="H595" s="14" t="n"/>
      <c r="I595" s="14" t="n"/>
      <c r="J595" s="108">
        <f>IF(G595="","",IFERROR(LET(ev_cost,INDEX(Events!$G$5:$G$505,MATCH(G595,Events!$A$5:$A$505,0)),ev_split,INDEX(Events!$I$5:$I$505,MATCH(G595,Events!$A$5:$A$505,0)),att_offset,MATCH(G595,Attendance!$B$3:$AY$3,0),attendees,COUNTIF(INDEX(Attendance!$B$7:$AY$206,0,att_offset),"1"),IF(ev_split="Equal Split",ev_cost/MAX(1,COUNTA(Roster!$A$5:$A$204)),ev_cost/MAX(1,attendees))),"N/A"))</f>
        <v/>
      </c>
    </row>
    <row r="596" ht="20" customHeight="1">
      <c r="A596" s="12" t="n"/>
      <c r="B596" s="10" t="n"/>
      <c r="C596" s="10" t="n"/>
      <c r="D596" s="10" t="n"/>
      <c r="E596" s="10" t="n"/>
      <c r="F596" s="13" t="n"/>
      <c r="G596" s="10" t="n"/>
      <c r="H596" s="10" t="n"/>
      <c r="I596" s="10" t="n"/>
      <c r="J596" s="108">
        <f>IF(G596="","",IFERROR(LET(ev_cost,INDEX(Events!$G$5:$G$505,MATCH(G596,Events!$A$5:$A$505,0)),ev_split,INDEX(Events!$I$5:$I$505,MATCH(G596,Events!$A$5:$A$505,0)),att_offset,MATCH(G596,Attendance!$B$3:$AY$3,0),attendees,COUNTIF(INDEX(Attendance!$B$7:$AY$206,0,att_offset),"1"),IF(ev_split="Equal Split",ev_cost/MAX(1,COUNTA(Roster!$A$5:$A$204)),ev_cost/MAX(1,attendees))),"N/A"))</f>
        <v/>
      </c>
    </row>
    <row r="597" ht="20" customHeight="1">
      <c r="A597" s="16" t="n"/>
      <c r="B597" s="14" t="n"/>
      <c r="C597" s="14" t="n"/>
      <c r="D597" s="14" t="n"/>
      <c r="E597" s="14" t="n"/>
      <c r="F597" s="17" t="n"/>
      <c r="G597" s="14" t="n"/>
      <c r="H597" s="14" t="n"/>
      <c r="I597" s="14" t="n"/>
      <c r="J597" s="108">
        <f>IF(G597="","",IFERROR(LET(ev_cost,INDEX(Events!$G$5:$G$505,MATCH(G597,Events!$A$5:$A$505,0)),ev_split,INDEX(Events!$I$5:$I$505,MATCH(G597,Events!$A$5:$A$505,0)),att_offset,MATCH(G597,Attendance!$B$3:$AY$3,0),attendees,COUNTIF(INDEX(Attendance!$B$7:$AY$206,0,att_offset),"1"),IF(ev_split="Equal Split",ev_cost/MAX(1,COUNTA(Roster!$A$5:$A$204)),ev_cost/MAX(1,attendees))),"N/A"))</f>
        <v/>
      </c>
    </row>
    <row r="598" ht="20" customHeight="1">
      <c r="A598" s="12" t="n"/>
      <c r="B598" s="10" t="n"/>
      <c r="C598" s="10" t="n"/>
      <c r="D598" s="10" t="n"/>
      <c r="E598" s="10" t="n"/>
      <c r="F598" s="13" t="n"/>
      <c r="G598" s="10" t="n"/>
      <c r="H598" s="10" t="n"/>
      <c r="I598" s="10" t="n"/>
      <c r="J598" s="108">
        <f>IF(G598="","",IFERROR(LET(ev_cost,INDEX(Events!$G$5:$G$505,MATCH(G598,Events!$A$5:$A$505,0)),ev_split,INDEX(Events!$I$5:$I$505,MATCH(G598,Events!$A$5:$A$505,0)),att_offset,MATCH(G598,Attendance!$B$3:$AY$3,0),attendees,COUNTIF(INDEX(Attendance!$B$7:$AY$206,0,att_offset),"1"),IF(ev_split="Equal Split",ev_cost/MAX(1,COUNTA(Roster!$A$5:$A$204)),ev_cost/MAX(1,attendees))),"N/A"))</f>
        <v/>
      </c>
    </row>
    <row r="599" ht="20" customHeight="1">
      <c r="A599" s="16" t="n"/>
      <c r="B599" s="14" t="n"/>
      <c r="C599" s="14" t="n"/>
      <c r="D599" s="14" t="n"/>
      <c r="E599" s="14" t="n"/>
      <c r="F599" s="17" t="n"/>
      <c r="G599" s="14" t="n"/>
      <c r="H599" s="14" t="n"/>
      <c r="I599" s="14" t="n"/>
      <c r="J599" s="108">
        <f>IF(G599="","",IFERROR(LET(ev_cost,INDEX(Events!$G$5:$G$505,MATCH(G599,Events!$A$5:$A$505,0)),ev_split,INDEX(Events!$I$5:$I$505,MATCH(G599,Events!$A$5:$A$505,0)),att_offset,MATCH(G599,Attendance!$B$3:$AY$3,0),attendees,COUNTIF(INDEX(Attendance!$B$7:$AY$206,0,att_offset),"1"),IF(ev_split="Equal Split",ev_cost/MAX(1,COUNTA(Roster!$A$5:$A$204)),ev_cost/MAX(1,attendees))),"N/A"))</f>
        <v/>
      </c>
    </row>
    <row r="600" ht="20" customHeight="1">
      <c r="A600" s="12" t="n"/>
      <c r="B600" s="10" t="n"/>
      <c r="C600" s="10" t="n"/>
      <c r="D600" s="10" t="n"/>
      <c r="E600" s="10" t="n"/>
      <c r="F600" s="13" t="n"/>
      <c r="G600" s="10" t="n"/>
      <c r="H600" s="10" t="n"/>
      <c r="I600" s="10" t="n"/>
      <c r="J600" s="108">
        <f>IF(G600="","",IFERROR(LET(ev_cost,INDEX(Events!$G$5:$G$505,MATCH(G600,Events!$A$5:$A$505,0)),ev_split,INDEX(Events!$I$5:$I$505,MATCH(G600,Events!$A$5:$A$505,0)),att_offset,MATCH(G600,Attendance!$B$3:$AY$3,0),attendees,COUNTIF(INDEX(Attendance!$B$7:$AY$206,0,att_offset),"1"),IF(ev_split="Equal Split",ev_cost/MAX(1,COUNTA(Roster!$A$5:$A$204)),ev_cost/MAX(1,attendees))),"N/A"))</f>
        <v/>
      </c>
    </row>
    <row r="601" ht="20" customHeight="1">
      <c r="A601" s="16" t="n"/>
      <c r="B601" s="14" t="n"/>
      <c r="C601" s="14" t="n"/>
      <c r="D601" s="14" t="n"/>
      <c r="E601" s="14" t="n"/>
      <c r="F601" s="17" t="n"/>
      <c r="G601" s="14" t="n"/>
      <c r="H601" s="14" t="n"/>
      <c r="I601" s="14" t="n"/>
      <c r="J601" s="108">
        <f>IF(G601="","",IFERROR(LET(ev_cost,INDEX(Events!$G$5:$G$505,MATCH(G601,Events!$A$5:$A$505,0)),ev_split,INDEX(Events!$I$5:$I$505,MATCH(G601,Events!$A$5:$A$505,0)),att_offset,MATCH(G601,Attendance!$B$3:$AY$3,0),attendees,COUNTIF(INDEX(Attendance!$B$7:$AY$206,0,att_offset),"1"),IF(ev_split="Equal Split",ev_cost/MAX(1,COUNTA(Roster!$A$5:$A$204)),ev_cost/MAX(1,attendees))),"N/A"))</f>
        <v/>
      </c>
    </row>
    <row r="602" ht="20" customHeight="1">
      <c r="A602" s="12" t="n"/>
      <c r="B602" s="10" t="n"/>
      <c r="C602" s="10" t="n"/>
      <c r="D602" s="10" t="n"/>
      <c r="E602" s="10" t="n"/>
      <c r="F602" s="13" t="n"/>
      <c r="G602" s="10" t="n"/>
      <c r="H602" s="10" t="n"/>
      <c r="I602" s="10" t="n"/>
      <c r="J602" s="108">
        <f>IF(G602="","",IFERROR(LET(ev_cost,INDEX(Events!$G$5:$G$505,MATCH(G602,Events!$A$5:$A$505,0)),ev_split,INDEX(Events!$I$5:$I$505,MATCH(G602,Events!$A$5:$A$505,0)),att_offset,MATCH(G602,Attendance!$B$3:$AY$3,0),attendees,COUNTIF(INDEX(Attendance!$B$7:$AY$206,0,att_offset),"1"),IF(ev_split="Equal Split",ev_cost/MAX(1,COUNTA(Roster!$A$5:$A$204)),ev_cost/MAX(1,attendees))),"N/A"))</f>
        <v/>
      </c>
    </row>
    <row r="603" ht="20" customHeight="1">
      <c r="A603" s="16" t="n"/>
      <c r="B603" s="14" t="n"/>
      <c r="C603" s="14" t="n"/>
      <c r="D603" s="14" t="n"/>
      <c r="E603" s="14" t="n"/>
      <c r="F603" s="17" t="n"/>
      <c r="G603" s="14" t="n"/>
      <c r="H603" s="14" t="n"/>
      <c r="I603" s="14" t="n"/>
      <c r="J603" s="108">
        <f>IF(G603="","",IFERROR(LET(ev_cost,INDEX(Events!$G$5:$G$505,MATCH(G603,Events!$A$5:$A$505,0)),ev_split,INDEX(Events!$I$5:$I$505,MATCH(G603,Events!$A$5:$A$505,0)),att_offset,MATCH(G603,Attendance!$B$3:$AY$3,0),attendees,COUNTIF(INDEX(Attendance!$B$7:$AY$206,0,att_offset),"1"),IF(ev_split="Equal Split",ev_cost/MAX(1,COUNTA(Roster!$A$5:$A$204)),ev_cost/MAX(1,attendees))),"N/A"))</f>
        <v/>
      </c>
    </row>
    <row r="604" ht="20" customHeight="1">
      <c r="A604" s="12" t="n"/>
      <c r="B604" s="10" t="n"/>
      <c r="C604" s="10" t="n"/>
      <c r="D604" s="10" t="n"/>
      <c r="E604" s="10" t="n"/>
      <c r="F604" s="13" t="n"/>
      <c r="G604" s="10" t="n"/>
      <c r="H604" s="10" t="n"/>
      <c r="I604" s="10" t="n"/>
      <c r="J604" s="108">
        <f>IF(G604="","",IFERROR(LET(ev_cost,INDEX(Events!$G$5:$G$505,MATCH(G604,Events!$A$5:$A$505,0)),ev_split,INDEX(Events!$I$5:$I$505,MATCH(G604,Events!$A$5:$A$505,0)),att_offset,MATCH(G604,Attendance!$B$3:$AY$3,0),attendees,COUNTIF(INDEX(Attendance!$B$7:$AY$206,0,att_offset),"1"),IF(ev_split="Equal Split",ev_cost/MAX(1,COUNTA(Roster!$A$5:$A$204)),ev_cost/MAX(1,attendees))),"N/A"))</f>
        <v/>
      </c>
    </row>
    <row r="605" ht="20" customHeight="1">
      <c r="A605" s="16" t="n"/>
      <c r="B605" s="14" t="n"/>
      <c r="C605" s="14" t="n"/>
      <c r="D605" s="14" t="n"/>
      <c r="E605" s="14" t="n"/>
      <c r="F605" s="17" t="n"/>
      <c r="G605" s="14" t="n"/>
      <c r="H605" s="14" t="n"/>
      <c r="I605" s="14" t="n"/>
      <c r="J605" s="108">
        <f>IF(G605="","",IFERROR(LET(ev_cost,INDEX(Events!$G$5:$G$505,MATCH(G605,Events!$A$5:$A$505,0)),ev_split,INDEX(Events!$I$5:$I$505,MATCH(G605,Events!$A$5:$A$505,0)),att_offset,MATCH(G605,Attendance!$B$3:$AY$3,0),attendees,COUNTIF(INDEX(Attendance!$B$7:$AY$206,0,att_offset),"1"),IF(ev_split="Equal Split",ev_cost/MAX(1,COUNTA(Roster!$A$5:$A$204)),ev_cost/MAX(1,attendees))),"N/A"))</f>
        <v/>
      </c>
    </row>
    <row r="606" ht="20" customHeight="1">
      <c r="A606" s="12" t="n"/>
      <c r="B606" s="10" t="n"/>
      <c r="C606" s="10" t="n"/>
      <c r="D606" s="10" t="n"/>
      <c r="E606" s="10" t="n"/>
      <c r="F606" s="13" t="n"/>
      <c r="G606" s="10" t="n"/>
      <c r="H606" s="10" t="n"/>
      <c r="I606" s="10" t="n"/>
      <c r="J606" s="108">
        <f>IF(G606="","",IFERROR(LET(ev_cost,INDEX(Events!$G$5:$G$505,MATCH(G606,Events!$A$5:$A$505,0)),ev_split,INDEX(Events!$I$5:$I$505,MATCH(G606,Events!$A$5:$A$505,0)),att_offset,MATCH(G606,Attendance!$B$3:$AY$3,0),attendees,COUNTIF(INDEX(Attendance!$B$7:$AY$206,0,att_offset),"1"),IF(ev_split="Equal Split",ev_cost/MAX(1,COUNTA(Roster!$A$5:$A$204)),ev_cost/MAX(1,attendees))),"N/A"))</f>
        <v/>
      </c>
    </row>
    <row r="607" ht="20" customHeight="1">
      <c r="A607" s="16" t="n"/>
      <c r="B607" s="14" t="n"/>
      <c r="C607" s="14" t="n"/>
      <c r="D607" s="14" t="n"/>
      <c r="E607" s="14" t="n"/>
      <c r="F607" s="17" t="n"/>
      <c r="G607" s="14" t="n"/>
      <c r="H607" s="14" t="n"/>
      <c r="I607" s="14" t="n"/>
      <c r="J607" s="108">
        <f>IF(G607="","",IFERROR(LET(ev_cost,INDEX(Events!$G$5:$G$505,MATCH(G607,Events!$A$5:$A$505,0)),ev_split,INDEX(Events!$I$5:$I$505,MATCH(G607,Events!$A$5:$A$505,0)),att_offset,MATCH(G607,Attendance!$B$3:$AY$3,0),attendees,COUNTIF(INDEX(Attendance!$B$7:$AY$206,0,att_offset),"1"),IF(ev_split="Equal Split",ev_cost/MAX(1,COUNTA(Roster!$A$5:$A$204)),ev_cost/MAX(1,attendees))),"N/A"))</f>
        <v/>
      </c>
    </row>
    <row r="608" ht="20" customHeight="1">
      <c r="A608" s="12" t="n"/>
      <c r="B608" s="10" t="n"/>
      <c r="C608" s="10" t="n"/>
      <c r="D608" s="10" t="n"/>
      <c r="E608" s="10" t="n"/>
      <c r="F608" s="13" t="n"/>
      <c r="G608" s="10" t="n"/>
      <c r="H608" s="10" t="n"/>
      <c r="I608" s="10" t="n"/>
      <c r="J608" s="108">
        <f>IF(G608="","",IFERROR(LET(ev_cost,INDEX(Events!$G$5:$G$505,MATCH(G608,Events!$A$5:$A$505,0)),ev_split,INDEX(Events!$I$5:$I$505,MATCH(G608,Events!$A$5:$A$505,0)),att_offset,MATCH(G608,Attendance!$B$3:$AY$3,0),attendees,COUNTIF(INDEX(Attendance!$B$7:$AY$206,0,att_offset),"1"),IF(ev_split="Equal Split",ev_cost/MAX(1,COUNTA(Roster!$A$5:$A$204)),ev_cost/MAX(1,attendees))),"N/A"))</f>
        <v/>
      </c>
    </row>
    <row r="609" ht="20" customHeight="1">
      <c r="A609" s="16" t="n"/>
      <c r="B609" s="14" t="n"/>
      <c r="C609" s="14" t="n"/>
      <c r="D609" s="14" t="n"/>
      <c r="E609" s="14" t="n"/>
      <c r="F609" s="17" t="n"/>
      <c r="G609" s="14" t="n"/>
      <c r="H609" s="14" t="n"/>
      <c r="I609" s="14" t="n"/>
      <c r="J609" s="108">
        <f>IF(G609="","",IFERROR(LET(ev_cost,INDEX(Events!$G$5:$G$505,MATCH(G609,Events!$A$5:$A$505,0)),ev_split,INDEX(Events!$I$5:$I$505,MATCH(G609,Events!$A$5:$A$505,0)),att_offset,MATCH(G609,Attendance!$B$3:$AY$3,0),attendees,COUNTIF(INDEX(Attendance!$B$7:$AY$206,0,att_offset),"1"),IF(ev_split="Equal Split",ev_cost/MAX(1,COUNTA(Roster!$A$5:$A$204)),ev_cost/MAX(1,attendees))),"N/A"))</f>
        <v/>
      </c>
    </row>
    <row r="610" ht="20" customHeight="1">
      <c r="A610" s="12" t="n"/>
      <c r="B610" s="10" t="n"/>
      <c r="C610" s="10" t="n"/>
      <c r="D610" s="10" t="n"/>
      <c r="E610" s="10" t="n"/>
      <c r="F610" s="13" t="n"/>
      <c r="G610" s="10" t="n"/>
      <c r="H610" s="10" t="n"/>
      <c r="I610" s="10" t="n"/>
      <c r="J610" s="108">
        <f>IF(G610="","",IFERROR(LET(ev_cost,INDEX(Events!$G$5:$G$505,MATCH(G610,Events!$A$5:$A$505,0)),ev_split,INDEX(Events!$I$5:$I$505,MATCH(G610,Events!$A$5:$A$505,0)),att_offset,MATCH(G610,Attendance!$B$3:$AY$3,0),attendees,COUNTIF(INDEX(Attendance!$B$7:$AY$206,0,att_offset),"1"),IF(ev_split="Equal Split",ev_cost/MAX(1,COUNTA(Roster!$A$5:$A$204)),ev_cost/MAX(1,attendees))),"N/A"))</f>
        <v/>
      </c>
    </row>
    <row r="611" ht="20" customHeight="1">
      <c r="A611" s="16" t="n"/>
      <c r="B611" s="14" t="n"/>
      <c r="C611" s="14" t="n"/>
      <c r="D611" s="14" t="n"/>
      <c r="E611" s="14" t="n"/>
      <c r="F611" s="17" t="n"/>
      <c r="G611" s="14" t="n"/>
      <c r="H611" s="14" t="n"/>
      <c r="I611" s="14" t="n"/>
      <c r="J611" s="108">
        <f>IF(G611="","",IFERROR(LET(ev_cost,INDEX(Events!$G$5:$G$505,MATCH(G611,Events!$A$5:$A$505,0)),ev_split,INDEX(Events!$I$5:$I$505,MATCH(G611,Events!$A$5:$A$505,0)),att_offset,MATCH(G611,Attendance!$B$3:$AY$3,0),attendees,COUNTIF(INDEX(Attendance!$B$7:$AY$206,0,att_offset),"1"),IF(ev_split="Equal Split",ev_cost/MAX(1,COUNTA(Roster!$A$5:$A$204)),ev_cost/MAX(1,attendees))),"N/A"))</f>
        <v/>
      </c>
    </row>
    <row r="612" ht="20" customHeight="1">
      <c r="A612" s="12" t="n"/>
      <c r="B612" s="10" t="n"/>
      <c r="C612" s="10" t="n"/>
      <c r="D612" s="10" t="n"/>
      <c r="E612" s="10" t="n"/>
      <c r="F612" s="13" t="n"/>
      <c r="G612" s="10" t="n"/>
      <c r="H612" s="10" t="n"/>
      <c r="I612" s="10" t="n"/>
      <c r="J612" s="108">
        <f>IF(G612="","",IFERROR(LET(ev_cost,INDEX(Events!$G$5:$G$505,MATCH(G612,Events!$A$5:$A$505,0)),ev_split,INDEX(Events!$I$5:$I$505,MATCH(G612,Events!$A$5:$A$505,0)),att_offset,MATCH(G612,Attendance!$B$3:$AY$3,0),attendees,COUNTIF(INDEX(Attendance!$B$7:$AY$206,0,att_offset),"1"),IF(ev_split="Equal Split",ev_cost/MAX(1,COUNTA(Roster!$A$5:$A$204)),ev_cost/MAX(1,attendees))),"N/A"))</f>
        <v/>
      </c>
    </row>
    <row r="613" ht="20" customHeight="1">
      <c r="A613" s="16" t="n"/>
      <c r="B613" s="14" t="n"/>
      <c r="C613" s="14" t="n"/>
      <c r="D613" s="14" t="n"/>
      <c r="E613" s="14" t="n"/>
      <c r="F613" s="17" t="n"/>
      <c r="G613" s="14" t="n"/>
      <c r="H613" s="14" t="n"/>
      <c r="I613" s="14" t="n"/>
      <c r="J613" s="108">
        <f>IF(G613="","",IFERROR(LET(ev_cost,INDEX(Events!$G$5:$G$505,MATCH(G613,Events!$A$5:$A$505,0)),ev_split,INDEX(Events!$I$5:$I$505,MATCH(G613,Events!$A$5:$A$505,0)),att_offset,MATCH(G613,Attendance!$B$3:$AY$3,0),attendees,COUNTIF(INDEX(Attendance!$B$7:$AY$206,0,att_offset),"1"),IF(ev_split="Equal Split",ev_cost/MAX(1,COUNTA(Roster!$A$5:$A$204)),ev_cost/MAX(1,attendees))),"N/A"))</f>
        <v/>
      </c>
    </row>
    <row r="614" ht="20" customHeight="1">
      <c r="A614" s="12" t="n"/>
      <c r="B614" s="10" t="n"/>
      <c r="C614" s="10" t="n"/>
      <c r="D614" s="10" t="n"/>
      <c r="E614" s="10" t="n"/>
      <c r="F614" s="13" t="n"/>
      <c r="G614" s="10" t="n"/>
      <c r="H614" s="10" t="n"/>
      <c r="I614" s="10" t="n"/>
      <c r="J614" s="108">
        <f>IF(G614="","",IFERROR(LET(ev_cost,INDEX(Events!$G$5:$G$505,MATCH(G614,Events!$A$5:$A$505,0)),ev_split,INDEX(Events!$I$5:$I$505,MATCH(G614,Events!$A$5:$A$505,0)),att_offset,MATCH(G614,Attendance!$B$3:$AY$3,0),attendees,COUNTIF(INDEX(Attendance!$B$7:$AY$206,0,att_offset),"1"),IF(ev_split="Equal Split",ev_cost/MAX(1,COUNTA(Roster!$A$5:$A$204)),ev_cost/MAX(1,attendees))),"N/A"))</f>
        <v/>
      </c>
    </row>
    <row r="615" ht="20" customHeight="1">
      <c r="A615" s="16" t="n"/>
      <c r="B615" s="14" t="n"/>
      <c r="C615" s="14" t="n"/>
      <c r="D615" s="14" t="n"/>
      <c r="E615" s="14" t="n"/>
      <c r="F615" s="17" t="n"/>
      <c r="G615" s="14" t="n"/>
      <c r="H615" s="14" t="n"/>
      <c r="I615" s="14" t="n"/>
      <c r="J615" s="108">
        <f>IF(G615="","",IFERROR(LET(ev_cost,INDEX(Events!$G$5:$G$505,MATCH(G615,Events!$A$5:$A$505,0)),ev_split,INDEX(Events!$I$5:$I$505,MATCH(G615,Events!$A$5:$A$505,0)),att_offset,MATCH(G615,Attendance!$B$3:$AY$3,0),attendees,COUNTIF(INDEX(Attendance!$B$7:$AY$206,0,att_offset),"1"),IF(ev_split="Equal Split",ev_cost/MAX(1,COUNTA(Roster!$A$5:$A$204)),ev_cost/MAX(1,attendees))),"N/A"))</f>
        <v/>
      </c>
    </row>
    <row r="616" ht="20" customHeight="1">
      <c r="A616" s="12" t="n"/>
      <c r="B616" s="10" t="n"/>
      <c r="C616" s="10" t="n"/>
      <c r="D616" s="10" t="n"/>
      <c r="E616" s="10" t="n"/>
      <c r="F616" s="13" t="n"/>
      <c r="G616" s="10" t="n"/>
      <c r="H616" s="10" t="n"/>
      <c r="I616" s="10" t="n"/>
      <c r="J616" s="108">
        <f>IF(G616="","",IFERROR(LET(ev_cost,INDEX(Events!$G$5:$G$505,MATCH(G616,Events!$A$5:$A$505,0)),ev_split,INDEX(Events!$I$5:$I$505,MATCH(G616,Events!$A$5:$A$505,0)),att_offset,MATCH(G616,Attendance!$B$3:$AY$3,0),attendees,COUNTIF(INDEX(Attendance!$B$7:$AY$206,0,att_offset),"1"),IF(ev_split="Equal Split",ev_cost/MAX(1,COUNTA(Roster!$A$5:$A$204)),ev_cost/MAX(1,attendees))),"N/A"))</f>
        <v/>
      </c>
    </row>
    <row r="617" ht="20" customHeight="1">
      <c r="A617" s="16" t="n"/>
      <c r="B617" s="14" t="n"/>
      <c r="C617" s="14" t="n"/>
      <c r="D617" s="14" t="n"/>
      <c r="E617" s="14" t="n"/>
      <c r="F617" s="17" t="n"/>
      <c r="G617" s="14" t="n"/>
      <c r="H617" s="14" t="n"/>
      <c r="I617" s="14" t="n"/>
      <c r="J617" s="108">
        <f>IF(G617="","",IFERROR(LET(ev_cost,INDEX(Events!$G$5:$G$505,MATCH(G617,Events!$A$5:$A$505,0)),ev_split,INDEX(Events!$I$5:$I$505,MATCH(G617,Events!$A$5:$A$505,0)),att_offset,MATCH(G617,Attendance!$B$3:$AY$3,0),attendees,COUNTIF(INDEX(Attendance!$B$7:$AY$206,0,att_offset),"1"),IF(ev_split="Equal Split",ev_cost/MAX(1,COUNTA(Roster!$A$5:$A$204)),ev_cost/MAX(1,attendees))),"N/A"))</f>
        <v/>
      </c>
    </row>
    <row r="618" ht="20" customHeight="1">
      <c r="A618" s="12" t="n"/>
      <c r="B618" s="10" t="n"/>
      <c r="C618" s="10" t="n"/>
      <c r="D618" s="10" t="n"/>
      <c r="E618" s="10" t="n"/>
      <c r="F618" s="13" t="n"/>
      <c r="G618" s="10" t="n"/>
      <c r="H618" s="10" t="n"/>
      <c r="I618" s="10" t="n"/>
      <c r="J618" s="108">
        <f>IF(G618="","",IFERROR(LET(ev_cost,INDEX(Events!$G$5:$G$505,MATCH(G618,Events!$A$5:$A$505,0)),ev_split,INDEX(Events!$I$5:$I$505,MATCH(G618,Events!$A$5:$A$505,0)),att_offset,MATCH(G618,Attendance!$B$3:$AY$3,0),attendees,COUNTIF(INDEX(Attendance!$B$7:$AY$206,0,att_offset),"1"),IF(ev_split="Equal Split",ev_cost/MAX(1,COUNTA(Roster!$A$5:$A$204)),ev_cost/MAX(1,attendees))),"N/A"))</f>
        <v/>
      </c>
    </row>
    <row r="619" ht="20" customHeight="1">
      <c r="A619" s="16" t="n"/>
      <c r="B619" s="14" t="n"/>
      <c r="C619" s="14" t="n"/>
      <c r="D619" s="14" t="n"/>
      <c r="E619" s="14" t="n"/>
      <c r="F619" s="17" t="n"/>
      <c r="G619" s="14" t="n"/>
      <c r="H619" s="14" t="n"/>
      <c r="I619" s="14" t="n"/>
      <c r="J619" s="108">
        <f>IF(G619="","",IFERROR(LET(ev_cost,INDEX(Events!$G$5:$G$505,MATCH(G619,Events!$A$5:$A$505,0)),ev_split,INDEX(Events!$I$5:$I$505,MATCH(G619,Events!$A$5:$A$505,0)),att_offset,MATCH(G619,Attendance!$B$3:$AY$3,0),attendees,COUNTIF(INDEX(Attendance!$B$7:$AY$206,0,att_offset),"1"),IF(ev_split="Equal Split",ev_cost/MAX(1,COUNTA(Roster!$A$5:$A$204)),ev_cost/MAX(1,attendees))),"N/A"))</f>
        <v/>
      </c>
    </row>
    <row r="620" ht="20" customHeight="1">
      <c r="A620" s="12" t="n"/>
      <c r="B620" s="10" t="n"/>
      <c r="C620" s="10" t="n"/>
      <c r="D620" s="10" t="n"/>
      <c r="E620" s="10" t="n"/>
      <c r="F620" s="13" t="n"/>
      <c r="G620" s="10" t="n"/>
      <c r="H620" s="10" t="n"/>
      <c r="I620" s="10" t="n"/>
      <c r="J620" s="108">
        <f>IF(G620="","",IFERROR(LET(ev_cost,INDEX(Events!$G$5:$G$505,MATCH(G620,Events!$A$5:$A$505,0)),ev_split,INDEX(Events!$I$5:$I$505,MATCH(G620,Events!$A$5:$A$505,0)),att_offset,MATCH(G620,Attendance!$B$3:$AY$3,0),attendees,COUNTIF(INDEX(Attendance!$B$7:$AY$206,0,att_offset),"1"),IF(ev_split="Equal Split",ev_cost/MAX(1,COUNTA(Roster!$A$5:$A$204)),ev_cost/MAX(1,attendees))),"N/A"))</f>
        <v/>
      </c>
    </row>
    <row r="621" ht="20" customHeight="1">
      <c r="A621" s="16" t="n"/>
      <c r="B621" s="14" t="n"/>
      <c r="C621" s="14" t="n"/>
      <c r="D621" s="14" t="n"/>
      <c r="E621" s="14" t="n"/>
      <c r="F621" s="17" t="n"/>
      <c r="G621" s="14" t="n"/>
      <c r="H621" s="14" t="n"/>
      <c r="I621" s="14" t="n"/>
      <c r="J621" s="108">
        <f>IF(G621="","",IFERROR(LET(ev_cost,INDEX(Events!$G$5:$G$505,MATCH(G621,Events!$A$5:$A$505,0)),ev_split,INDEX(Events!$I$5:$I$505,MATCH(G621,Events!$A$5:$A$505,0)),att_offset,MATCH(G621,Attendance!$B$3:$AY$3,0),attendees,COUNTIF(INDEX(Attendance!$B$7:$AY$206,0,att_offset),"1"),IF(ev_split="Equal Split",ev_cost/MAX(1,COUNTA(Roster!$A$5:$A$204)),ev_cost/MAX(1,attendees))),"N/A"))</f>
        <v/>
      </c>
    </row>
    <row r="622" ht="20" customHeight="1">
      <c r="A622" s="12" t="n"/>
      <c r="B622" s="10" t="n"/>
      <c r="C622" s="10" t="n"/>
      <c r="D622" s="10" t="n"/>
      <c r="E622" s="10" t="n"/>
      <c r="F622" s="13" t="n"/>
      <c r="G622" s="10" t="n"/>
      <c r="H622" s="10" t="n"/>
      <c r="I622" s="10" t="n"/>
      <c r="J622" s="108">
        <f>IF(G622="","",IFERROR(LET(ev_cost,INDEX(Events!$G$5:$G$505,MATCH(G622,Events!$A$5:$A$505,0)),ev_split,INDEX(Events!$I$5:$I$505,MATCH(G622,Events!$A$5:$A$505,0)),att_offset,MATCH(G622,Attendance!$B$3:$AY$3,0),attendees,COUNTIF(INDEX(Attendance!$B$7:$AY$206,0,att_offset),"1"),IF(ev_split="Equal Split",ev_cost/MAX(1,COUNTA(Roster!$A$5:$A$204)),ev_cost/MAX(1,attendees))),"N/A"))</f>
        <v/>
      </c>
    </row>
    <row r="623" ht="20" customHeight="1">
      <c r="A623" s="16" t="n"/>
      <c r="B623" s="14" t="n"/>
      <c r="C623" s="14" t="n"/>
      <c r="D623" s="14" t="n"/>
      <c r="E623" s="14" t="n"/>
      <c r="F623" s="17" t="n"/>
      <c r="G623" s="14" t="n"/>
      <c r="H623" s="14" t="n"/>
      <c r="I623" s="14" t="n"/>
      <c r="J623" s="108">
        <f>IF(G623="","",IFERROR(LET(ev_cost,INDEX(Events!$G$5:$G$505,MATCH(G623,Events!$A$5:$A$505,0)),ev_split,INDEX(Events!$I$5:$I$505,MATCH(G623,Events!$A$5:$A$505,0)),att_offset,MATCH(G623,Attendance!$B$3:$AY$3,0),attendees,COUNTIF(INDEX(Attendance!$B$7:$AY$206,0,att_offset),"1"),IF(ev_split="Equal Split",ev_cost/MAX(1,COUNTA(Roster!$A$5:$A$204)),ev_cost/MAX(1,attendees))),"N/A"))</f>
        <v/>
      </c>
    </row>
    <row r="624" ht="20" customHeight="1">
      <c r="A624" s="12" t="n"/>
      <c r="B624" s="10" t="n"/>
      <c r="C624" s="10" t="n"/>
      <c r="D624" s="10" t="n"/>
      <c r="E624" s="10" t="n"/>
      <c r="F624" s="13" t="n"/>
      <c r="G624" s="10" t="n"/>
      <c r="H624" s="10" t="n"/>
      <c r="I624" s="10" t="n"/>
      <c r="J624" s="108">
        <f>IF(G624="","",IFERROR(LET(ev_cost,INDEX(Events!$G$5:$G$505,MATCH(G624,Events!$A$5:$A$505,0)),ev_split,INDEX(Events!$I$5:$I$505,MATCH(G624,Events!$A$5:$A$505,0)),att_offset,MATCH(G624,Attendance!$B$3:$AY$3,0),attendees,COUNTIF(INDEX(Attendance!$B$7:$AY$206,0,att_offset),"1"),IF(ev_split="Equal Split",ev_cost/MAX(1,COUNTA(Roster!$A$5:$A$204)),ev_cost/MAX(1,attendees))),"N/A"))</f>
        <v/>
      </c>
    </row>
    <row r="625" ht="20" customHeight="1">
      <c r="A625" s="16" t="n"/>
      <c r="B625" s="14" t="n"/>
      <c r="C625" s="14" t="n"/>
      <c r="D625" s="14" t="n"/>
      <c r="E625" s="14" t="n"/>
      <c r="F625" s="17" t="n"/>
      <c r="G625" s="14" t="n"/>
      <c r="H625" s="14" t="n"/>
      <c r="I625" s="14" t="n"/>
      <c r="J625" s="108">
        <f>IF(G625="","",IFERROR(LET(ev_cost,INDEX(Events!$G$5:$G$505,MATCH(G625,Events!$A$5:$A$505,0)),ev_split,INDEX(Events!$I$5:$I$505,MATCH(G625,Events!$A$5:$A$505,0)),att_offset,MATCH(G625,Attendance!$B$3:$AY$3,0),attendees,COUNTIF(INDEX(Attendance!$B$7:$AY$206,0,att_offset),"1"),IF(ev_split="Equal Split",ev_cost/MAX(1,COUNTA(Roster!$A$5:$A$204)),ev_cost/MAX(1,attendees))),"N/A"))</f>
        <v/>
      </c>
    </row>
    <row r="626" ht="20" customHeight="1">
      <c r="A626" s="12" t="n"/>
      <c r="B626" s="10" t="n"/>
      <c r="C626" s="10" t="n"/>
      <c r="D626" s="10" t="n"/>
      <c r="E626" s="10" t="n"/>
      <c r="F626" s="13" t="n"/>
      <c r="G626" s="10" t="n"/>
      <c r="H626" s="10" t="n"/>
      <c r="I626" s="10" t="n"/>
      <c r="J626" s="108">
        <f>IF(G626="","",IFERROR(LET(ev_cost,INDEX(Events!$G$5:$G$505,MATCH(G626,Events!$A$5:$A$505,0)),ev_split,INDEX(Events!$I$5:$I$505,MATCH(G626,Events!$A$5:$A$505,0)),att_offset,MATCH(G626,Attendance!$B$3:$AY$3,0),attendees,COUNTIF(INDEX(Attendance!$B$7:$AY$206,0,att_offset),"1"),IF(ev_split="Equal Split",ev_cost/MAX(1,COUNTA(Roster!$A$5:$A$204)),ev_cost/MAX(1,attendees))),"N/A"))</f>
        <v/>
      </c>
    </row>
    <row r="627" ht="20" customHeight="1">
      <c r="A627" s="16" t="n"/>
      <c r="B627" s="14" t="n"/>
      <c r="C627" s="14" t="n"/>
      <c r="D627" s="14" t="n"/>
      <c r="E627" s="14" t="n"/>
      <c r="F627" s="17" t="n"/>
      <c r="G627" s="14" t="n"/>
      <c r="H627" s="14" t="n"/>
      <c r="I627" s="14" t="n"/>
      <c r="J627" s="108">
        <f>IF(G627="","",IFERROR(LET(ev_cost,INDEX(Events!$G$5:$G$505,MATCH(G627,Events!$A$5:$A$505,0)),ev_split,INDEX(Events!$I$5:$I$505,MATCH(G627,Events!$A$5:$A$505,0)),att_offset,MATCH(G627,Attendance!$B$3:$AY$3,0),attendees,COUNTIF(INDEX(Attendance!$B$7:$AY$206,0,att_offset),"1"),IF(ev_split="Equal Split",ev_cost/MAX(1,COUNTA(Roster!$A$5:$A$204)),ev_cost/MAX(1,attendees))),"N/A"))</f>
        <v/>
      </c>
    </row>
    <row r="628" ht="20" customHeight="1">
      <c r="A628" s="12" t="n"/>
      <c r="B628" s="10" t="n"/>
      <c r="C628" s="10" t="n"/>
      <c r="D628" s="10" t="n"/>
      <c r="E628" s="10" t="n"/>
      <c r="F628" s="13" t="n"/>
      <c r="G628" s="10" t="n"/>
      <c r="H628" s="10" t="n"/>
      <c r="I628" s="10" t="n"/>
      <c r="J628" s="108">
        <f>IF(G628="","",IFERROR(LET(ev_cost,INDEX(Events!$G$5:$G$505,MATCH(G628,Events!$A$5:$A$505,0)),ev_split,INDEX(Events!$I$5:$I$505,MATCH(G628,Events!$A$5:$A$505,0)),att_offset,MATCH(G628,Attendance!$B$3:$AY$3,0),attendees,COUNTIF(INDEX(Attendance!$B$7:$AY$206,0,att_offset),"1"),IF(ev_split="Equal Split",ev_cost/MAX(1,COUNTA(Roster!$A$5:$A$204)),ev_cost/MAX(1,attendees))),"N/A"))</f>
        <v/>
      </c>
    </row>
    <row r="629" ht="20" customHeight="1">
      <c r="A629" s="16" t="n"/>
      <c r="B629" s="14" t="n"/>
      <c r="C629" s="14" t="n"/>
      <c r="D629" s="14" t="n"/>
      <c r="E629" s="14" t="n"/>
      <c r="F629" s="17" t="n"/>
      <c r="G629" s="14" t="n"/>
      <c r="H629" s="14" t="n"/>
      <c r="I629" s="14" t="n"/>
      <c r="J629" s="108">
        <f>IF(G629="","",IFERROR(LET(ev_cost,INDEX(Events!$G$5:$G$505,MATCH(G629,Events!$A$5:$A$505,0)),ev_split,INDEX(Events!$I$5:$I$505,MATCH(G629,Events!$A$5:$A$505,0)),att_offset,MATCH(G629,Attendance!$B$3:$AY$3,0),attendees,COUNTIF(INDEX(Attendance!$B$7:$AY$206,0,att_offset),"1"),IF(ev_split="Equal Split",ev_cost/MAX(1,COUNTA(Roster!$A$5:$A$204)),ev_cost/MAX(1,attendees))),"N/A"))</f>
        <v/>
      </c>
    </row>
    <row r="630" ht="20" customHeight="1">
      <c r="A630" s="12" t="n"/>
      <c r="B630" s="10" t="n"/>
      <c r="C630" s="10" t="n"/>
      <c r="D630" s="10" t="n"/>
      <c r="E630" s="10" t="n"/>
      <c r="F630" s="13" t="n"/>
      <c r="G630" s="10" t="n"/>
      <c r="H630" s="10" t="n"/>
      <c r="I630" s="10" t="n"/>
      <c r="J630" s="108">
        <f>IF(G630="","",IFERROR(LET(ev_cost,INDEX(Events!$G$5:$G$505,MATCH(G630,Events!$A$5:$A$505,0)),ev_split,INDEX(Events!$I$5:$I$505,MATCH(G630,Events!$A$5:$A$505,0)),att_offset,MATCH(G630,Attendance!$B$3:$AY$3,0),attendees,COUNTIF(INDEX(Attendance!$B$7:$AY$206,0,att_offset),"1"),IF(ev_split="Equal Split",ev_cost/MAX(1,COUNTA(Roster!$A$5:$A$204)),ev_cost/MAX(1,attendees))),"N/A"))</f>
        <v/>
      </c>
    </row>
    <row r="631" ht="20" customHeight="1">
      <c r="A631" s="16" t="n"/>
      <c r="B631" s="14" t="n"/>
      <c r="C631" s="14" t="n"/>
      <c r="D631" s="14" t="n"/>
      <c r="E631" s="14" t="n"/>
      <c r="F631" s="17" t="n"/>
      <c r="G631" s="14" t="n"/>
      <c r="H631" s="14" t="n"/>
      <c r="I631" s="14" t="n"/>
      <c r="J631" s="108">
        <f>IF(G631="","",IFERROR(LET(ev_cost,INDEX(Events!$G$5:$G$505,MATCH(G631,Events!$A$5:$A$505,0)),ev_split,INDEX(Events!$I$5:$I$505,MATCH(G631,Events!$A$5:$A$505,0)),att_offset,MATCH(G631,Attendance!$B$3:$AY$3,0),attendees,COUNTIF(INDEX(Attendance!$B$7:$AY$206,0,att_offset),"1"),IF(ev_split="Equal Split",ev_cost/MAX(1,COUNTA(Roster!$A$5:$A$204)),ev_cost/MAX(1,attendees))),"N/A"))</f>
        <v/>
      </c>
    </row>
    <row r="632" ht="20" customHeight="1">
      <c r="A632" s="12" t="n"/>
      <c r="B632" s="10" t="n"/>
      <c r="C632" s="10" t="n"/>
      <c r="D632" s="10" t="n"/>
      <c r="E632" s="10" t="n"/>
      <c r="F632" s="13" t="n"/>
      <c r="G632" s="10" t="n"/>
      <c r="H632" s="10" t="n"/>
      <c r="I632" s="10" t="n"/>
      <c r="J632" s="108">
        <f>IF(G632="","",IFERROR(LET(ev_cost,INDEX(Events!$G$5:$G$505,MATCH(G632,Events!$A$5:$A$505,0)),ev_split,INDEX(Events!$I$5:$I$505,MATCH(G632,Events!$A$5:$A$505,0)),att_offset,MATCH(G632,Attendance!$B$3:$AY$3,0),attendees,COUNTIF(INDEX(Attendance!$B$7:$AY$206,0,att_offset),"1"),IF(ev_split="Equal Split",ev_cost/MAX(1,COUNTA(Roster!$A$5:$A$204)),ev_cost/MAX(1,attendees))),"N/A"))</f>
        <v/>
      </c>
    </row>
    <row r="633" ht="20" customHeight="1">
      <c r="A633" s="16" t="n"/>
      <c r="B633" s="14" t="n"/>
      <c r="C633" s="14" t="n"/>
      <c r="D633" s="14" t="n"/>
      <c r="E633" s="14" t="n"/>
      <c r="F633" s="17" t="n"/>
      <c r="G633" s="14" t="n"/>
      <c r="H633" s="14" t="n"/>
      <c r="I633" s="14" t="n"/>
      <c r="J633" s="108">
        <f>IF(G633="","",IFERROR(LET(ev_cost,INDEX(Events!$G$5:$G$505,MATCH(G633,Events!$A$5:$A$505,0)),ev_split,INDEX(Events!$I$5:$I$505,MATCH(G633,Events!$A$5:$A$505,0)),att_offset,MATCH(G633,Attendance!$B$3:$AY$3,0),attendees,COUNTIF(INDEX(Attendance!$B$7:$AY$206,0,att_offset),"1"),IF(ev_split="Equal Split",ev_cost/MAX(1,COUNTA(Roster!$A$5:$A$204)),ev_cost/MAX(1,attendees))),"N/A"))</f>
        <v/>
      </c>
    </row>
    <row r="634" ht="20" customHeight="1">
      <c r="A634" s="12" t="n"/>
      <c r="B634" s="10" t="n"/>
      <c r="C634" s="10" t="n"/>
      <c r="D634" s="10" t="n"/>
      <c r="E634" s="10" t="n"/>
      <c r="F634" s="13" t="n"/>
      <c r="G634" s="10" t="n"/>
      <c r="H634" s="10" t="n"/>
      <c r="I634" s="10" t="n"/>
      <c r="J634" s="108">
        <f>IF(G634="","",IFERROR(LET(ev_cost,INDEX(Events!$G$5:$G$505,MATCH(G634,Events!$A$5:$A$505,0)),ev_split,INDEX(Events!$I$5:$I$505,MATCH(G634,Events!$A$5:$A$505,0)),att_offset,MATCH(G634,Attendance!$B$3:$AY$3,0),attendees,COUNTIF(INDEX(Attendance!$B$7:$AY$206,0,att_offset),"1"),IF(ev_split="Equal Split",ev_cost/MAX(1,COUNTA(Roster!$A$5:$A$204)),ev_cost/MAX(1,attendees))),"N/A"))</f>
        <v/>
      </c>
    </row>
    <row r="635" ht="20" customHeight="1">
      <c r="A635" s="16" t="n"/>
      <c r="B635" s="14" t="n"/>
      <c r="C635" s="14" t="n"/>
      <c r="D635" s="14" t="n"/>
      <c r="E635" s="14" t="n"/>
      <c r="F635" s="17" t="n"/>
      <c r="G635" s="14" t="n"/>
      <c r="H635" s="14" t="n"/>
      <c r="I635" s="14" t="n"/>
      <c r="J635" s="108">
        <f>IF(G635="","",IFERROR(LET(ev_cost,INDEX(Events!$G$5:$G$505,MATCH(G635,Events!$A$5:$A$505,0)),ev_split,INDEX(Events!$I$5:$I$505,MATCH(G635,Events!$A$5:$A$505,0)),att_offset,MATCH(G635,Attendance!$B$3:$AY$3,0),attendees,COUNTIF(INDEX(Attendance!$B$7:$AY$206,0,att_offset),"1"),IF(ev_split="Equal Split",ev_cost/MAX(1,COUNTA(Roster!$A$5:$A$204)),ev_cost/MAX(1,attendees))),"N/A"))</f>
        <v/>
      </c>
    </row>
    <row r="636" ht="20" customHeight="1">
      <c r="A636" s="12" t="n"/>
      <c r="B636" s="10" t="n"/>
      <c r="C636" s="10" t="n"/>
      <c r="D636" s="10" t="n"/>
      <c r="E636" s="10" t="n"/>
      <c r="F636" s="13" t="n"/>
      <c r="G636" s="10" t="n"/>
      <c r="H636" s="10" t="n"/>
      <c r="I636" s="10" t="n"/>
      <c r="J636" s="108">
        <f>IF(G636="","",IFERROR(LET(ev_cost,INDEX(Events!$G$5:$G$505,MATCH(G636,Events!$A$5:$A$505,0)),ev_split,INDEX(Events!$I$5:$I$505,MATCH(G636,Events!$A$5:$A$505,0)),att_offset,MATCH(G636,Attendance!$B$3:$AY$3,0),attendees,COUNTIF(INDEX(Attendance!$B$7:$AY$206,0,att_offset),"1"),IF(ev_split="Equal Split",ev_cost/MAX(1,COUNTA(Roster!$A$5:$A$204)),ev_cost/MAX(1,attendees))),"N/A"))</f>
        <v/>
      </c>
    </row>
    <row r="637" ht="20" customHeight="1">
      <c r="A637" s="16" t="n"/>
      <c r="B637" s="14" t="n"/>
      <c r="C637" s="14" t="n"/>
      <c r="D637" s="14" t="n"/>
      <c r="E637" s="14" t="n"/>
      <c r="F637" s="17" t="n"/>
      <c r="G637" s="14" t="n"/>
      <c r="H637" s="14" t="n"/>
      <c r="I637" s="14" t="n"/>
      <c r="J637" s="108">
        <f>IF(G637="","",IFERROR(LET(ev_cost,INDEX(Events!$G$5:$G$505,MATCH(G637,Events!$A$5:$A$505,0)),ev_split,INDEX(Events!$I$5:$I$505,MATCH(G637,Events!$A$5:$A$505,0)),att_offset,MATCH(G637,Attendance!$B$3:$AY$3,0),attendees,COUNTIF(INDEX(Attendance!$B$7:$AY$206,0,att_offset),"1"),IF(ev_split="Equal Split",ev_cost/MAX(1,COUNTA(Roster!$A$5:$A$204)),ev_cost/MAX(1,attendees))),"N/A"))</f>
        <v/>
      </c>
    </row>
    <row r="638" ht="20" customHeight="1">
      <c r="A638" s="12" t="n"/>
      <c r="B638" s="10" t="n"/>
      <c r="C638" s="10" t="n"/>
      <c r="D638" s="10" t="n"/>
      <c r="E638" s="10" t="n"/>
      <c r="F638" s="13" t="n"/>
      <c r="G638" s="10" t="n"/>
      <c r="H638" s="10" t="n"/>
      <c r="I638" s="10" t="n"/>
      <c r="J638" s="108">
        <f>IF(G638="","",IFERROR(LET(ev_cost,INDEX(Events!$G$5:$G$505,MATCH(G638,Events!$A$5:$A$505,0)),ev_split,INDEX(Events!$I$5:$I$505,MATCH(G638,Events!$A$5:$A$505,0)),att_offset,MATCH(G638,Attendance!$B$3:$AY$3,0),attendees,COUNTIF(INDEX(Attendance!$B$7:$AY$206,0,att_offset),"1"),IF(ev_split="Equal Split",ev_cost/MAX(1,COUNTA(Roster!$A$5:$A$204)),ev_cost/MAX(1,attendees))),"N/A"))</f>
        <v/>
      </c>
    </row>
    <row r="639" ht="20" customHeight="1">
      <c r="A639" s="16" t="n"/>
      <c r="B639" s="14" t="n"/>
      <c r="C639" s="14" t="n"/>
      <c r="D639" s="14" t="n"/>
      <c r="E639" s="14" t="n"/>
      <c r="F639" s="17" t="n"/>
      <c r="G639" s="14" t="n"/>
      <c r="H639" s="14" t="n"/>
      <c r="I639" s="14" t="n"/>
      <c r="J639" s="108">
        <f>IF(G639="","",IFERROR(LET(ev_cost,INDEX(Events!$G$5:$G$505,MATCH(G639,Events!$A$5:$A$505,0)),ev_split,INDEX(Events!$I$5:$I$505,MATCH(G639,Events!$A$5:$A$505,0)),att_offset,MATCH(G639,Attendance!$B$3:$AY$3,0),attendees,COUNTIF(INDEX(Attendance!$B$7:$AY$206,0,att_offset),"1"),IF(ev_split="Equal Split",ev_cost/MAX(1,COUNTA(Roster!$A$5:$A$204)),ev_cost/MAX(1,attendees))),"N/A"))</f>
        <v/>
      </c>
    </row>
    <row r="640" ht="20" customHeight="1">
      <c r="A640" s="12" t="n"/>
      <c r="B640" s="10" t="n"/>
      <c r="C640" s="10" t="n"/>
      <c r="D640" s="10" t="n"/>
      <c r="E640" s="10" t="n"/>
      <c r="F640" s="13" t="n"/>
      <c r="G640" s="10" t="n"/>
      <c r="H640" s="10" t="n"/>
      <c r="I640" s="10" t="n"/>
      <c r="J640" s="108">
        <f>IF(G640="","",IFERROR(LET(ev_cost,INDEX(Events!$G$5:$G$505,MATCH(G640,Events!$A$5:$A$505,0)),ev_split,INDEX(Events!$I$5:$I$505,MATCH(G640,Events!$A$5:$A$505,0)),att_offset,MATCH(G640,Attendance!$B$3:$AY$3,0),attendees,COUNTIF(INDEX(Attendance!$B$7:$AY$206,0,att_offset),"1"),IF(ev_split="Equal Split",ev_cost/MAX(1,COUNTA(Roster!$A$5:$A$204)),ev_cost/MAX(1,attendees))),"N/A"))</f>
        <v/>
      </c>
    </row>
    <row r="641" ht="20" customHeight="1">
      <c r="A641" s="16" t="n"/>
      <c r="B641" s="14" t="n"/>
      <c r="C641" s="14" t="n"/>
      <c r="D641" s="14" t="n"/>
      <c r="E641" s="14" t="n"/>
      <c r="F641" s="17" t="n"/>
      <c r="G641" s="14" t="n"/>
      <c r="H641" s="14" t="n"/>
      <c r="I641" s="14" t="n"/>
      <c r="J641" s="108">
        <f>IF(G641="","",IFERROR(LET(ev_cost,INDEX(Events!$G$5:$G$505,MATCH(G641,Events!$A$5:$A$505,0)),ev_split,INDEX(Events!$I$5:$I$505,MATCH(G641,Events!$A$5:$A$505,0)),att_offset,MATCH(G641,Attendance!$B$3:$AY$3,0),attendees,COUNTIF(INDEX(Attendance!$B$7:$AY$206,0,att_offset),"1"),IF(ev_split="Equal Split",ev_cost/MAX(1,COUNTA(Roster!$A$5:$A$204)),ev_cost/MAX(1,attendees))),"N/A"))</f>
        <v/>
      </c>
    </row>
    <row r="642" ht="20" customHeight="1">
      <c r="A642" s="12" t="n"/>
      <c r="B642" s="10" t="n"/>
      <c r="C642" s="10" t="n"/>
      <c r="D642" s="10" t="n"/>
      <c r="E642" s="10" t="n"/>
      <c r="F642" s="13" t="n"/>
      <c r="G642" s="10" t="n"/>
      <c r="H642" s="10" t="n"/>
      <c r="I642" s="10" t="n"/>
      <c r="J642" s="108">
        <f>IF(G642="","",IFERROR(LET(ev_cost,INDEX(Events!$G$5:$G$505,MATCH(G642,Events!$A$5:$A$505,0)),ev_split,INDEX(Events!$I$5:$I$505,MATCH(G642,Events!$A$5:$A$505,0)),att_offset,MATCH(G642,Attendance!$B$3:$AY$3,0),attendees,COUNTIF(INDEX(Attendance!$B$7:$AY$206,0,att_offset),"1"),IF(ev_split="Equal Split",ev_cost/MAX(1,COUNTA(Roster!$A$5:$A$204)),ev_cost/MAX(1,attendees))),"N/A"))</f>
        <v/>
      </c>
    </row>
    <row r="643" ht="20" customHeight="1">
      <c r="A643" s="16" t="n"/>
      <c r="B643" s="14" t="n"/>
      <c r="C643" s="14" t="n"/>
      <c r="D643" s="14" t="n"/>
      <c r="E643" s="14" t="n"/>
      <c r="F643" s="17" t="n"/>
      <c r="G643" s="14" t="n"/>
      <c r="H643" s="14" t="n"/>
      <c r="I643" s="14" t="n"/>
      <c r="J643" s="108">
        <f>IF(G643="","",IFERROR(LET(ev_cost,INDEX(Events!$G$5:$G$505,MATCH(G643,Events!$A$5:$A$505,0)),ev_split,INDEX(Events!$I$5:$I$505,MATCH(G643,Events!$A$5:$A$505,0)),att_offset,MATCH(G643,Attendance!$B$3:$AY$3,0),attendees,COUNTIF(INDEX(Attendance!$B$7:$AY$206,0,att_offset),"1"),IF(ev_split="Equal Split",ev_cost/MAX(1,COUNTA(Roster!$A$5:$A$204)),ev_cost/MAX(1,attendees))),"N/A"))</f>
        <v/>
      </c>
    </row>
    <row r="644" ht="20" customHeight="1">
      <c r="A644" s="12" t="n"/>
      <c r="B644" s="10" t="n"/>
      <c r="C644" s="10" t="n"/>
      <c r="D644" s="10" t="n"/>
      <c r="E644" s="10" t="n"/>
      <c r="F644" s="13" t="n"/>
      <c r="G644" s="10" t="n"/>
      <c r="H644" s="10" t="n"/>
      <c r="I644" s="10" t="n"/>
      <c r="J644" s="108">
        <f>IF(G644="","",IFERROR(LET(ev_cost,INDEX(Events!$G$5:$G$505,MATCH(G644,Events!$A$5:$A$505,0)),ev_split,INDEX(Events!$I$5:$I$505,MATCH(G644,Events!$A$5:$A$505,0)),att_offset,MATCH(G644,Attendance!$B$3:$AY$3,0),attendees,COUNTIF(INDEX(Attendance!$B$7:$AY$206,0,att_offset),"1"),IF(ev_split="Equal Split",ev_cost/MAX(1,COUNTA(Roster!$A$5:$A$204)),ev_cost/MAX(1,attendees))),"N/A"))</f>
        <v/>
      </c>
    </row>
    <row r="645" ht="20" customHeight="1">
      <c r="A645" s="16" t="n"/>
      <c r="B645" s="14" t="n"/>
      <c r="C645" s="14" t="n"/>
      <c r="D645" s="14" t="n"/>
      <c r="E645" s="14" t="n"/>
      <c r="F645" s="17" t="n"/>
      <c r="G645" s="14" t="n"/>
      <c r="H645" s="14" t="n"/>
      <c r="I645" s="14" t="n"/>
      <c r="J645" s="108">
        <f>IF(G645="","",IFERROR(LET(ev_cost,INDEX(Events!$G$5:$G$505,MATCH(G645,Events!$A$5:$A$505,0)),ev_split,INDEX(Events!$I$5:$I$505,MATCH(G645,Events!$A$5:$A$505,0)),att_offset,MATCH(G645,Attendance!$B$3:$AY$3,0),attendees,COUNTIF(INDEX(Attendance!$B$7:$AY$206,0,att_offset),"1"),IF(ev_split="Equal Split",ev_cost/MAX(1,COUNTA(Roster!$A$5:$A$204)),ev_cost/MAX(1,attendees))),"N/A"))</f>
        <v/>
      </c>
    </row>
    <row r="646" ht="20" customHeight="1">
      <c r="A646" s="12" t="n"/>
      <c r="B646" s="10" t="n"/>
      <c r="C646" s="10" t="n"/>
      <c r="D646" s="10" t="n"/>
      <c r="E646" s="10" t="n"/>
      <c r="F646" s="13" t="n"/>
      <c r="G646" s="10" t="n"/>
      <c r="H646" s="10" t="n"/>
      <c r="I646" s="10" t="n"/>
      <c r="J646" s="108">
        <f>IF(G646="","",IFERROR(LET(ev_cost,INDEX(Events!$G$5:$G$505,MATCH(G646,Events!$A$5:$A$505,0)),ev_split,INDEX(Events!$I$5:$I$505,MATCH(G646,Events!$A$5:$A$505,0)),att_offset,MATCH(G646,Attendance!$B$3:$AY$3,0),attendees,COUNTIF(INDEX(Attendance!$B$7:$AY$206,0,att_offset),"1"),IF(ev_split="Equal Split",ev_cost/MAX(1,COUNTA(Roster!$A$5:$A$204)),ev_cost/MAX(1,attendees))),"N/A"))</f>
        <v/>
      </c>
    </row>
    <row r="647" ht="20" customHeight="1">
      <c r="A647" s="16" t="n"/>
      <c r="B647" s="14" t="n"/>
      <c r="C647" s="14" t="n"/>
      <c r="D647" s="14" t="n"/>
      <c r="E647" s="14" t="n"/>
      <c r="F647" s="17" t="n"/>
      <c r="G647" s="14" t="n"/>
      <c r="H647" s="14" t="n"/>
      <c r="I647" s="14" t="n"/>
      <c r="J647" s="108">
        <f>IF(G647="","",IFERROR(LET(ev_cost,INDEX(Events!$G$5:$G$505,MATCH(G647,Events!$A$5:$A$505,0)),ev_split,INDEX(Events!$I$5:$I$505,MATCH(G647,Events!$A$5:$A$505,0)),att_offset,MATCH(G647,Attendance!$B$3:$AY$3,0),attendees,COUNTIF(INDEX(Attendance!$B$7:$AY$206,0,att_offset),"1"),IF(ev_split="Equal Split",ev_cost/MAX(1,COUNTA(Roster!$A$5:$A$204)),ev_cost/MAX(1,attendees))),"N/A"))</f>
        <v/>
      </c>
    </row>
    <row r="648" ht="20" customHeight="1">
      <c r="A648" s="12" t="n"/>
      <c r="B648" s="10" t="n"/>
      <c r="C648" s="10" t="n"/>
      <c r="D648" s="10" t="n"/>
      <c r="E648" s="10" t="n"/>
      <c r="F648" s="13" t="n"/>
      <c r="G648" s="10" t="n"/>
      <c r="H648" s="10" t="n"/>
      <c r="I648" s="10" t="n"/>
      <c r="J648" s="108">
        <f>IF(G648="","",IFERROR(LET(ev_cost,INDEX(Events!$G$5:$G$505,MATCH(G648,Events!$A$5:$A$505,0)),ev_split,INDEX(Events!$I$5:$I$505,MATCH(G648,Events!$A$5:$A$505,0)),att_offset,MATCH(G648,Attendance!$B$3:$AY$3,0),attendees,COUNTIF(INDEX(Attendance!$B$7:$AY$206,0,att_offset),"1"),IF(ev_split="Equal Split",ev_cost/MAX(1,COUNTA(Roster!$A$5:$A$204)),ev_cost/MAX(1,attendees))),"N/A"))</f>
        <v/>
      </c>
    </row>
    <row r="649" ht="20" customHeight="1">
      <c r="A649" s="16" t="n"/>
      <c r="B649" s="14" t="n"/>
      <c r="C649" s="14" t="n"/>
      <c r="D649" s="14" t="n"/>
      <c r="E649" s="14" t="n"/>
      <c r="F649" s="17" t="n"/>
      <c r="G649" s="14" t="n"/>
      <c r="H649" s="14" t="n"/>
      <c r="I649" s="14" t="n"/>
      <c r="J649" s="108">
        <f>IF(G649="","",IFERROR(LET(ev_cost,INDEX(Events!$G$5:$G$505,MATCH(G649,Events!$A$5:$A$505,0)),ev_split,INDEX(Events!$I$5:$I$505,MATCH(G649,Events!$A$5:$A$505,0)),att_offset,MATCH(G649,Attendance!$B$3:$AY$3,0),attendees,COUNTIF(INDEX(Attendance!$B$7:$AY$206,0,att_offset),"1"),IF(ev_split="Equal Split",ev_cost/MAX(1,COUNTA(Roster!$A$5:$A$204)),ev_cost/MAX(1,attendees))),"N/A"))</f>
        <v/>
      </c>
    </row>
    <row r="650" ht="20" customHeight="1">
      <c r="A650" s="12" t="n"/>
      <c r="B650" s="10" t="n"/>
      <c r="C650" s="10" t="n"/>
      <c r="D650" s="10" t="n"/>
      <c r="E650" s="10" t="n"/>
      <c r="F650" s="13" t="n"/>
      <c r="G650" s="10" t="n"/>
      <c r="H650" s="10" t="n"/>
      <c r="I650" s="10" t="n"/>
      <c r="J650" s="108">
        <f>IF(G650="","",IFERROR(LET(ev_cost,INDEX(Events!$G$5:$G$505,MATCH(G650,Events!$A$5:$A$505,0)),ev_split,INDEX(Events!$I$5:$I$505,MATCH(G650,Events!$A$5:$A$505,0)),att_offset,MATCH(G650,Attendance!$B$3:$AY$3,0),attendees,COUNTIF(INDEX(Attendance!$B$7:$AY$206,0,att_offset),"1"),IF(ev_split="Equal Split",ev_cost/MAX(1,COUNTA(Roster!$A$5:$A$204)),ev_cost/MAX(1,attendees))),"N/A"))</f>
        <v/>
      </c>
    </row>
    <row r="651" ht="20" customHeight="1">
      <c r="A651" s="16" t="n"/>
      <c r="B651" s="14" t="n"/>
      <c r="C651" s="14" t="n"/>
      <c r="D651" s="14" t="n"/>
      <c r="E651" s="14" t="n"/>
      <c r="F651" s="17" t="n"/>
      <c r="G651" s="14" t="n"/>
      <c r="H651" s="14" t="n"/>
      <c r="I651" s="14" t="n"/>
      <c r="J651" s="108">
        <f>IF(G651="","",IFERROR(LET(ev_cost,INDEX(Events!$G$5:$G$505,MATCH(G651,Events!$A$5:$A$505,0)),ev_split,INDEX(Events!$I$5:$I$505,MATCH(G651,Events!$A$5:$A$505,0)),att_offset,MATCH(G651,Attendance!$B$3:$AY$3,0),attendees,COUNTIF(INDEX(Attendance!$B$7:$AY$206,0,att_offset),"1"),IF(ev_split="Equal Split",ev_cost/MAX(1,COUNTA(Roster!$A$5:$A$204)),ev_cost/MAX(1,attendees))),"N/A"))</f>
        <v/>
      </c>
    </row>
    <row r="652" ht="20" customHeight="1">
      <c r="A652" s="12" t="n"/>
      <c r="B652" s="10" t="n"/>
      <c r="C652" s="10" t="n"/>
      <c r="D652" s="10" t="n"/>
      <c r="E652" s="10" t="n"/>
      <c r="F652" s="13" t="n"/>
      <c r="G652" s="10" t="n"/>
      <c r="H652" s="10" t="n"/>
      <c r="I652" s="10" t="n"/>
      <c r="J652" s="108">
        <f>IF(G652="","",IFERROR(LET(ev_cost,INDEX(Events!$G$5:$G$505,MATCH(G652,Events!$A$5:$A$505,0)),ev_split,INDEX(Events!$I$5:$I$505,MATCH(G652,Events!$A$5:$A$505,0)),att_offset,MATCH(G652,Attendance!$B$3:$AY$3,0),attendees,COUNTIF(INDEX(Attendance!$B$7:$AY$206,0,att_offset),"1"),IF(ev_split="Equal Split",ev_cost/MAX(1,COUNTA(Roster!$A$5:$A$204)),ev_cost/MAX(1,attendees))),"N/A"))</f>
        <v/>
      </c>
    </row>
    <row r="653" ht="20" customHeight="1">
      <c r="A653" s="16" t="n"/>
      <c r="B653" s="14" t="n"/>
      <c r="C653" s="14" t="n"/>
      <c r="D653" s="14" t="n"/>
      <c r="E653" s="14" t="n"/>
      <c r="F653" s="17" t="n"/>
      <c r="G653" s="14" t="n"/>
      <c r="H653" s="14" t="n"/>
      <c r="I653" s="14" t="n"/>
      <c r="J653" s="108">
        <f>IF(G653="","",IFERROR(LET(ev_cost,INDEX(Events!$G$5:$G$505,MATCH(G653,Events!$A$5:$A$505,0)),ev_split,INDEX(Events!$I$5:$I$505,MATCH(G653,Events!$A$5:$A$505,0)),att_offset,MATCH(G653,Attendance!$B$3:$AY$3,0),attendees,COUNTIF(INDEX(Attendance!$B$7:$AY$206,0,att_offset),"1"),IF(ev_split="Equal Split",ev_cost/MAX(1,COUNTA(Roster!$A$5:$A$204)),ev_cost/MAX(1,attendees))),"N/A"))</f>
        <v/>
      </c>
    </row>
    <row r="654" ht="20" customHeight="1">
      <c r="A654" s="12" t="n"/>
      <c r="B654" s="10" t="n"/>
      <c r="C654" s="10" t="n"/>
      <c r="D654" s="10" t="n"/>
      <c r="E654" s="10" t="n"/>
      <c r="F654" s="13" t="n"/>
      <c r="G654" s="10" t="n"/>
      <c r="H654" s="10" t="n"/>
      <c r="I654" s="10" t="n"/>
      <c r="J654" s="108">
        <f>IF(G654="","",IFERROR(LET(ev_cost,INDEX(Events!$G$5:$G$505,MATCH(G654,Events!$A$5:$A$505,0)),ev_split,INDEX(Events!$I$5:$I$505,MATCH(G654,Events!$A$5:$A$505,0)),att_offset,MATCH(G654,Attendance!$B$3:$AY$3,0),attendees,COUNTIF(INDEX(Attendance!$B$7:$AY$206,0,att_offset),"1"),IF(ev_split="Equal Split",ev_cost/MAX(1,COUNTA(Roster!$A$5:$A$204)),ev_cost/MAX(1,attendees))),"N/A"))</f>
        <v/>
      </c>
    </row>
    <row r="655" ht="20" customHeight="1">
      <c r="A655" s="16" t="n"/>
      <c r="B655" s="14" t="n"/>
      <c r="C655" s="14" t="n"/>
      <c r="D655" s="14" t="n"/>
      <c r="E655" s="14" t="n"/>
      <c r="F655" s="17" t="n"/>
      <c r="G655" s="14" t="n"/>
      <c r="H655" s="14" t="n"/>
      <c r="I655" s="14" t="n"/>
      <c r="J655" s="108">
        <f>IF(G655="","",IFERROR(LET(ev_cost,INDEX(Events!$G$5:$G$505,MATCH(G655,Events!$A$5:$A$505,0)),ev_split,INDEX(Events!$I$5:$I$505,MATCH(G655,Events!$A$5:$A$505,0)),att_offset,MATCH(G655,Attendance!$B$3:$AY$3,0),attendees,COUNTIF(INDEX(Attendance!$B$7:$AY$206,0,att_offset),"1"),IF(ev_split="Equal Split",ev_cost/MAX(1,COUNTA(Roster!$A$5:$A$204)),ev_cost/MAX(1,attendees))),"N/A"))</f>
        <v/>
      </c>
    </row>
    <row r="656" ht="20" customHeight="1">
      <c r="A656" s="12" t="n"/>
      <c r="B656" s="10" t="n"/>
      <c r="C656" s="10" t="n"/>
      <c r="D656" s="10" t="n"/>
      <c r="E656" s="10" t="n"/>
      <c r="F656" s="13" t="n"/>
      <c r="G656" s="10" t="n"/>
      <c r="H656" s="10" t="n"/>
      <c r="I656" s="10" t="n"/>
      <c r="J656" s="108">
        <f>IF(G656="","",IFERROR(LET(ev_cost,INDEX(Events!$G$5:$G$505,MATCH(G656,Events!$A$5:$A$505,0)),ev_split,INDEX(Events!$I$5:$I$505,MATCH(G656,Events!$A$5:$A$505,0)),att_offset,MATCH(G656,Attendance!$B$3:$AY$3,0),attendees,COUNTIF(INDEX(Attendance!$B$7:$AY$206,0,att_offset),"1"),IF(ev_split="Equal Split",ev_cost/MAX(1,COUNTA(Roster!$A$5:$A$204)),ev_cost/MAX(1,attendees))),"N/A"))</f>
        <v/>
      </c>
    </row>
    <row r="657" ht="20" customHeight="1">
      <c r="A657" s="16" t="n"/>
      <c r="B657" s="14" t="n"/>
      <c r="C657" s="14" t="n"/>
      <c r="D657" s="14" t="n"/>
      <c r="E657" s="14" t="n"/>
      <c r="F657" s="17" t="n"/>
      <c r="G657" s="14" t="n"/>
      <c r="H657" s="14" t="n"/>
      <c r="I657" s="14" t="n"/>
      <c r="J657" s="108">
        <f>IF(G657="","",IFERROR(LET(ev_cost,INDEX(Events!$G$5:$G$505,MATCH(G657,Events!$A$5:$A$505,0)),ev_split,INDEX(Events!$I$5:$I$505,MATCH(G657,Events!$A$5:$A$505,0)),att_offset,MATCH(G657,Attendance!$B$3:$AY$3,0),attendees,COUNTIF(INDEX(Attendance!$B$7:$AY$206,0,att_offset),"1"),IF(ev_split="Equal Split",ev_cost/MAX(1,COUNTA(Roster!$A$5:$A$204)),ev_cost/MAX(1,attendees))),"N/A"))</f>
        <v/>
      </c>
    </row>
    <row r="658" ht="20" customHeight="1">
      <c r="A658" s="12" t="n"/>
      <c r="B658" s="10" t="n"/>
      <c r="C658" s="10" t="n"/>
      <c r="D658" s="10" t="n"/>
      <c r="E658" s="10" t="n"/>
      <c r="F658" s="13" t="n"/>
      <c r="G658" s="10" t="n"/>
      <c r="H658" s="10" t="n"/>
      <c r="I658" s="10" t="n"/>
      <c r="J658" s="108">
        <f>IF(G658="","",IFERROR(LET(ev_cost,INDEX(Events!$G$5:$G$505,MATCH(G658,Events!$A$5:$A$505,0)),ev_split,INDEX(Events!$I$5:$I$505,MATCH(G658,Events!$A$5:$A$505,0)),att_offset,MATCH(G658,Attendance!$B$3:$AY$3,0),attendees,COUNTIF(INDEX(Attendance!$B$7:$AY$206,0,att_offset),"1"),IF(ev_split="Equal Split",ev_cost/MAX(1,COUNTA(Roster!$A$5:$A$204)),ev_cost/MAX(1,attendees))),"N/A"))</f>
        <v/>
      </c>
    </row>
    <row r="659" ht="20" customHeight="1">
      <c r="A659" s="16" t="n"/>
      <c r="B659" s="14" t="n"/>
      <c r="C659" s="14" t="n"/>
      <c r="D659" s="14" t="n"/>
      <c r="E659" s="14" t="n"/>
      <c r="F659" s="17" t="n"/>
      <c r="G659" s="14" t="n"/>
      <c r="H659" s="14" t="n"/>
      <c r="I659" s="14" t="n"/>
      <c r="J659" s="108">
        <f>IF(G659="","",IFERROR(LET(ev_cost,INDEX(Events!$G$5:$G$505,MATCH(G659,Events!$A$5:$A$505,0)),ev_split,INDEX(Events!$I$5:$I$505,MATCH(G659,Events!$A$5:$A$505,0)),att_offset,MATCH(G659,Attendance!$B$3:$AY$3,0),attendees,COUNTIF(INDEX(Attendance!$B$7:$AY$206,0,att_offset),"1"),IF(ev_split="Equal Split",ev_cost/MAX(1,COUNTA(Roster!$A$5:$A$204)),ev_cost/MAX(1,attendees))),"N/A"))</f>
        <v/>
      </c>
    </row>
    <row r="660" ht="20" customHeight="1">
      <c r="A660" s="12" t="n"/>
      <c r="B660" s="10" t="n"/>
      <c r="C660" s="10" t="n"/>
      <c r="D660" s="10" t="n"/>
      <c r="E660" s="10" t="n"/>
      <c r="F660" s="13" t="n"/>
      <c r="G660" s="10" t="n"/>
      <c r="H660" s="10" t="n"/>
      <c r="I660" s="10" t="n"/>
      <c r="J660" s="108">
        <f>IF(G660="","",IFERROR(LET(ev_cost,INDEX(Events!$G$5:$G$505,MATCH(G660,Events!$A$5:$A$505,0)),ev_split,INDEX(Events!$I$5:$I$505,MATCH(G660,Events!$A$5:$A$505,0)),att_offset,MATCH(G660,Attendance!$B$3:$AY$3,0),attendees,COUNTIF(INDEX(Attendance!$B$7:$AY$206,0,att_offset),"1"),IF(ev_split="Equal Split",ev_cost/MAX(1,COUNTA(Roster!$A$5:$A$204)),ev_cost/MAX(1,attendees))),"N/A"))</f>
        <v/>
      </c>
    </row>
    <row r="661" ht="20" customHeight="1">
      <c r="A661" s="16" t="n"/>
      <c r="B661" s="14" t="n"/>
      <c r="C661" s="14" t="n"/>
      <c r="D661" s="14" t="n"/>
      <c r="E661" s="14" t="n"/>
      <c r="F661" s="17" t="n"/>
      <c r="G661" s="14" t="n"/>
      <c r="H661" s="14" t="n"/>
      <c r="I661" s="14" t="n"/>
      <c r="J661" s="108">
        <f>IF(G661="","",IFERROR(LET(ev_cost,INDEX(Events!$G$5:$G$505,MATCH(G661,Events!$A$5:$A$505,0)),ev_split,INDEX(Events!$I$5:$I$505,MATCH(G661,Events!$A$5:$A$505,0)),att_offset,MATCH(G661,Attendance!$B$3:$AY$3,0),attendees,COUNTIF(INDEX(Attendance!$B$7:$AY$206,0,att_offset),"1"),IF(ev_split="Equal Split",ev_cost/MAX(1,COUNTA(Roster!$A$5:$A$204)),ev_cost/MAX(1,attendees))),"N/A"))</f>
        <v/>
      </c>
    </row>
    <row r="662" ht="20" customHeight="1">
      <c r="A662" s="12" t="n"/>
      <c r="B662" s="10" t="n"/>
      <c r="C662" s="10" t="n"/>
      <c r="D662" s="10" t="n"/>
      <c r="E662" s="10" t="n"/>
      <c r="F662" s="13" t="n"/>
      <c r="G662" s="10" t="n"/>
      <c r="H662" s="10" t="n"/>
      <c r="I662" s="10" t="n"/>
      <c r="J662" s="108">
        <f>IF(G662="","",IFERROR(LET(ev_cost,INDEX(Events!$G$5:$G$505,MATCH(G662,Events!$A$5:$A$505,0)),ev_split,INDEX(Events!$I$5:$I$505,MATCH(G662,Events!$A$5:$A$505,0)),att_offset,MATCH(G662,Attendance!$B$3:$AY$3,0),attendees,COUNTIF(INDEX(Attendance!$B$7:$AY$206,0,att_offset),"1"),IF(ev_split="Equal Split",ev_cost/MAX(1,COUNTA(Roster!$A$5:$A$204)),ev_cost/MAX(1,attendees))),"N/A"))</f>
        <v/>
      </c>
    </row>
    <row r="663" ht="20" customHeight="1">
      <c r="A663" s="16" t="n"/>
      <c r="B663" s="14" t="n"/>
      <c r="C663" s="14" t="n"/>
      <c r="D663" s="14" t="n"/>
      <c r="E663" s="14" t="n"/>
      <c r="F663" s="17" t="n"/>
      <c r="G663" s="14" t="n"/>
      <c r="H663" s="14" t="n"/>
      <c r="I663" s="14" t="n"/>
      <c r="J663" s="108">
        <f>IF(G663="","",IFERROR(LET(ev_cost,INDEX(Events!$G$5:$G$505,MATCH(G663,Events!$A$5:$A$505,0)),ev_split,INDEX(Events!$I$5:$I$505,MATCH(G663,Events!$A$5:$A$505,0)),att_offset,MATCH(G663,Attendance!$B$3:$AY$3,0),attendees,COUNTIF(INDEX(Attendance!$B$7:$AY$206,0,att_offset),"1"),IF(ev_split="Equal Split",ev_cost/MAX(1,COUNTA(Roster!$A$5:$A$204)),ev_cost/MAX(1,attendees))),"N/A"))</f>
        <v/>
      </c>
    </row>
    <row r="664" ht="20" customHeight="1">
      <c r="A664" s="12" t="n"/>
      <c r="B664" s="10" t="n"/>
      <c r="C664" s="10" t="n"/>
      <c r="D664" s="10" t="n"/>
      <c r="E664" s="10" t="n"/>
      <c r="F664" s="13" t="n"/>
      <c r="G664" s="10" t="n"/>
      <c r="H664" s="10" t="n"/>
      <c r="I664" s="10" t="n"/>
      <c r="J664" s="108">
        <f>IF(G664="","",IFERROR(LET(ev_cost,INDEX(Events!$G$5:$G$505,MATCH(G664,Events!$A$5:$A$505,0)),ev_split,INDEX(Events!$I$5:$I$505,MATCH(G664,Events!$A$5:$A$505,0)),att_offset,MATCH(G664,Attendance!$B$3:$AY$3,0),attendees,COUNTIF(INDEX(Attendance!$B$7:$AY$206,0,att_offset),"1"),IF(ev_split="Equal Split",ev_cost/MAX(1,COUNTA(Roster!$A$5:$A$204)),ev_cost/MAX(1,attendees))),"N/A"))</f>
        <v/>
      </c>
    </row>
    <row r="665" ht="20" customHeight="1">
      <c r="A665" s="16" t="n"/>
      <c r="B665" s="14" t="n"/>
      <c r="C665" s="14" t="n"/>
      <c r="D665" s="14" t="n"/>
      <c r="E665" s="14" t="n"/>
      <c r="F665" s="17" t="n"/>
      <c r="G665" s="14" t="n"/>
      <c r="H665" s="14" t="n"/>
      <c r="I665" s="14" t="n"/>
      <c r="J665" s="108">
        <f>IF(G665="","",IFERROR(LET(ev_cost,INDEX(Events!$G$5:$G$505,MATCH(G665,Events!$A$5:$A$505,0)),ev_split,INDEX(Events!$I$5:$I$505,MATCH(G665,Events!$A$5:$A$505,0)),att_offset,MATCH(G665,Attendance!$B$3:$AY$3,0),attendees,COUNTIF(INDEX(Attendance!$B$7:$AY$206,0,att_offset),"1"),IF(ev_split="Equal Split",ev_cost/MAX(1,COUNTA(Roster!$A$5:$A$204)),ev_cost/MAX(1,attendees))),"N/A"))</f>
        <v/>
      </c>
    </row>
    <row r="666" ht="20" customHeight="1">
      <c r="A666" s="12" t="n"/>
      <c r="B666" s="10" t="n"/>
      <c r="C666" s="10" t="n"/>
      <c r="D666" s="10" t="n"/>
      <c r="E666" s="10" t="n"/>
      <c r="F666" s="13" t="n"/>
      <c r="G666" s="10" t="n"/>
      <c r="H666" s="10" t="n"/>
      <c r="I666" s="10" t="n"/>
      <c r="J666" s="108">
        <f>IF(G666="","",IFERROR(LET(ev_cost,INDEX(Events!$G$5:$G$505,MATCH(G666,Events!$A$5:$A$505,0)),ev_split,INDEX(Events!$I$5:$I$505,MATCH(G666,Events!$A$5:$A$505,0)),att_offset,MATCH(G666,Attendance!$B$3:$AY$3,0),attendees,COUNTIF(INDEX(Attendance!$B$7:$AY$206,0,att_offset),"1"),IF(ev_split="Equal Split",ev_cost/MAX(1,COUNTA(Roster!$A$5:$A$204)),ev_cost/MAX(1,attendees))),"N/A"))</f>
        <v/>
      </c>
    </row>
    <row r="667" ht="20" customHeight="1">
      <c r="A667" s="16" t="n"/>
      <c r="B667" s="14" t="n"/>
      <c r="C667" s="14" t="n"/>
      <c r="D667" s="14" t="n"/>
      <c r="E667" s="14" t="n"/>
      <c r="F667" s="17" t="n"/>
      <c r="G667" s="14" t="n"/>
      <c r="H667" s="14" t="n"/>
      <c r="I667" s="14" t="n"/>
      <c r="J667" s="108">
        <f>IF(G667="","",IFERROR(LET(ev_cost,INDEX(Events!$G$5:$G$505,MATCH(G667,Events!$A$5:$A$505,0)),ev_split,INDEX(Events!$I$5:$I$505,MATCH(G667,Events!$A$5:$A$505,0)),att_offset,MATCH(G667,Attendance!$B$3:$AY$3,0),attendees,COUNTIF(INDEX(Attendance!$B$7:$AY$206,0,att_offset),"1"),IF(ev_split="Equal Split",ev_cost/MAX(1,COUNTA(Roster!$A$5:$A$204)),ev_cost/MAX(1,attendees))),"N/A"))</f>
        <v/>
      </c>
    </row>
    <row r="668" ht="20" customHeight="1">
      <c r="A668" s="12" t="n"/>
      <c r="B668" s="10" t="n"/>
      <c r="C668" s="10" t="n"/>
      <c r="D668" s="10" t="n"/>
      <c r="E668" s="10" t="n"/>
      <c r="F668" s="13" t="n"/>
      <c r="G668" s="10" t="n"/>
      <c r="H668" s="10" t="n"/>
      <c r="I668" s="10" t="n"/>
      <c r="J668" s="108">
        <f>IF(G668="","",IFERROR(LET(ev_cost,INDEX(Events!$G$5:$G$505,MATCH(G668,Events!$A$5:$A$505,0)),ev_split,INDEX(Events!$I$5:$I$505,MATCH(G668,Events!$A$5:$A$505,0)),att_offset,MATCH(G668,Attendance!$B$3:$AY$3,0),attendees,COUNTIF(INDEX(Attendance!$B$7:$AY$206,0,att_offset),"1"),IF(ev_split="Equal Split",ev_cost/MAX(1,COUNTA(Roster!$A$5:$A$204)),ev_cost/MAX(1,attendees))),"N/A"))</f>
        <v/>
      </c>
    </row>
    <row r="669" ht="20" customHeight="1">
      <c r="A669" s="16" t="n"/>
      <c r="B669" s="14" t="n"/>
      <c r="C669" s="14" t="n"/>
      <c r="D669" s="14" t="n"/>
      <c r="E669" s="14" t="n"/>
      <c r="F669" s="17" t="n"/>
      <c r="G669" s="14" t="n"/>
      <c r="H669" s="14" t="n"/>
      <c r="I669" s="14" t="n"/>
      <c r="J669" s="108">
        <f>IF(G669="","",IFERROR(LET(ev_cost,INDEX(Events!$G$5:$G$505,MATCH(G669,Events!$A$5:$A$505,0)),ev_split,INDEX(Events!$I$5:$I$505,MATCH(G669,Events!$A$5:$A$505,0)),att_offset,MATCH(G669,Attendance!$B$3:$AY$3,0),attendees,COUNTIF(INDEX(Attendance!$B$7:$AY$206,0,att_offset),"1"),IF(ev_split="Equal Split",ev_cost/MAX(1,COUNTA(Roster!$A$5:$A$204)),ev_cost/MAX(1,attendees))),"N/A"))</f>
        <v/>
      </c>
    </row>
    <row r="670" ht="20" customHeight="1">
      <c r="A670" s="12" t="n"/>
      <c r="B670" s="10" t="n"/>
      <c r="C670" s="10" t="n"/>
      <c r="D670" s="10" t="n"/>
      <c r="E670" s="10" t="n"/>
      <c r="F670" s="13" t="n"/>
      <c r="G670" s="10" t="n"/>
      <c r="H670" s="10" t="n"/>
      <c r="I670" s="10" t="n"/>
      <c r="J670" s="108">
        <f>IF(G670="","",IFERROR(LET(ev_cost,INDEX(Events!$G$5:$G$505,MATCH(G670,Events!$A$5:$A$505,0)),ev_split,INDEX(Events!$I$5:$I$505,MATCH(G670,Events!$A$5:$A$505,0)),att_offset,MATCH(G670,Attendance!$B$3:$AY$3,0),attendees,COUNTIF(INDEX(Attendance!$B$7:$AY$206,0,att_offset),"1"),IF(ev_split="Equal Split",ev_cost/MAX(1,COUNTA(Roster!$A$5:$A$204)),ev_cost/MAX(1,attendees))),"N/A"))</f>
        <v/>
      </c>
    </row>
    <row r="671" ht="20" customHeight="1">
      <c r="A671" s="16" t="n"/>
      <c r="B671" s="14" t="n"/>
      <c r="C671" s="14" t="n"/>
      <c r="D671" s="14" t="n"/>
      <c r="E671" s="14" t="n"/>
      <c r="F671" s="17" t="n"/>
      <c r="G671" s="14" t="n"/>
      <c r="H671" s="14" t="n"/>
      <c r="I671" s="14" t="n"/>
      <c r="J671" s="108">
        <f>IF(G671="","",IFERROR(LET(ev_cost,INDEX(Events!$G$5:$G$505,MATCH(G671,Events!$A$5:$A$505,0)),ev_split,INDEX(Events!$I$5:$I$505,MATCH(G671,Events!$A$5:$A$505,0)),att_offset,MATCH(G671,Attendance!$B$3:$AY$3,0),attendees,COUNTIF(INDEX(Attendance!$B$7:$AY$206,0,att_offset),"1"),IF(ev_split="Equal Split",ev_cost/MAX(1,COUNTA(Roster!$A$5:$A$204)),ev_cost/MAX(1,attendees))),"N/A"))</f>
        <v/>
      </c>
    </row>
    <row r="672" ht="20" customHeight="1">
      <c r="A672" s="12" t="n"/>
      <c r="B672" s="10" t="n"/>
      <c r="C672" s="10" t="n"/>
      <c r="D672" s="10" t="n"/>
      <c r="E672" s="10" t="n"/>
      <c r="F672" s="13" t="n"/>
      <c r="G672" s="10" t="n"/>
      <c r="H672" s="10" t="n"/>
      <c r="I672" s="10" t="n"/>
      <c r="J672" s="108">
        <f>IF(G672="","",IFERROR(LET(ev_cost,INDEX(Events!$G$5:$G$505,MATCH(G672,Events!$A$5:$A$505,0)),ev_split,INDEX(Events!$I$5:$I$505,MATCH(G672,Events!$A$5:$A$505,0)),att_offset,MATCH(G672,Attendance!$B$3:$AY$3,0),attendees,COUNTIF(INDEX(Attendance!$B$7:$AY$206,0,att_offset),"1"),IF(ev_split="Equal Split",ev_cost/MAX(1,COUNTA(Roster!$A$5:$A$204)),ev_cost/MAX(1,attendees))),"N/A"))</f>
        <v/>
      </c>
    </row>
    <row r="673" ht="20" customHeight="1">
      <c r="A673" s="16" t="n"/>
      <c r="B673" s="14" t="n"/>
      <c r="C673" s="14" t="n"/>
      <c r="D673" s="14" t="n"/>
      <c r="E673" s="14" t="n"/>
      <c r="F673" s="17" t="n"/>
      <c r="G673" s="14" t="n"/>
      <c r="H673" s="14" t="n"/>
      <c r="I673" s="14" t="n"/>
      <c r="J673" s="108">
        <f>IF(G673="","",IFERROR(LET(ev_cost,INDEX(Events!$G$5:$G$505,MATCH(G673,Events!$A$5:$A$505,0)),ev_split,INDEX(Events!$I$5:$I$505,MATCH(G673,Events!$A$5:$A$505,0)),att_offset,MATCH(G673,Attendance!$B$3:$AY$3,0),attendees,COUNTIF(INDEX(Attendance!$B$7:$AY$206,0,att_offset),"1"),IF(ev_split="Equal Split",ev_cost/MAX(1,COUNTA(Roster!$A$5:$A$204)),ev_cost/MAX(1,attendees))),"N/A"))</f>
        <v/>
      </c>
    </row>
    <row r="674" ht="20" customHeight="1">
      <c r="A674" s="12" t="n"/>
      <c r="B674" s="10" t="n"/>
      <c r="C674" s="10" t="n"/>
      <c r="D674" s="10" t="n"/>
      <c r="E674" s="10" t="n"/>
      <c r="F674" s="13" t="n"/>
      <c r="G674" s="10" t="n"/>
      <c r="H674" s="10" t="n"/>
      <c r="I674" s="10" t="n"/>
      <c r="J674" s="108">
        <f>IF(G674="","",IFERROR(LET(ev_cost,INDEX(Events!$G$5:$G$505,MATCH(G674,Events!$A$5:$A$505,0)),ev_split,INDEX(Events!$I$5:$I$505,MATCH(G674,Events!$A$5:$A$505,0)),att_offset,MATCH(G674,Attendance!$B$3:$AY$3,0),attendees,COUNTIF(INDEX(Attendance!$B$7:$AY$206,0,att_offset),"1"),IF(ev_split="Equal Split",ev_cost/MAX(1,COUNTA(Roster!$A$5:$A$204)),ev_cost/MAX(1,attendees))),"N/A"))</f>
        <v/>
      </c>
    </row>
    <row r="675" ht="20" customHeight="1">
      <c r="A675" s="16" t="n"/>
      <c r="B675" s="14" t="n"/>
      <c r="C675" s="14" t="n"/>
      <c r="D675" s="14" t="n"/>
      <c r="E675" s="14" t="n"/>
      <c r="F675" s="17" t="n"/>
      <c r="G675" s="14" t="n"/>
      <c r="H675" s="14" t="n"/>
      <c r="I675" s="14" t="n"/>
      <c r="J675" s="108">
        <f>IF(G675="","",IFERROR(LET(ev_cost,INDEX(Events!$G$5:$G$505,MATCH(G675,Events!$A$5:$A$505,0)),ev_split,INDEX(Events!$I$5:$I$505,MATCH(G675,Events!$A$5:$A$505,0)),att_offset,MATCH(G675,Attendance!$B$3:$AY$3,0),attendees,COUNTIF(INDEX(Attendance!$B$7:$AY$206,0,att_offset),"1"),IF(ev_split="Equal Split",ev_cost/MAX(1,COUNTA(Roster!$A$5:$A$204)),ev_cost/MAX(1,attendees))),"N/A"))</f>
        <v/>
      </c>
    </row>
    <row r="676" ht="20" customHeight="1">
      <c r="A676" s="12" t="n"/>
      <c r="B676" s="10" t="n"/>
      <c r="C676" s="10" t="n"/>
      <c r="D676" s="10" t="n"/>
      <c r="E676" s="10" t="n"/>
      <c r="F676" s="13" t="n"/>
      <c r="G676" s="10" t="n"/>
      <c r="H676" s="10" t="n"/>
      <c r="I676" s="10" t="n"/>
      <c r="J676" s="108">
        <f>IF(G676="","",IFERROR(LET(ev_cost,INDEX(Events!$G$5:$G$505,MATCH(G676,Events!$A$5:$A$505,0)),ev_split,INDEX(Events!$I$5:$I$505,MATCH(G676,Events!$A$5:$A$505,0)),att_offset,MATCH(G676,Attendance!$B$3:$AY$3,0),attendees,COUNTIF(INDEX(Attendance!$B$7:$AY$206,0,att_offset),"1"),IF(ev_split="Equal Split",ev_cost/MAX(1,COUNTA(Roster!$A$5:$A$204)),ev_cost/MAX(1,attendees))),"N/A"))</f>
        <v/>
      </c>
    </row>
    <row r="677" ht="20" customHeight="1">
      <c r="A677" s="16" t="n"/>
      <c r="B677" s="14" t="n"/>
      <c r="C677" s="14" t="n"/>
      <c r="D677" s="14" t="n"/>
      <c r="E677" s="14" t="n"/>
      <c r="F677" s="17" t="n"/>
      <c r="G677" s="14" t="n"/>
      <c r="H677" s="14" t="n"/>
      <c r="I677" s="14" t="n"/>
      <c r="J677" s="108">
        <f>IF(G677="","",IFERROR(LET(ev_cost,INDEX(Events!$G$5:$G$505,MATCH(G677,Events!$A$5:$A$505,0)),ev_split,INDEX(Events!$I$5:$I$505,MATCH(G677,Events!$A$5:$A$505,0)),att_offset,MATCH(G677,Attendance!$B$3:$AY$3,0),attendees,COUNTIF(INDEX(Attendance!$B$7:$AY$206,0,att_offset),"1"),IF(ev_split="Equal Split",ev_cost/MAX(1,COUNTA(Roster!$A$5:$A$204)),ev_cost/MAX(1,attendees))),"N/A"))</f>
        <v/>
      </c>
    </row>
    <row r="678" ht="20" customHeight="1">
      <c r="A678" s="12" t="n"/>
      <c r="B678" s="10" t="n"/>
      <c r="C678" s="10" t="n"/>
      <c r="D678" s="10" t="n"/>
      <c r="E678" s="10" t="n"/>
      <c r="F678" s="13" t="n"/>
      <c r="G678" s="10" t="n"/>
      <c r="H678" s="10" t="n"/>
      <c r="I678" s="10" t="n"/>
      <c r="J678" s="108">
        <f>IF(G678="","",IFERROR(LET(ev_cost,INDEX(Events!$G$5:$G$505,MATCH(G678,Events!$A$5:$A$505,0)),ev_split,INDEX(Events!$I$5:$I$505,MATCH(G678,Events!$A$5:$A$505,0)),att_offset,MATCH(G678,Attendance!$B$3:$AY$3,0),attendees,COUNTIF(INDEX(Attendance!$B$7:$AY$206,0,att_offset),"1"),IF(ev_split="Equal Split",ev_cost/MAX(1,COUNTA(Roster!$A$5:$A$204)),ev_cost/MAX(1,attendees))),"N/A"))</f>
        <v/>
      </c>
    </row>
    <row r="679" ht="20" customHeight="1">
      <c r="A679" s="16" t="n"/>
      <c r="B679" s="14" t="n"/>
      <c r="C679" s="14" t="n"/>
      <c r="D679" s="14" t="n"/>
      <c r="E679" s="14" t="n"/>
      <c r="F679" s="17" t="n"/>
      <c r="G679" s="14" t="n"/>
      <c r="H679" s="14" t="n"/>
      <c r="I679" s="14" t="n"/>
      <c r="J679" s="108">
        <f>IF(G679="","",IFERROR(LET(ev_cost,INDEX(Events!$G$5:$G$505,MATCH(G679,Events!$A$5:$A$505,0)),ev_split,INDEX(Events!$I$5:$I$505,MATCH(G679,Events!$A$5:$A$505,0)),att_offset,MATCH(G679,Attendance!$B$3:$AY$3,0),attendees,COUNTIF(INDEX(Attendance!$B$7:$AY$206,0,att_offset),"1"),IF(ev_split="Equal Split",ev_cost/MAX(1,COUNTA(Roster!$A$5:$A$204)),ev_cost/MAX(1,attendees))),"N/A"))</f>
        <v/>
      </c>
    </row>
    <row r="680" ht="20" customHeight="1">
      <c r="A680" s="12" t="n"/>
      <c r="B680" s="10" t="n"/>
      <c r="C680" s="10" t="n"/>
      <c r="D680" s="10" t="n"/>
      <c r="E680" s="10" t="n"/>
      <c r="F680" s="13" t="n"/>
      <c r="G680" s="10" t="n"/>
      <c r="H680" s="10" t="n"/>
      <c r="I680" s="10" t="n"/>
      <c r="J680" s="108">
        <f>IF(G680="","",IFERROR(LET(ev_cost,INDEX(Events!$G$5:$G$505,MATCH(G680,Events!$A$5:$A$505,0)),ev_split,INDEX(Events!$I$5:$I$505,MATCH(G680,Events!$A$5:$A$505,0)),att_offset,MATCH(G680,Attendance!$B$3:$AY$3,0),attendees,COUNTIF(INDEX(Attendance!$B$7:$AY$206,0,att_offset),"1"),IF(ev_split="Equal Split",ev_cost/MAX(1,COUNTA(Roster!$A$5:$A$204)),ev_cost/MAX(1,attendees))),"N/A"))</f>
        <v/>
      </c>
    </row>
    <row r="681" ht="20" customHeight="1">
      <c r="A681" s="16" t="n"/>
      <c r="B681" s="14" t="n"/>
      <c r="C681" s="14" t="n"/>
      <c r="D681" s="14" t="n"/>
      <c r="E681" s="14" t="n"/>
      <c r="F681" s="17" t="n"/>
      <c r="G681" s="14" t="n"/>
      <c r="H681" s="14" t="n"/>
      <c r="I681" s="14" t="n"/>
      <c r="J681" s="108">
        <f>IF(G681="","",IFERROR(LET(ev_cost,INDEX(Events!$G$5:$G$505,MATCH(G681,Events!$A$5:$A$505,0)),ev_split,INDEX(Events!$I$5:$I$505,MATCH(G681,Events!$A$5:$A$505,0)),att_offset,MATCH(G681,Attendance!$B$3:$AY$3,0),attendees,COUNTIF(INDEX(Attendance!$B$7:$AY$206,0,att_offset),"1"),IF(ev_split="Equal Split",ev_cost/MAX(1,COUNTA(Roster!$A$5:$A$204)),ev_cost/MAX(1,attendees))),"N/A"))</f>
        <v/>
      </c>
    </row>
    <row r="682" ht="20" customHeight="1">
      <c r="A682" s="12" t="n"/>
      <c r="B682" s="10" t="n"/>
      <c r="C682" s="10" t="n"/>
      <c r="D682" s="10" t="n"/>
      <c r="E682" s="10" t="n"/>
      <c r="F682" s="13" t="n"/>
      <c r="G682" s="10" t="n"/>
      <c r="H682" s="10" t="n"/>
      <c r="I682" s="10" t="n"/>
      <c r="J682" s="108">
        <f>IF(G682="","",IFERROR(LET(ev_cost,INDEX(Events!$G$5:$G$505,MATCH(G682,Events!$A$5:$A$505,0)),ev_split,INDEX(Events!$I$5:$I$505,MATCH(G682,Events!$A$5:$A$505,0)),att_offset,MATCH(G682,Attendance!$B$3:$AY$3,0),attendees,COUNTIF(INDEX(Attendance!$B$7:$AY$206,0,att_offset),"1"),IF(ev_split="Equal Split",ev_cost/MAX(1,COUNTA(Roster!$A$5:$A$204)),ev_cost/MAX(1,attendees))),"N/A"))</f>
        <v/>
      </c>
    </row>
    <row r="683" ht="20" customHeight="1">
      <c r="A683" s="16" t="n"/>
      <c r="B683" s="14" t="n"/>
      <c r="C683" s="14" t="n"/>
      <c r="D683" s="14" t="n"/>
      <c r="E683" s="14" t="n"/>
      <c r="F683" s="17" t="n"/>
      <c r="G683" s="14" t="n"/>
      <c r="H683" s="14" t="n"/>
      <c r="I683" s="14" t="n"/>
      <c r="J683" s="108">
        <f>IF(G683="","",IFERROR(LET(ev_cost,INDEX(Events!$G$5:$G$505,MATCH(G683,Events!$A$5:$A$505,0)),ev_split,INDEX(Events!$I$5:$I$505,MATCH(G683,Events!$A$5:$A$505,0)),att_offset,MATCH(G683,Attendance!$B$3:$AY$3,0),attendees,COUNTIF(INDEX(Attendance!$B$7:$AY$206,0,att_offset),"1"),IF(ev_split="Equal Split",ev_cost/MAX(1,COUNTA(Roster!$A$5:$A$204)),ev_cost/MAX(1,attendees))),"N/A"))</f>
        <v/>
      </c>
    </row>
    <row r="684" ht="20" customHeight="1">
      <c r="A684" s="12" t="n"/>
      <c r="B684" s="10" t="n"/>
      <c r="C684" s="10" t="n"/>
      <c r="D684" s="10" t="n"/>
      <c r="E684" s="10" t="n"/>
      <c r="F684" s="13" t="n"/>
      <c r="G684" s="10" t="n"/>
      <c r="H684" s="10" t="n"/>
      <c r="I684" s="10" t="n"/>
      <c r="J684" s="108">
        <f>IF(G684="","",IFERROR(LET(ev_cost,INDEX(Events!$G$5:$G$505,MATCH(G684,Events!$A$5:$A$505,0)),ev_split,INDEX(Events!$I$5:$I$505,MATCH(G684,Events!$A$5:$A$505,0)),att_offset,MATCH(G684,Attendance!$B$3:$AY$3,0),attendees,COUNTIF(INDEX(Attendance!$B$7:$AY$206,0,att_offset),"1"),IF(ev_split="Equal Split",ev_cost/MAX(1,COUNTA(Roster!$A$5:$A$204)),ev_cost/MAX(1,attendees))),"N/A"))</f>
        <v/>
      </c>
    </row>
    <row r="685" ht="20" customHeight="1">
      <c r="A685" s="16" t="n"/>
      <c r="B685" s="14" t="n"/>
      <c r="C685" s="14" t="n"/>
      <c r="D685" s="14" t="n"/>
      <c r="E685" s="14" t="n"/>
      <c r="F685" s="17" t="n"/>
      <c r="G685" s="14" t="n"/>
      <c r="H685" s="14" t="n"/>
      <c r="I685" s="14" t="n"/>
      <c r="J685" s="108">
        <f>IF(G685="","",IFERROR(LET(ev_cost,INDEX(Events!$G$5:$G$505,MATCH(G685,Events!$A$5:$A$505,0)),ev_split,INDEX(Events!$I$5:$I$505,MATCH(G685,Events!$A$5:$A$505,0)),att_offset,MATCH(G685,Attendance!$B$3:$AY$3,0),attendees,COUNTIF(INDEX(Attendance!$B$7:$AY$206,0,att_offset),"1"),IF(ev_split="Equal Split",ev_cost/MAX(1,COUNTA(Roster!$A$5:$A$204)),ev_cost/MAX(1,attendees))),"N/A"))</f>
        <v/>
      </c>
    </row>
    <row r="686" ht="20" customHeight="1">
      <c r="A686" s="12" t="n"/>
      <c r="B686" s="10" t="n"/>
      <c r="C686" s="10" t="n"/>
      <c r="D686" s="10" t="n"/>
      <c r="E686" s="10" t="n"/>
      <c r="F686" s="13" t="n"/>
      <c r="G686" s="10" t="n"/>
      <c r="H686" s="10" t="n"/>
      <c r="I686" s="10" t="n"/>
      <c r="J686" s="108">
        <f>IF(G686="","",IFERROR(LET(ev_cost,INDEX(Events!$G$5:$G$505,MATCH(G686,Events!$A$5:$A$505,0)),ev_split,INDEX(Events!$I$5:$I$505,MATCH(G686,Events!$A$5:$A$505,0)),att_offset,MATCH(G686,Attendance!$B$3:$AY$3,0),attendees,COUNTIF(INDEX(Attendance!$B$7:$AY$206,0,att_offset),"1"),IF(ev_split="Equal Split",ev_cost/MAX(1,COUNTA(Roster!$A$5:$A$204)),ev_cost/MAX(1,attendees))),"N/A"))</f>
        <v/>
      </c>
    </row>
    <row r="687" ht="20" customHeight="1">
      <c r="A687" s="16" t="n"/>
      <c r="B687" s="14" t="n"/>
      <c r="C687" s="14" t="n"/>
      <c r="D687" s="14" t="n"/>
      <c r="E687" s="14" t="n"/>
      <c r="F687" s="17" t="n"/>
      <c r="G687" s="14" t="n"/>
      <c r="H687" s="14" t="n"/>
      <c r="I687" s="14" t="n"/>
      <c r="J687" s="108">
        <f>IF(G687="","",IFERROR(LET(ev_cost,INDEX(Events!$G$5:$G$505,MATCH(G687,Events!$A$5:$A$505,0)),ev_split,INDEX(Events!$I$5:$I$505,MATCH(G687,Events!$A$5:$A$505,0)),att_offset,MATCH(G687,Attendance!$B$3:$AY$3,0),attendees,COUNTIF(INDEX(Attendance!$B$7:$AY$206,0,att_offset),"1"),IF(ev_split="Equal Split",ev_cost/MAX(1,COUNTA(Roster!$A$5:$A$204)),ev_cost/MAX(1,attendees))),"N/A"))</f>
        <v/>
      </c>
    </row>
    <row r="688" ht="20" customHeight="1">
      <c r="A688" s="12" t="n"/>
      <c r="B688" s="10" t="n"/>
      <c r="C688" s="10" t="n"/>
      <c r="D688" s="10" t="n"/>
      <c r="E688" s="10" t="n"/>
      <c r="F688" s="13" t="n"/>
      <c r="G688" s="10" t="n"/>
      <c r="H688" s="10" t="n"/>
      <c r="I688" s="10" t="n"/>
      <c r="J688" s="108">
        <f>IF(G688="","",IFERROR(LET(ev_cost,INDEX(Events!$G$5:$G$505,MATCH(G688,Events!$A$5:$A$505,0)),ev_split,INDEX(Events!$I$5:$I$505,MATCH(G688,Events!$A$5:$A$505,0)),att_offset,MATCH(G688,Attendance!$B$3:$AY$3,0),attendees,COUNTIF(INDEX(Attendance!$B$7:$AY$206,0,att_offset),"1"),IF(ev_split="Equal Split",ev_cost/MAX(1,COUNTA(Roster!$A$5:$A$204)),ev_cost/MAX(1,attendees))),"N/A"))</f>
        <v/>
      </c>
    </row>
    <row r="689" ht="20" customHeight="1">
      <c r="A689" s="16" t="n"/>
      <c r="B689" s="14" t="n"/>
      <c r="C689" s="14" t="n"/>
      <c r="D689" s="14" t="n"/>
      <c r="E689" s="14" t="n"/>
      <c r="F689" s="17" t="n"/>
      <c r="G689" s="14" t="n"/>
      <c r="H689" s="14" t="n"/>
      <c r="I689" s="14" t="n"/>
      <c r="J689" s="108">
        <f>IF(G689="","",IFERROR(LET(ev_cost,INDEX(Events!$G$5:$G$505,MATCH(G689,Events!$A$5:$A$505,0)),ev_split,INDEX(Events!$I$5:$I$505,MATCH(G689,Events!$A$5:$A$505,0)),att_offset,MATCH(G689,Attendance!$B$3:$AY$3,0),attendees,COUNTIF(INDEX(Attendance!$B$7:$AY$206,0,att_offset),"1"),IF(ev_split="Equal Split",ev_cost/MAX(1,COUNTA(Roster!$A$5:$A$204)),ev_cost/MAX(1,attendees))),"N/A"))</f>
        <v/>
      </c>
    </row>
    <row r="690" ht="20" customHeight="1">
      <c r="A690" s="12" t="n"/>
      <c r="B690" s="10" t="n"/>
      <c r="C690" s="10" t="n"/>
      <c r="D690" s="10" t="n"/>
      <c r="E690" s="10" t="n"/>
      <c r="F690" s="13" t="n"/>
      <c r="G690" s="10" t="n"/>
      <c r="H690" s="10" t="n"/>
      <c r="I690" s="10" t="n"/>
      <c r="J690" s="108">
        <f>IF(G690="","",IFERROR(LET(ev_cost,INDEX(Events!$G$5:$G$505,MATCH(G690,Events!$A$5:$A$505,0)),ev_split,INDEX(Events!$I$5:$I$505,MATCH(G690,Events!$A$5:$A$505,0)),att_offset,MATCH(G690,Attendance!$B$3:$AY$3,0),attendees,COUNTIF(INDEX(Attendance!$B$7:$AY$206,0,att_offset),"1"),IF(ev_split="Equal Split",ev_cost/MAX(1,COUNTA(Roster!$A$5:$A$204)),ev_cost/MAX(1,attendees))),"N/A"))</f>
        <v/>
      </c>
    </row>
    <row r="691" ht="20" customHeight="1">
      <c r="A691" s="16" t="n"/>
      <c r="B691" s="14" t="n"/>
      <c r="C691" s="14" t="n"/>
      <c r="D691" s="14" t="n"/>
      <c r="E691" s="14" t="n"/>
      <c r="F691" s="17" t="n"/>
      <c r="G691" s="14" t="n"/>
      <c r="H691" s="14" t="n"/>
      <c r="I691" s="14" t="n"/>
      <c r="J691" s="108">
        <f>IF(G691="","",IFERROR(LET(ev_cost,INDEX(Events!$G$5:$G$505,MATCH(G691,Events!$A$5:$A$505,0)),ev_split,INDEX(Events!$I$5:$I$505,MATCH(G691,Events!$A$5:$A$505,0)),att_offset,MATCH(G691,Attendance!$B$3:$AY$3,0),attendees,COUNTIF(INDEX(Attendance!$B$7:$AY$206,0,att_offset),"1"),IF(ev_split="Equal Split",ev_cost/MAX(1,COUNTA(Roster!$A$5:$A$204)),ev_cost/MAX(1,attendees))),"N/A"))</f>
        <v/>
      </c>
    </row>
    <row r="692" ht="20" customHeight="1">
      <c r="A692" s="12" t="n"/>
      <c r="B692" s="10" t="n"/>
      <c r="C692" s="10" t="n"/>
      <c r="D692" s="10" t="n"/>
      <c r="E692" s="10" t="n"/>
      <c r="F692" s="13" t="n"/>
      <c r="G692" s="10" t="n"/>
      <c r="H692" s="10" t="n"/>
      <c r="I692" s="10" t="n"/>
      <c r="J692" s="108">
        <f>IF(G692="","",IFERROR(LET(ev_cost,INDEX(Events!$G$5:$G$505,MATCH(G692,Events!$A$5:$A$505,0)),ev_split,INDEX(Events!$I$5:$I$505,MATCH(G692,Events!$A$5:$A$505,0)),att_offset,MATCH(G692,Attendance!$B$3:$AY$3,0),attendees,COUNTIF(INDEX(Attendance!$B$7:$AY$206,0,att_offset),"1"),IF(ev_split="Equal Split",ev_cost/MAX(1,COUNTA(Roster!$A$5:$A$204)),ev_cost/MAX(1,attendees))),"N/A"))</f>
        <v/>
      </c>
    </row>
    <row r="693" ht="20" customHeight="1">
      <c r="A693" s="16" t="n"/>
      <c r="B693" s="14" t="n"/>
      <c r="C693" s="14" t="n"/>
      <c r="D693" s="14" t="n"/>
      <c r="E693" s="14" t="n"/>
      <c r="F693" s="17" t="n"/>
      <c r="G693" s="14" t="n"/>
      <c r="H693" s="14" t="n"/>
      <c r="I693" s="14" t="n"/>
      <c r="J693" s="108">
        <f>IF(G693="","",IFERROR(LET(ev_cost,INDEX(Events!$G$5:$G$505,MATCH(G693,Events!$A$5:$A$505,0)),ev_split,INDEX(Events!$I$5:$I$505,MATCH(G693,Events!$A$5:$A$505,0)),att_offset,MATCH(G693,Attendance!$B$3:$AY$3,0),attendees,COUNTIF(INDEX(Attendance!$B$7:$AY$206,0,att_offset),"1"),IF(ev_split="Equal Split",ev_cost/MAX(1,COUNTA(Roster!$A$5:$A$204)),ev_cost/MAX(1,attendees))),"N/A"))</f>
        <v/>
      </c>
    </row>
    <row r="694" ht="20" customHeight="1">
      <c r="A694" s="12" t="n"/>
      <c r="B694" s="10" t="n"/>
      <c r="C694" s="10" t="n"/>
      <c r="D694" s="10" t="n"/>
      <c r="E694" s="10" t="n"/>
      <c r="F694" s="13" t="n"/>
      <c r="G694" s="10" t="n"/>
      <c r="H694" s="10" t="n"/>
      <c r="I694" s="10" t="n"/>
      <c r="J694" s="108">
        <f>IF(G694="","",IFERROR(LET(ev_cost,INDEX(Events!$G$5:$G$505,MATCH(G694,Events!$A$5:$A$505,0)),ev_split,INDEX(Events!$I$5:$I$505,MATCH(G694,Events!$A$5:$A$505,0)),att_offset,MATCH(G694,Attendance!$B$3:$AY$3,0),attendees,COUNTIF(INDEX(Attendance!$B$7:$AY$206,0,att_offset),"1"),IF(ev_split="Equal Split",ev_cost/MAX(1,COUNTA(Roster!$A$5:$A$204)),ev_cost/MAX(1,attendees))),"N/A"))</f>
        <v/>
      </c>
    </row>
    <row r="695" ht="20" customHeight="1">
      <c r="A695" s="16" t="n"/>
      <c r="B695" s="14" t="n"/>
      <c r="C695" s="14" t="n"/>
      <c r="D695" s="14" t="n"/>
      <c r="E695" s="14" t="n"/>
      <c r="F695" s="17" t="n"/>
      <c r="G695" s="14" t="n"/>
      <c r="H695" s="14" t="n"/>
      <c r="I695" s="14" t="n"/>
      <c r="J695" s="108">
        <f>IF(G695="","",IFERROR(LET(ev_cost,INDEX(Events!$G$5:$G$505,MATCH(G695,Events!$A$5:$A$505,0)),ev_split,INDEX(Events!$I$5:$I$505,MATCH(G695,Events!$A$5:$A$505,0)),att_offset,MATCH(G695,Attendance!$B$3:$AY$3,0),attendees,COUNTIF(INDEX(Attendance!$B$7:$AY$206,0,att_offset),"1"),IF(ev_split="Equal Split",ev_cost/MAX(1,COUNTA(Roster!$A$5:$A$204)),ev_cost/MAX(1,attendees))),"N/A"))</f>
        <v/>
      </c>
    </row>
    <row r="696" ht="20" customHeight="1">
      <c r="A696" s="12" t="n"/>
      <c r="B696" s="10" t="n"/>
      <c r="C696" s="10" t="n"/>
      <c r="D696" s="10" t="n"/>
      <c r="E696" s="10" t="n"/>
      <c r="F696" s="13" t="n"/>
      <c r="G696" s="10" t="n"/>
      <c r="H696" s="10" t="n"/>
      <c r="I696" s="10" t="n"/>
      <c r="J696" s="108">
        <f>IF(G696="","",IFERROR(LET(ev_cost,INDEX(Events!$G$5:$G$505,MATCH(G696,Events!$A$5:$A$505,0)),ev_split,INDEX(Events!$I$5:$I$505,MATCH(G696,Events!$A$5:$A$505,0)),att_offset,MATCH(G696,Attendance!$B$3:$AY$3,0),attendees,COUNTIF(INDEX(Attendance!$B$7:$AY$206,0,att_offset),"1"),IF(ev_split="Equal Split",ev_cost/MAX(1,COUNTA(Roster!$A$5:$A$204)),ev_cost/MAX(1,attendees))),"N/A"))</f>
        <v/>
      </c>
    </row>
    <row r="697" ht="20" customHeight="1">
      <c r="A697" s="16" t="n"/>
      <c r="B697" s="14" t="n"/>
      <c r="C697" s="14" t="n"/>
      <c r="D697" s="14" t="n"/>
      <c r="E697" s="14" t="n"/>
      <c r="F697" s="17" t="n"/>
      <c r="G697" s="14" t="n"/>
      <c r="H697" s="14" t="n"/>
      <c r="I697" s="14" t="n"/>
      <c r="J697" s="108">
        <f>IF(G697="","",IFERROR(LET(ev_cost,INDEX(Events!$G$5:$G$505,MATCH(G697,Events!$A$5:$A$505,0)),ev_split,INDEX(Events!$I$5:$I$505,MATCH(G697,Events!$A$5:$A$505,0)),att_offset,MATCH(G697,Attendance!$B$3:$AY$3,0),attendees,COUNTIF(INDEX(Attendance!$B$7:$AY$206,0,att_offset),"1"),IF(ev_split="Equal Split",ev_cost/MAX(1,COUNTA(Roster!$A$5:$A$204)),ev_cost/MAX(1,attendees))),"N/A"))</f>
        <v/>
      </c>
    </row>
    <row r="698" ht="20" customHeight="1">
      <c r="A698" s="12" t="n"/>
      <c r="B698" s="10" t="n"/>
      <c r="C698" s="10" t="n"/>
      <c r="D698" s="10" t="n"/>
      <c r="E698" s="10" t="n"/>
      <c r="F698" s="13" t="n"/>
      <c r="G698" s="10" t="n"/>
      <c r="H698" s="10" t="n"/>
      <c r="I698" s="10" t="n"/>
      <c r="J698" s="108">
        <f>IF(G698="","",IFERROR(LET(ev_cost,INDEX(Events!$G$5:$G$505,MATCH(G698,Events!$A$5:$A$505,0)),ev_split,INDEX(Events!$I$5:$I$505,MATCH(G698,Events!$A$5:$A$505,0)),att_offset,MATCH(G698,Attendance!$B$3:$AY$3,0),attendees,COUNTIF(INDEX(Attendance!$B$7:$AY$206,0,att_offset),"1"),IF(ev_split="Equal Split",ev_cost/MAX(1,COUNTA(Roster!$A$5:$A$204)),ev_cost/MAX(1,attendees))),"N/A"))</f>
        <v/>
      </c>
    </row>
    <row r="699" ht="20" customHeight="1">
      <c r="A699" s="16" t="n"/>
      <c r="B699" s="14" t="n"/>
      <c r="C699" s="14" t="n"/>
      <c r="D699" s="14" t="n"/>
      <c r="E699" s="14" t="n"/>
      <c r="F699" s="17" t="n"/>
      <c r="G699" s="14" t="n"/>
      <c r="H699" s="14" t="n"/>
      <c r="I699" s="14" t="n"/>
      <c r="J699" s="108">
        <f>IF(G699="","",IFERROR(LET(ev_cost,INDEX(Events!$G$5:$G$505,MATCH(G699,Events!$A$5:$A$505,0)),ev_split,INDEX(Events!$I$5:$I$505,MATCH(G699,Events!$A$5:$A$505,0)),att_offset,MATCH(G699,Attendance!$B$3:$AY$3,0),attendees,COUNTIF(INDEX(Attendance!$B$7:$AY$206,0,att_offset),"1"),IF(ev_split="Equal Split",ev_cost/MAX(1,COUNTA(Roster!$A$5:$A$204)),ev_cost/MAX(1,attendees))),"N/A"))</f>
        <v/>
      </c>
    </row>
    <row r="700" ht="20" customHeight="1">
      <c r="A700" s="12" t="n"/>
      <c r="B700" s="10" t="n"/>
      <c r="C700" s="10" t="n"/>
      <c r="D700" s="10" t="n"/>
      <c r="E700" s="10" t="n"/>
      <c r="F700" s="13" t="n"/>
      <c r="G700" s="10" t="n"/>
      <c r="H700" s="10" t="n"/>
      <c r="I700" s="10" t="n"/>
      <c r="J700" s="108">
        <f>IF(G700="","",IFERROR(LET(ev_cost,INDEX(Events!$G$5:$G$505,MATCH(G700,Events!$A$5:$A$505,0)),ev_split,INDEX(Events!$I$5:$I$505,MATCH(G700,Events!$A$5:$A$505,0)),att_offset,MATCH(G700,Attendance!$B$3:$AY$3,0),attendees,COUNTIF(INDEX(Attendance!$B$7:$AY$206,0,att_offset),"1"),IF(ev_split="Equal Split",ev_cost/MAX(1,COUNTA(Roster!$A$5:$A$204)),ev_cost/MAX(1,attendees))),"N/A"))</f>
        <v/>
      </c>
    </row>
    <row r="701" ht="20" customHeight="1">
      <c r="A701" s="16" t="n"/>
      <c r="B701" s="14" t="n"/>
      <c r="C701" s="14" t="n"/>
      <c r="D701" s="14" t="n"/>
      <c r="E701" s="14" t="n"/>
      <c r="F701" s="17" t="n"/>
      <c r="G701" s="14" t="n"/>
      <c r="H701" s="14" t="n"/>
      <c r="I701" s="14" t="n"/>
      <c r="J701" s="108">
        <f>IF(G701="","",IFERROR(LET(ev_cost,INDEX(Events!$G$5:$G$505,MATCH(G701,Events!$A$5:$A$505,0)),ev_split,INDEX(Events!$I$5:$I$505,MATCH(G701,Events!$A$5:$A$505,0)),att_offset,MATCH(G701,Attendance!$B$3:$AY$3,0),attendees,COUNTIF(INDEX(Attendance!$B$7:$AY$206,0,att_offset),"1"),IF(ev_split="Equal Split",ev_cost/MAX(1,COUNTA(Roster!$A$5:$A$204)),ev_cost/MAX(1,attendees))),"N/A"))</f>
        <v/>
      </c>
    </row>
    <row r="702" ht="20" customHeight="1">
      <c r="A702" s="12" t="n"/>
      <c r="B702" s="10" t="n"/>
      <c r="C702" s="10" t="n"/>
      <c r="D702" s="10" t="n"/>
      <c r="E702" s="10" t="n"/>
      <c r="F702" s="13" t="n"/>
      <c r="G702" s="10" t="n"/>
      <c r="H702" s="10" t="n"/>
      <c r="I702" s="10" t="n"/>
      <c r="J702" s="108">
        <f>IF(G702="","",IFERROR(LET(ev_cost,INDEX(Events!$G$5:$G$505,MATCH(G702,Events!$A$5:$A$505,0)),ev_split,INDEX(Events!$I$5:$I$505,MATCH(G702,Events!$A$5:$A$505,0)),att_offset,MATCH(G702,Attendance!$B$3:$AY$3,0),attendees,COUNTIF(INDEX(Attendance!$B$7:$AY$206,0,att_offset),"1"),IF(ev_split="Equal Split",ev_cost/MAX(1,COUNTA(Roster!$A$5:$A$204)),ev_cost/MAX(1,attendees))),"N/A"))</f>
        <v/>
      </c>
    </row>
    <row r="703" ht="20" customHeight="1">
      <c r="A703" s="16" t="n"/>
      <c r="B703" s="14" t="n"/>
      <c r="C703" s="14" t="n"/>
      <c r="D703" s="14" t="n"/>
      <c r="E703" s="14" t="n"/>
      <c r="F703" s="17" t="n"/>
      <c r="G703" s="14" t="n"/>
      <c r="H703" s="14" t="n"/>
      <c r="I703" s="14" t="n"/>
      <c r="J703" s="108">
        <f>IF(G703="","",IFERROR(LET(ev_cost,INDEX(Events!$G$5:$G$505,MATCH(G703,Events!$A$5:$A$505,0)),ev_split,INDEX(Events!$I$5:$I$505,MATCH(G703,Events!$A$5:$A$505,0)),att_offset,MATCH(G703,Attendance!$B$3:$AY$3,0),attendees,COUNTIF(INDEX(Attendance!$B$7:$AY$206,0,att_offset),"1"),IF(ev_split="Equal Split",ev_cost/MAX(1,COUNTA(Roster!$A$5:$A$204)),ev_cost/MAX(1,attendees))),"N/A"))</f>
        <v/>
      </c>
    </row>
    <row r="704" ht="20" customHeight="1">
      <c r="A704" s="12" t="n"/>
      <c r="B704" s="10" t="n"/>
      <c r="C704" s="10" t="n"/>
      <c r="D704" s="10" t="n"/>
      <c r="E704" s="10" t="n"/>
      <c r="F704" s="13" t="n"/>
      <c r="G704" s="10" t="n"/>
      <c r="H704" s="10" t="n"/>
      <c r="I704" s="10" t="n"/>
      <c r="J704" s="108">
        <f>IF(G704="","",IFERROR(LET(ev_cost,INDEX(Events!$G$5:$G$505,MATCH(G704,Events!$A$5:$A$505,0)),ev_split,INDEX(Events!$I$5:$I$505,MATCH(G704,Events!$A$5:$A$505,0)),att_offset,MATCH(G704,Attendance!$B$3:$AY$3,0),attendees,COUNTIF(INDEX(Attendance!$B$7:$AY$206,0,att_offset),"1"),IF(ev_split="Equal Split",ev_cost/MAX(1,COUNTA(Roster!$A$5:$A$204)),ev_cost/MAX(1,attendees))),"N/A"))</f>
        <v/>
      </c>
    </row>
    <row r="705" ht="20" customHeight="1">
      <c r="A705" s="16" t="n"/>
      <c r="B705" s="14" t="n"/>
      <c r="C705" s="14" t="n"/>
      <c r="D705" s="14" t="n"/>
      <c r="E705" s="14" t="n"/>
      <c r="F705" s="17" t="n"/>
      <c r="G705" s="14" t="n"/>
      <c r="H705" s="14" t="n"/>
      <c r="I705" s="14" t="n"/>
      <c r="J705" s="108">
        <f>IF(G705="","",IFERROR(LET(ev_cost,INDEX(Events!$G$5:$G$505,MATCH(G705,Events!$A$5:$A$505,0)),ev_split,INDEX(Events!$I$5:$I$505,MATCH(G705,Events!$A$5:$A$505,0)),att_offset,MATCH(G705,Attendance!$B$3:$AY$3,0),attendees,COUNTIF(INDEX(Attendance!$B$7:$AY$206,0,att_offset),"1"),IF(ev_split="Equal Split",ev_cost/MAX(1,COUNTA(Roster!$A$5:$A$204)),ev_cost/MAX(1,attendees))),"N/A"))</f>
        <v/>
      </c>
    </row>
    <row r="706" ht="20" customHeight="1">
      <c r="A706" s="12" t="n"/>
      <c r="B706" s="10" t="n"/>
      <c r="C706" s="10" t="n"/>
      <c r="D706" s="10" t="n"/>
      <c r="E706" s="10" t="n"/>
      <c r="F706" s="13" t="n"/>
      <c r="G706" s="10" t="n"/>
      <c r="H706" s="10" t="n"/>
      <c r="I706" s="10" t="n"/>
      <c r="J706" s="108">
        <f>IF(G706="","",IFERROR(LET(ev_cost,INDEX(Events!$G$5:$G$505,MATCH(G706,Events!$A$5:$A$505,0)),ev_split,INDEX(Events!$I$5:$I$505,MATCH(G706,Events!$A$5:$A$505,0)),att_offset,MATCH(G706,Attendance!$B$3:$AY$3,0),attendees,COUNTIF(INDEX(Attendance!$B$7:$AY$206,0,att_offset),"1"),IF(ev_split="Equal Split",ev_cost/MAX(1,COUNTA(Roster!$A$5:$A$204)),ev_cost/MAX(1,attendees))),"N/A"))</f>
        <v/>
      </c>
    </row>
    <row r="707" ht="20" customHeight="1">
      <c r="A707" s="16" t="n"/>
      <c r="B707" s="14" t="n"/>
      <c r="C707" s="14" t="n"/>
      <c r="D707" s="14" t="n"/>
      <c r="E707" s="14" t="n"/>
      <c r="F707" s="17" t="n"/>
      <c r="G707" s="14" t="n"/>
      <c r="H707" s="14" t="n"/>
      <c r="I707" s="14" t="n"/>
      <c r="J707" s="108">
        <f>IF(G707="","",IFERROR(LET(ev_cost,INDEX(Events!$G$5:$G$505,MATCH(G707,Events!$A$5:$A$505,0)),ev_split,INDEX(Events!$I$5:$I$505,MATCH(G707,Events!$A$5:$A$505,0)),att_offset,MATCH(G707,Attendance!$B$3:$AY$3,0),attendees,COUNTIF(INDEX(Attendance!$B$7:$AY$206,0,att_offset),"1"),IF(ev_split="Equal Split",ev_cost/MAX(1,COUNTA(Roster!$A$5:$A$204)),ev_cost/MAX(1,attendees))),"N/A"))</f>
        <v/>
      </c>
    </row>
    <row r="708" ht="20" customHeight="1">
      <c r="A708" s="12" t="n"/>
      <c r="B708" s="10" t="n"/>
      <c r="C708" s="10" t="n"/>
      <c r="D708" s="10" t="n"/>
      <c r="E708" s="10" t="n"/>
      <c r="F708" s="13" t="n"/>
      <c r="G708" s="10" t="n"/>
      <c r="H708" s="10" t="n"/>
      <c r="I708" s="10" t="n"/>
      <c r="J708" s="108">
        <f>IF(G708="","",IFERROR(LET(ev_cost,INDEX(Events!$G$5:$G$505,MATCH(G708,Events!$A$5:$A$505,0)),ev_split,INDEX(Events!$I$5:$I$505,MATCH(G708,Events!$A$5:$A$505,0)),att_offset,MATCH(G708,Attendance!$B$3:$AY$3,0),attendees,COUNTIF(INDEX(Attendance!$B$7:$AY$206,0,att_offset),"1"),IF(ev_split="Equal Split",ev_cost/MAX(1,COUNTA(Roster!$A$5:$A$204)),ev_cost/MAX(1,attendees))),"N/A"))</f>
        <v/>
      </c>
    </row>
    <row r="709" ht="20" customHeight="1">
      <c r="A709" s="16" t="n"/>
      <c r="B709" s="14" t="n"/>
      <c r="C709" s="14" t="n"/>
      <c r="D709" s="14" t="n"/>
      <c r="E709" s="14" t="n"/>
      <c r="F709" s="17" t="n"/>
      <c r="G709" s="14" t="n"/>
      <c r="H709" s="14" t="n"/>
      <c r="I709" s="14" t="n"/>
      <c r="J709" s="108">
        <f>IF(G709="","",IFERROR(LET(ev_cost,INDEX(Events!$G$5:$G$505,MATCH(G709,Events!$A$5:$A$505,0)),ev_split,INDEX(Events!$I$5:$I$505,MATCH(G709,Events!$A$5:$A$505,0)),att_offset,MATCH(G709,Attendance!$B$3:$AY$3,0),attendees,COUNTIF(INDEX(Attendance!$B$7:$AY$206,0,att_offset),"1"),IF(ev_split="Equal Split",ev_cost/MAX(1,COUNTA(Roster!$A$5:$A$204)),ev_cost/MAX(1,attendees))),"N/A"))</f>
        <v/>
      </c>
    </row>
    <row r="710" ht="20" customHeight="1">
      <c r="A710" s="12" t="n"/>
      <c r="B710" s="10" t="n"/>
      <c r="C710" s="10" t="n"/>
      <c r="D710" s="10" t="n"/>
      <c r="E710" s="10" t="n"/>
      <c r="F710" s="13" t="n"/>
      <c r="G710" s="10" t="n"/>
      <c r="H710" s="10" t="n"/>
      <c r="I710" s="10" t="n"/>
      <c r="J710" s="108">
        <f>IF(G710="","",IFERROR(LET(ev_cost,INDEX(Events!$G$5:$G$505,MATCH(G710,Events!$A$5:$A$505,0)),ev_split,INDEX(Events!$I$5:$I$505,MATCH(G710,Events!$A$5:$A$505,0)),att_offset,MATCH(G710,Attendance!$B$3:$AY$3,0),attendees,COUNTIF(INDEX(Attendance!$B$7:$AY$206,0,att_offset),"1"),IF(ev_split="Equal Split",ev_cost/MAX(1,COUNTA(Roster!$A$5:$A$204)),ev_cost/MAX(1,attendees))),"N/A"))</f>
        <v/>
      </c>
    </row>
    <row r="711" ht="20" customHeight="1">
      <c r="A711" s="16" t="n"/>
      <c r="B711" s="14" t="n"/>
      <c r="C711" s="14" t="n"/>
      <c r="D711" s="14" t="n"/>
      <c r="E711" s="14" t="n"/>
      <c r="F711" s="17" t="n"/>
      <c r="G711" s="14" t="n"/>
      <c r="H711" s="14" t="n"/>
      <c r="I711" s="14" t="n"/>
      <c r="J711" s="108">
        <f>IF(G711="","",IFERROR(LET(ev_cost,INDEX(Events!$G$5:$G$505,MATCH(G711,Events!$A$5:$A$505,0)),ev_split,INDEX(Events!$I$5:$I$505,MATCH(G711,Events!$A$5:$A$505,0)),att_offset,MATCH(G711,Attendance!$B$3:$AY$3,0),attendees,COUNTIF(INDEX(Attendance!$B$7:$AY$206,0,att_offset),"1"),IF(ev_split="Equal Split",ev_cost/MAX(1,COUNTA(Roster!$A$5:$A$204)),ev_cost/MAX(1,attendees))),"N/A"))</f>
        <v/>
      </c>
    </row>
    <row r="712" ht="20" customHeight="1">
      <c r="A712" s="12" t="n"/>
      <c r="B712" s="10" t="n"/>
      <c r="C712" s="10" t="n"/>
      <c r="D712" s="10" t="n"/>
      <c r="E712" s="10" t="n"/>
      <c r="F712" s="13" t="n"/>
      <c r="G712" s="10" t="n"/>
      <c r="H712" s="10" t="n"/>
      <c r="I712" s="10" t="n"/>
      <c r="J712" s="108">
        <f>IF(G712="","",IFERROR(LET(ev_cost,INDEX(Events!$G$5:$G$505,MATCH(G712,Events!$A$5:$A$505,0)),ev_split,INDEX(Events!$I$5:$I$505,MATCH(G712,Events!$A$5:$A$505,0)),att_offset,MATCH(G712,Attendance!$B$3:$AY$3,0),attendees,COUNTIF(INDEX(Attendance!$B$7:$AY$206,0,att_offset),"1"),IF(ev_split="Equal Split",ev_cost/MAX(1,COUNTA(Roster!$A$5:$A$204)),ev_cost/MAX(1,attendees))),"N/A"))</f>
        <v/>
      </c>
    </row>
    <row r="713" ht="20" customHeight="1">
      <c r="A713" s="16" t="n"/>
      <c r="B713" s="14" t="n"/>
      <c r="C713" s="14" t="n"/>
      <c r="D713" s="14" t="n"/>
      <c r="E713" s="14" t="n"/>
      <c r="F713" s="17" t="n"/>
      <c r="G713" s="14" t="n"/>
      <c r="H713" s="14" t="n"/>
      <c r="I713" s="14" t="n"/>
      <c r="J713" s="108">
        <f>IF(G713="","",IFERROR(LET(ev_cost,INDEX(Events!$G$5:$G$505,MATCH(G713,Events!$A$5:$A$505,0)),ev_split,INDEX(Events!$I$5:$I$505,MATCH(G713,Events!$A$5:$A$505,0)),att_offset,MATCH(G713,Attendance!$B$3:$AY$3,0),attendees,COUNTIF(INDEX(Attendance!$B$7:$AY$206,0,att_offset),"1"),IF(ev_split="Equal Split",ev_cost/MAX(1,COUNTA(Roster!$A$5:$A$204)),ev_cost/MAX(1,attendees))),"N/A"))</f>
        <v/>
      </c>
    </row>
    <row r="714" ht="20" customHeight="1">
      <c r="A714" s="12" t="n"/>
      <c r="B714" s="10" t="n"/>
      <c r="C714" s="10" t="n"/>
      <c r="D714" s="10" t="n"/>
      <c r="E714" s="10" t="n"/>
      <c r="F714" s="13" t="n"/>
      <c r="G714" s="10" t="n"/>
      <c r="H714" s="10" t="n"/>
      <c r="I714" s="10" t="n"/>
      <c r="J714" s="108">
        <f>IF(G714="","",IFERROR(LET(ev_cost,INDEX(Events!$G$5:$G$505,MATCH(G714,Events!$A$5:$A$505,0)),ev_split,INDEX(Events!$I$5:$I$505,MATCH(G714,Events!$A$5:$A$505,0)),att_offset,MATCH(G714,Attendance!$B$3:$AY$3,0),attendees,COUNTIF(INDEX(Attendance!$B$7:$AY$206,0,att_offset),"1"),IF(ev_split="Equal Split",ev_cost/MAX(1,COUNTA(Roster!$A$5:$A$204)),ev_cost/MAX(1,attendees))),"N/A"))</f>
        <v/>
      </c>
    </row>
    <row r="715" ht="20" customHeight="1">
      <c r="A715" s="16" t="n"/>
      <c r="B715" s="14" t="n"/>
      <c r="C715" s="14" t="n"/>
      <c r="D715" s="14" t="n"/>
      <c r="E715" s="14" t="n"/>
      <c r="F715" s="17" t="n"/>
      <c r="G715" s="14" t="n"/>
      <c r="H715" s="14" t="n"/>
      <c r="I715" s="14" t="n"/>
      <c r="J715" s="108">
        <f>IF(G715="","",IFERROR(LET(ev_cost,INDEX(Events!$G$5:$G$505,MATCH(G715,Events!$A$5:$A$505,0)),ev_split,INDEX(Events!$I$5:$I$505,MATCH(G715,Events!$A$5:$A$505,0)),att_offset,MATCH(G715,Attendance!$B$3:$AY$3,0),attendees,COUNTIF(INDEX(Attendance!$B$7:$AY$206,0,att_offset),"1"),IF(ev_split="Equal Split",ev_cost/MAX(1,COUNTA(Roster!$A$5:$A$204)),ev_cost/MAX(1,attendees))),"N/A"))</f>
        <v/>
      </c>
    </row>
    <row r="716" ht="20" customHeight="1">
      <c r="A716" s="12" t="n"/>
      <c r="B716" s="10" t="n"/>
      <c r="C716" s="10" t="n"/>
      <c r="D716" s="10" t="n"/>
      <c r="E716" s="10" t="n"/>
      <c r="F716" s="13" t="n"/>
      <c r="G716" s="10" t="n"/>
      <c r="H716" s="10" t="n"/>
      <c r="I716" s="10" t="n"/>
      <c r="J716" s="108">
        <f>IF(G716="","",IFERROR(LET(ev_cost,INDEX(Events!$G$5:$G$505,MATCH(G716,Events!$A$5:$A$505,0)),ev_split,INDEX(Events!$I$5:$I$505,MATCH(G716,Events!$A$5:$A$505,0)),att_offset,MATCH(G716,Attendance!$B$3:$AY$3,0),attendees,COUNTIF(INDEX(Attendance!$B$7:$AY$206,0,att_offset),"1"),IF(ev_split="Equal Split",ev_cost/MAX(1,COUNTA(Roster!$A$5:$A$204)),ev_cost/MAX(1,attendees))),"N/A"))</f>
        <v/>
      </c>
    </row>
    <row r="717" ht="20" customHeight="1">
      <c r="A717" s="16" t="n"/>
      <c r="B717" s="14" t="n"/>
      <c r="C717" s="14" t="n"/>
      <c r="D717" s="14" t="n"/>
      <c r="E717" s="14" t="n"/>
      <c r="F717" s="17" t="n"/>
      <c r="G717" s="14" t="n"/>
      <c r="H717" s="14" t="n"/>
      <c r="I717" s="14" t="n"/>
      <c r="J717" s="108">
        <f>IF(G717="","",IFERROR(LET(ev_cost,INDEX(Events!$G$5:$G$505,MATCH(G717,Events!$A$5:$A$505,0)),ev_split,INDEX(Events!$I$5:$I$505,MATCH(G717,Events!$A$5:$A$505,0)),att_offset,MATCH(G717,Attendance!$B$3:$AY$3,0),attendees,COUNTIF(INDEX(Attendance!$B$7:$AY$206,0,att_offset),"1"),IF(ev_split="Equal Split",ev_cost/MAX(1,COUNTA(Roster!$A$5:$A$204)),ev_cost/MAX(1,attendees))),"N/A"))</f>
        <v/>
      </c>
    </row>
    <row r="718" ht="20" customHeight="1">
      <c r="A718" s="12" t="n"/>
      <c r="B718" s="10" t="n"/>
      <c r="C718" s="10" t="n"/>
      <c r="D718" s="10" t="n"/>
      <c r="E718" s="10" t="n"/>
      <c r="F718" s="13" t="n"/>
      <c r="G718" s="10" t="n"/>
      <c r="H718" s="10" t="n"/>
      <c r="I718" s="10" t="n"/>
      <c r="J718" s="108">
        <f>IF(G718="","",IFERROR(LET(ev_cost,INDEX(Events!$G$5:$G$505,MATCH(G718,Events!$A$5:$A$505,0)),ev_split,INDEX(Events!$I$5:$I$505,MATCH(G718,Events!$A$5:$A$505,0)),att_offset,MATCH(G718,Attendance!$B$3:$AY$3,0),attendees,COUNTIF(INDEX(Attendance!$B$7:$AY$206,0,att_offset),"1"),IF(ev_split="Equal Split",ev_cost/MAX(1,COUNTA(Roster!$A$5:$A$204)),ev_cost/MAX(1,attendees))),"N/A"))</f>
        <v/>
      </c>
    </row>
    <row r="719" ht="20" customHeight="1">
      <c r="A719" s="16" t="n"/>
      <c r="B719" s="14" t="n"/>
      <c r="C719" s="14" t="n"/>
      <c r="D719" s="14" t="n"/>
      <c r="E719" s="14" t="n"/>
      <c r="F719" s="17" t="n"/>
      <c r="G719" s="14" t="n"/>
      <c r="H719" s="14" t="n"/>
      <c r="I719" s="14" t="n"/>
      <c r="J719" s="108">
        <f>IF(G719="","",IFERROR(LET(ev_cost,INDEX(Events!$G$5:$G$505,MATCH(G719,Events!$A$5:$A$505,0)),ev_split,INDEX(Events!$I$5:$I$505,MATCH(G719,Events!$A$5:$A$505,0)),att_offset,MATCH(G719,Attendance!$B$3:$AY$3,0),attendees,COUNTIF(INDEX(Attendance!$B$7:$AY$206,0,att_offset),"1"),IF(ev_split="Equal Split",ev_cost/MAX(1,COUNTA(Roster!$A$5:$A$204)),ev_cost/MAX(1,attendees))),"N/A"))</f>
        <v/>
      </c>
    </row>
    <row r="720" ht="20" customHeight="1">
      <c r="A720" s="12" t="n"/>
      <c r="B720" s="10" t="n"/>
      <c r="C720" s="10" t="n"/>
      <c r="D720" s="10" t="n"/>
      <c r="E720" s="10" t="n"/>
      <c r="F720" s="13" t="n"/>
      <c r="G720" s="10" t="n"/>
      <c r="H720" s="10" t="n"/>
      <c r="I720" s="10" t="n"/>
      <c r="J720" s="108">
        <f>IF(G720="","",IFERROR(LET(ev_cost,INDEX(Events!$G$5:$G$505,MATCH(G720,Events!$A$5:$A$505,0)),ev_split,INDEX(Events!$I$5:$I$505,MATCH(G720,Events!$A$5:$A$505,0)),att_offset,MATCH(G720,Attendance!$B$3:$AY$3,0),attendees,COUNTIF(INDEX(Attendance!$B$7:$AY$206,0,att_offset),"1"),IF(ev_split="Equal Split",ev_cost/MAX(1,COUNTA(Roster!$A$5:$A$204)),ev_cost/MAX(1,attendees))),"N/A"))</f>
        <v/>
      </c>
    </row>
    <row r="721" ht="20" customHeight="1">
      <c r="A721" s="16" t="n"/>
      <c r="B721" s="14" t="n"/>
      <c r="C721" s="14" t="n"/>
      <c r="D721" s="14" t="n"/>
      <c r="E721" s="14" t="n"/>
      <c r="F721" s="17" t="n"/>
      <c r="G721" s="14" t="n"/>
      <c r="H721" s="14" t="n"/>
      <c r="I721" s="14" t="n"/>
      <c r="J721" s="108">
        <f>IF(G721="","",IFERROR(LET(ev_cost,INDEX(Events!$G$5:$G$505,MATCH(G721,Events!$A$5:$A$505,0)),ev_split,INDEX(Events!$I$5:$I$505,MATCH(G721,Events!$A$5:$A$505,0)),att_offset,MATCH(G721,Attendance!$B$3:$AY$3,0),attendees,COUNTIF(INDEX(Attendance!$B$7:$AY$206,0,att_offset),"1"),IF(ev_split="Equal Split",ev_cost/MAX(1,COUNTA(Roster!$A$5:$A$204)),ev_cost/MAX(1,attendees))),"N/A"))</f>
        <v/>
      </c>
    </row>
    <row r="722" ht="20" customHeight="1">
      <c r="A722" s="12" t="n"/>
      <c r="B722" s="10" t="n"/>
      <c r="C722" s="10" t="n"/>
      <c r="D722" s="10" t="n"/>
      <c r="E722" s="10" t="n"/>
      <c r="F722" s="13" t="n"/>
      <c r="G722" s="10" t="n"/>
      <c r="H722" s="10" t="n"/>
      <c r="I722" s="10" t="n"/>
      <c r="J722" s="108">
        <f>IF(G722="","",IFERROR(LET(ev_cost,INDEX(Events!$G$5:$G$505,MATCH(G722,Events!$A$5:$A$505,0)),ev_split,INDEX(Events!$I$5:$I$505,MATCH(G722,Events!$A$5:$A$505,0)),att_offset,MATCH(G722,Attendance!$B$3:$AY$3,0),attendees,COUNTIF(INDEX(Attendance!$B$7:$AY$206,0,att_offset),"1"),IF(ev_split="Equal Split",ev_cost/MAX(1,COUNTA(Roster!$A$5:$A$204)),ev_cost/MAX(1,attendees))),"N/A"))</f>
        <v/>
      </c>
    </row>
    <row r="723" ht="20" customHeight="1">
      <c r="A723" s="16" t="n"/>
      <c r="B723" s="14" t="n"/>
      <c r="C723" s="14" t="n"/>
      <c r="D723" s="14" t="n"/>
      <c r="E723" s="14" t="n"/>
      <c r="F723" s="17" t="n"/>
      <c r="G723" s="14" t="n"/>
      <c r="H723" s="14" t="n"/>
      <c r="I723" s="14" t="n"/>
      <c r="J723" s="108">
        <f>IF(G723="","",IFERROR(LET(ev_cost,INDEX(Events!$G$5:$G$505,MATCH(G723,Events!$A$5:$A$505,0)),ev_split,INDEX(Events!$I$5:$I$505,MATCH(G723,Events!$A$5:$A$505,0)),att_offset,MATCH(G723,Attendance!$B$3:$AY$3,0),attendees,COUNTIF(INDEX(Attendance!$B$7:$AY$206,0,att_offset),"1"),IF(ev_split="Equal Split",ev_cost/MAX(1,COUNTA(Roster!$A$5:$A$204)),ev_cost/MAX(1,attendees))),"N/A"))</f>
        <v/>
      </c>
    </row>
    <row r="724" ht="20" customHeight="1">
      <c r="A724" s="12" t="n"/>
      <c r="B724" s="10" t="n"/>
      <c r="C724" s="10" t="n"/>
      <c r="D724" s="10" t="n"/>
      <c r="E724" s="10" t="n"/>
      <c r="F724" s="13" t="n"/>
      <c r="G724" s="10" t="n"/>
      <c r="H724" s="10" t="n"/>
      <c r="I724" s="10" t="n"/>
      <c r="J724" s="108">
        <f>IF(G724="","",IFERROR(LET(ev_cost,INDEX(Events!$G$5:$G$505,MATCH(G724,Events!$A$5:$A$505,0)),ev_split,INDEX(Events!$I$5:$I$505,MATCH(G724,Events!$A$5:$A$505,0)),att_offset,MATCH(G724,Attendance!$B$3:$AY$3,0),attendees,COUNTIF(INDEX(Attendance!$B$7:$AY$206,0,att_offset),"1"),IF(ev_split="Equal Split",ev_cost/MAX(1,COUNTA(Roster!$A$5:$A$204)),ev_cost/MAX(1,attendees))),"N/A"))</f>
        <v/>
      </c>
    </row>
    <row r="725" ht="20" customHeight="1">
      <c r="A725" s="16" t="n"/>
      <c r="B725" s="14" t="n"/>
      <c r="C725" s="14" t="n"/>
      <c r="D725" s="14" t="n"/>
      <c r="E725" s="14" t="n"/>
      <c r="F725" s="17" t="n"/>
      <c r="G725" s="14" t="n"/>
      <c r="H725" s="14" t="n"/>
      <c r="I725" s="14" t="n"/>
      <c r="J725" s="108">
        <f>IF(G725="","",IFERROR(LET(ev_cost,INDEX(Events!$G$5:$G$505,MATCH(G725,Events!$A$5:$A$505,0)),ev_split,INDEX(Events!$I$5:$I$505,MATCH(G725,Events!$A$5:$A$505,0)),att_offset,MATCH(G725,Attendance!$B$3:$AY$3,0),attendees,COUNTIF(INDEX(Attendance!$B$7:$AY$206,0,att_offset),"1"),IF(ev_split="Equal Split",ev_cost/MAX(1,COUNTA(Roster!$A$5:$A$204)),ev_cost/MAX(1,attendees))),"N/A"))</f>
        <v/>
      </c>
    </row>
    <row r="726" ht="20" customHeight="1">
      <c r="A726" s="12" t="n"/>
      <c r="B726" s="10" t="n"/>
      <c r="C726" s="10" t="n"/>
      <c r="D726" s="10" t="n"/>
      <c r="E726" s="10" t="n"/>
      <c r="F726" s="13" t="n"/>
      <c r="G726" s="10" t="n"/>
      <c r="H726" s="10" t="n"/>
      <c r="I726" s="10" t="n"/>
      <c r="J726" s="108">
        <f>IF(G726="","",IFERROR(LET(ev_cost,INDEX(Events!$G$5:$G$505,MATCH(G726,Events!$A$5:$A$505,0)),ev_split,INDEX(Events!$I$5:$I$505,MATCH(G726,Events!$A$5:$A$505,0)),att_offset,MATCH(G726,Attendance!$B$3:$AY$3,0),attendees,COUNTIF(INDEX(Attendance!$B$7:$AY$206,0,att_offset),"1"),IF(ev_split="Equal Split",ev_cost/MAX(1,COUNTA(Roster!$A$5:$A$204)),ev_cost/MAX(1,attendees))),"N/A"))</f>
        <v/>
      </c>
    </row>
    <row r="727" ht="20" customHeight="1">
      <c r="A727" s="16" t="n"/>
      <c r="B727" s="14" t="n"/>
      <c r="C727" s="14" t="n"/>
      <c r="D727" s="14" t="n"/>
      <c r="E727" s="14" t="n"/>
      <c r="F727" s="17" t="n"/>
      <c r="G727" s="14" t="n"/>
      <c r="H727" s="14" t="n"/>
      <c r="I727" s="14" t="n"/>
      <c r="J727" s="108">
        <f>IF(G727="","",IFERROR(LET(ev_cost,INDEX(Events!$G$5:$G$505,MATCH(G727,Events!$A$5:$A$505,0)),ev_split,INDEX(Events!$I$5:$I$505,MATCH(G727,Events!$A$5:$A$505,0)),att_offset,MATCH(G727,Attendance!$B$3:$AY$3,0),attendees,COUNTIF(INDEX(Attendance!$B$7:$AY$206,0,att_offset),"1"),IF(ev_split="Equal Split",ev_cost/MAX(1,COUNTA(Roster!$A$5:$A$204)),ev_cost/MAX(1,attendees))),"N/A"))</f>
        <v/>
      </c>
    </row>
    <row r="728" ht="20" customHeight="1">
      <c r="A728" s="12" t="n"/>
      <c r="B728" s="10" t="n"/>
      <c r="C728" s="10" t="n"/>
      <c r="D728" s="10" t="n"/>
      <c r="E728" s="10" t="n"/>
      <c r="F728" s="13" t="n"/>
      <c r="G728" s="10" t="n"/>
      <c r="H728" s="10" t="n"/>
      <c r="I728" s="10" t="n"/>
      <c r="J728" s="108">
        <f>IF(G728="","",IFERROR(LET(ev_cost,INDEX(Events!$G$5:$G$505,MATCH(G728,Events!$A$5:$A$505,0)),ev_split,INDEX(Events!$I$5:$I$505,MATCH(G728,Events!$A$5:$A$505,0)),att_offset,MATCH(G728,Attendance!$B$3:$AY$3,0),attendees,COUNTIF(INDEX(Attendance!$B$7:$AY$206,0,att_offset),"1"),IF(ev_split="Equal Split",ev_cost/MAX(1,COUNTA(Roster!$A$5:$A$204)),ev_cost/MAX(1,attendees))),"N/A"))</f>
        <v/>
      </c>
    </row>
    <row r="729" ht="20" customHeight="1">
      <c r="A729" s="16" t="n"/>
      <c r="B729" s="14" t="n"/>
      <c r="C729" s="14" t="n"/>
      <c r="D729" s="14" t="n"/>
      <c r="E729" s="14" t="n"/>
      <c r="F729" s="17" t="n"/>
      <c r="G729" s="14" t="n"/>
      <c r="H729" s="14" t="n"/>
      <c r="I729" s="14" t="n"/>
      <c r="J729" s="108">
        <f>IF(G729="","",IFERROR(LET(ev_cost,INDEX(Events!$G$5:$G$505,MATCH(G729,Events!$A$5:$A$505,0)),ev_split,INDEX(Events!$I$5:$I$505,MATCH(G729,Events!$A$5:$A$505,0)),att_offset,MATCH(G729,Attendance!$B$3:$AY$3,0),attendees,COUNTIF(INDEX(Attendance!$B$7:$AY$206,0,att_offset),"1"),IF(ev_split="Equal Split",ev_cost/MAX(1,COUNTA(Roster!$A$5:$A$204)),ev_cost/MAX(1,attendees))),"N/A"))</f>
        <v/>
      </c>
    </row>
    <row r="730" ht="20" customHeight="1">
      <c r="A730" s="12" t="n"/>
      <c r="B730" s="10" t="n"/>
      <c r="C730" s="10" t="n"/>
      <c r="D730" s="10" t="n"/>
      <c r="E730" s="10" t="n"/>
      <c r="F730" s="13" t="n"/>
      <c r="G730" s="10" t="n"/>
      <c r="H730" s="10" t="n"/>
      <c r="I730" s="10" t="n"/>
      <c r="J730" s="108">
        <f>IF(G730="","",IFERROR(LET(ev_cost,INDEX(Events!$G$5:$G$505,MATCH(G730,Events!$A$5:$A$505,0)),ev_split,INDEX(Events!$I$5:$I$505,MATCH(G730,Events!$A$5:$A$505,0)),att_offset,MATCH(G730,Attendance!$B$3:$AY$3,0),attendees,COUNTIF(INDEX(Attendance!$B$7:$AY$206,0,att_offset),"1"),IF(ev_split="Equal Split",ev_cost/MAX(1,COUNTA(Roster!$A$5:$A$204)),ev_cost/MAX(1,attendees))),"N/A"))</f>
        <v/>
      </c>
    </row>
    <row r="731" ht="20" customHeight="1">
      <c r="A731" s="16" t="n"/>
      <c r="B731" s="14" t="n"/>
      <c r="C731" s="14" t="n"/>
      <c r="D731" s="14" t="n"/>
      <c r="E731" s="14" t="n"/>
      <c r="F731" s="17" t="n"/>
      <c r="G731" s="14" t="n"/>
      <c r="H731" s="14" t="n"/>
      <c r="I731" s="14" t="n"/>
      <c r="J731" s="108">
        <f>IF(G731="","",IFERROR(LET(ev_cost,INDEX(Events!$G$5:$G$505,MATCH(G731,Events!$A$5:$A$505,0)),ev_split,INDEX(Events!$I$5:$I$505,MATCH(G731,Events!$A$5:$A$505,0)),att_offset,MATCH(G731,Attendance!$B$3:$AY$3,0),attendees,COUNTIF(INDEX(Attendance!$B$7:$AY$206,0,att_offset),"1"),IF(ev_split="Equal Split",ev_cost/MAX(1,COUNTA(Roster!$A$5:$A$204)),ev_cost/MAX(1,attendees))),"N/A"))</f>
        <v/>
      </c>
    </row>
    <row r="732" ht="20" customHeight="1">
      <c r="A732" s="12" t="n"/>
      <c r="B732" s="10" t="n"/>
      <c r="C732" s="10" t="n"/>
      <c r="D732" s="10" t="n"/>
      <c r="E732" s="10" t="n"/>
      <c r="F732" s="13" t="n"/>
      <c r="G732" s="10" t="n"/>
      <c r="H732" s="10" t="n"/>
      <c r="I732" s="10" t="n"/>
      <c r="J732" s="108">
        <f>IF(G732="","",IFERROR(LET(ev_cost,INDEX(Events!$G$5:$G$505,MATCH(G732,Events!$A$5:$A$505,0)),ev_split,INDEX(Events!$I$5:$I$505,MATCH(G732,Events!$A$5:$A$505,0)),att_offset,MATCH(G732,Attendance!$B$3:$AY$3,0),attendees,COUNTIF(INDEX(Attendance!$B$7:$AY$206,0,att_offset),"1"),IF(ev_split="Equal Split",ev_cost/MAX(1,COUNTA(Roster!$A$5:$A$204)),ev_cost/MAX(1,attendees))),"N/A"))</f>
        <v/>
      </c>
    </row>
    <row r="733" ht="20" customHeight="1">
      <c r="A733" s="16" t="n"/>
      <c r="B733" s="14" t="n"/>
      <c r="C733" s="14" t="n"/>
      <c r="D733" s="14" t="n"/>
      <c r="E733" s="14" t="n"/>
      <c r="F733" s="17" t="n"/>
      <c r="G733" s="14" t="n"/>
      <c r="H733" s="14" t="n"/>
      <c r="I733" s="14" t="n"/>
      <c r="J733" s="108">
        <f>IF(G733="","",IFERROR(LET(ev_cost,INDEX(Events!$G$5:$G$505,MATCH(G733,Events!$A$5:$A$505,0)),ev_split,INDEX(Events!$I$5:$I$505,MATCH(G733,Events!$A$5:$A$505,0)),att_offset,MATCH(G733,Attendance!$B$3:$AY$3,0),attendees,COUNTIF(INDEX(Attendance!$B$7:$AY$206,0,att_offset),"1"),IF(ev_split="Equal Split",ev_cost/MAX(1,COUNTA(Roster!$A$5:$A$204)),ev_cost/MAX(1,attendees))),"N/A"))</f>
        <v/>
      </c>
    </row>
    <row r="734" ht="20" customHeight="1">
      <c r="A734" s="12" t="n"/>
      <c r="B734" s="10" t="n"/>
      <c r="C734" s="10" t="n"/>
      <c r="D734" s="10" t="n"/>
      <c r="E734" s="10" t="n"/>
      <c r="F734" s="13" t="n"/>
      <c r="G734" s="10" t="n"/>
      <c r="H734" s="10" t="n"/>
      <c r="I734" s="10" t="n"/>
      <c r="J734" s="108">
        <f>IF(G734="","",IFERROR(LET(ev_cost,INDEX(Events!$G$5:$G$505,MATCH(G734,Events!$A$5:$A$505,0)),ev_split,INDEX(Events!$I$5:$I$505,MATCH(G734,Events!$A$5:$A$505,0)),att_offset,MATCH(G734,Attendance!$B$3:$AY$3,0),attendees,COUNTIF(INDEX(Attendance!$B$7:$AY$206,0,att_offset),"1"),IF(ev_split="Equal Split",ev_cost/MAX(1,COUNTA(Roster!$A$5:$A$204)),ev_cost/MAX(1,attendees))),"N/A"))</f>
        <v/>
      </c>
    </row>
    <row r="735" ht="20" customHeight="1">
      <c r="A735" s="16" t="n"/>
      <c r="B735" s="14" t="n"/>
      <c r="C735" s="14" t="n"/>
      <c r="D735" s="14" t="n"/>
      <c r="E735" s="14" t="n"/>
      <c r="F735" s="17" t="n"/>
      <c r="G735" s="14" t="n"/>
      <c r="H735" s="14" t="n"/>
      <c r="I735" s="14" t="n"/>
      <c r="J735" s="108">
        <f>IF(G735="","",IFERROR(LET(ev_cost,INDEX(Events!$G$5:$G$505,MATCH(G735,Events!$A$5:$A$505,0)),ev_split,INDEX(Events!$I$5:$I$505,MATCH(G735,Events!$A$5:$A$505,0)),att_offset,MATCH(G735,Attendance!$B$3:$AY$3,0),attendees,COUNTIF(INDEX(Attendance!$B$7:$AY$206,0,att_offset),"1"),IF(ev_split="Equal Split",ev_cost/MAX(1,COUNTA(Roster!$A$5:$A$204)),ev_cost/MAX(1,attendees))),"N/A"))</f>
        <v/>
      </c>
    </row>
    <row r="736" ht="20" customHeight="1">
      <c r="A736" s="12" t="n"/>
      <c r="B736" s="10" t="n"/>
      <c r="C736" s="10" t="n"/>
      <c r="D736" s="10" t="n"/>
      <c r="E736" s="10" t="n"/>
      <c r="F736" s="13" t="n"/>
      <c r="G736" s="10" t="n"/>
      <c r="H736" s="10" t="n"/>
      <c r="I736" s="10" t="n"/>
      <c r="J736" s="108">
        <f>IF(G736="","",IFERROR(LET(ev_cost,INDEX(Events!$G$5:$G$505,MATCH(G736,Events!$A$5:$A$505,0)),ev_split,INDEX(Events!$I$5:$I$505,MATCH(G736,Events!$A$5:$A$505,0)),att_offset,MATCH(G736,Attendance!$B$3:$AY$3,0),attendees,COUNTIF(INDEX(Attendance!$B$7:$AY$206,0,att_offset),"1"),IF(ev_split="Equal Split",ev_cost/MAX(1,COUNTA(Roster!$A$5:$A$204)),ev_cost/MAX(1,attendees))),"N/A"))</f>
        <v/>
      </c>
    </row>
    <row r="737" ht="20" customHeight="1">
      <c r="A737" s="16" t="n"/>
      <c r="B737" s="14" t="n"/>
      <c r="C737" s="14" t="n"/>
      <c r="D737" s="14" t="n"/>
      <c r="E737" s="14" t="n"/>
      <c r="F737" s="17" t="n"/>
      <c r="G737" s="14" t="n"/>
      <c r="H737" s="14" t="n"/>
      <c r="I737" s="14" t="n"/>
      <c r="J737" s="108">
        <f>IF(G737="","",IFERROR(LET(ev_cost,INDEX(Events!$G$5:$G$505,MATCH(G737,Events!$A$5:$A$505,0)),ev_split,INDEX(Events!$I$5:$I$505,MATCH(G737,Events!$A$5:$A$505,0)),att_offset,MATCH(G737,Attendance!$B$3:$AY$3,0),attendees,COUNTIF(INDEX(Attendance!$B$7:$AY$206,0,att_offset),"1"),IF(ev_split="Equal Split",ev_cost/MAX(1,COUNTA(Roster!$A$5:$A$204)),ev_cost/MAX(1,attendees))),"N/A"))</f>
        <v/>
      </c>
    </row>
    <row r="738" ht="20" customHeight="1">
      <c r="A738" s="12" t="n"/>
      <c r="B738" s="10" t="n"/>
      <c r="C738" s="10" t="n"/>
      <c r="D738" s="10" t="n"/>
      <c r="E738" s="10" t="n"/>
      <c r="F738" s="13" t="n"/>
      <c r="G738" s="10" t="n"/>
      <c r="H738" s="10" t="n"/>
      <c r="I738" s="10" t="n"/>
      <c r="J738" s="108">
        <f>IF(G738="","",IFERROR(LET(ev_cost,INDEX(Events!$G$5:$G$505,MATCH(G738,Events!$A$5:$A$505,0)),ev_split,INDEX(Events!$I$5:$I$505,MATCH(G738,Events!$A$5:$A$505,0)),att_offset,MATCH(G738,Attendance!$B$3:$AY$3,0),attendees,COUNTIF(INDEX(Attendance!$B$7:$AY$206,0,att_offset),"1"),IF(ev_split="Equal Split",ev_cost/MAX(1,COUNTA(Roster!$A$5:$A$204)),ev_cost/MAX(1,attendees))),"N/A"))</f>
        <v/>
      </c>
    </row>
    <row r="739" ht="20" customHeight="1">
      <c r="A739" s="16" t="n"/>
      <c r="B739" s="14" t="n"/>
      <c r="C739" s="14" t="n"/>
      <c r="D739" s="14" t="n"/>
      <c r="E739" s="14" t="n"/>
      <c r="F739" s="17" t="n"/>
      <c r="G739" s="14" t="n"/>
      <c r="H739" s="14" t="n"/>
      <c r="I739" s="14" t="n"/>
      <c r="J739" s="108">
        <f>IF(G739="","",IFERROR(LET(ev_cost,INDEX(Events!$G$5:$G$505,MATCH(G739,Events!$A$5:$A$505,0)),ev_split,INDEX(Events!$I$5:$I$505,MATCH(G739,Events!$A$5:$A$505,0)),att_offset,MATCH(G739,Attendance!$B$3:$AY$3,0),attendees,COUNTIF(INDEX(Attendance!$B$7:$AY$206,0,att_offset),"1"),IF(ev_split="Equal Split",ev_cost/MAX(1,COUNTA(Roster!$A$5:$A$204)),ev_cost/MAX(1,attendees))),"N/A"))</f>
        <v/>
      </c>
    </row>
    <row r="740" ht="20" customHeight="1">
      <c r="A740" s="12" t="n"/>
      <c r="B740" s="10" t="n"/>
      <c r="C740" s="10" t="n"/>
      <c r="D740" s="10" t="n"/>
      <c r="E740" s="10" t="n"/>
      <c r="F740" s="13" t="n"/>
      <c r="G740" s="10" t="n"/>
      <c r="H740" s="10" t="n"/>
      <c r="I740" s="10" t="n"/>
      <c r="J740" s="108">
        <f>IF(G740="","",IFERROR(LET(ev_cost,INDEX(Events!$G$5:$G$505,MATCH(G740,Events!$A$5:$A$505,0)),ev_split,INDEX(Events!$I$5:$I$505,MATCH(G740,Events!$A$5:$A$505,0)),att_offset,MATCH(G740,Attendance!$B$3:$AY$3,0),attendees,COUNTIF(INDEX(Attendance!$B$7:$AY$206,0,att_offset),"1"),IF(ev_split="Equal Split",ev_cost/MAX(1,COUNTA(Roster!$A$5:$A$204)),ev_cost/MAX(1,attendees))),"N/A"))</f>
        <v/>
      </c>
    </row>
    <row r="741" ht="20" customHeight="1">
      <c r="A741" s="16" t="n"/>
      <c r="B741" s="14" t="n"/>
      <c r="C741" s="14" t="n"/>
      <c r="D741" s="14" t="n"/>
      <c r="E741" s="14" t="n"/>
      <c r="F741" s="17" t="n"/>
      <c r="G741" s="14" t="n"/>
      <c r="H741" s="14" t="n"/>
      <c r="I741" s="14" t="n"/>
      <c r="J741" s="108">
        <f>IF(G741="","",IFERROR(LET(ev_cost,INDEX(Events!$G$5:$G$505,MATCH(G741,Events!$A$5:$A$505,0)),ev_split,INDEX(Events!$I$5:$I$505,MATCH(G741,Events!$A$5:$A$505,0)),att_offset,MATCH(G741,Attendance!$B$3:$AY$3,0),attendees,COUNTIF(INDEX(Attendance!$B$7:$AY$206,0,att_offset),"1"),IF(ev_split="Equal Split",ev_cost/MAX(1,COUNTA(Roster!$A$5:$A$204)),ev_cost/MAX(1,attendees))),"N/A"))</f>
        <v/>
      </c>
    </row>
    <row r="742" ht="20" customHeight="1">
      <c r="A742" s="12" t="n"/>
      <c r="B742" s="10" t="n"/>
      <c r="C742" s="10" t="n"/>
      <c r="D742" s="10" t="n"/>
      <c r="E742" s="10" t="n"/>
      <c r="F742" s="13" t="n"/>
      <c r="G742" s="10" t="n"/>
      <c r="H742" s="10" t="n"/>
      <c r="I742" s="10" t="n"/>
      <c r="J742" s="108">
        <f>IF(G742="","",IFERROR(LET(ev_cost,INDEX(Events!$G$5:$G$505,MATCH(G742,Events!$A$5:$A$505,0)),ev_split,INDEX(Events!$I$5:$I$505,MATCH(G742,Events!$A$5:$A$505,0)),att_offset,MATCH(G742,Attendance!$B$3:$AY$3,0),attendees,COUNTIF(INDEX(Attendance!$B$7:$AY$206,0,att_offset),"1"),IF(ev_split="Equal Split",ev_cost/MAX(1,COUNTA(Roster!$A$5:$A$204)),ev_cost/MAX(1,attendees))),"N/A"))</f>
        <v/>
      </c>
    </row>
    <row r="743" ht="20" customHeight="1">
      <c r="A743" s="16" t="n"/>
      <c r="B743" s="14" t="n"/>
      <c r="C743" s="14" t="n"/>
      <c r="D743" s="14" t="n"/>
      <c r="E743" s="14" t="n"/>
      <c r="F743" s="17" t="n"/>
      <c r="G743" s="14" t="n"/>
      <c r="H743" s="14" t="n"/>
      <c r="I743" s="14" t="n"/>
      <c r="J743" s="108">
        <f>IF(G743="","",IFERROR(LET(ev_cost,INDEX(Events!$G$5:$G$505,MATCH(G743,Events!$A$5:$A$505,0)),ev_split,INDEX(Events!$I$5:$I$505,MATCH(G743,Events!$A$5:$A$505,0)),att_offset,MATCH(G743,Attendance!$B$3:$AY$3,0),attendees,COUNTIF(INDEX(Attendance!$B$7:$AY$206,0,att_offset),"1"),IF(ev_split="Equal Split",ev_cost/MAX(1,COUNTA(Roster!$A$5:$A$204)),ev_cost/MAX(1,attendees))),"N/A"))</f>
        <v/>
      </c>
    </row>
    <row r="744" ht="20" customHeight="1">
      <c r="A744" s="12" t="n"/>
      <c r="B744" s="10" t="n"/>
      <c r="C744" s="10" t="n"/>
      <c r="D744" s="10" t="n"/>
      <c r="E744" s="10" t="n"/>
      <c r="F744" s="13" t="n"/>
      <c r="G744" s="10" t="n"/>
      <c r="H744" s="10" t="n"/>
      <c r="I744" s="10" t="n"/>
      <c r="J744" s="108">
        <f>IF(G744="","",IFERROR(LET(ev_cost,INDEX(Events!$G$5:$G$505,MATCH(G744,Events!$A$5:$A$505,0)),ev_split,INDEX(Events!$I$5:$I$505,MATCH(G744,Events!$A$5:$A$505,0)),att_offset,MATCH(G744,Attendance!$B$3:$AY$3,0),attendees,COUNTIF(INDEX(Attendance!$B$7:$AY$206,0,att_offset),"1"),IF(ev_split="Equal Split",ev_cost/MAX(1,COUNTA(Roster!$A$5:$A$204)),ev_cost/MAX(1,attendees))),"N/A"))</f>
        <v/>
      </c>
    </row>
    <row r="745" ht="20" customHeight="1">
      <c r="A745" s="16" t="n"/>
      <c r="B745" s="14" t="n"/>
      <c r="C745" s="14" t="n"/>
      <c r="D745" s="14" t="n"/>
      <c r="E745" s="14" t="n"/>
      <c r="F745" s="17" t="n"/>
      <c r="G745" s="14" t="n"/>
      <c r="H745" s="14" t="n"/>
      <c r="I745" s="14" t="n"/>
      <c r="J745" s="108">
        <f>IF(G745="","",IFERROR(LET(ev_cost,INDEX(Events!$G$5:$G$505,MATCH(G745,Events!$A$5:$A$505,0)),ev_split,INDEX(Events!$I$5:$I$505,MATCH(G745,Events!$A$5:$A$505,0)),att_offset,MATCH(G745,Attendance!$B$3:$AY$3,0),attendees,COUNTIF(INDEX(Attendance!$B$7:$AY$206,0,att_offset),"1"),IF(ev_split="Equal Split",ev_cost/MAX(1,COUNTA(Roster!$A$5:$A$204)),ev_cost/MAX(1,attendees))),"N/A"))</f>
        <v/>
      </c>
    </row>
    <row r="746" ht="20" customHeight="1">
      <c r="A746" s="12" t="n"/>
      <c r="B746" s="10" t="n"/>
      <c r="C746" s="10" t="n"/>
      <c r="D746" s="10" t="n"/>
      <c r="E746" s="10" t="n"/>
      <c r="F746" s="13" t="n"/>
      <c r="G746" s="10" t="n"/>
      <c r="H746" s="10" t="n"/>
      <c r="I746" s="10" t="n"/>
      <c r="J746" s="108">
        <f>IF(G746="","",IFERROR(LET(ev_cost,INDEX(Events!$G$5:$G$505,MATCH(G746,Events!$A$5:$A$505,0)),ev_split,INDEX(Events!$I$5:$I$505,MATCH(G746,Events!$A$5:$A$505,0)),att_offset,MATCH(G746,Attendance!$B$3:$AY$3,0),attendees,COUNTIF(INDEX(Attendance!$B$7:$AY$206,0,att_offset),"1"),IF(ev_split="Equal Split",ev_cost/MAX(1,COUNTA(Roster!$A$5:$A$204)),ev_cost/MAX(1,attendees))),"N/A"))</f>
        <v/>
      </c>
    </row>
    <row r="747" ht="20" customHeight="1">
      <c r="A747" s="16" t="n"/>
      <c r="B747" s="14" t="n"/>
      <c r="C747" s="14" t="n"/>
      <c r="D747" s="14" t="n"/>
      <c r="E747" s="14" t="n"/>
      <c r="F747" s="17" t="n"/>
      <c r="G747" s="14" t="n"/>
      <c r="H747" s="14" t="n"/>
      <c r="I747" s="14" t="n"/>
      <c r="J747" s="108">
        <f>IF(G747="","",IFERROR(LET(ev_cost,INDEX(Events!$G$5:$G$505,MATCH(G747,Events!$A$5:$A$505,0)),ev_split,INDEX(Events!$I$5:$I$505,MATCH(G747,Events!$A$5:$A$505,0)),att_offset,MATCH(G747,Attendance!$B$3:$AY$3,0),attendees,COUNTIF(INDEX(Attendance!$B$7:$AY$206,0,att_offset),"1"),IF(ev_split="Equal Split",ev_cost/MAX(1,COUNTA(Roster!$A$5:$A$204)),ev_cost/MAX(1,attendees))),"N/A"))</f>
        <v/>
      </c>
    </row>
    <row r="748" ht="20" customHeight="1">
      <c r="A748" s="12" t="n"/>
      <c r="B748" s="10" t="n"/>
      <c r="C748" s="10" t="n"/>
      <c r="D748" s="10" t="n"/>
      <c r="E748" s="10" t="n"/>
      <c r="F748" s="13" t="n"/>
      <c r="G748" s="10" t="n"/>
      <c r="H748" s="10" t="n"/>
      <c r="I748" s="10" t="n"/>
      <c r="J748" s="108">
        <f>IF(G748="","",IFERROR(LET(ev_cost,INDEX(Events!$G$5:$G$505,MATCH(G748,Events!$A$5:$A$505,0)),ev_split,INDEX(Events!$I$5:$I$505,MATCH(G748,Events!$A$5:$A$505,0)),att_offset,MATCH(G748,Attendance!$B$3:$AY$3,0),attendees,COUNTIF(INDEX(Attendance!$B$7:$AY$206,0,att_offset),"1"),IF(ev_split="Equal Split",ev_cost/MAX(1,COUNTA(Roster!$A$5:$A$204)),ev_cost/MAX(1,attendees))),"N/A"))</f>
        <v/>
      </c>
    </row>
    <row r="749" ht="20" customHeight="1">
      <c r="A749" s="16" t="n"/>
      <c r="B749" s="14" t="n"/>
      <c r="C749" s="14" t="n"/>
      <c r="D749" s="14" t="n"/>
      <c r="E749" s="14" t="n"/>
      <c r="F749" s="17" t="n"/>
      <c r="G749" s="14" t="n"/>
      <c r="H749" s="14" t="n"/>
      <c r="I749" s="14" t="n"/>
      <c r="J749" s="108">
        <f>IF(G749="","",IFERROR(LET(ev_cost,INDEX(Events!$G$5:$G$505,MATCH(G749,Events!$A$5:$A$505,0)),ev_split,INDEX(Events!$I$5:$I$505,MATCH(G749,Events!$A$5:$A$505,0)),att_offset,MATCH(G749,Attendance!$B$3:$AY$3,0),attendees,COUNTIF(INDEX(Attendance!$B$7:$AY$206,0,att_offset),"1"),IF(ev_split="Equal Split",ev_cost/MAX(1,COUNTA(Roster!$A$5:$A$204)),ev_cost/MAX(1,attendees))),"N/A"))</f>
        <v/>
      </c>
    </row>
    <row r="750" ht="20" customHeight="1">
      <c r="A750" s="12" t="n"/>
      <c r="B750" s="10" t="n"/>
      <c r="C750" s="10" t="n"/>
      <c r="D750" s="10" t="n"/>
      <c r="E750" s="10" t="n"/>
      <c r="F750" s="13" t="n"/>
      <c r="G750" s="10" t="n"/>
      <c r="H750" s="10" t="n"/>
      <c r="I750" s="10" t="n"/>
      <c r="J750" s="108">
        <f>IF(G750="","",IFERROR(LET(ev_cost,INDEX(Events!$G$5:$G$505,MATCH(G750,Events!$A$5:$A$505,0)),ev_split,INDEX(Events!$I$5:$I$505,MATCH(G750,Events!$A$5:$A$505,0)),att_offset,MATCH(G750,Attendance!$B$3:$AY$3,0),attendees,COUNTIF(INDEX(Attendance!$B$7:$AY$206,0,att_offset),"1"),IF(ev_split="Equal Split",ev_cost/MAX(1,COUNTA(Roster!$A$5:$A$204)),ev_cost/MAX(1,attendees))),"N/A"))</f>
        <v/>
      </c>
    </row>
    <row r="751" ht="20" customHeight="1">
      <c r="A751" s="16" t="n"/>
      <c r="B751" s="14" t="n"/>
      <c r="C751" s="14" t="n"/>
      <c r="D751" s="14" t="n"/>
      <c r="E751" s="14" t="n"/>
      <c r="F751" s="17" t="n"/>
      <c r="G751" s="14" t="n"/>
      <c r="H751" s="14" t="n"/>
      <c r="I751" s="14" t="n"/>
      <c r="J751" s="108">
        <f>IF(G751="","",IFERROR(LET(ev_cost,INDEX(Events!$G$5:$G$505,MATCH(G751,Events!$A$5:$A$505,0)),ev_split,INDEX(Events!$I$5:$I$505,MATCH(G751,Events!$A$5:$A$505,0)),att_offset,MATCH(G751,Attendance!$B$3:$AY$3,0),attendees,COUNTIF(INDEX(Attendance!$B$7:$AY$206,0,att_offset),"1"),IF(ev_split="Equal Split",ev_cost/MAX(1,COUNTA(Roster!$A$5:$A$204)),ev_cost/MAX(1,attendees))),"N/A"))</f>
        <v/>
      </c>
    </row>
    <row r="752" ht="20" customHeight="1">
      <c r="A752" s="12" t="n"/>
      <c r="B752" s="10" t="n"/>
      <c r="C752" s="10" t="n"/>
      <c r="D752" s="10" t="n"/>
      <c r="E752" s="10" t="n"/>
      <c r="F752" s="13" t="n"/>
      <c r="G752" s="10" t="n"/>
      <c r="H752" s="10" t="n"/>
      <c r="I752" s="10" t="n"/>
      <c r="J752" s="108">
        <f>IF(G752="","",IFERROR(LET(ev_cost,INDEX(Events!$G$5:$G$505,MATCH(G752,Events!$A$5:$A$505,0)),ev_split,INDEX(Events!$I$5:$I$505,MATCH(G752,Events!$A$5:$A$505,0)),att_offset,MATCH(G752,Attendance!$B$3:$AY$3,0),attendees,COUNTIF(INDEX(Attendance!$B$7:$AY$206,0,att_offset),"1"),IF(ev_split="Equal Split",ev_cost/MAX(1,COUNTA(Roster!$A$5:$A$204)),ev_cost/MAX(1,attendees))),"N/A"))</f>
        <v/>
      </c>
    </row>
    <row r="753" ht="20" customHeight="1">
      <c r="A753" s="16" t="n"/>
      <c r="B753" s="14" t="n"/>
      <c r="C753" s="14" t="n"/>
      <c r="D753" s="14" t="n"/>
      <c r="E753" s="14" t="n"/>
      <c r="F753" s="17" t="n"/>
      <c r="G753" s="14" t="n"/>
      <c r="H753" s="14" t="n"/>
      <c r="I753" s="14" t="n"/>
      <c r="J753" s="108">
        <f>IF(G753="","",IFERROR(LET(ev_cost,INDEX(Events!$G$5:$G$505,MATCH(G753,Events!$A$5:$A$505,0)),ev_split,INDEX(Events!$I$5:$I$505,MATCH(G753,Events!$A$5:$A$505,0)),att_offset,MATCH(G753,Attendance!$B$3:$AY$3,0),attendees,COUNTIF(INDEX(Attendance!$B$7:$AY$206,0,att_offset),"1"),IF(ev_split="Equal Split",ev_cost/MAX(1,COUNTA(Roster!$A$5:$A$204)),ev_cost/MAX(1,attendees))),"N/A"))</f>
        <v/>
      </c>
    </row>
    <row r="754" ht="20" customHeight="1">
      <c r="A754" s="12" t="n"/>
      <c r="B754" s="10" t="n"/>
      <c r="C754" s="10" t="n"/>
      <c r="D754" s="10" t="n"/>
      <c r="E754" s="10" t="n"/>
      <c r="F754" s="13" t="n"/>
      <c r="G754" s="10" t="n"/>
      <c r="H754" s="10" t="n"/>
      <c r="I754" s="10" t="n"/>
      <c r="J754" s="108">
        <f>IF(G754="","",IFERROR(LET(ev_cost,INDEX(Events!$G$5:$G$505,MATCH(G754,Events!$A$5:$A$505,0)),ev_split,INDEX(Events!$I$5:$I$505,MATCH(G754,Events!$A$5:$A$505,0)),att_offset,MATCH(G754,Attendance!$B$3:$AY$3,0),attendees,COUNTIF(INDEX(Attendance!$B$7:$AY$206,0,att_offset),"1"),IF(ev_split="Equal Split",ev_cost/MAX(1,COUNTA(Roster!$A$5:$A$204)),ev_cost/MAX(1,attendees))),"N/A"))</f>
        <v/>
      </c>
    </row>
    <row r="755" ht="20" customHeight="1">
      <c r="A755" s="16" t="n"/>
      <c r="B755" s="14" t="n"/>
      <c r="C755" s="14" t="n"/>
      <c r="D755" s="14" t="n"/>
      <c r="E755" s="14" t="n"/>
      <c r="F755" s="17" t="n"/>
      <c r="G755" s="14" t="n"/>
      <c r="H755" s="14" t="n"/>
      <c r="I755" s="14" t="n"/>
      <c r="J755" s="108">
        <f>IF(G755="","",IFERROR(LET(ev_cost,INDEX(Events!$G$5:$G$505,MATCH(G755,Events!$A$5:$A$505,0)),ev_split,INDEX(Events!$I$5:$I$505,MATCH(G755,Events!$A$5:$A$505,0)),att_offset,MATCH(G755,Attendance!$B$3:$AY$3,0),attendees,COUNTIF(INDEX(Attendance!$B$7:$AY$206,0,att_offset),"1"),IF(ev_split="Equal Split",ev_cost/MAX(1,COUNTA(Roster!$A$5:$A$204)),ev_cost/MAX(1,attendees))),"N/A"))</f>
        <v/>
      </c>
    </row>
    <row r="756" ht="20" customHeight="1">
      <c r="A756" s="12" t="n"/>
      <c r="B756" s="10" t="n"/>
      <c r="C756" s="10" t="n"/>
      <c r="D756" s="10" t="n"/>
      <c r="E756" s="10" t="n"/>
      <c r="F756" s="13" t="n"/>
      <c r="G756" s="10" t="n"/>
      <c r="H756" s="10" t="n"/>
      <c r="I756" s="10" t="n"/>
      <c r="J756" s="108">
        <f>IF(G756="","",IFERROR(LET(ev_cost,INDEX(Events!$G$5:$G$505,MATCH(G756,Events!$A$5:$A$505,0)),ev_split,INDEX(Events!$I$5:$I$505,MATCH(G756,Events!$A$5:$A$505,0)),att_offset,MATCH(G756,Attendance!$B$3:$AY$3,0),attendees,COUNTIF(INDEX(Attendance!$B$7:$AY$206,0,att_offset),"1"),IF(ev_split="Equal Split",ev_cost/MAX(1,COUNTA(Roster!$A$5:$A$204)),ev_cost/MAX(1,attendees))),"N/A"))</f>
        <v/>
      </c>
    </row>
    <row r="757" ht="20" customHeight="1">
      <c r="A757" s="16" t="n"/>
      <c r="B757" s="14" t="n"/>
      <c r="C757" s="14" t="n"/>
      <c r="D757" s="14" t="n"/>
      <c r="E757" s="14" t="n"/>
      <c r="F757" s="17" t="n"/>
      <c r="G757" s="14" t="n"/>
      <c r="H757" s="14" t="n"/>
      <c r="I757" s="14" t="n"/>
      <c r="J757" s="108">
        <f>IF(G757="","",IFERROR(LET(ev_cost,INDEX(Events!$G$5:$G$505,MATCH(G757,Events!$A$5:$A$505,0)),ev_split,INDEX(Events!$I$5:$I$505,MATCH(G757,Events!$A$5:$A$505,0)),att_offset,MATCH(G757,Attendance!$B$3:$AY$3,0),attendees,COUNTIF(INDEX(Attendance!$B$7:$AY$206,0,att_offset),"1"),IF(ev_split="Equal Split",ev_cost/MAX(1,COUNTA(Roster!$A$5:$A$204)),ev_cost/MAX(1,attendees))),"N/A"))</f>
        <v/>
      </c>
    </row>
    <row r="758" ht="20" customHeight="1">
      <c r="A758" s="12" t="n"/>
      <c r="B758" s="10" t="n"/>
      <c r="C758" s="10" t="n"/>
      <c r="D758" s="10" t="n"/>
      <c r="E758" s="10" t="n"/>
      <c r="F758" s="13" t="n"/>
      <c r="G758" s="10" t="n"/>
      <c r="H758" s="10" t="n"/>
      <c r="I758" s="10" t="n"/>
      <c r="J758" s="108">
        <f>IF(G758="","",IFERROR(LET(ev_cost,INDEX(Events!$G$5:$G$505,MATCH(G758,Events!$A$5:$A$505,0)),ev_split,INDEX(Events!$I$5:$I$505,MATCH(G758,Events!$A$5:$A$505,0)),att_offset,MATCH(G758,Attendance!$B$3:$AY$3,0),attendees,COUNTIF(INDEX(Attendance!$B$7:$AY$206,0,att_offset),"1"),IF(ev_split="Equal Split",ev_cost/MAX(1,COUNTA(Roster!$A$5:$A$204)),ev_cost/MAX(1,attendees))),"N/A"))</f>
        <v/>
      </c>
    </row>
    <row r="759" ht="20" customHeight="1">
      <c r="A759" s="16" t="n"/>
      <c r="B759" s="14" t="n"/>
      <c r="C759" s="14" t="n"/>
      <c r="D759" s="14" t="n"/>
      <c r="E759" s="14" t="n"/>
      <c r="F759" s="17" t="n"/>
      <c r="G759" s="14" t="n"/>
      <c r="H759" s="14" t="n"/>
      <c r="I759" s="14" t="n"/>
      <c r="J759" s="108">
        <f>IF(G759="","",IFERROR(LET(ev_cost,INDEX(Events!$G$5:$G$505,MATCH(G759,Events!$A$5:$A$505,0)),ev_split,INDEX(Events!$I$5:$I$505,MATCH(G759,Events!$A$5:$A$505,0)),att_offset,MATCH(G759,Attendance!$B$3:$AY$3,0),attendees,COUNTIF(INDEX(Attendance!$B$7:$AY$206,0,att_offset),"1"),IF(ev_split="Equal Split",ev_cost/MAX(1,COUNTA(Roster!$A$5:$A$204)),ev_cost/MAX(1,attendees))),"N/A"))</f>
        <v/>
      </c>
    </row>
    <row r="760" ht="20" customHeight="1">
      <c r="A760" s="12" t="n"/>
      <c r="B760" s="10" t="n"/>
      <c r="C760" s="10" t="n"/>
      <c r="D760" s="10" t="n"/>
      <c r="E760" s="10" t="n"/>
      <c r="F760" s="13" t="n"/>
      <c r="G760" s="10" t="n"/>
      <c r="H760" s="10" t="n"/>
      <c r="I760" s="10" t="n"/>
      <c r="J760" s="108">
        <f>IF(G760="","",IFERROR(LET(ev_cost,INDEX(Events!$G$5:$G$505,MATCH(G760,Events!$A$5:$A$505,0)),ev_split,INDEX(Events!$I$5:$I$505,MATCH(G760,Events!$A$5:$A$505,0)),att_offset,MATCH(G760,Attendance!$B$3:$AY$3,0),attendees,COUNTIF(INDEX(Attendance!$B$7:$AY$206,0,att_offset),"1"),IF(ev_split="Equal Split",ev_cost/MAX(1,COUNTA(Roster!$A$5:$A$204)),ev_cost/MAX(1,attendees))),"N/A"))</f>
        <v/>
      </c>
    </row>
    <row r="761" ht="20" customHeight="1">
      <c r="A761" s="16" t="n"/>
      <c r="B761" s="14" t="n"/>
      <c r="C761" s="14" t="n"/>
      <c r="D761" s="14" t="n"/>
      <c r="E761" s="14" t="n"/>
      <c r="F761" s="17" t="n"/>
      <c r="G761" s="14" t="n"/>
      <c r="H761" s="14" t="n"/>
      <c r="I761" s="14" t="n"/>
      <c r="J761" s="108">
        <f>IF(G761="","",IFERROR(LET(ev_cost,INDEX(Events!$G$5:$G$505,MATCH(G761,Events!$A$5:$A$505,0)),ev_split,INDEX(Events!$I$5:$I$505,MATCH(G761,Events!$A$5:$A$505,0)),att_offset,MATCH(G761,Attendance!$B$3:$AY$3,0),attendees,COUNTIF(INDEX(Attendance!$B$7:$AY$206,0,att_offset),"1"),IF(ev_split="Equal Split",ev_cost/MAX(1,COUNTA(Roster!$A$5:$A$204)),ev_cost/MAX(1,attendees))),"N/A"))</f>
        <v/>
      </c>
    </row>
    <row r="762" ht="20" customHeight="1">
      <c r="A762" s="12" t="n"/>
      <c r="B762" s="10" t="n"/>
      <c r="C762" s="10" t="n"/>
      <c r="D762" s="10" t="n"/>
      <c r="E762" s="10" t="n"/>
      <c r="F762" s="13" t="n"/>
      <c r="G762" s="10" t="n"/>
      <c r="H762" s="10" t="n"/>
      <c r="I762" s="10" t="n"/>
      <c r="J762" s="108">
        <f>IF(G762="","",IFERROR(LET(ev_cost,INDEX(Events!$G$5:$G$505,MATCH(G762,Events!$A$5:$A$505,0)),ev_split,INDEX(Events!$I$5:$I$505,MATCH(G762,Events!$A$5:$A$505,0)),att_offset,MATCH(G762,Attendance!$B$3:$AY$3,0),attendees,COUNTIF(INDEX(Attendance!$B$7:$AY$206,0,att_offset),"1"),IF(ev_split="Equal Split",ev_cost/MAX(1,COUNTA(Roster!$A$5:$A$204)),ev_cost/MAX(1,attendees))),"N/A"))</f>
        <v/>
      </c>
    </row>
    <row r="763" ht="20" customHeight="1">
      <c r="A763" s="16" t="n"/>
      <c r="B763" s="14" t="n"/>
      <c r="C763" s="14" t="n"/>
      <c r="D763" s="14" t="n"/>
      <c r="E763" s="14" t="n"/>
      <c r="F763" s="17" t="n"/>
      <c r="G763" s="14" t="n"/>
      <c r="H763" s="14" t="n"/>
      <c r="I763" s="14" t="n"/>
      <c r="J763" s="108">
        <f>IF(G763="","",IFERROR(LET(ev_cost,INDEX(Events!$G$5:$G$505,MATCH(G763,Events!$A$5:$A$505,0)),ev_split,INDEX(Events!$I$5:$I$505,MATCH(G763,Events!$A$5:$A$505,0)),att_offset,MATCH(G763,Attendance!$B$3:$AY$3,0),attendees,COUNTIF(INDEX(Attendance!$B$7:$AY$206,0,att_offset),"1"),IF(ev_split="Equal Split",ev_cost/MAX(1,COUNTA(Roster!$A$5:$A$204)),ev_cost/MAX(1,attendees))),"N/A"))</f>
        <v/>
      </c>
    </row>
    <row r="764" ht="20" customHeight="1">
      <c r="A764" s="12" t="n"/>
      <c r="B764" s="10" t="n"/>
      <c r="C764" s="10" t="n"/>
      <c r="D764" s="10" t="n"/>
      <c r="E764" s="10" t="n"/>
      <c r="F764" s="13" t="n"/>
      <c r="G764" s="10" t="n"/>
      <c r="H764" s="10" t="n"/>
      <c r="I764" s="10" t="n"/>
      <c r="J764" s="108">
        <f>IF(G764="","",IFERROR(LET(ev_cost,INDEX(Events!$G$5:$G$505,MATCH(G764,Events!$A$5:$A$505,0)),ev_split,INDEX(Events!$I$5:$I$505,MATCH(G764,Events!$A$5:$A$505,0)),att_offset,MATCH(G764,Attendance!$B$3:$AY$3,0),attendees,COUNTIF(INDEX(Attendance!$B$7:$AY$206,0,att_offset),"1"),IF(ev_split="Equal Split",ev_cost/MAX(1,COUNTA(Roster!$A$5:$A$204)),ev_cost/MAX(1,attendees))),"N/A"))</f>
        <v/>
      </c>
    </row>
    <row r="765" ht="20" customHeight="1">
      <c r="A765" s="16" t="n"/>
      <c r="B765" s="14" t="n"/>
      <c r="C765" s="14" t="n"/>
      <c r="D765" s="14" t="n"/>
      <c r="E765" s="14" t="n"/>
      <c r="F765" s="17" t="n"/>
      <c r="G765" s="14" t="n"/>
      <c r="H765" s="14" t="n"/>
      <c r="I765" s="14" t="n"/>
      <c r="J765" s="108">
        <f>IF(G765="","",IFERROR(LET(ev_cost,INDEX(Events!$G$5:$G$505,MATCH(G765,Events!$A$5:$A$505,0)),ev_split,INDEX(Events!$I$5:$I$505,MATCH(G765,Events!$A$5:$A$505,0)),att_offset,MATCH(G765,Attendance!$B$3:$AY$3,0),attendees,COUNTIF(INDEX(Attendance!$B$7:$AY$206,0,att_offset),"1"),IF(ev_split="Equal Split",ev_cost/MAX(1,COUNTA(Roster!$A$5:$A$204)),ev_cost/MAX(1,attendees))),"N/A"))</f>
        <v/>
      </c>
    </row>
    <row r="766" ht="20" customHeight="1">
      <c r="A766" s="12" t="n"/>
      <c r="B766" s="10" t="n"/>
      <c r="C766" s="10" t="n"/>
      <c r="D766" s="10" t="n"/>
      <c r="E766" s="10" t="n"/>
      <c r="F766" s="13" t="n"/>
      <c r="G766" s="10" t="n"/>
      <c r="H766" s="10" t="n"/>
      <c r="I766" s="10" t="n"/>
      <c r="J766" s="108">
        <f>IF(G766="","",IFERROR(LET(ev_cost,INDEX(Events!$G$5:$G$505,MATCH(G766,Events!$A$5:$A$505,0)),ev_split,INDEX(Events!$I$5:$I$505,MATCH(G766,Events!$A$5:$A$505,0)),att_offset,MATCH(G766,Attendance!$B$3:$AY$3,0),attendees,COUNTIF(INDEX(Attendance!$B$7:$AY$206,0,att_offset),"1"),IF(ev_split="Equal Split",ev_cost/MAX(1,COUNTA(Roster!$A$5:$A$204)),ev_cost/MAX(1,attendees))),"N/A"))</f>
        <v/>
      </c>
    </row>
    <row r="767" ht="20" customHeight="1">
      <c r="A767" s="16" t="n"/>
      <c r="B767" s="14" t="n"/>
      <c r="C767" s="14" t="n"/>
      <c r="D767" s="14" t="n"/>
      <c r="E767" s="14" t="n"/>
      <c r="F767" s="17" t="n"/>
      <c r="G767" s="14" t="n"/>
      <c r="H767" s="14" t="n"/>
      <c r="I767" s="14" t="n"/>
      <c r="J767" s="108">
        <f>IF(G767="","",IFERROR(LET(ev_cost,INDEX(Events!$G$5:$G$505,MATCH(G767,Events!$A$5:$A$505,0)),ev_split,INDEX(Events!$I$5:$I$505,MATCH(G767,Events!$A$5:$A$505,0)),att_offset,MATCH(G767,Attendance!$B$3:$AY$3,0),attendees,COUNTIF(INDEX(Attendance!$B$7:$AY$206,0,att_offset),"1"),IF(ev_split="Equal Split",ev_cost/MAX(1,COUNTA(Roster!$A$5:$A$204)),ev_cost/MAX(1,attendees))),"N/A"))</f>
        <v/>
      </c>
    </row>
    <row r="768" ht="20" customHeight="1">
      <c r="A768" s="12" t="n"/>
      <c r="B768" s="10" t="n"/>
      <c r="C768" s="10" t="n"/>
      <c r="D768" s="10" t="n"/>
      <c r="E768" s="10" t="n"/>
      <c r="F768" s="13" t="n"/>
      <c r="G768" s="10" t="n"/>
      <c r="H768" s="10" t="n"/>
      <c r="I768" s="10" t="n"/>
      <c r="J768" s="108">
        <f>IF(G768="","",IFERROR(LET(ev_cost,INDEX(Events!$G$5:$G$505,MATCH(G768,Events!$A$5:$A$505,0)),ev_split,INDEX(Events!$I$5:$I$505,MATCH(G768,Events!$A$5:$A$505,0)),att_offset,MATCH(G768,Attendance!$B$3:$AY$3,0),attendees,COUNTIF(INDEX(Attendance!$B$7:$AY$206,0,att_offset),"1"),IF(ev_split="Equal Split",ev_cost/MAX(1,COUNTA(Roster!$A$5:$A$204)),ev_cost/MAX(1,attendees))),"N/A"))</f>
        <v/>
      </c>
    </row>
    <row r="769" ht="20" customHeight="1">
      <c r="A769" s="16" t="n"/>
      <c r="B769" s="14" t="n"/>
      <c r="C769" s="14" t="n"/>
      <c r="D769" s="14" t="n"/>
      <c r="E769" s="14" t="n"/>
      <c r="F769" s="17" t="n"/>
      <c r="G769" s="14" t="n"/>
      <c r="H769" s="14" t="n"/>
      <c r="I769" s="14" t="n"/>
      <c r="J769" s="108">
        <f>IF(G769="","",IFERROR(LET(ev_cost,INDEX(Events!$G$5:$G$505,MATCH(G769,Events!$A$5:$A$505,0)),ev_split,INDEX(Events!$I$5:$I$505,MATCH(G769,Events!$A$5:$A$505,0)),att_offset,MATCH(G769,Attendance!$B$3:$AY$3,0),attendees,COUNTIF(INDEX(Attendance!$B$7:$AY$206,0,att_offset),"1"),IF(ev_split="Equal Split",ev_cost/MAX(1,COUNTA(Roster!$A$5:$A$204)),ev_cost/MAX(1,attendees))),"N/A"))</f>
        <v/>
      </c>
    </row>
    <row r="770" ht="20" customHeight="1">
      <c r="A770" s="12" t="n"/>
      <c r="B770" s="10" t="n"/>
      <c r="C770" s="10" t="n"/>
      <c r="D770" s="10" t="n"/>
      <c r="E770" s="10" t="n"/>
      <c r="F770" s="13" t="n"/>
      <c r="G770" s="10" t="n"/>
      <c r="H770" s="10" t="n"/>
      <c r="I770" s="10" t="n"/>
      <c r="J770" s="108">
        <f>IF(G770="","",IFERROR(LET(ev_cost,INDEX(Events!$G$5:$G$505,MATCH(G770,Events!$A$5:$A$505,0)),ev_split,INDEX(Events!$I$5:$I$505,MATCH(G770,Events!$A$5:$A$505,0)),att_offset,MATCH(G770,Attendance!$B$3:$AY$3,0),attendees,COUNTIF(INDEX(Attendance!$B$7:$AY$206,0,att_offset),"1"),IF(ev_split="Equal Split",ev_cost/MAX(1,COUNTA(Roster!$A$5:$A$204)),ev_cost/MAX(1,attendees))),"N/A"))</f>
        <v/>
      </c>
    </row>
    <row r="771" ht="20" customHeight="1">
      <c r="A771" s="16" t="n"/>
      <c r="B771" s="14" t="n"/>
      <c r="C771" s="14" t="n"/>
      <c r="D771" s="14" t="n"/>
      <c r="E771" s="14" t="n"/>
      <c r="F771" s="17" t="n"/>
      <c r="G771" s="14" t="n"/>
      <c r="H771" s="14" t="n"/>
      <c r="I771" s="14" t="n"/>
      <c r="J771" s="108">
        <f>IF(G771="","",IFERROR(LET(ev_cost,INDEX(Events!$G$5:$G$505,MATCH(G771,Events!$A$5:$A$505,0)),ev_split,INDEX(Events!$I$5:$I$505,MATCH(G771,Events!$A$5:$A$505,0)),att_offset,MATCH(G771,Attendance!$B$3:$AY$3,0),attendees,COUNTIF(INDEX(Attendance!$B$7:$AY$206,0,att_offset),"1"),IF(ev_split="Equal Split",ev_cost/MAX(1,COUNTA(Roster!$A$5:$A$204)),ev_cost/MAX(1,attendees))),"N/A"))</f>
        <v/>
      </c>
    </row>
    <row r="772" ht="20" customHeight="1">
      <c r="A772" s="12" t="n"/>
      <c r="B772" s="10" t="n"/>
      <c r="C772" s="10" t="n"/>
      <c r="D772" s="10" t="n"/>
      <c r="E772" s="10" t="n"/>
      <c r="F772" s="13" t="n"/>
      <c r="G772" s="10" t="n"/>
      <c r="H772" s="10" t="n"/>
      <c r="I772" s="10" t="n"/>
      <c r="J772" s="108">
        <f>IF(G772="","",IFERROR(LET(ev_cost,INDEX(Events!$G$5:$G$505,MATCH(G772,Events!$A$5:$A$505,0)),ev_split,INDEX(Events!$I$5:$I$505,MATCH(G772,Events!$A$5:$A$505,0)),att_offset,MATCH(G772,Attendance!$B$3:$AY$3,0),attendees,COUNTIF(INDEX(Attendance!$B$7:$AY$206,0,att_offset),"1"),IF(ev_split="Equal Split",ev_cost/MAX(1,COUNTA(Roster!$A$5:$A$204)),ev_cost/MAX(1,attendees))),"N/A"))</f>
        <v/>
      </c>
    </row>
    <row r="773" ht="20" customHeight="1">
      <c r="A773" s="16" t="n"/>
      <c r="B773" s="14" t="n"/>
      <c r="C773" s="14" t="n"/>
      <c r="D773" s="14" t="n"/>
      <c r="E773" s="14" t="n"/>
      <c r="F773" s="17" t="n"/>
      <c r="G773" s="14" t="n"/>
      <c r="H773" s="14" t="n"/>
      <c r="I773" s="14" t="n"/>
      <c r="J773" s="108">
        <f>IF(G773="","",IFERROR(LET(ev_cost,INDEX(Events!$G$5:$G$505,MATCH(G773,Events!$A$5:$A$505,0)),ev_split,INDEX(Events!$I$5:$I$505,MATCH(G773,Events!$A$5:$A$505,0)),att_offset,MATCH(G773,Attendance!$B$3:$AY$3,0),attendees,COUNTIF(INDEX(Attendance!$B$7:$AY$206,0,att_offset),"1"),IF(ev_split="Equal Split",ev_cost/MAX(1,COUNTA(Roster!$A$5:$A$204)),ev_cost/MAX(1,attendees))),"N/A"))</f>
        <v/>
      </c>
    </row>
    <row r="774" ht="20" customHeight="1">
      <c r="A774" s="12" t="n"/>
      <c r="B774" s="10" t="n"/>
      <c r="C774" s="10" t="n"/>
      <c r="D774" s="10" t="n"/>
      <c r="E774" s="10" t="n"/>
      <c r="F774" s="13" t="n"/>
      <c r="G774" s="10" t="n"/>
      <c r="H774" s="10" t="n"/>
      <c r="I774" s="10" t="n"/>
      <c r="J774" s="108">
        <f>IF(G774="","",IFERROR(LET(ev_cost,INDEX(Events!$G$5:$G$505,MATCH(G774,Events!$A$5:$A$505,0)),ev_split,INDEX(Events!$I$5:$I$505,MATCH(G774,Events!$A$5:$A$505,0)),att_offset,MATCH(G774,Attendance!$B$3:$AY$3,0),attendees,COUNTIF(INDEX(Attendance!$B$7:$AY$206,0,att_offset),"1"),IF(ev_split="Equal Split",ev_cost/MAX(1,COUNTA(Roster!$A$5:$A$204)),ev_cost/MAX(1,attendees))),"N/A"))</f>
        <v/>
      </c>
    </row>
    <row r="775" ht="20" customHeight="1">
      <c r="A775" s="16" t="n"/>
      <c r="B775" s="14" t="n"/>
      <c r="C775" s="14" t="n"/>
      <c r="D775" s="14" t="n"/>
      <c r="E775" s="14" t="n"/>
      <c r="F775" s="17" t="n"/>
      <c r="G775" s="14" t="n"/>
      <c r="H775" s="14" t="n"/>
      <c r="I775" s="14" t="n"/>
      <c r="J775" s="108">
        <f>IF(G775="","",IFERROR(LET(ev_cost,INDEX(Events!$G$5:$G$505,MATCH(G775,Events!$A$5:$A$505,0)),ev_split,INDEX(Events!$I$5:$I$505,MATCH(G775,Events!$A$5:$A$505,0)),att_offset,MATCH(G775,Attendance!$B$3:$AY$3,0),attendees,COUNTIF(INDEX(Attendance!$B$7:$AY$206,0,att_offset),"1"),IF(ev_split="Equal Split",ev_cost/MAX(1,COUNTA(Roster!$A$5:$A$204)),ev_cost/MAX(1,attendees))),"N/A"))</f>
        <v/>
      </c>
    </row>
    <row r="776" ht="20" customHeight="1">
      <c r="A776" s="12" t="n"/>
      <c r="B776" s="10" t="n"/>
      <c r="C776" s="10" t="n"/>
      <c r="D776" s="10" t="n"/>
      <c r="E776" s="10" t="n"/>
      <c r="F776" s="13" t="n"/>
      <c r="G776" s="10" t="n"/>
      <c r="H776" s="10" t="n"/>
      <c r="I776" s="10" t="n"/>
      <c r="J776" s="108">
        <f>IF(G776="","",IFERROR(LET(ev_cost,INDEX(Events!$G$5:$G$505,MATCH(G776,Events!$A$5:$A$505,0)),ev_split,INDEX(Events!$I$5:$I$505,MATCH(G776,Events!$A$5:$A$505,0)),att_offset,MATCH(G776,Attendance!$B$3:$AY$3,0),attendees,COUNTIF(INDEX(Attendance!$B$7:$AY$206,0,att_offset),"1"),IF(ev_split="Equal Split",ev_cost/MAX(1,COUNTA(Roster!$A$5:$A$204)),ev_cost/MAX(1,attendees))),"N/A"))</f>
        <v/>
      </c>
    </row>
    <row r="777" ht="20" customHeight="1">
      <c r="A777" s="16" t="n"/>
      <c r="B777" s="14" t="n"/>
      <c r="C777" s="14" t="n"/>
      <c r="D777" s="14" t="n"/>
      <c r="E777" s="14" t="n"/>
      <c r="F777" s="17" t="n"/>
      <c r="G777" s="14" t="n"/>
      <c r="H777" s="14" t="n"/>
      <c r="I777" s="14" t="n"/>
      <c r="J777" s="108">
        <f>IF(G777="","",IFERROR(LET(ev_cost,INDEX(Events!$G$5:$G$505,MATCH(G777,Events!$A$5:$A$505,0)),ev_split,INDEX(Events!$I$5:$I$505,MATCH(G777,Events!$A$5:$A$505,0)),att_offset,MATCH(G777,Attendance!$B$3:$AY$3,0),attendees,COUNTIF(INDEX(Attendance!$B$7:$AY$206,0,att_offset),"1"),IF(ev_split="Equal Split",ev_cost/MAX(1,COUNTA(Roster!$A$5:$A$204)),ev_cost/MAX(1,attendees))),"N/A"))</f>
        <v/>
      </c>
    </row>
    <row r="778" ht="20" customHeight="1">
      <c r="A778" s="12" t="n"/>
      <c r="B778" s="10" t="n"/>
      <c r="C778" s="10" t="n"/>
      <c r="D778" s="10" t="n"/>
      <c r="E778" s="10" t="n"/>
      <c r="F778" s="13" t="n"/>
      <c r="G778" s="10" t="n"/>
      <c r="H778" s="10" t="n"/>
      <c r="I778" s="10" t="n"/>
      <c r="J778" s="108">
        <f>IF(G778="","",IFERROR(LET(ev_cost,INDEX(Events!$G$5:$G$505,MATCH(G778,Events!$A$5:$A$505,0)),ev_split,INDEX(Events!$I$5:$I$505,MATCH(G778,Events!$A$5:$A$505,0)),att_offset,MATCH(G778,Attendance!$B$3:$AY$3,0),attendees,COUNTIF(INDEX(Attendance!$B$7:$AY$206,0,att_offset),"1"),IF(ev_split="Equal Split",ev_cost/MAX(1,COUNTA(Roster!$A$5:$A$204)),ev_cost/MAX(1,attendees))),"N/A"))</f>
        <v/>
      </c>
    </row>
    <row r="779" ht="20" customHeight="1">
      <c r="A779" s="16" t="n"/>
      <c r="B779" s="14" t="n"/>
      <c r="C779" s="14" t="n"/>
      <c r="D779" s="14" t="n"/>
      <c r="E779" s="14" t="n"/>
      <c r="F779" s="17" t="n"/>
      <c r="G779" s="14" t="n"/>
      <c r="H779" s="14" t="n"/>
      <c r="I779" s="14" t="n"/>
      <c r="J779" s="108">
        <f>IF(G779="","",IFERROR(LET(ev_cost,INDEX(Events!$G$5:$G$505,MATCH(G779,Events!$A$5:$A$505,0)),ev_split,INDEX(Events!$I$5:$I$505,MATCH(G779,Events!$A$5:$A$505,0)),att_offset,MATCH(G779,Attendance!$B$3:$AY$3,0),attendees,COUNTIF(INDEX(Attendance!$B$7:$AY$206,0,att_offset),"1"),IF(ev_split="Equal Split",ev_cost/MAX(1,COUNTA(Roster!$A$5:$A$204)),ev_cost/MAX(1,attendees))),"N/A"))</f>
        <v/>
      </c>
    </row>
    <row r="780" ht="20" customHeight="1">
      <c r="A780" s="12" t="n"/>
      <c r="B780" s="10" t="n"/>
      <c r="C780" s="10" t="n"/>
      <c r="D780" s="10" t="n"/>
      <c r="E780" s="10" t="n"/>
      <c r="F780" s="13" t="n"/>
      <c r="G780" s="10" t="n"/>
      <c r="H780" s="10" t="n"/>
      <c r="I780" s="10" t="n"/>
      <c r="J780" s="108">
        <f>IF(G780="","",IFERROR(LET(ev_cost,INDEX(Events!$G$5:$G$505,MATCH(G780,Events!$A$5:$A$505,0)),ev_split,INDEX(Events!$I$5:$I$505,MATCH(G780,Events!$A$5:$A$505,0)),att_offset,MATCH(G780,Attendance!$B$3:$AY$3,0),attendees,COUNTIF(INDEX(Attendance!$B$7:$AY$206,0,att_offset),"1"),IF(ev_split="Equal Split",ev_cost/MAX(1,COUNTA(Roster!$A$5:$A$204)),ev_cost/MAX(1,attendees))),"N/A"))</f>
        <v/>
      </c>
    </row>
    <row r="781" ht="20" customHeight="1">
      <c r="A781" s="16" t="n"/>
      <c r="B781" s="14" t="n"/>
      <c r="C781" s="14" t="n"/>
      <c r="D781" s="14" t="n"/>
      <c r="E781" s="14" t="n"/>
      <c r="F781" s="17" t="n"/>
      <c r="G781" s="14" t="n"/>
      <c r="H781" s="14" t="n"/>
      <c r="I781" s="14" t="n"/>
      <c r="J781" s="108">
        <f>IF(G781="","",IFERROR(LET(ev_cost,INDEX(Events!$G$5:$G$505,MATCH(G781,Events!$A$5:$A$505,0)),ev_split,INDEX(Events!$I$5:$I$505,MATCH(G781,Events!$A$5:$A$505,0)),att_offset,MATCH(G781,Attendance!$B$3:$AY$3,0),attendees,COUNTIF(INDEX(Attendance!$B$7:$AY$206,0,att_offset),"1"),IF(ev_split="Equal Split",ev_cost/MAX(1,COUNTA(Roster!$A$5:$A$204)),ev_cost/MAX(1,attendees))),"N/A"))</f>
        <v/>
      </c>
    </row>
    <row r="782" ht="20" customHeight="1">
      <c r="A782" s="12" t="n"/>
      <c r="B782" s="10" t="n"/>
      <c r="C782" s="10" t="n"/>
      <c r="D782" s="10" t="n"/>
      <c r="E782" s="10" t="n"/>
      <c r="F782" s="13" t="n"/>
      <c r="G782" s="10" t="n"/>
      <c r="H782" s="10" t="n"/>
      <c r="I782" s="10" t="n"/>
      <c r="J782" s="108">
        <f>IF(G782="","",IFERROR(LET(ev_cost,INDEX(Events!$G$5:$G$505,MATCH(G782,Events!$A$5:$A$505,0)),ev_split,INDEX(Events!$I$5:$I$505,MATCH(G782,Events!$A$5:$A$505,0)),att_offset,MATCH(G782,Attendance!$B$3:$AY$3,0),attendees,COUNTIF(INDEX(Attendance!$B$7:$AY$206,0,att_offset),"1"),IF(ev_split="Equal Split",ev_cost/MAX(1,COUNTA(Roster!$A$5:$A$204)),ev_cost/MAX(1,attendees))),"N/A"))</f>
        <v/>
      </c>
    </row>
    <row r="783" ht="20" customHeight="1">
      <c r="A783" s="16" t="n"/>
      <c r="B783" s="14" t="n"/>
      <c r="C783" s="14" t="n"/>
      <c r="D783" s="14" t="n"/>
      <c r="E783" s="14" t="n"/>
      <c r="F783" s="17" t="n"/>
      <c r="G783" s="14" t="n"/>
      <c r="H783" s="14" t="n"/>
      <c r="I783" s="14" t="n"/>
      <c r="J783" s="108">
        <f>IF(G783="","",IFERROR(LET(ev_cost,INDEX(Events!$G$5:$G$505,MATCH(G783,Events!$A$5:$A$505,0)),ev_split,INDEX(Events!$I$5:$I$505,MATCH(G783,Events!$A$5:$A$505,0)),att_offset,MATCH(G783,Attendance!$B$3:$AY$3,0),attendees,COUNTIF(INDEX(Attendance!$B$7:$AY$206,0,att_offset),"1"),IF(ev_split="Equal Split",ev_cost/MAX(1,COUNTA(Roster!$A$5:$A$204)),ev_cost/MAX(1,attendees))),"N/A"))</f>
        <v/>
      </c>
    </row>
    <row r="784" ht="20" customHeight="1">
      <c r="A784" s="12" t="n"/>
      <c r="B784" s="10" t="n"/>
      <c r="C784" s="10" t="n"/>
      <c r="D784" s="10" t="n"/>
      <c r="E784" s="10" t="n"/>
      <c r="F784" s="13" t="n"/>
      <c r="G784" s="10" t="n"/>
      <c r="H784" s="10" t="n"/>
      <c r="I784" s="10" t="n"/>
      <c r="J784" s="108">
        <f>IF(G784="","",IFERROR(LET(ev_cost,INDEX(Events!$G$5:$G$505,MATCH(G784,Events!$A$5:$A$505,0)),ev_split,INDEX(Events!$I$5:$I$505,MATCH(G784,Events!$A$5:$A$505,0)),att_offset,MATCH(G784,Attendance!$B$3:$AY$3,0),attendees,COUNTIF(INDEX(Attendance!$B$7:$AY$206,0,att_offset),"1"),IF(ev_split="Equal Split",ev_cost/MAX(1,COUNTA(Roster!$A$5:$A$204)),ev_cost/MAX(1,attendees))),"N/A"))</f>
        <v/>
      </c>
    </row>
    <row r="785" ht="20" customHeight="1">
      <c r="A785" s="16" t="n"/>
      <c r="B785" s="14" t="n"/>
      <c r="C785" s="14" t="n"/>
      <c r="D785" s="14" t="n"/>
      <c r="E785" s="14" t="n"/>
      <c r="F785" s="17" t="n"/>
      <c r="G785" s="14" t="n"/>
      <c r="H785" s="14" t="n"/>
      <c r="I785" s="14" t="n"/>
      <c r="J785" s="108">
        <f>IF(G785="","",IFERROR(LET(ev_cost,INDEX(Events!$G$5:$G$505,MATCH(G785,Events!$A$5:$A$505,0)),ev_split,INDEX(Events!$I$5:$I$505,MATCH(G785,Events!$A$5:$A$505,0)),att_offset,MATCH(G785,Attendance!$B$3:$AY$3,0),attendees,COUNTIF(INDEX(Attendance!$B$7:$AY$206,0,att_offset),"1"),IF(ev_split="Equal Split",ev_cost/MAX(1,COUNTA(Roster!$A$5:$A$204)),ev_cost/MAX(1,attendees))),"N/A"))</f>
        <v/>
      </c>
    </row>
    <row r="786" ht="20" customHeight="1">
      <c r="A786" s="12" t="n"/>
      <c r="B786" s="10" t="n"/>
      <c r="C786" s="10" t="n"/>
      <c r="D786" s="10" t="n"/>
      <c r="E786" s="10" t="n"/>
      <c r="F786" s="13" t="n"/>
      <c r="G786" s="10" t="n"/>
      <c r="H786" s="10" t="n"/>
      <c r="I786" s="10" t="n"/>
      <c r="J786" s="108">
        <f>IF(G786="","",IFERROR(LET(ev_cost,INDEX(Events!$G$5:$G$505,MATCH(G786,Events!$A$5:$A$505,0)),ev_split,INDEX(Events!$I$5:$I$505,MATCH(G786,Events!$A$5:$A$505,0)),att_offset,MATCH(G786,Attendance!$B$3:$AY$3,0),attendees,COUNTIF(INDEX(Attendance!$B$7:$AY$206,0,att_offset),"1"),IF(ev_split="Equal Split",ev_cost/MAX(1,COUNTA(Roster!$A$5:$A$204)),ev_cost/MAX(1,attendees))),"N/A"))</f>
        <v/>
      </c>
    </row>
    <row r="787" ht="20" customHeight="1">
      <c r="A787" s="16" t="n"/>
      <c r="B787" s="14" t="n"/>
      <c r="C787" s="14" t="n"/>
      <c r="D787" s="14" t="n"/>
      <c r="E787" s="14" t="n"/>
      <c r="F787" s="17" t="n"/>
      <c r="G787" s="14" t="n"/>
      <c r="H787" s="14" t="n"/>
      <c r="I787" s="14" t="n"/>
      <c r="J787" s="108">
        <f>IF(G787="","",IFERROR(LET(ev_cost,INDEX(Events!$G$5:$G$505,MATCH(G787,Events!$A$5:$A$505,0)),ev_split,INDEX(Events!$I$5:$I$505,MATCH(G787,Events!$A$5:$A$505,0)),att_offset,MATCH(G787,Attendance!$B$3:$AY$3,0),attendees,COUNTIF(INDEX(Attendance!$B$7:$AY$206,0,att_offset),"1"),IF(ev_split="Equal Split",ev_cost/MAX(1,COUNTA(Roster!$A$5:$A$204)),ev_cost/MAX(1,attendees))),"N/A"))</f>
        <v/>
      </c>
    </row>
    <row r="788" ht="20" customHeight="1">
      <c r="A788" s="12" t="n"/>
      <c r="B788" s="10" t="n"/>
      <c r="C788" s="10" t="n"/>
      <c r="D788" s="10" t="n"/>
      <c r="E788" s="10" t="n"/>
      <c r="F788" s="13" t="n"/>
      <c r="G788" s="10" t="n"/>
      <c r="H788" s="10" t="n"/>
      <c r="I788" s="10" t="n"/>
      <c r="J788" s="108">
        <f>IF(G788="","",IFERROR(LET(ev_cost,INDEX(Events!$G$5:$G$505,MATCH(G788,Events!$A$5:$A$505,0)),ev_split,INDEX(Events!$I$5:$I$505,MATCH(G788,Events!$A$5:$A$505,0)),att_offset,MATCH(G788,Attendance!$B$3:$AY$3,0),attendees,COUNTIF(INDEX(Attendance!$B$7:$AY$206,0,att_offset),"1"),IF(ev_split="Equal Split",ev_cost/MAX(1,COUNTA(Roster!$A$5:$A$204)),ev_cost/MAX(1,attendees))),"N/A"))</f>
        <v/>
      </c>
    </row>
    <row r="789" ht="20" customHeight="1">
      <c r="A789" s="16" t="n"/>
      <c r="B789" s="14" t="n"/>
      <c r="C789" s="14" t="n"/>
      <c r="D789" s="14" t="n"/>
      <c r="E789" s="14" t="n"/>
      <c r="F789" s="17" t="n"/>
      <c r="G789" s="14" t="n"/>
      <c r="H789" s="14" t="n"/>
      <c r="I789" s="14" t="n"/>
      <c r="J789" s="108">
        <f>IF(G789="","",IFERROR(LET(ev_cost,INDEX(Events!$G$5:$G$505,MATCH(G789,Events!$A$5:$A$505,0)),ev_split,INDEX(Events!$I$5:$I$505,MATCH(G789,Events!$A$5:$A$505,0)),att_offset,MATCH(G789,Attendance!$B$3:$AY$3,0),attendees,COUNTIF(INDEX(Attendance!$B$7:$AY$206,0,att_offset),"1"),IF(ev_split="Equal Split",ev_cost/MAX(1,COUNTA(Roster!$A$5:$A$204)),ev_cost/MAX(1,attendees))),"N/A"))</f>
        <v/>
      </c>
    </row>
    <row r="790" ht="20" customHeight="1">
      <c r="A790" s="12" t="n"/>
      <c r="B790" s="10" t="n"/>
      <c r="C790" s="10" t="n"/>
      <c r="D790" s="10" t="n"/>
      <c r="E790" s="10" t="n"/>
      <c r="F790" s="13" t="n"/>
      <c r="G790" s="10" t="n"/>
      <c r="H790" s="10" t="n"/>
      <c r="I790" s="10" t="n"/>
      <c r="J790" s="108">
        <f>IF(G790="","",IFERROR(LET(ev_cost,INDEX(Events!$G$5:$G$505,MATCH(G790,Events!$A$5:$A$505,0)),ev_split,INDEX(Events!$I$5:$I$505,MATCH(G790,Events!$A$5:$A$505,0)),att_offset,MATCH(G790,Attendance!$B$3:$AY$3,0),attendees,COUNTIF(INDEX(Attendance!$B$7:$AY$206,0,att_offset),"1"),IF(ev_split="Equal Split",ev_cost/MAX(1,COUNTA(Roster!$A$5:$A$204)),ev_cost/MAX(1,attendees))),"N/A"))</f>
        <v/>
      </c>
    </row>
    <row r="791" ht="20" customHeight="1">
      <c r="A791" s="16" t="n"/>
      <c r="B791" s="14" t="n"/>
      <c r="C791" s="14" t="n"/>
      <c r="D791" s="14" t="n"/>
      <c r="E791" s="14" t="n"/>
      <c r="F791" s="17" t="n"/>
      <c r="G791" s="14" t="n"/>
      <c r="H791" s="14" t="n"/>
      <c r="I791" s="14" t="n"/>
      <c r="J791" s="108">
        <f>IF(G791="","",IFERROR(LET(ev_cost,INDEX(Events!$G$5:$G$505,MATCH(G791,Events!$A$5:$A$505,0)),ev_split,INDEX(Events!$I$5:$I$505,MATCH(G791,Events!$A$5:$A$505,0)),att_offset,MATCH(G791,Attendance!$B$3:$AY$3,0),attendees,COUNTIF(INDEX(Attendance!$B$7:$AY$206,0,att_offset),"1"),IF(ev_split="Equal Split",ev_cost/MAX(1,COUNTA(Roster!$A$5:$A$204)),ev_cost/MAX(1,attendees))),"N/A"))</f>
        <v/>
      </c>
    </row>
    <row r="792" ht="20" customHeight="1">
      <c r="A792" s="12" t="n"/>
      <c r="B792" s="10" t="n"/>
      <c r="C792" s="10" t="n"/>
      <c r="D792" s="10" t="n"/>
      <c r="E792" s="10" t="n"/>
      <c r="F792" s="13" t="n"/>
      <c r="G792" s="10" t="n"/>
      <c r="H792" s="10" t="n"/>
      <c r="I792" s="10" t="n"/>
      <c r="J792" s="108">
        <f>IF(G792="","",IFERROR(LET(ev_cost,INDEX(Events!$G$5:$G$505,MATCH(G792,Events!$A$5:$A$505,0)),ev_split,INDEX(Events!$I$5:$I$505,MATCH(G792,Events!$A$5:$A$505,0)),att_offset,MATCH(G792,Attendance!$B$3:$AY$3,0),attendees,COUNTIF(INDEX(Attendance!$B$7:$AY$206,0,att_offset),"1"),IF(ev_split="Equal Split",ev_cost/MAX(1,COUNTA(Roster!$A$5:$A$204)),ev_cost/MAX(1,attendees))),"N/A"))</f>
        <v/>
      </c>
    </row>
    <row r="793" ht="20" customHeight="1">
      <c r="A793" s="16" t="n"/>
      <c r="B793" s="14" t="n"/>
      <c r="C793" s="14" t="n"/>
      <c r="D793" s="14" t="n"/>
      <c r="E793" s="14" t="n"/>
      <c r="F793" s="17" t="n"/>
      <c r="G793" s="14" t="n"/>
      <c r="H793" s="14" t="n"/>
      <c r="I793" s="14" t="n"/>
      <c r="J793" s="108">
        <f>IF(G793="","",IFERROR(LET(ev_cost,INDEX(Events!$G$5:$G$505,MATCH(G793,Events!$A$5:$A$505,0)),ev_split,INDEX(Events!$I$5:$I$505,MATCH(G793,Events!$A$5:$A$505,0)),att_offset,MATCH(G793,Attendance!$B$3:$AY$3,0),attendees,COUNTIF(INDEX(Attendance!$B$7:$AY$206,0,att_offset),"1"),IF(ev_split="Equal Split",ev_cost/MAX(1,COUNTA(Roster!$A$5:$A$204)),ev_cost/MAX(1,attendees))),"N/A"))</f>
        <v/>
      </c>
    </row>
    <row r="794" ht="20" customHeight="1">
      <c r="A794" s="12" t="n"/>
      <c r="B794" s="10" t="n"/>
      <c r="C794" s="10" t="n"/>
      <c r="D794" s="10" t="n"/>
      <c r="E794" s="10" t="n"/>
      <c r="F794" s="13" t="n"/>
      <c r="G794" s="10" t="n"/>
      <c r="H794" s="10" t="n"/>
      <c r="I794" s="10" t="n"/>
      <c r="J794" s="108">
        <f>IF(G794="","",IFERROR(LET(ev_cost,INDEX(Events!$G$5:$G$505,MATCH(G794,Events!$A$5:$A$505,0)),ev_split,INDEX(Events!$I$5:$I$505,MATCH(G794,Events!$A$5:$A$505,0)),att_offset,MATCH(G794,Attendance!$B$3:$AY$3,0),attendees,COUNTIF(INDEX(Attendance!$B$7:$AY$206,0,att_offset),"1"),IF(ev_split="Equal Split",ev_cost/MAX(1,COUNTA(Roster!$A$5:$A$204)),ev_cost/MAX(1,attendees))),"N/A"))</f>
        <v/>
      </c>
    </row>
    <row r="795" ht="20" customHeight="1">
      <c r="A795" s="16" t="n"/>
      <c r="B795" s="14" t="n"/>
      <c r="C795" s="14" t="n"/>
      <c r="D795" s="14" t="n"/>
      <c r="E795" s="14" t="n"/>
      <c r="F795" s="17" t="n"/>
      <c r="G795" s="14" t="n"/>
      <c r="H795" s="14" t="n"/>
      <c r="I795" s="14" t="n"/>
      <c r="J795" s="108">
        <f>IF(G795="","",IFERROR(LET(ev_cost,INDEX(Events!$G$5:$G$505,MATCH(G795,Events!$A$5:$A$505,0)),ev_split,INDEX(Events!$I$5:$I$505,MATCH(G795,Events!$A$5:$A$505,0)),att_offset,MATCH(G795,Attendance!$B$3:$AY$3,0),attendees,COUNTIF(INDEX(Attendance!$B$7:$AY$206,0,att_offset),"1"),IF(ev_split="Equal Split",ev_cost/MAX(1,COUNTA(Roster!$A$5:$A$204)),ev_cost/MAX(1,attendees))),"N/A"))</f>
        <v/>
      </c>
    </row>
    <row r="796" ht="20" customHeight="1">
      <c r="A796" s="12" t="n"/>
      <c r="B796" s="10" t="n"/>
      <c r="C796" s="10" t="n"/>
      <c r="D796" s="10" t="n"/>
      <c r="E796" s="10" t="n"/>
      <c r="F796" s="13" t="n"/>
      <c r="G796" s="10" t="n"/>
      <c r="H796" s="10" t="n"/>
      <c r="I796" s="10" t="n"/>
      <c r="J796" s="108">
        <f>IF(G796="","",IFERROR(LET(ev_cost,INDEX(Events!$G$5:$G$505,MATCH(G796,Events!$A$5:$A$505,0)),ev_split,INDEX(Events!$I$5:$I$505,MATCH(G796,Events!$A$5:$A$505,0)),att_offset,MATCH(G796,Attendance!$B$3:$AY$3,0),attendees,COUNTIF(INDEX(Attendance!$B$7:$AY$206,0,att_offset),"1"),IF(ev_split="Equal Split",ev_cost/MAX(1,COUNTA(Roster!$A$5:$A$204)),ev_cost/MAX(1,attendees))),"N/A"))</f>
        <v/>
      </c>
    </row>
    <row r="797" ht="20" customHeight="1">
      <c r="A797" s="16" t="n"/>
      <c r="B797" s="14" t="n"/>
      <c r="C797" s="14" t="n"/>
      <c r="D797" s="14" t="n"/>
      <c r="E797" s="14" t="n"/>
      <c r="F797" s="17" t="n"/>
      <c r="G797" s="14" t="n"/>
      <c r="H797" s="14" t="n"/>
      <c r="I797" s="14" t="n"/>
      <c r="J797" s="108">
        <f>IF(G797="","",IFERROR(LET(ev_cost,INDEX(Events!$G$5:$G$505,MATCH(G797,Events!$A$5:$A$505,0)),ev_split,INDEX(Events!$I$5:$I$505,MATCH(G797,Events!$A$5:$A$505,0)),att_offset,MATCH(G797,Attendance!$B$3:$AY$3,0),attendees,COUNTIF(INDEX(Attendance!$B$7:$AY$206,0,att_offset),"1"),IF(ev_split="Equal Split",ev_cost/MAX(1,COUNTA(Roster!$A$5:$A$204)),ev_cost/MAX(1,attendees))),"N/A"))</f>
        <v/>
      </c>
    </row>
    <row r="798" ht="20" customHeight="1">
      <c r="A798" s="12" t="n"/>
      <c r="B798" s="10" t="n"/>
      <c r="C798" s="10" t="n"/>
      <c r="D798" s="10" t="n"/>
      <c r="E798" s="10" t="n"/>
      <c r="F798" s="13" t="n"/>
      <c r="G798" s="10" t="n"/>
      <c r="H798" s="10" t="n"/>
      <c r="I798" s="10" t="n"/>
      <c r="J798" s="108">
        <f>IF(G798="","",IFERROR(LET(ev_cost,INDEX(Events!$G$5:$G$505,MATCH(G798,Events!$A$5:$A$505,0)),ev_split,INDEX(Events!$I$5:$I$505,MATCH(G798,Events!$A$5:$A$505,0)),att_offset,MATCH(G798,Attendance!$B$3:$AY$3,0),attendees,COUNTIF(INDEX(Attendance!$B$7:$AY$206,0,att_offset),"1"),IF(ev_split="Equal Split",ev_cost/MAX(1,COUNTA(Roster!$A$5:$A$204)),ev_cost/MAX(1,attendees))),"N/A"))</f>
        <v/>
      </c>
    </row>
    <row r="799" ht="20" customHeight="1">
      <c r="A799" s="16" t="n"/>
      <c r="B799" s="14" t="n"/>
      <c r="C799" s="14" t="n"/>
      <c r="D799" s="14" t="n"/>
      <c r="E799" s="14" t="n"/>
      <c r="F799" s="17" t="n"/>
      <c r="G799" s="14" t="n"/>
      <c r="H799" s="14" t="n"/>
      <c r="I799" s="14" t="n"/>
      <c r="J799" s="108">
        <f>IF(G799="","",IFERROR(LET(ev_cost,INDEX(Events!$G$5:$G$505,MATCH(G799,Events!$A$5:$A$505,0)),ev_split,INDEX(Events!$I$5:$I$505,MATCH(G799,Events!$A$5:$A$505,0)),att_offset,MATCH(G799,Attendance!$B$3:$AY$3,0),attendees,COUNTIF(INDEX(Attendance!$B$7:$AY$206,0,att_offset),"1"),IF(ev_split="Equal Split",ev_cost/MAX(1,COUNTA(Roster!$A$5:$A$204)),ev_cost/MAX(1,attendees))),"N/A"))</f>
        <v/>
      </c>
    </row>
    <row r="800" ht="20" customHeight="1">
      <c r="A800" s="12" t="n"/>
      <c r="B800" s="10" t="n"/>
      <c r="C800" s="10" t="n"/>
      <c r="D800" s="10" t="n"/>
      <c r="E800" s="10" t="n"/>
      <c r="F800" s="13" t="n"/>
      <c r="G800" s="10" t="n"/>
      <c r="H800" s="10" t="n"/>
      <c r="I800" s="10" t="n"/>
      <c r="J800" s="108">
        <f>IF(G800="","",IFERROR(LET(ev_cost,INDEX(Events!$G$5:$G$505,MATCH(G800,Events!$A$5:$A$505,0)),ev_split,INDEX(Events!$I$5:$I$505,MATCH(G800,Events!$A$5:$A$505,0)),att_offset,MATCH(G800,Attendance!$B$3:$AY$3,0),attendees,COUNTIF(INDEX(Attendance!$B$7:$AY$206,0,att_offset),"1"),IF(ev_split="Equal Split",ev_cost/MAX(1,COUNTA(Roster!$A$5:$A$204)),ev_cost/MAX(1,attendees))),"N/A"))</f>
        <v/>
      </c>
    </row>
    <row r="801" ht="20" customHeight="1">
      <c r="A801" s="16" t="n"/>
      <c r="B801" s="14" t="n"/>
      <c r="C801" s="14" t="n"/>
      <c r="D801" s="14" t="n"/>
      <c r="E801" s="14" t="n"/>
      <c r="F801" s="17" t="n"/>
      <c r="G801" s="14" t="n"/>
      <c r="H801" s="14" t="n"/>
      <c r="I801" s="14" t="n"/>
      <c r="J801" s="108">
        <f>IF(G801="","",IFERROR(LET(ev_cost,INDEX(Events!$G$5:$G$505,MATCH(G801,Events!$A$5:$A$505,0)),ev_split,INDEX(Events!$I$5:$I$505,MATCH(G801,Events!$A$5:$A$505,0)),att_offset,MATCH(G801,Attendance!$B$3:$AY$3,0),attendees,COUNTIF(INDEX(Attendance!$B$7:$AY$206,0,att_offset),"1"),IF(ev_split="Equal Split",ev_cost/MAX(1,COUNTA(Roster!$A$5:$A$204)),ev_cost/MAX(1,attendees))),"N/A"))</f>
        <v/>
      </c>
    </row>
    <row r="802" ht="20" customHeight="1">
      <c r="A802" s="12" t="n"/>
      <c r="B802" s="10" t="n"/>
      <c r="C802" s="10" t="n"/>
      <c r="D802" s="10" t="n"/>
      <c r="E802" s="10" t="n"/>
      <c r="F802" s="13" t="n"/>
      <c r="G802" s="10" t="n"/>
      <c r="H802" s="10" t="n"/>
      <c r="I802" s="10" t="n"/>
      <c r="J802" s="108">
        <f>IF(G802="","",IFERROR(LET(ev_cost,INDEX(Events!$G$5:$G$505,MATCH(G802,Events!$A$5:$A$505,0)),ev_split,INDEX(Events!$I$5:$I$505,MATCH(G802,Events!$A$5:$A$505,0)),att_offset,MATCH(G802,Attendance!$B$3:$AY$3,0),attendees,COUNTIF(INDEX(Attendance!$B$7:$AY$206,0,att_offset),"1"),IF(ev_split="Equal Split",ev_cost/MAX(1,COUNTA(Roster!$A$5:$A$204)),ev_cost/MAX(1,attendees))),"N/A"))</f>
        <v/>
      </c>
    </row>
    <row r="803" ht="20" customHeight="1">
      <c r="A803" s="16" t="n"/>
      <c r="B803" s="14" t="n"/>
      <c r="C803" s="14" t="n"/>
      <c r="D803" s="14" t="n"/>
      <c r="E803" s="14" t="n"/>
      <c r="F803" s="17" t="n"/>
      <c r="G803" s="14" t="n"/>
      <c r="H803" s="14" t="n"/>
      <c r="I803" s="14" t="n"/>
      <c r="J803" s="108">
        <f>IF(G803="","",IFERROR(LET(ev_cost,INDEX(Events!$G$5:$G$505,MATCH(G803,Events!$A$5:$A$505,0)),ev_split,INDEX(Events!$I$5:$I$505,MATCH(G803,Events!$A$5:$A$505,0)),att_offset,MATCH(G803,Attendance!$B$3:$AY$3,0),attendees,COUNTIF(INDEX(Attendance!$B$7:$AY$206,0,att_offset),"1"),IF(ev_split="Equal Split",ev_cost/MAX(1,COUNTA(Roster!$A$5:$A$204)),ev_cost/MAX(1,attendees))),"N/A"))</f>
        <v/>
      </c>
    </row>
    <row r="804" ht="20" customHeight="1">
      <c r="A804" s="12" t="n"/>
      <c r="B804" s="10" t="n"/>
      <c r="C804" s="10" t="n"/>
      <c r="D804" s="10" t="n"/>
      <c r="E804" s="10" t="n"/>
      <c r="F804" s="13" t="n"/>
      <c r="G804" s="10" t="n"/>
      <c r="H804" s="10" t="n"/>
      <c r="I804" s="10" t="n"/>
      <c r="J804" s="108">
        <f>IF(G804="","",IFERROR(LET(ev_cost,INDEX(Events!$G$5:$G$505,MATCH(G804,Events!$A$5:$A$505,0)),ev_split,INDEX(Events!$I$5:$I$505,MATCH(G804,Events!$A$5:$A$505,0)),att_offset,MATCH(G804,Attendance!$B$3:$AY$3,0),attendees,COUNTIF(INDEX(Attendance!$B$7:$AY$206,0,att_offset),"1"),IF(ev_split="Equal Split",ev_cost/MAX(1,COUNTA(Roster!$A$5:$A$204)),ev_cost/MAX(1,attendees))),"N/A"))</f>
        <v/>
      </c>
    </row>
    <row r="805" ht="20" customHeight="1">
      <c r="A805" s="16" t="n"/>
      <c r="B805" s="14" t="n"/>
      <c r="C805" s="14" t="n"/>
      <c r="D805" s="14" t="n"/>
      <c r="E805" s="14" t="n"/>
      <c r="F805" s="17" t="n"/>
      <c r="G805" s="14" t="n"/>
      <c r="H805" s="14" t="n"/>
      <c r="I805" s="14" t="n"/>
      <c r="J805" s="108">
        <f>IF(G805="","",IFERROR(LET(ev_cost,INDEX(Events!$G$5:$G$505,MATCH(G805,Events!$A$5:$A$505,0)),ev_split,INDEX(Events!$I$5:$I$505,MATCH(G805,Events!$A$5:$A$505,0)),att_offset,MATCH(G805,Attendance!$B$3:$AY$3,0),attendees,COUNTIF(INDEX(Attendance!$B$7:$AY$206,0,att_offset),"1"),IF(ev_split="Equal Split",ev_cost/MAX(1,COUNTA(Roster!$A$5:$A$204)),ev_cost/MAX(1,attendees))),"N/A"))</f>
        <v/>
      </c>
    </row>
    <row r="806" ht="20" customHeight="1">
      <c r="A806" s="12" t="n"/>
      <c r="B806" s="10" t="n"/>
      <c r="C806" s="10" t="n"/>
      <c r="D806" s="10" t="n"/>
      <c r="E806" s="10" t="n"/>
      <c r="F806" s="13" t="n"/>
      <c r="G806" s="10" t="n"/>
      <c r="H806" s="10" t="n"/>
      <c r="I806" s="10" t="n"/>
      <c r="J806" s="108">
        <f>IF(G806="","",IFERROR(LET(ev_cost,INDEX(Events!$G$5:$G$505,MATCH(G806,Events!$A$5:$A$505,0)),ev_split,INDEX(Events!$I$5:$I$505,MATCH(G806,Events!$A$5:$A$505,0)),att_offset,MATCH(G806,Attendance!$B$3:$AY$3,0),attendees,COUNTIF(INDEX(Attendance!$B$7:$AY$206,0,att_offset),"1"),IF(ev_split="Equal Split",ev_cost/MAX(1,COUNTA(Roster!$A$5:$A$204)),ev_cost/MAX(1,attendees))),"N/A"))</f>
        <v/>
      </c>
    </row>
    <row r="807" ht="20" customHeight="1">
      <c r="A807" s="16" t="n"/>
      <c r="B807" s="14" t="n"/>
      <c r="C807" s="14" t="n"/>
      <c r="D807" s="14" t="n"/>
      <c r="E807" s="14" t="n"/>
      <c r="F807" s="17" t="n"/>
      <c r="G807" s="14" t="n"/>
      <c r="H807" s="14" t="n"/>
      <c r="I807" s="14" t="n"/>
      <c r="J807" s="108">
        <f>IF(G807="","",IFERROR(LET(ev_cost,INDEX(Events!$G$5:$G$505,MATCH(G807,Events!$A$5:$A$505,0)),ev_split,INDEX(Events!$I$5:$I$505,MATCH(G807,Events!$A$5:$A$505,0)),att_offset,MATCH(G807,Attendance!$B$3:$AY$3,0),attendees,COUNTIF(INDEX(Attendance!$B$7:$AY$206,0,att_offset),"1"),IF(ev_split="Equal Split",ev_cost/MAX(1,COUNTA(Roster!$A$5:$A$204)),ev_cost/MAX(1,attendees))),"N/A"))</f>
        <v/>
      </c>
    </row>
    <row r="808" ht="20" customHeight="1">
      <c r="A808" s="12" t="n"/>
      <c r="B808" s="10" t="n"/>
      <c r="C808" s="10" t="n"/>
      <c r="D808" s="10" t="n"/>
      <c r="E808" s="10" t="n"/>
      <c r="F808" s="13" t="n"/>
      <c r="G808" s="10" t="n"/>
      <c r="H808" s="10" t="n"/>
      <c r="I808" s="10" t="n"/>
      <c r="J808" s="108">
        <f>IF(G808="","",IFERROR(LET(ev_cost,INDEX(Events!$G$5:$G$505,MATCH(G808,Events!$A$5:$A$505,0)),ev_split,INDEX(Events!$I$5:$I$505,MATCH(G808,Events!$A$5:$A$505,0)),att_offset,MATCH(G808,Attendance!$B$3:$AY$3,0),attendees,COUNTIF(INDEX(Attendance!$B$7:$AY$206,0,att_offset),"1"),IF(ev_split="Equal Split",ev_cost/MAX(1,COUNTA(Roster!$A$5:$A$204)),ev_cost/MAX(1,attendees))),"N/A"))</f>
        <v/>
      </c>
    </row>
    <row r="809" ht="20" customHeight="1">
      <c r="A809" s="16" t="n"/>
      <c r="B809" s="14" t="n"/>
      <c r="C809" s="14" t="n"/>
      <c r="D809" s="14" t="n"/>
      <c r="E809" s="14" t="n"/>
      <c r="F809" s="17" t="n"/>
      <c r="G809" s="14" t="n"/>
      <c r="H809" s="14" t="n"/>
      <c r="I809" s="14" t="n"/>
      <c r="J809" s="108">
        <f>IF(G809="","",IFERROR(LET(ev_cost,INDEX(Events!$G$5:$G$505,MATCH(G809,Events!$A$5:$A$505,0)),ev_split,INDEX(Events!$I$5:$I$505,MATCH(G809,Events!$A$5:$A$505,0)),att_offset,MATCH(G809,Attendance!$B$3:$AY$3,0),attendees,COUNTIF(INDEX(Attendance!$B$7:$AY$206,0,att_offset),"1"),IF(ev_split="Equal Split",ev_cost/MAX(1,COUNTA(Roster!$A$5:$A$204)),ev_cost/MAX(1,attendees))),"N/A"))</f>
        <v/>
      </c>
    </row>
    <row r="810" ht="20" customHeight="1">
      <c r="A810" s="12" t="n"/>
      <c r="B810" s="10" t="n"/>
      <c r="C810" s="10" t="n"/>
      <c r="D810" s="10" t="n"/>
      <c r="E810" s="10" t="n"/>
      <c r="F810" s="13" t="n"/>
      <c r="G810" s="10" t="n"/>
      <c r="H810" s="10" t="n"/>
      <c r="I810" s="10" t="n"/>
      <c r="J810" s="108">
        <f>IF(G810="","",IFERROR(LET(ev_cost,INDEX(Events!$G$5:$G$505,MATCH(G810,Events!$A$5:$A$505,0)),ev_split,INDEX(Events!$I$5:$I$505,MATCH(G810,Events!$A$5:$A$505,0)),att_offset,MATCH(G810,Attendance!$B$3:$AY$3,0),attendees,COUNTIF(INDEX(Attendance!$B$7:$AY$206,0,att_offset),"1"),IF(ev_split="Equal Split",ev_cost/MAX(1,COUNTA(Roster!$A$5:$A$204)),ev_cost/MAX(1,attendees))),"N/A"))</f>
        <v/>
      </c>
    </row>
    <row r="811" ht="20" customHeight="1">
      <c r="A811" s="16" t="n"/>
      <c r="B811" s="14" t="n"/>
      <c r="C811" s="14" t="n"/>
      <c r="D811" s="14" t="n"/>
      <c r="E811" s="14" t="n"/>
      <c r="F811" s="17" t="n"/>
      <c r="G811" s="14" t="n"/>
      <c r="H811" s="14" t="n"/>
      <c r="I811" s="14" t="n"/>
      <c r="J811" s="108">
        <f>IF(G811="","",IFERROR(LET(ev_cost,INDEX(Events!$G$5:$G$505,MATCH(G811,Events!$A$5:$A$505,0)),ev_split,INDEX(Events!$I$5:$I$505,MATCH(G811,Events!$A$5:$A$505,0)),att_offset,MATCH(G811,Attendance!$B$3:$AY$3,0),attendees,COUNTIF(INDEX(Attendance!$B$7:$AY$206,0,att_offset),"1"),IF(ev_split="Equal Split",ev_cost/MAX(1,COUNTA(Roster!$A$5:$A$204)),ev_cost/MAX(1,attendees))),"N/A"))</f>
        <v/>
      </c>
    </row>
    <row r="812" ht="20" customHeight="1">
      <c r="A812" s="12" t="n"/>
      <c r="B812" s="10" t="n"/>
      <c r="C812" s="10" t="n"/>
      <c r="D812" s="10" t="n"/>
      <c r="E812" s="10" t="n"/>
      <c r="F812" s="13" t="n"/>
      <c r="G812" s="10" t="n"/>
      <c r="H812" s="10" t="n"/>
      <c r="I812" s="10" t="n"/>
      <c r="J812" s="108">
        <f>IF(G812="","",IFERROR(LET(ev_cost,INDEX(Events!$G$5:$G$505,MATCH(G812,Events!$A$5:$A$505,0)),ev_split,INDEX(Events!$I$5:$I$505,MATCH(G812,Events!$A$5:$A$505,0)),att_offset,MATCH(G812,Attendance!$B$3:$AY$3,0),attendees,COUNTIF(INDEX(Attendance!$B$7:$AY$206,0,att_offset),"1"),IF(ev_split="Equal Split",ev_cost/MAX(1,COUNTA(Roster!$A$5:$A$204)),ev_cost/MAX(1,attendees))),"N/A"))</f>
        <v/>
      </c>
    </row>
    <row r="813" ht="20" customHeight="1">
      <c r="A813" s="16" t="n"/>
      <c r="B813" s="14" t="n"/>
      <c r="C813" s="14" t="n"/>
      <c r="D813" s="14" t="n"/>
      <c r="E813" s="14" t="n"/>
      <c r="F813" s="17" t="n"/>
      <c r="G813" s="14" t="n"/>
      <c r="H813" s="14" t="n"/>
      <c r="I813" s="14" t="n"/>
      <c r="J813" s="108">
        <f>IF(G813="","",IFERROR(LET(ev_cost,INDEX(Events!$G$5:$G$505,MATCH(G813,Events!$A$5:$A$505,0)),ev_split,INDEX(Events!$I$5:$I$505,MATCH(G813,Events!$A$5:$A$505,0)),att_offset,MATCH(G813,Attendance!$B$3:$AY$3,0),attendees,COUNTIF(INDEX(Attendance!$B$7:$AY$206,0,att_offset),"1"),IF(ev_split="Equal Split",ev_cost/MAX(1,COUNTA(Roster!$A$5:$A$204)),ev_cost/MAX(1,attendees))),"N/A"))</f>
        <v/>
      </c>
    </row>
    <row r="814" ht="20" customHeight="1">
      <c r="A814" s="12" t="n"/>
      <c r="B814" s="10" t="n"/>
      <c r="C814" s="10" t="n"/>
      <c r="D814" s="10" t="n"/>
      <c r="E814" s="10" t="n"/>
      <c r="F814" s="13" t="n"/>
      <c r="G814" s="10" t="n"/>
      <c r="H814" s="10" t="n"/>
      <c r="I814" s="10" t="n"/>
      <c r="J814" s="108">
        <f>IF(G814="","",IFERROR(LET(ev_cost,INDEX(Events!$G$5:$G$505,MATCH(G814,Events!$A$5:$A$505,0)),ev_split,INDEX(Events!$I$5:$I$505,MATCH(G814,Events!$A$5:$A$505,0)),att_offset,MATCH(G814,Attendance!$B$3:$AY$3,0),attendees,COUNTIF(INDEX(Attendance!$B$7:$AY$206,0,att_offset),"1"),IF(ev_split="Equal Split",ev_cost/MAX(1,COUNTA(Roster!$A$5:$A$204)),ev_cost/MAX(1,attendees))),"N/A"))</f>
        <v/>
      </c>
    </row>
    <row r="815" ht="20" customHeight="1">
      <c r="A815" s="16" t="n"/>
      <c r="B815" s="14" t="n"/>
      <c r="C815" s="14" t="n"/>
      <c r="D815" s="14" t="n"/>
      <c r="E815" s="14" t="n"/>
      <c r="F815" s="17" t="n"/>
      <c r="G815" s="14" t="n"/>
      <c r="H815" s="14" t="n"/>
      <c r="I815" s="14" t="n"/>
      <c r="J815" s="108">
        <f>IF(G815="","",IFERROR(LET(ev_cost,INDEX(Events!$G$5:$G$505,MATCH(G815,Events!$A$5:$A$505,0)),ev_split,INDEX(Events!$I$5:$I$505,MATCH(G815,Events!$A$5:$A$505,0)),att_offset,MATCH(G815,Attendance!$B$3:$AY$3,0),attendees,COUNTIF(INDEX(Attendance!$B$7:$AY$206,0,att_offset),"1"),IF(ev_split="Equal Split",ev_cost/MAX(1,COUNTA(Roster!$A$5:$A$204)),ev_cost/MAX(1,attendees))),"N/A"))</f>
        <v/>
      </c>
    </row>
    <row r="816" ht="20" customHeight="1">
      <c r="A816" s="12" t="n"/>
      <c r="B816" s="10" t="n"/>
      <c r="C816" s="10" t="n"/>
      <c r="D816" s="10" t="n"/>
      <c r="E816" s="10" t="n"/>
      <c r="F816" s="13" t="n"/>
      <c r="G816" s="10" t="n"/>
      <c r="H816" s="10" t="n"/>
      <c r="I816" s="10" t="n"/>
      <c r="J816" s="108">
        <f>IF(G816="","",IFERROR(LET(ev_cost,INDEX(Events!$G$5:$G$505,MATCH(G816,Events!$A$5:$A$505,0)),ev_split,INDEX(Events!$I$5:$I$505,MATCH(G816,Events!$A$5:$A$505,0)),att_offset,MATCH(G816,Attendance!$B$3:$AY$3,0),attendees,COUNTIF(INDEX(Attendance!$B$7:$AY$206,0,att_offset),"1"),IF(ev_split="Equal Split",ev_cost/MAX(1,COUNTA(Roster!$A$5:$A$204)),ev_cost/MAX(1,attendees))),"N/A"))</f>
        <v/>
      </c>
    </row>
    <row r="817" ht="20" customHeight="1">
      <c r="A817" s="16" t="n"/>
      <c r="B817" s="14" t="n"/>
      <c r="C817" s="14" t="n"/>
      <c r="D817" s="14" t="n"/>
      <c r="E817" s="14" t="n"/>
      <c r="F817" s="17" t="n"/>
      <c r="G817" s="14" t="n"/>
      <c r="H817" s="14" t="n"/>
      <c r="I817" s="14" t="n"/>
      <c r="J817" s="108">
        <f>IF(G817="","",IFERROR(LET(ev_cost,INDEX(Events!$G$5:$G$505,MATCH(G817,Events!$A$5:$A$505,0)),ev_split,INDEX(Events!$I$5:$I$505,MATCH(G817,Events!$A$5:$A$505,0)),att_offset,MATCH(G817,Attendance!$B$3:$AY$3,0),attendees,COUNTIF(INDEX(Attendance!$B$7:$AY$206,0,att_offset),"1"),IF(ev_split="Equal Split",ev_cost/MAX(1,COUNTA(Roster!$A$5:$A$204)),ev_cost/MAX(1,attendees))),"N/A"))</f>
        <v/>
      </c>
    </row>
    <row r="818" ht="20" customHeight="1">
      <c r="A818" s="12" t="n"/>
      <c r="B818" s="10" t="n"/>
      <c r="C818" s="10" t="n"/>
      <c r="D818" s="10" t="n"/>
      <c r="E818" s="10" t="n"/>
      <c r="F818" s="13" t="n"/>
      <c r="G818" s="10" t="n"/>
      <c r="H818" s="10" t="n"/>
      <c r="I818" s="10" t="n"/>
      <c r="J818" s="108">
        <f>IF(G818="","",IFERROR(LET(ev_cost,INDEX(Events!$G$5:$G$505,MATCH(G818,Events!$A$5:$A$505,0)),ev_split,INDEX(Events!$I$5:$I$505,MATCH(G818,Events!$A$5:$A$505,0)),att_offset,MATCH(G818,Attendance!$B$3:$AY$3,0),attendees,COUNTIF(INDEX(Attendance!$B$7:$AY$206,0,att_offset),"1"),IF(ev_split="Equal Split",ev_cost/MAX(1,COUNTA(Roster!$A$5:$A$204)),ev_cost/MAX(1,attendees))),"N/A"))</f>
        <v/>
      </c>
    </row>
    <row r="819" ht="20" customHeight="1">
      <c r="A819" s="16" t="n"/>
      <c r="B819" s="14" t="n"/>
      <c r="C819" s="14" t="n"/>
      <c r="D819" s="14" t="n"/>
      <c r="E819" s="14" t="n"/>
      <c r="F819" s="17" t="n"/>
      <c r="G819" s="14" t="n"/>
      <c r="H819" s="14" t="n"/>
      <c r="I819" s="14" t="n"/>
      <c r="J819" s="108">
        <f>IF(G819="","",IFERROR(LET(ev_cost,INDEX(Events!$G$5:$G$505,MATCH(G819,Events!$A$5:$A$505,0)),ev_split,INDEX(Events!$I$5:$I$505,MATCH(G819,Events!$A$5:$A$505,0)),att_offset,MATCH(G819,Attendance!$B$3:$AY$3,0),attendees,COUNTIF(INDEX(Attendance!$B$7:$AY$206,0,att_offset),"1"),IF(ev_split="Equal Split",ev_cost/MAX(1,COUNTA(Roster!$A$5:$A$204)),ev_cost/MAX(1,attendees))),"N/A"))</f>
        <v/>
      </c>
    </row>
    <row r="820" ht="20" customHeight="1">
      <c r="A820" s="12" t="n"/>
      <c r="B820" s="10" t="n"/>
      <c r="C820" s="10" t="n"/>
      <c r="D820" s="10" t="n"/>
      <c r="E820" s="10" t="n"/>
      <c r="F820" s="13" t="n"/>
      <c r="G820" s="10" t="n"/>
      <c r="H820" s="10" t="n"/>
      <c r="I820" s="10" t="n"/>
      <c r="J820" s="108">
        <f>IF(G820="","",IFERROR(LET(ev_cost,INDEX(Events!$G$5:$G$505,MATCH(G820,Events!$A$5:$A$505,0)),ev_split,INDEX(Events!$I$5:$I$505,MATCH(G820,Events!$A$5:$A$505,0)),att_offset,MATCH(G820,Attendance!$B$3:$AY$3,0),attendees,COUNTIF(INDEX(Attendance!$B$7:$AY$206,0,att_offset),"1"),IF(ev_split="Equal Split",ev_cost/MAX(1,COUNTA(Roster!$A$5:$A$204)),ev_cost/MAX(1,attendees))),"N/A"))</f>
        <v/>
      </c>
    </row>
    <row r="821" ht="20" customHeight="1">
      <c r="A821" s="16" t="n"/>
      <c r="B821" s="14" t="n"/>
      <c r="C821" s="14" t="n"/>
      <c r="D821" s="14" t="n"/>
      <c r="E821" s="14" t="n"/>
      <c r="F821" s="17" t="n"/>
      <c r="G821" s="14" t="n"/>
      <c r="H821" s="14" t="n"/>
      <c r="I821" s="14" t="n"/>
      <c r="J821" s="108">
        <f>IF(G821="","",IFERROR(LET(ev_cost,INDEX(Events!$G$5:$G$505,MATCH(G821,Events!$A$5:$A$505,0)),ev_split,INDEX(Events!$I$5:$I$505,MATCH(G821,Events!$A$5:$A$505,0)),att_offset,MATCH(G821,Attendance!$B$3:$AY$3,0),attendees,COUNTIF(INDEX(Attendance!$B$7:$AY$206,0,att_offset),"1"),IF(ev_split="Equal Split",ev_cost/MAX(1,COUNTA(Roster!$A$5:$A$204)),ev_cost/MAX(1,attendees))),"N/A"))</f>
        <v/>
      </c>
    </row>
    <row r="822" ht="20" customHeight="1">
      <c r="A822" s="12" t="n"/>
      <c r="B822" s="10" t="n"/>
      <c r="C822" s="10" t="n"/>
      <c r="D822" s="10" t="n"/>
      <c r="E822" s="10" t="n"/>
      <c r="F822" s="13" t="n"/>
      <c r="G822" s="10" t="n"/>
      <c r="H822" s="10" t="n"/>
      <c r="I822" s="10" t="n"/>
      <c r="J822" s="108">
        <f>IF(G822="","",IFERROR(LET(ev_cost,INDEX(Events!$G$5:$G$505,MATCH(G822,Events!$A$5:$A$505,0)),ev_split,INDEX(Events!$I$5:$I$505,MATCH(G822,Events!$A$5:$A$505,0)),att_offset,MATCH(G822,Attendance!$B$3:$AY$3,0),attendees,COUNTIF(INDEX(Attendance!$B$7:$AY$206,0,att_offset),"1"),IF(ev_split="Equal Split",ev_cost/MAX(1,COUNTA(Roster!$A$5:$A$204)),ev_cost/MAX(1,attendees))),"N/A"))</f>
        <v/>
      </c>
    </row>
    <row r="823" ht="20" customHeight="1">
      <c r="A823" s="16" t="n"/>
      <c r="B823" s="14" t="n"/>
      <c r="C823" s="14" t="n"/>
      <c r="D823" s="14" t="n"/>
      <c r="E823" s="14" t="n"/>
      <c r="F823" s="17" t="n"/>
      <c r="G823" s="14" t="n"/>
      <c r="H823" s="14" t="n"/>
      <c r="I823" s="14" t="n"/>
      <c r="J823" s="108">
        <f>IF(G823="","",IFERROR(LET(ev_cost,INDEX(Events!$G$5:$G$505,MATCH(G823,Events!$A$5:$A$505,0)),ev_split,INDEX(Events!$I$5:$I$505,MATCH(G823,Events!$A$5:$A$505,0)),att_offset,MATCH(G823,Attendance!$B$3:$AY$3,0),attendees,COUNTIF(INDEX(Attendance!$B$7:$AY$206,0,att_offset),"1"),IF(ev_split="Equal Split",ev_cost/MAX(1,COUNTA(Roster!$A$5:$A$204)),ev_cost/MAX(1,attendees))),"N/A"))</f>
        <v/>
      </c>
    </row>
    <row r="824" ht="20" customHeight="1">
      <c r="A824" s="12" t="n"/>
      <c r="B824" s="10" t="n"/>
      <c r="C824" s="10" t="n"/>
      <c r="D824" s="10" t="n"/>
      <c r="E824" s="10" t="n"/>
      <c r="F824" s="13" t="n"/>
      <c r="G824" s="10" t="n"/>
      <c r="H824" s="10" t="n"/>
      <c r="I824" s="10" t="n"/>
      <c r="J824" s="108">
        <f>IF(G824="","",IFERROR(LET(ev_cost,INDEX(Events!$G$5:$G$505,MATCH(G824,Events!$A$5:$A$505,0)),ev_split,INDEX(Events!$I$5:$I$505,MATCH(G824,Events!$A$5:$A$505,0)),att_offset,MATCH(G824,Attendance!$B$3:$AY$3,0),attendees,COUNTIF(INDEX(Attendance!$B$7:$AY$206,0,att_offset),"1"),IF(ev_split="Equal Split",ev_cost/MAX(1,COUNTA(Roster!$A$5:$A$204)),ev_cost/MAX(1,attendees))),"N/A"))</f>
        <v/>
      </c>
    </row>
    <row r="825" ht="20" customHeight="1">
      <c r="A825" s="16" t="n"/>
      <c r="B825" s="14" t="n"/>
      <c r="C825" s="14" t="n"/>
      <c r="D825" s="14" t="n"/>
      <c r="E825" s="14" t="n"/>
      <c r="F825" s="17" t="n"/>
      <c r="G825" s="14" t="n"/>
      <c r="H825" s="14" t="n"/>
      <c r="I825" s="14" t="n"/>
      <c r="J825" s="108">
        <f>IF(G825="","",IFERROR(LET(ev_cost,INDEX(Events!$G$5:$G$505,MATCH(G825,Events!$A$5:$A$505,0)),ev_split,INDEX(Events!$I$5:$I$505,MATCH(G825,Events!$A$5:$A$505,0)),att_offset,MATCH(G825,Attendance!$B$3:$AY$3,0),attendees,COUNTIF(INDEX(Attendance!$B$7:$AY$206,0,att_offset),"1"),IF(ev_split="Equal Split",ev_cost/MAX(1,COUNTA(Roster!$A$5:$A$204)),ev_cost/MAX(1,attendees))),"N/A"))</f>
        <v/>
      </c>
    </row>
    <row r="826" ht="20" customHeight="1">
      <c r="A826" s="12" t="n"/>
      <c r="B826" s="10" t="n"/>
      <c r="C826" s="10" t="n"/>
      <c r="D826" s="10" t="n"/>
      <c r="E826" s="10" t="n"/>
      <c r="F826" s="13" t="n"/>
      <c r="G826" s="10" t="n"/>
      <c r="H826" s="10" t="n"/>
      <c r="I826" s="10" t="n"/>
      <c r="J826" s="108">
        <f>IF(G826="","",IFERROR(LET(ev_cost,INDEX(Events!$G$5:$G$505,MATCH(G826,Events!$A$5:$A$505,0)),ev_split,INDEX(Events!$I$5:$I$505,MATCH(G826,Events!$A$5:$A$505,0)),att_offset,MATCH(G826,Attendance!$B$3:$AY$3,0),attendees,COUNTIF(INDEX(Attendance!$B$7:$AY$206,0,att_offset),"1"),IF(ev_split="Equal Split",ev_cost/MAX(1,COUNTA(Roster!$A$5:$A$204)),ev_cost/MAX(1,attendees))),"N/A"))</f>
        <v/>
      </c>
    </row>
    <row r="827" ht="20" customHeight="1">
      <c r="A827" s="16" t="n"/>
      <c r="B827" s="14" t="n"/>
      <c r="C827" s="14" t="n"/>
      <c r="D827" s="14" t="n"/>
      <c r="E827" s="14" t="n"/>
      <c r="F827" s="17" t="n"/>
      <c r="G827" s="14" t="n"/>
      <c r="H827" s="14" t="n"/>
      <c r="I827" s="14" t="n"/>
      <c r="J827" s="108">
        <f>IF(G827="","",IFERROR(LET(ev_cost,INDEX(Events!$G$5:$G$505,MATCH(G827,Events!$A$5:$A$505,0)),ev_split,INDEX(Events!$I$5:$I$505,MATCH(G827,Events!$A$5:$A$505,0)),att_offset,MATCH(G827,Attendance!$B$3:$AY$3,0),attendees,COUNTIF(INDEX(Attendance!$B$7:$AY$206,0,att_offset),"1"),IF(ev_split="Equal Split",ev_cost/MAX(1,COUNTA(Roster!$A$5:$A$204)),ev_cost/MAX(1,attendees))),"N/A"))</f>
        <v/>
      </c>
    </row>
    <row r="828" ht="20" customHeight="1">
      <c r="A828" s="12" t="n"/>
      <c r="B828" s="10" t="n"/>
      <c r="C828" s="10" t="n"/>
      <c r="D828" s="10" t="n"/>
      <c r="E828" s="10" t="n"/>
      <c r="F828" s="13" t="n"/>
      <c r="G828" s="10" t="n"/>
      <c r="H828" s="10" t="n"/>
      <c r="I828" s="10" t="n"/>
      <c r="J828" s="108">
        <f>IF(G828="","",IFERROR(LET(ev_cost,INDEX(Events!$G$5:$G$505,MATCH(G828,Events!$A$5:$A$505,0)),ev_split,INDEX(Events!$I$5:$I$505,MATCH(G828,Events!$A$5:$A$505,0)),att_offset,MATCH(G828,Attendance!$B$3:$AY$3,0),attendees,COUNTIF(INDEX(Attendance!$B$7:$AY$206,0,att_offset),"1"),IF(ev_split="Equal Split",ev_cost/MAX(1,COUNTA(Roster!$A$5:$A$204)),ev_cost/MAX(1,attendees))),"N/A"))</f>
        <v/>
      </c>
    </row>
    <row r="829" ht="20" customHeight="1">
      <c r="A829" s="16" t="n"/>
      <c r="B829" s="14" t="n"/>
      <c r="C829" s="14" t="n"/>
      <c r="D829" s="14" t="n"/>
      <c r="E829" s="14" t="n"/>
      <c r="F829" s="17" t="n"/>
      <c r="G829" s="14" t="n"/>
      <c r="H829" s="14" t="n"/>
      <c r="I829" s="14" t="n"/>
      <c r="J829" s="108">
        <f>IF(G829="","",IFERROR(LET(ev_cost,INDEX(Events!$G$5:$G$505,MATCH(G829,Events!$A$5:$A$505,0)),ev_split,INDEX(Events!$I$5:$I$505,MATCH(G829,Events!$A$5:$A$505,0)),att_offset,MATCH(G829,Attendance!$B$3:$AY$3,0),attendees,COUNTIF(INDEX(Attendance!$B$7:$AY$206,0,att_offset),"1"),IF(ev_split="Equal Split",ev_cost/MAX(1,COUNTA(Roster!$A$5:$A$204)),ev_cost/MAX(1,attendees))),"N/A"))</f>
        <v/>
      </c>
    </row>
    <row r="830" ht="20" customHeight="1">
      <c r="A830" s="12" t="n"/>
      <c r="B830" s="10" t="n"/>
      <c r="C830" s="10" t="n"/>
      <c r="D830" s="10" t="n"/>
      <c r="E830" s="10" t="n"/>
      <c r="F830" s="13" t="n"/>
      <c r="G830" s="10" t="n"/>
      <c r="H830" s="10" t="n"/>
      <c r="I830" s="10" t="n"/>
      <c r="J830" s="108">
        <f>IF(G830="","",IFERROR(LET(ev_cost,INDEX(Events!$G$5:$G$505,MATCH(G830,Events!$A$5:$A$505,0)),ev_split,INDEX(Events!$I$5:$I$505,MATCH(G830,Events!$A$5:$A$505,0)),att_offset,MATCH(G830,Attendance!$B$3:$AY$3,0),attendees,COUNTIF(INDEX(Attendance!$B$7:$AY$206,0,att_offset),"1"),IF(ev_split="Equal Split",ev_cost/MAX(1,COUNTA(Roster!$A$5:$A$204)),ev_cost/MAX(1,attendees))),"N/A"))</f>
        <v/>
      </c>
    </row>
    <row r="831" ht="20" customHeight="1">
      <c r="A831" s="16" t="n"/>
      <c r="B831" s="14" t="n"/>
      <c r="C831" s="14" t="n"/>
      <c r="D831" s="14" t="n"/>
      <c r="E831" s="14" t="n"/>
      <c r="F831" s="17" t="n"/>
      <c r="G831" s="14" t="n"/>
      <c r="H831" s="14" t="n"/>
      <c r="I831" s="14" t="n"/>
      <c r="J831" s="108">
        <f>IF(G831="","",IFERROR(LET(ev_cost,INDEX(Events!$G$5:$G$505,MATCH(G831,Events!$A$5:$A$505,0)),ev_split,INDEX(Events!$I$5:$I$505,MATCH(G831,Events!$A$5:$A$505,0)),att_offset,MATCH(G831,Attendance!$B$3:$AY$3,0),attendees,COUNTIF(INDEX(Attendance!$B$7:$AY$206,0,att_offset),"1"),IF(ev_split="Equal Split",ev_cost/MAX(1,COUNTA(Roster!$A$5:$A$204)),ev_cost/MAX(1,attendees))),"N/A"))</f>
        <v/>
      </c>
    </row>
    <row r="832" ht="20" customHeight="1">
      <c r="A832" s="12" t="n"/>
      <c r="B832" s="10" t="n"/>
      <c r="C832" s="10" t="n"/>
      <c r="D832" s="10" t="n"/>
      <c r="E832" s="10" t="n"/>
      <c r="F832" s="13" t="n"/>
      <c r="G832" s="10" t="n"/>
      <c r="H832" s="10" t="n"/>
      <c r="I832" s="10" t="n"/>
      <c r="J832" s="108">
        <f>IF(G832="","",IFERROR(LET(ev_cost,INDEX(Events!$G$5:$G$505,MATCH(G832,Events!$A$5:$A$505,0)),ev_split,INDEX(Events!$I$5:$I$505,MATCH(G832,Events!$A$5:$A$505,0)),att_offset,MATCH(G832,Attendance!$B$3:$AY$3,0),attendees,COUNTIF(INDEX(Attendance!$B$7:$AY$206,0,att_offset),"1"),IF(ev_split="Equal Split",ev_cost/MAX(1,COUNTA(Roster!$A$5:$A$204)),ev_cost/MAX(1,attendees))),"N/A"))</f>
        <v/>
      </c>
    </row>
    <row r="833" ht="20" customHeight="1">
      <c r="A833" s="16" t="n"/>
      <c r="B833" s="14" t="n"/>
      <c r="C833" s="14" t="n"/>
      <c r="D833" s="14" t="n"/>
      <c r="E833" s="14" t="n"/>
      <c r="F833" s="17" t="n"/>
      <c r="G833" s="14" t="n"/>
      <c r="H833" s="14" t="n"/>
      <c r="I833" s="14" t="n"/>
      <c r="J833" s="108">
        <f>IF(G833="","",IFERROR(LET(ev_cost,INDEX(Events!$G$5:$G$505,MATCH(G833,Events!$A$5:$A$505,0)),ev_split,INDEX(Events!$I$5:$I$505,MATCH(G833,Events!$A$5:$A$505,0)),att_offset,MATCH(G833,Attendance!$B$3:$AY$3,0),attendees,COUNTIF(INDEX(Attendance!$B$7:$AY$206,0,att_offset),"1"),IF(ev_split="Equal Split",ev_cost/MAX(1,COUNTA(Roster!$A$5:$A$204)),ev_cost/MAX(1,attendees))),"N/A"))</f>
        <v/>
      </c>
    </row>
    <row r="834" ht="20" customHeight="1">
      <c r="A834" s="12" t="n"/>
      <c r="B834" s="10" t="n"/>
      <c r="C834" s="10" t="n"/>
      <c r="D834" s="10" t="n"/>
      <c r="E834" s="10" t="n"/>
      <c r="F834" s="13" t="n"/>
      <c r="G834" s="10" t="n"/>
      <c r="H834" s="10" t="n"/>
      <c r="I834" s="10" t="n"/>
      <c r="J834" s="108">
        <f>IF(G834="","",IFERROR(LET(ev_cost,INDEX(Events!$G$5:$G$505,MATCH(G834,Events!$A$5:$A$505,0)),ev_split,INDEX(Events!$I$5:$I$505,MATCH(G834,Events!$A$5:$A$505,0)),att_offset,MATCH(G834,Attendance!$B$3:$AY$3,0),attendees,COUNTIF(INDEX(Attendance!$B$7:$AY$206,0,att_offset),"1"),IF(ev_split="Equal Split",ev_cost/MAX(1,COUNTA(Roster!$A$5:$A$204)),ev_cost/MAX(1,attendees))),"N/A"))</f>
        <v/>
      </c>
    </row>
    <row r="835" ht="20" customHeight="1">
      <c r="A835" s="16" t="n"/>
      <c r="B835" s="14" t="n"/>
      <c r="C835" s="14" t="n"/>
      <c r="D835" s="14" t="n"/>
      <c r="E835" s="14" t="n"/>
      <c r="F835" s="17" t="n"/>
      <c r="G835" s="14" t="n"/>
      <c r="H835" s="14" t="n"/>
      <c r="I835" s="14" t="n"/>
      <c r="J835" s="108">
        <f>IF(G835="","",IFERROR(LET(ev_cost,INDEX(Events!$G$5:$G$505,MATCH(G835,Events!$A$5:$A$505,0)),ev_split,INDEX(Events!$I$5:$I$505,MATCH(G835,Events!$A$5:$A$505,0)),att_offset,MATCH(G835,Attendance!$B$3:$AY$3,0),attendees,COUNTIF(INDEX(Attendance!$B$7:$AY$206,0,att_offset),"1"),IF(ev_split="Equal Split",ev_cost/MAX(1,COUNTA(Roster!$A$5:$A$204)),ev_cost/MAX(1,attendees))),"N/A"))</f>
        <v/>
      </c>
    </row>
    <row r="836" ht="20" customHeight="1">
      <c r="A836" s="12" t="n"/>
      <c r="B836" s="10" t="n"/>
      <c r="C836" s="10" t="n"/>
      <c r="D836" s="10" t="n"/>
      <c r="E836" s="10" t="n"/>
      <c r="F836" s="13" t="n"/>
      <c r="G836" s="10" t="n"/>
      <c r="H836" s="10" t="n"/>
      <c r="I836" s="10" t="n"/>
      <c r="J836" s="108">
        <f>IF(G836="","",IFERROR(LET(ev_cost,INDEX(Events!$G$5:$G$505,MATCH(G836,Events!$A$5:$A$505,0)),ev_split,INDEX(Events!$I$5:$I$505,MATCH(G836,Events!$A$5:$A$505,0)),att_offset,MATCH(G836,Attendance!$B$3:$AY$3,0),attendees,COUNTIF(INDEX(Attendance!$B$7:$AY$206,0,att_offset),"1"),IF(ev_split="Equal Split",ev_cost/MAX(1,COUNTA(Roster!$A$5:$A$204)),ev_cost/MAX(1,attendees))),"N/A"))</f>
        <v/>
      </c>
    </row>
    <row r="837" ht="20" customHeight="1">
      <c r="A837" s="16" t="n"/>
      <c r="B837" s="14" t="n"/>
      <c r="C837" s="14" t="n"/>
      <c r="D837" s="14" t="n"/>
      <c r="E837" s="14" t="n"/>
      <c r="F837" s="17" t="n"/>
      <c r="G837" s="14" t="n"/>
      <c r="H837" s="14" t="n"/>
      <c r="I837" s="14" t="n"/>
      <c r="J837" s="108">
        <f>IF(G837="","",IFERROR(LET(ev_cost,INDEX(Events!$G$5:$G$505,MATCH(G837,Events!$A$5:$A$505,0)),ev_split,INDEX(Events!$I$5:$I$505,MATCH(G837,Events!$A$5:$A$505,0)),att_offset,MATCH(G837,Attendance!$B$3:$AY$3,0),attendees,COUNTIF(INDEX(Attendance!$B$7:$AY$206,0,att_offset),"1"),IF(ev_split="Equal Split",ev_cost/MAX(1,COUNTA(Roster!$A$5:$A$204)),ev_cost/MAX(1,attendees))),"N/A"))</f>
        <v/>
      </c>
    </row>
    <row r="838" ht="20" customHeight="1">
      <c r="A838" s="12" t="n"/>
      <c r="B838" s="10" t="n"/>
      <c r="C838" s="10" t="n"/>
      <c r="D838" s="10" t="n"/>
      <c r="E838" s="10" t="n"/>
      <c r="F838" s="13" t="n"/>
      <c r="G838" s="10" t="n"/>
      <c r="H838" s="10" t="n"/>
      <c r="I838" s="10" t="n"/>
      <c r="J838" s="108">
        <f>IF(G838="","",IFERROR(LET(ev_cost,INDEX(Events!$G$5:$G$505,MATCH(G838,Events!$A$5:$A$505,0)),ev_split,INDEX(Events!$I$5:$I$505,MATCH(G838,Events!$A$5:$A$505,0)),att_offset,MATCH(G838,Attendance!$B$3:$AY$3,0),attendees,COUNTIF(INDEX(Attendance!$B$7:$AY$206,0,att_offset),"1"),IF(ev_split="Equal Split",ev_cost/MAX(1,COUNTA(Roster!$A$5:$A$204)),ev_cost/MAX(1,attendees))),"N/A"))</f>
        <v/>
      </c>
    </row>
    <row r="839" ht="20" customHeight="1">
      <c r="A839" s="16" t="n"/>
      <c r="B839" s="14" t="n"/>
      <c r="C839" s="14" t="n"/>
      <c r="D839" s="14" t="n"/>
      <c r="E839" s="14" t="n"/>
      <c r="F839" s="17" t="n"/>
      <c r="G839" s="14" t="n"/>
      <c r="H839" s="14" t="n"/>
      <c r="I839" s="14" t="n"/>
      <c r="J839" s="108">
        <f>IF(G839="","",IFERROR(LET(ev_cost,INDEX(Events!$G$5:$G$505,MATCH(G839,Events!$A$5:$A$505,0)),ev_split,INDEX(Events!$I$5:$I$505,MATCH(G839,Events!$A$5:$A$505,0)),att_offset,MATCH(G839,Attendance!$B$3:$AY$3,0),attendees,COUNTIF(INDEX(Attendance!$B$7:$AY$206,0,att_offset),"1"),IF(ev_split="Equal Split",ev_cost/MAX(1,COUNTA(Roster!$A$5:$A$204)),ev_cost/MAX(1,attendees))),"N/A"))</f>
        <v/>
      </c>
    </row>
    <row r="840" ht="20" customHeight="1">
      <c r="A840" s="12" t="n"/>
      <c r="B840" s="10" t="n"/>
      <c r="C840" s="10" t="n"/>
      <c r="D840" s="10" t="n"/>
      <c r="E840" s="10" t="n"/>
      <c r="F840" s="13" t="n"/>
      <c r="G840" s="10" t="n"/>
      <c r="H840" s="10" t="n"/>
      <c r="I840" s="10" t="n"/>
      <c r="J840" s="108">
        <f>IF(G840="","",IFERROR(LET(ev_cost,INDEX(Events!$G$5:$G$505,MATCH(G840,Events!$A$5:$A$505,0)),ev_split,INDEX(Events!$I$5:$I$505,MATCH(G840,Events!$A$5:$A$505,0)),att_offset,MATCH(G840,Attendance!$B$3:$AY$3,0),attendees,COUNTIF(INDEX(Attendance!$B$7:$AY$206,0,att_offset),"1"),IF(ev_split="Equal Split",ev_cost/MAX(1,COUNTA(Roster!$A$5:$A$204)),ev_cost/MAX(1,attendees))),"N/A"))</f>
        <v/>
      </c>
    </row>
    <row r="841" ht="20" customHeight="1">
      <c r="A841" s="16" t="n"/>
      <c r="B841" s="14" t="n"/>
      <c r="C841" s="14" t="n"/>
      <c r="D841" s="14" t="n"/>
      <c r="E841" s="14" t="n"/>
      <c r="F841" s="17" t="n"/>
      <c r="G841" s="14" t="n"/>
      <c r="H841" s="14" t="n"/>
      <c r="I841" s="14" t="n"/>
      <c r="J841" s="108">
        <f>IF(G841="","",IFERROR(LET(ev_cost,INDEX(Events!$G$5:$G$505,MATCH(G841,Events!$A$5:$A$505,0)),ev_split,INDEX(Events!$I$5:$I$505,MATCH(G841,Events!$A$5:$A$505,0)),att_offset,MATCH(G841,Attendance!$B$3:$AY$3,0),attendees,COUNTIF(INDEX(Attendance!$B$7:$AY$206,0,att_offset),"1"),IF(ev_split="Equal Split",ev_cost/MAX(1,COUNTA(Roster!$A$5:$A$204)),ev_cost/MAX(1,attendees))),"N/A"))</f>
        <v/>
      </c>
    </row>
    <row r="842" ht="20" customHeight="1">
      <c r="A842" s="12" t="n"/>
      <c r="B842" s="10" t="n"/>
      <c r="C842" s="10" t="n"/>
      <c r="D842" s="10" t="n"/>
      <c r="E842" s="10" t="n"/>
      <c r="F842" s="13" t="n"/>
      <c r="G842" s="10" t="n"/>
      <c r="H842" s="10" t="n"/>
      <c r="I842" s="10" t="n"/>
      <c r="J842" s="108">
        <f>IF(G842="","",IFERROR(LET(ev_cost,INDEX(Events!$G$5:$G$505,MATCH(G842,Events!$A$5:$A$505,0)),ev_split,INDEX(Events!$I$5:$I$505,MATCH(G842,Events!$A$5:$A$505,0)),att_offset,MATCH(G842,Attendance!$B$3:$AY$3,0),attendees,COUNTIF(INDEX(Attendance!$B$7:$AY$206,0,att_offset),"1"),IF(ev_split="Equal Split",ev_cost/MAX(1,COUNTA(Roster!$A$5:$A$204)),ev_cost/MAX(1,attendees))),"N/A"))</f>
        <v/>
      </c>
    </row>
    <row r="843" ht="20" customHeight="1">
      <c r="A843" s="16" t="n"/>
      <c r="B843" s="14" t="n"/>
      <c r="C843" s="14" t="n"/>
      <c r="D843" s="14" t="n"/>
      <c r="E843" s="14" t="n"/>
      <c r="F843" s="17" t="n"/>
      <c r="G843" s="14" t="n"/>
      <c r="H843" s="14" t="n"/>
      <c r="I843" s="14" t="n"/>
      <c r="J843" s="108">
        <f>IF(G843="","",IFERROR(LET(ev_cost,INDEX(Events!$G$5:$G$505,MATCH(G843,Events!$A$5:$A$505,0)),ev_split,INDEX(Events!$I$5:$I$505,MATCH(G843,Events!$A$5:$A$505,0)),att_offset,MATCH(G843,Attendance!$B$3:$AY$3,0),attendees,COUNTIF(INDEX(Attendance!$B$7:$AY$206,0,att_offset),"1"),IF(ev_split="Equal Split",ev_cost/MAX(1,COUNTA(Roster!$A$5:$A$204)),ev_cost/MAX(1,attendees))),"N/A"))</f>
        <v/>
      </c>
    </row>
    <row r="844" ht="20" customHeight="1">
      <c r="A844" s="12" t="n"/>
      <c r="B844" s="10" t="n"/>
      <c r="C844" s="10" t="n"/>
      <c r="D844" s="10" t="n"/>
      <c r="E844" s="10" t="n"/>
      <c r="F844" s="13" t="n"/>
      <c r="G844" s="10" t="n"/>
      <c r="H844" s="10" t="n"/>
      <c r="I844" s="10" t="n"/>
      <c r="J844" s="108">
        <f>IF(G844="","",IFERROR(LET(ev_cost,INDEX(Events!$G$5:$G$505,MATCH(G844,Events!$A$5:$A$505,0)),ev_split,INDEX(Events!$I$5:$I$505,MATCH(G844,Events!$A$5:$A$505,0)),att_offset,MATCH(G844,Attendance!$B$3:$AY$3,0),attendees,COUNTIF(INDEX(Attendance!$B$7:$AY$206,0,att_offset),"1"),IF(ev_split="Equal Split",ev_cost/MAX(1,COUNTA(Roster!$A$5:$A$204)),ev_cost/MAX(1,attendees))),"N/A"))</f>
        <v/>
      </c>
    </row>
    <row r="845" ht="20" customHeight="1">
      <c r="A845" s="16" t="n"/>
      <c r="B845" s="14" t="n"/>
      <c r="C845" s="14" t="n"/>
      <c r="D845" s="14" t="n"/>
      <c r="E845" s="14" t="n"/>
      <c r="F845" s="17" t="n"/>
      <c r="G845" s="14" t="n"/>
      <c r="H845" s="14" t="n"/>
      <c r="I845" s="14" t="n"/>
      <c r="J845" s="108">
        <f>IF(G845="","",IFERROR(LET(ev_cost,INDEX(Events!$G$5:$G$505,MATCH(G845,Events!$A$5:$A$505,0)),ev_split,INDEX(Events!$I$5:$I$505,MATCH(G845,Events!$A$5:$A$505,0)),att_offset,MATCH(G845,Attendance!$B$3:$AY$3,0),attendees,COUNTIF(INDEX(Attendance!$B$7:$AY$206,0,att_offset),"1"),IF(ev_split="Equal Split",ev_cost/MAX(1,COUNTA(Roster!$A$5:$A$204)),ev_cost/MAX(1,attendees))),"N/A"))</f>
        <v/>
      </c>
    </row>
    <row r="846" ht="20" customHeight="1">
      <c r="A846" s="12" t="n"/>
      <c r="B846" s="10" t="n"/>
      <c r="C846" s="10" t="n"/>
      <c r="D846" s="10" t="n"/>
      <c r="E846" s="10" t="n"/>
      <c r="F846" s="13" t="n"/>
      <c r="G846" s="10" t="n"/>
      <c r="H846" s="10" t="n"/>
      <c r="I846" s="10" t="n"/>
      <c r="J846" s="108">
        <f>IF(G846="","",IFERROR(LET(ev_cost,INDEX(Events!$G$5:$G$505,MATCH(G846,Events!$A$5:$A$505,0)),ev_split,INDEX(Events!$I$5:$I$505,MATCH(G846,Events!$A$5:$A$505,0)),att_offset,MATCH(G846,Attendance!$B$3:$AY$3,0),attendees,COUNTIF(INDEX(Attendance!$B$7:$AY$206,0,att_offset),"1"),IF(ev_split="Equal Split",ev_cost/MAX(1,COUNTA(Roster!$A$5:$A$204)),ev_cost/MAX(1,attendees))),"N/A"))</f>
        <v/>
      </c>
    </row>
    <row r="847" ht="20" customHeight="1">
      <c r="A847" s="16" t="n"/>
      <c r="B847" s="14" t="n"/>
      <c r="C847" s="14" t="n"/>
      <c r="D847" s="14" t="n"/>
      <c r="E847" s="14" t="n"/>
      <c r="F847" s="17" t="n"/>
      <c r="G847" s="14" t="n"/>
      <c r="H847" s="14" t="n"/>
      <c r="I847" s="14" t="n"/>
      <c r="J847" s="108">
        <f>IF(G847="","",IFERROR(LET(ev_cost,INDEX(Events!$G$5:$G$505,MATCH(G847,Events!$A$5:$A$505,0)),ev_split,INDEX(Events!$I$5:$I$505,MATCH(G847,Events!$A$5:$A$505,0)),att_offset,MATCH(G847,Attendance!$B$3:$AY$3,0),attendees,COUNTIF(INDEX(Attendance!$B$7:$AY$206,0,att_offset),"1"),IF(ev_split="Equal Split",ev_cost/MAX(1,COUNTA(Roster!$A$5:$A$204)),ev_cost/MAX(1,attendees))),"N/A"))</f>
        <v/>
      </c>
    </row>
    <row r="848" ht="20" customHeight="1">
      <c r="A848" s="12" t="n"/>
      <c r="B848" s="10" t="n"/>
      <c r="C848" s="10" t="n"/>
      <c r="D848" s="10" t="n"/>
      <c r="E848" s="10" t="n"/>
      <c r="F848" s="13" t="n"/>
      <c r="G848" s="10" t="n"/>
      <c r="H848" s="10" t="n"/>
      <c r="I848" s="10" t="n"/>
      <c r="J848" s="108">
        <f>IF(G848="","",IFERROR(LET(ev_cost,INDEX(Events!$G$5:$G$505,MATCH(G848,Events!$A$5:$A$505,0)),ev_split,INDEX(Events!$I$5:$I$505,MATCH(G848,Events!$A$5:$A$505,0)),att_offset,MATCH(G848,Attendance!$B$3:$AY$3,0),attendees,COUNTIF(INDEX(Attendance!$B$7:$AY$206,0,att_offset),"1"),IF(ev_split="Equal Split",ev_cost/MAX(1,COUNTA(Roster!$A$5:$A$204)),ev_cost/MAX(1,attendees))),"N/A"))</f>
        <v/>
      </c>
    </row>
    <row r="849" ht="20" customHeight="1">
      <c r="A849" s="16" t="n"/>
      <c r="B849" s="14" t="n"/>
      <c r="C849" s="14" t="n"/>
      <c r="D849" s="14" t="n"/>
      <c r="E849" s="14" t="n"/>
      <c r="F849" s="17" t="n"/>
      <c r="G849" s="14" t="n"/>
      <c r="H849" s="14" t="n"/>
      <c r="I849" s="14" t="n"/>
      <c r="J849" s="108">
        <f>IF(G849="","",IFERROR(LET(ev_cost,INDEX(Events!$G$5:$G$505,MATCH(G849,Events!$A$5:$A$505,0)),ev_split,INDEX(Events!$I$5:$I$505,MATCH(G849,Events!$A$5:$A$505,0)),att_offset,MATCH(G849,Attendance!$B$3:$AY$3,0),attendees,COUNTIF(INDEX(Attendance!$B$7:$AY$206,0,att_offset),"1"),IF(ev_split="Equal Split",ev_cost/MAX(1,COUNTA(Roster!$A$5:$A$204)),ev_cost/MAX(1,attendees))),"N/A"))</f>
        <v/>
      </c>
    </row>
    <row r="850" ht="20" customHeight="1">
      <c r="A850" s="12" t="n"/>
      <c r="B850" s="10" t="n"/>
      <c r="C850" s="10" t="n"/>
      <c r="D850" s="10" t="n"/>
      <c r="E850" s="10" t="n"/>
      <c r="F850" s="13" t="n"/>
      <c r="G850" s="10" t="n"/>
      <c r="H850" s="10" t="n"/>
      <c r="I850" s="10" t="n"/>
      <c r="J850" s="108">
        <f>IF(G850="","",IFERROR(LET(ev_cost,INDEX(Events!$G$5:$G$505,MATCH(G850,Events!$A$5:$A$505,0)),ev_split,INDEX(Events!$I$5:$I$505,MATCH(G850,Events!$A$5:$A$505,0)),att_offset,MATCH(G850,Attendance!$B$3:$AY$3,0),attendees,COUNTIF(INDEX(Attendance!$B$7:$AY$206,0,att_offset),"1"),IF(ev_split="Equal Split",ev_cost/MAX(1,COUNTA(Roster!$A$5:$A$204)),ev_cost/MAX(1,attendees))),"N/A"))</f>
        <v/>
      </c>
    </row>
    <row r="851" ht="20" customHeight="1">
      <c r="A851" s="16" t="n"/>
      <c r="B851" s="14" t="n"/>
      <c r="C851" s="14" t="n"/>
      <c r="D851" s="14" t="n"/>
      <c r="E851" s="14" t="n"/>
      <c r="F851" s="17" t="n"/>
      <c r="G851" s="14" t="n"/>
      <c r="H851" s="14" t="n"/>
      <c r="I851" s="14" t="n"/>
      <c r="J851" s="108">
        <f>IF(G851="","",IFERROR(LET(ev_cost,INDEX(Events!$G$5:$G$505,MATCH(G851,Events!$A$5:$A$505,0)),ev_split,INDEX(Events!$I$5:$I$505,MATCH(G851,Events!$A$5:$A$505,0)),att_offset,MATCH(G851,Attendance!$B$3:$AY$3,0),attendees,COUNTIF(INDEX(Attendance!$B$7:$AY$206,0,att_offset),"1"),IF(ev_split="Equal Split",ev_cost/MAX(1,COUNTA(Roster!$A$5:$A$204)),ev_cost/MAX(1,attendees))),"N/A"))</f>
        <v/>
      </c>
    </row>
    <row r="852" ht="20" customHeight="1">
      <c r="A852" s="12" t="n"/>
      <c r="B852" s="10" t="n"/>
      <c r="C852" s="10" t="n"/>
      <c r="D852" s="10" t="n"/>
      <c r="E852" s="10" t="n"/>
      <c r="F852" s="13" t="n"/>
      <c r="G852" s="10" t="n"/>
      <c r="H852" s="10" t="n"/>
      <c r="I852" s="10" t="n"/>
      <c r="J852" s="108">
        <f>IF(G852="","",IFERROR(LET(ev_cost,INDEX(Events!$G$5:$G$505,MATCH(G852,Events!$A$5:$A$505,0)),ev_split,INDEX(Events!$I$5:$I$505,MATCH(G852,Events!$A$5:$A$505,0)),att_offset,MATCH(G852,Attendance!$B$3:$AY$3,0),attendees,COUNTIF(INDEX(Attendance!$B$7:$AY$206,0,att_offset),"1"),IF(ev_split="Equal Split",ev_cost/MAX(1,COUNTA(Roster!$A$5:$A$204)),ev_cost/MAX(1,attendees))),"N/A"))</f>
        <v/>
      </c>
    </row>
    <row r="853" ht="20" customHeight="1">
      <c r="A853" s="16" t="n"/>
      <c r="B853" s="14" t="n"/>
      <c r="C853" s="14" t="n"/>
      <c r="D853" s="14" t="n"/>
      <c r="E853" s="14" t="n"/>
      <c r="F853" s="17" t="n"/>
      <c r="G853" s="14" t="n"/>
      <c r="H853" s="14" t="n"/>
      <c r="I853" s="14" t="n"/>
      <c r="J853" s="108">
        <f>IF(G853="","",IFERROR(LET(ev_cost,INDEX(Events!$G$5:$G$505,MATCH(G853,Events!$A$5:$A$505,0)),ev_split,INDEX(Events!$I$5:$I$505,MATCH(G853,Events!$A$5:$A$505,0)),att_offset,MATCH(G853,Attendance!$B$3:$AY$3,0),attendees,COUNTIF(INDEX(Attendance!$B$7:$AY$206,0,att_offset),"1"),IF(ev_split="Equal Split",ev_cost/MAX(1,COUNTA(Roster!$A$5:$A$204)),ev_cost/MAX(1,attendees))),"N/A"))</f>
        <v/>
      </c>
    </row>
    <row r="854" ht="20" customHeight="1">
      <c r="A854" s="12" t="n"/>
      <c r="B854" s="10" t="n"/>
      <c r="C854" s="10" t="n"/>
      <c r="D854" s="10" t="n"/>
      <c r="E854" s="10" t="n"/>
      <c r="F854" s="13" t="n"/>
      <c r="G854" s="10" t="n"/>
      <c r="H854" s="10" t="n"/>
      <c r="I854" s="10" t="n"/>
      <c r="J854" s="108">
        <f>IF(G854="","",IFERROR(LET(ev_cost,INDEX(Events!$G$5:$G$505,MATCH(G854,Events!$A$5:$A$505,0)),ev_split,INDEX(Events!$I$5:$I$505,MATCH(G854,Events!$A$5:$A$505,0)),att_offset,MATCH(G854,Attendance!$B$3:$AY$3,0),attendees,COUNTIF(INDEX(Attendance!$B$7:$AY$206,0,att_offset),"1"),IF(ev_split="Equal Split",ev_cost/MAX(1,COUNTA(Roster!$A$5:$A$204)),ev_cost/MAX(1,attendees))),"N/A"))</f>
        <v/>
      </c>
    </row>
    <row r="855" ht="20" customHeight="1">
      <c r="A855" s="16" t="n"/>
      <c r="B855" s="14" t="n"/>
      <c r="C855" s="14" t="n"/>
      <c r="D855" s="14" t="n"/>
      <c r="E855" s="14" t="n"/>
      <c r="F855" s="17" t="n"/>
      <c r="G855" s="14" t="n"/>
      <c r="H855" s="14" t="n"/>
      <c r="I855" s="14" t="n"/>
      <c r="J855" s="108">
        <f>IF(G855="","",IFERROR(LET(ev_cost,INDEX(Events!$G$5:$G$505,MATCH(G855,Events!$A$5:$A$505,0)),ev_split,INDEX(Events!$I$5:$I$505,MATCH(G855,Events!$A$5:$A$505,0)),att_offset,MATCH(G855,Attendance!$B$3:$AY$3,0),attendees,COUNTIF(INDEX(Attendance!$B$7:$AY$206,0,att_offset),"1"),IF(ev_split="Equal Split",ev_cost/MAX(1,COUNTA(Roster!$A$5:$A$204)),ev_cost/MAX(1,attendees))),"N/A"))</f>
        <v/>
      </c>
    </row>
    <row r="856" ht="20" customHeight="1">
      <c r="A856" s="12" t="n"/>
      <c r="B856" s="10" t="n"/>
      <c r="C856" s="10" t="n"/>
      <c r="D856" s="10" t="n"/>
      <c r="E856" s="10" t="n"/>
      <c r="F856" s="13" t="n"/>
      <c r="G856" s="10" t="n"/>
      <c r="H856" s="10" t="n"/>
      <c r="I856" s="10" t="n"/>
      <c r="J856" s="108">
        <f>IF(G856="","",IFERROR(LET(ev_cost,INDEX(Events!$G$5:$G$505,MATCH(G856,Events!$A$5:$A$505,0)),ev_split,INDEX(Events!$I$5:$I$505,MATCH(G856,Events!$A$5:$A$505,0)),att_offset,MATCH(G856,Attendance!$B$3:$AY$3,0),attendees,COUNTIF(INDEX(Attendance!$B$7:$AY$206,0,att_offset),"1"),IF(ev_split="Equal Split",ev_cost/MAX(1,COUNTA(Roster!$A$5:$A$204)),ev_cost/MAX(1,attendees))),"N/A"))</f>
        <v/>
      </c>
    </row>
    <row r="857" ht="20" customHeight="1">
      <c r="A857" s="16" t="n"/>
      <c r="B857" s="14" t="n"/>
      <c r="C857" s="14" t="n"/>
      <c r="D857" s="14" t="n"/>
      <c r="E857" s="14" t="n"/>
      <c r="F857" s="17" t="n"/>
      <c r="G857" s="14" t="n"/>
      <c r="H857" s="14" t="n"/>
      <c r="I857" s="14" t="n"/>
      <c r="J857" s="108">
        <f>IF(G857="","",IFERROR(LET(ev_cost,INDEX(Events!$G$5:$G$505,MATCH(G857,Events!$A$5:$A$505,0)),ev_split,INDEX(Events!$I$5:$I$505,MATCH(G857,Events!$A$5:$A$505,0)),att_offset,MATCH(G857,Attendance!$B$3:$AY$3,0),attendees,COUNTIF(INDEX(Attendance!$B$7:$AY$206,0,att_offset),"1"),IF(ev_split="Equal Split",ev_cost/MAX(1,COUNTA(Roster!$A$5:$A$204)),ev_cost/MAX(1,attendees))),"N/A"))</f>
        <v/>
      </c>
    </row>
    <row r="858" ht="20" customHeight="1">
      <c r="A858" s="12" t="n"/>
      <c r="B858" s="10" t="n"/>
      <c r="C858" s="10" t="n"/>
      <c r="D858" s="10" t="n"/>
      <c r="E858" s="10" t="n"/>
      <c r="F858" s="13" t="n"/>
      <c r="G858" s="10" t="n"/>
      <c r="H858" s="10" t="n"/>
      <c r="I858" s="10" t="n"/>
      <c r="J858" s="108">
        <f>IF(G858="","",IFERROR(LET(ev_cost,INDEX(Events!$G$5:$G$505,MATCH(G858,Events!$A$5:$A$505,0)),ev_split,INDEX(Events!$I$5:$I$505,MATCH(G858,Events!$A$5:$A$505,0)),att_offset,MATCH(G858,Attendance!$B$3:$AY$3,0),attendees,COUNTIF(INDEX(Attendance!$B$7:$AY$206,0,att_offset),"1"),IF(ev_split="Equal Split",ev_cost/MAX(1,COUNTA(Roster!$A$5:$A$204)),ev_cost/MAX(1,attendees))),"N/A"))</f>
        <v/>
      </c>
    </row>
    <row r="859" ht="20" customHeight="1">
      <c r="A859" s="16" t="n"/>
      <c r="B859" s="14" t="n"/>
      <c r="C859" s="14" t="n"/>
      <c r="D859" s="14" t="n"/>
      <c r="E859" s="14" t="n"/>
      <c r="F859" s="17" t="n"/>
      <c r="G859" s="14" t="n"/>
      <c r="H859" s="14" t="n"/>
      <c r="I859" s="14" t="n"/>
      <c r="J859" s="108">
        <f>IF(G859="","",IFERROR(LET(ev_cost,INDEX(Events!$G$5:$G$505,MATCH(G859,Events!$A$5:$A$505,0)),ev_split,INDEX(Events!$I$5:$I$505,MATCH(G859,Events!$A$5:$A$505,0)),att_offset,MATCH(G859,Attendance!$B$3:$AY$3,0),attendees,COUNTIF(INDEX(Attendance!$B$7:$AY$206,0,att_offset),"1"),IF(ev_split="Equal Split",ev_cost/MAX(1,COUNTA(Roster!$A$5:$A$204)),ev_cost/MAX(1,attendees))),"N/A"))</f>
        <v/>
      </c>
    </row>
    <row r="860" ht="20" customHeight="1">
      <c r="A860" s="12" t="n"/>
      <c r="B860" s="10" t="n"/>
      <c r="C860" s="10" t="n"/>
      <c r="D860" s="10" t="n"/>
      <c r="E860" s="10" t="n"/>
      <c r="F860" s="13" t="n"/>
      <c r="G860" s="10" t="n"/>
      <c r="H860" s="10" t="n"/>
      <c r="I860" s="10" t="n"/>
      <c r="J860" s="108">
        <f>IF(G860="","",IFERROR(LET(ev_cost,INDEX(Events!$G$5:$G$505,MATCH(G860,Events!$A$5:$A$505,0)),ev_split,INDEX(Events!$I$5:$I$505,MATCH(G860,Events!$A$5:$A$505,0)),att_offset,MATCH(G860,Attendance!$B$3:$AY$3,0),attendees,COUNTIF(INDEX(Attendance!$B$7:$AY$206,0,att_offset),"1"),IF(ev_split="Equal Split",ev_cost/MAX(1,COUNTA(Roster!$A$5:$A$204)),ev_cost/MAX(1,attendees))),"N/A"))</f>
        <v/>
      </c>
    </row>
    <row r="861" ht="20" customHeight="1">
      <c r="A861" s="16" t="n"/>
      <c r="B861" s="14" t="n"/>
      <c r="C861" s="14" t="n"/>
      <c r="D861" s="14" t="n"/>
      <c r="E861" s="14" t="n"/>
      <c r="F861" s="17" t="n"/>
      <c r="G861" s="14" t="n"/>
      <c r="H861" s="14" t="n"/>
      <c r="I861" s="14" t="n"/>
      <c r="J861" s="108">
        <f>IF(G861="","",IFERROR(LET(ev_cost,INDEX(Events!$G$5:$G$505,MATCH(G861,Events!$A$5:$A$505,0)),ev_split,INDEX(Events!$I$5:$I$505,MATCH(G861,Events!$A$5:$A$505,0)),att_offset,MATCH(G861,Attendance!$B$3:$AY$3,0),attendees,COUNTIF(INDEX(Attendance!$B$7:$AY$206,0,att_offset),"1"),IF(ev_split="Equal Split",ev_cost/MAX(1,COUNTA(Roster!$A$5:$A$204)),ev_cost/MAX(1,attendees))),"N/A"))</f>
        <v/>
      </c>
    </row>
    <row r="862" ht="20" customHeight="1">
      <c r="A862" s="12" t="n"/>
      <c r="B862" s="10" t="n"/>
      <c r="C862" s="10" t="n"/>
      <c r="D862" s="10" t="n"/>
      <c r="E862" s="10" t="n"/>
      <c r="F862" s="13" t="n"/>
      <c r="G862" s="10" t="n"/>
      <c r="H862" s="10" t="n"/>
      <c r="I862" s="10" t="n"/>
      <c r="J862" s="108">
        <f>IF(G862="","",IFERROR(LET(ev_cost,INDEX(Events!$G$5:$G$505,MATCH(G862,Events!$A$5:$A$505,0)),ev_split,INDEX(Events!$I$5:$I$505,MATCH(G862,Events!$A$5:$A$505,0)),att_offset,MATCH(G862,Attendance!$B$3:$AY$3,0),attendees,COUNTIF(INDEX(Attendance!$B$7:$AY$206,0,att_offset),"1"),IF(ev_split="Equal Split",ev_cost/MAX(1,COUNTA(Roster!$A$5:$A$204)),ev_cost/MAX(1,attendees))),"N/A"))</f>
        <v/>
      </c>
    </row>
    <row r="863" ht="20" customHeight="1">
      <c r="A863" s="16" t="n"/>
      <c r="B863" s="14" t="n"/>
      <c r="C863" s="14" t="n"/>
      <c r="D863" s="14" t="n"/>
      <c r="E863" s="14" t="n"/>
      <c r="F863" s="17" t="n"/>
      <c r="G863" s="14" t="n"/>
      <c r="H863" s="14" t="n"/>
      <c r="I863" s="14" t="n"/>
      <c r="J863" s="108">
        <f>IF(G863="","",IFERROR(LET(ev_cost,INDEX(Events!$G$5:$G$505,MATCH(G863,Events!$A$5:$A$505,0)),ev_split,INDEX(Events!$I$5:$I$505,MATCH(G863,Events!$A$5:$A$505,0)),att_offset,MATCH(G863,Attendance!$B$3:$AY$3,0),attendees,COUNTIF(INDEX(Attendance!$B$7:$AY$206,0,att_offset),"1"),IF(ev_split="Equal Split",ev_cost/MAX(1,COUNTA(Roster!$A$5:$A$204)),ev_cost/MAX(1,attendees))),"N/A"))</f>
        <v/>
      </c>
    </row>
    <row r="864" ht="20" customHeight="1">
      <c r="A864" s="12" t="n"/>
      <c r="B864" s="10" t="n"/>
      <c r="C864" s="10" t="n"/>
      <c r="D864" s="10" t="n"/>
      <c r="E864" s="10" t="n"/>
      <c r="F864" s="13" t="n"/>
      <c r="G864" s="10" t="n"/>
      <c r="H864" s="10" t="n"/>
      <c r="I864" s="10" t="n"/>
      <c r="J864" s="108">
        <f>IF(G864="","",IFERROR(LET(ev_cost,INDEX(Events!$G$5:$G$505,MATCH(G864,Events!$A$5:$A$505,0)),ev_split,INDEX(Events!$I$5:$I$505,MATCH(G864,Events!$A$5:$A$505,0)),att_offset,MATCH(G864,Attendance!$B$3:$AY$3,0),attendees,COUNTIF(INDEX(Attendance!$B$7:$AY$206,0,att_offset),"1"),IF(ev_split="Equal Split",ev_cost/MAX(1,COUNTA(Roster!$A$5:$A$204)),ev_cost/MAX(1,attendees))),"N/A"))</f>
        <v/>
      </c>
    </row>
    <row r="865" ht="20" customHeight="1">
      <c r="A865" s="16" t="n"/>
      <c r="B865" s="14" t="n"/>
      <c r="C865" s="14" t="n"/>
      <c r="D865" s="14" t="n"/>
      <c r="E865" s="14" t="n"/>
      <c r="F865" s="17" t="n"/>
      <c r="G865" s="14" t="n"/>
      <c r="H865" s="14" t="n"/>
      <c r="I865" s="14" t="n"/>
      <c r="J865" s="108">
        <f>IF(G865="","",IFERROR(LET(ev_cost,INDEX(Events!$G$5:$G$505,MATCH(G865,Events!$A$5:$A$505,0)),ev_split,INDEX(Events!$I$5:$I$505,MATCH(G865,Events!$A$5:$A$505,0)),att_offset,MATCH(G865,Attendance!$B$3:$AY$3,0),attendees,COUNTIF(INDEX(Attendance!$B$7:$AY$206,0,att_offset),"1"),IF(ev_split="Equal Split",ev_cost/MAX(1,COUNTA(Roster!$A$5:$A$204)),ev_cost/MAX(1,attendees))),"N/A"))</f>
        <v/>
      </c>
    </row>
    <row r="866" ht="20" customHeight="1">
      <c r="A866" s="12" t="n"/>
      <c r="B866" s="10" t="n"/>
      <c r="C866" s="10" t="n"/>
      <c r="D866" s="10" t="n"/>
      <c r="E866" s="10" t="n"/>
      <c r="F866" s="13" t="n"/>
      <c r="G866" s="10" t="n"/>
      <c r="H866" s="10" t="n"/>
      <c r="I866" s="10" t="n"/>
      <c r="J866" s="108">
        <f>IF(G866="","",IFERROR(LET(ev_cost,INDEX(Events!$G$5:$G$505,MATCH(G866,Events!$A$5:$A$505,0)),ev_split,INDEX(Events!$I$5:$I$505,MATCH(G866,Events!$A$5:$A$505,0)),att_offset,MATCH(G866,Attendance!$B$3:$AY$3,0),attendees,COUNTIF(INDEX(Attendance!$B$7:$AY$206,0,att_offset),"1"),IF(ev_split="Equal Split",ev_cost/MAX(1,COUNTA(Roster!$A$5:$A$204)),ev_cost/MAX(1,attendees))),"N/A"))</f>
        <v/>
      </c>
    </row>
    <row r="867" ht="20" customHeight="1">
      <c r="A867" s="16" t="n"/>
      <c r="B867" s="14" t="n"/>
      <c r="C867" s="14" t="n"/>
      <c r="D867" s="14" t="n"/>
      <c r="E867" s="14" t="n"/>
      <c r="F867" s="17" t="n"/>
      <c r="G867" s="14" t="n"/>
      <c r="H867" s="14" t="n"/>
      <c r="I867" s="14" t="n"/>
      <c r="J867" s="108">
        <f>IF(G867="","",IFERROR(LET(ev_cost,INDEX(Events!$G$5:$G$505,MATCH(G867,Events!$A$5:$A$505,0)),ev_split,INDEX(Events!$I$5:$I$505,MATCH(G867,Events!$A$5:$A$505,0)),att_offset,MATCH(G867,Attendance!$B$3:$AY$3,0),attendees,COUNTIF(INDEX(Attendance!$B$7:$AY$206,0,att_offset),"1"),IF(ev_split="Equal Split",ev_cost/MAX(1,COUNTA(Roster!$A$5:$A$204)),ev_cost/MAX(1,attendees))),"N/A"))</f>
        <v/>
      </c>
    </row>
    <row r="868" ht="20" customHeight="1">
      <c r="A868" s="12" t="n"/>
      <c r="B868" s="10" t="n"/>
      <c r="C868" s="10" t="n"/>
      <c r="D868" s="10" t="n"/>
      <c r="E868" s="10" t="n"/>
      <c r="F868" s="13" t="n"/>
      <c r="G868" s="10" t="n"/>
      <c r="H868" s="10" t="n"/>
      <c r="I868" s="10" t="n"/>
      <c r="J868" s="108">
        <f>IF(G868="","",IFERROR(LET(ev_cost,INDEX(Events!$G$5:$G$505,MATCH(G868,Events!$A$5:$A$505,0)),ev_split,INDEX(Events!$I$5:$I$505,MATCH(G868,Events!$A$5:$A$505,0)),att_offset,MATCH(G868,Attendance!$B$3:$AY$3,0),attendees,COUNTIF(INDEX(Attendance!$B$7:$AY$206,0,att_offset),"1"),IF(ev_split="Equal Split",ev_cost/MAX(1,COUNTA(Roster!$A$5:$A$204)),ev_cost/MAX(1,attendees))),"N/A"))</f>
        <v/>
      </c>
    </row>
    <row r="869" ht="20" customHeight="1">
      <c r="A869" s="16" t="n"/>
      <c r="B869" s="14" t="n"/>
      <c r="C869" s="14" t="n"/>
      <c r="D869" s="14" t="n"/>
      <c r="E869" s="14" t="n"/>
      <c r="F869" s="17" t="n"/>
      <c r="G869" s="14" t="n"/>
      <c r="H869" s="14" t="n"/>
      <c r="I869" s="14" t="n"/>
      <c r="J869" s="108">
        <f>IF(G869="","",IFERROR(LET(ev_cost,INDEX(Events!$G$5:$G$505,MATCH(G869,Events!$A$5:$A$505,0)),ev_split,INDEX(Events!$I$5:$I$505,MATCH(G869,Events!$A$5:$A$505,0)),att_offset,MATCH(G869,Attendance!$B$3:$AY$3,0),attendees,COUNTIF(INDEX(Attendance!$B$7:$AY$206,0,att_offset),"1"),IF(ev_split="Equal Split",ev_cost/MAX(1,COUNTA(Roster!$A$5:$A$204)),ev_cost/MAX(1,attendees))),"N/A"))</f>
        <v/>
      </c>
    </row>
    <row r="870" ht="20" customHeight="1">
      <c r="A870" s="12" t="n"/>
      <c r="B870" s="10" t="n"/>
      <c r="C870" s="10" t="n"/>
      <c r="D870" s="10" t="n"/>
      <c r="E870" s="10" t="n"/>
      <c r="F870" s="13" t="n"/>
      <c r="G870" s="10" t="n"/>
      <c r="H870" s="10" t="n"/>
      <c r="I870" s="10" t="n"/>
      <c r="J870" s="108">
        <f>IF(G870="","",IFERROR(LET(ev_cost,INDEX(Events!$G$5:$G$505,MATCH(G870,Events!$A$5:$A$505,0)),ev_split,INDEX(Events!$I$5:$I$505,MATCH(G870,Events!$A$5:$A$505,0)),att_offset,MATCH(G870,Attendance!$B$3:$AY$3,0),attendees,COUNTIF(INDEX(Attendance!$B$7:$AY$206,0,att_offset),"1"),IF(ev_split="Equal Split",ev_cost/MAX(1,COUNTA(Roster!$A$5:$A$204)),ev_cost/MAX(1,attendees))),"N/A"))</f>
        <v/>
      </c>
    </row>
    <row r="871" ht="20" customHeight="1">
      <c r="A871" s="16" t="n"/>
      <c r="B871" s="14" t="n"/>
      <c r="C871" s="14" t="n"/>
      <c r="D871" s="14" t="n"/>
      <c r="E871" s="14" t="n"/>
      <c r="F871" s="17" t="n"/>
      <c r="G871" s="14" t="n"/>
      <c r="H871" s="14" t="n"/>
      <c r="I871" s="14" t="n"/>
      <c r="J871" s="108">
        <f>IF(G871="","",IFERROR(LET(ev_cost,INDEX(Events!$G$5:$G$505,MATCH(G871,Events!$A$5:$A$505,0)),ev_split,INDEX(Events!$I$5:$I$505,MATCH(G871,Events!$A$5:$A$505,0)),att_offset,MATCH(G871,Attendance!$B$3:$AY$3,0),attendees,COUNTIF(INDEX(Attendance!$B$7:$AY$206,0,att_offset),"1"),IF(ev_split="Equal Split",ev_cost/MAX(1,COUNTA(Roster!$A$5:$A$204)),ev_cost/MAX(1,attendees))),"N/A"))</f>
        <v/>
      </c>
    </row>
    <row r="872" ht="20" customHeight="1">
      <c r="A872" s="12" t="n"/>
      <c r="B872" s="10" t="n"/>
      <c r="C872" s="10" t="n"/>
      <c r="D872" s="10" t="n"/>
      <c r="E872" s="10" t="n"/>
      <c r="F872" s="13" t="n"/>
      <c r="G872" s="10" t="n"/>
      <c r="H872" s="10" t="n"/>
      <c r="I872" s="10" t="n"/>
      <c r="J872" s="108">
        <f>IF(G872="","",IFERROR(LET(ev_cost,INDEX(Events!$G$5:$G$505,MATCH(G872,Events!$A$5:$A$505,0)),ev_split,INDEX(Events!$I$5:$I$505,MATCH(G872,Events!$A$5:$A$505,0)),att_offset,MATCH(G872,Attendance!$B$3:$AY$3,0),attendees,COUNTIF(INDEX(Attendance!$B$7:$AY$206,0,att_offset),"1"),IF(ev_split="Equal Split",ev_cost/MAX(1,COUNTA(Roster!$A$5:$A$204)),ev_cost/MAX(1,attendees))),"N/A"))</f>
        <v/>
      </c>
    </row>
    <row r="873" ht="20" customHeight="1">
      <c r="A873" s="16" t="n"/>
      <c r="B873" s="14" t="n"/>
      <c r="C873" s="14" t="n"/>
      <c r="D873" s="14" t="n"/>
      <c r="E873" s="14" t="n"/>
      <c r="F873" s="17" t="n"/>
      <c r="G873" s="14" t="n"/>
      <c r="H873" s="14" t="n"/>
      <c r="I873" s="14" t="n"/>
      <c r="J873" s="108">
        <f>IF(G873="","",IFERROR(LET(ev_cost,INDEX(Events!$G$5:$G$505,MATCH(G873,Events!$A$5:$A$505,0)),ev_split,INDEX(Events!$I$5:$I$505,MATCH(G873,Events!$A$5:$A$505,0)),att_offset,MATCH(G873,Attendance!$B$3:$AY$3,0),attendees,COUNTIF(INDEX(Attendance!$B$7:$AY$206,0,att_offset),"1"),IF(ev_split="Equal Split",ev_cost/MAX(1,COUNTA(Roster!$A$5:$A$204)),ev_cost/MAX(1,attendees))),"N/A"))</f>
        <v/>
      </c>
    </row>
    <row r="874" ht="20" customHeight="1">
      <c r="A874" s="12" t="n"/>
      <c r="B874" s="10" t="n"/>
      <c r="C874" s="10" t="n"/>
      <c r="D874" s="10" t="n"/>
      <c r="E874" s="10" t="n"/>
      <c r="F874" s="13" t="n"/>
      <c r="G874" s="10" t="n"/>
      <c r="H874" s="10" t="n"/>
      <c r="I874" s="10" t="n"/>
      <c r="J874" s="108">
        <f>IF(G874="","",IFERROR(LET(ev_cost,INDEX(Events!$G$5:$G$505,MATCH(G874,Events!$A$5:$A$505,0)),ev_split,INDEX(Events!$I$5:$I$505,MATCH(G874,Events!$A$5:$A$505,0)),att_offset,MATCH(G874,Attendance!$B$3:$AY$3,0),attendees,COUNTIF(INDEX(Attendance!$B$7:$AY$206,0,att_offset),"1"),IF(ev_split="Equal Split",ev_cost/MAX(1,COUNTA(Roster!$A$5:$A$204)),ev_cost/MAX(1,attendees))),"N/A"))</f>
        <v/>
      </c>
    </row>
    <row r="875" ht="20" customHeight="1">
      <c r="A875" s="16" t="n"/>
      <c r="B875" s="14" t="n"/>
      <c r="C875" s="14" t="n"/>
      <c r="D875" s="14" t="n"/>
      <c r="E875" s="14" t="n"/>
      <c r="F875" s="17" t="n"/>
      <c r="G875" s="14" t="n"/>
      <c r="H875" s="14" t="n"/>
      <c r="I875" s="14" t="n"/>
      <c r="J875" s="108">
        <f>IF(G875="","",IFERROR(LET(ev_cost,INDEX(Events!$G$5:$G$505,MATCH(G875,Events!$A$5:$A$505,0)),ev_split,INDEX(Events!$I$5:$I$505,MATCH(G875,Events!$A$5:$A$505,0)),att_offset,MATCH(G875,Attendance!$B$3:$AY$3,0),attendees,COUNTIF(INDEX(Attendance!$B$7:$AY$206,0,att_offset),"1"),IF(ev_split="Equal Split",ev_cost/MAX(1,COUNTA(Roster!$A$5:$A$204)),ev_cost/MAX(1,attendees))),"N/A"))</f>
        <v/>
      </c>
    </row>
    <row r="876" ht="20" customHeight="1">
      <c r="A876" s="12" t="n"/>
      <c r="B876" s="10" t="n"/>
      <c r="C876" s="10" t="n"/>
      <c r="D876" s="10" t="n"/>
      <c r="E876" s="10" t="n"/>
      <c r="F876" s="13" t="n"/>
      <c r="G876" s="10" t="n"/>
      <c r="H876" s="10" t="n"/>
      <c r="I876" s="10" t="n"/>
      <c r="J876" s="108">
        <f>IF(G876="","",IFERROR(LET(ev_cost,INDEX(Events!$G$5:$G$505,MATCH(G876,Events!$A$5:$A$505,0)),ev_split,INDEX(Events!$I$5:$I$505,MATCH(G876,Events!$A$5:$A$505,0)),att_offset,MATCH(G876,Attendance!$B$3:$AY$3,0),attendees,COUNTIF(INDEX(Attendance!$B$7:$AY$206,0,att_offset),"1"),IF(ev_split="Equal Split",ev_cost/MAX(1,COUNTA(Roster!$A$5:$A$204)),ev_cost/MAX(1,attendees))),"N/A"))</f>
        <v/>
      </c>
    </row>
    <row r="877" ht="20" customHeight="1">
      <c r="A877" s="16" t="n"/>
      <c r="B877" s="14" t="n"/>
      <c r="C877" s="14" t="n"/>
      <c r="D877" s="14" t="n"/>
      <c r="E877" s="14" t="n"/>
      <c r="F877" s="17" t="n"/>
      <c r="G877" s="14" t="n"/>
      <c r="H877" s="14" t="n"/>
      <c r="I877" s="14" t="n"/>
      <c r="J877" s="108">
        <f>IF(G877="","",IFERROR(LET(ev_cost,INDEX(Events!$G$5:$G$505,MATCH(G877,Events!$A$5:$A$505,0)),ev_split,INDEX(Events!$I$5:$I$505,MATCH(G877,Events!$A$5:$A$505,0)),att_offset,MATCH(G877,Attendance!$B$3:$AY$3,0),attendees,COUNTIF(INDEX(Attendance!$B$7:$AY$206,0,att_offset),"1"),IF(ev_split="Equal Split",ev_cost/MAX(1,COUNTA(Roster!$A$5:$A$204)),ev_cost/MAX(1,attendees))),"N/A"))</f>
        <v/>
      </c>
    </row>
    <row r="878" ht="20" customHeight="1">
      <c r="A878" s="12" t="n"/>
      <c r="B878" s="10" t="n"/>
      <c r="C878" s="10" t="n"/>
      <c r="D878" s="10" t="n"/>
      <c r="E878" s="10" t="n"/>
      <c r="F878" s="13" t="n"/>
      <c r="G878" s="10" t="n"/>
      <c r="H878" s="10" t="n"/>
      <c r="I878" s="10" t="n"/>
      <c r="J878" s="108">
        <f>IF(G878="","",IFERROR(LET(ev_cost,INDEX(Events!$G$5:$G$505,MATCH(G878,Events!$A$5:$A$505,0)),ev_split,INDEX(Events!$I$5:$I$505,MATCH(G878,Events!$A$5:$A$505,0)),att_offset,MATCH(G878,Attendance!$B$3:$AY$3,0),attendees,COUNTIF(INDEX(Attendance!$B$7:$AY$206,0,att_offset),"1"),IF(ev_split="Equal Split",ev_cost/MAX(1,COUNTA(Roster!$A$5:$A$204)),ev_cost/MAX(1,attendees))),"N/A"))</f>
        <v/>
      </c>
    </row>
    <row r="879" ht="20" customHeight="1">
      <c r="A879" s="16" t="n"/>
      <c r="B879" s="14" t="n"/>
      <c r="C879" s="14" t="n"/>
      <c r="D879" s="14" t="n"/>
      <c r="E879" s="14" t="n"/>
      <c r="F879" s="17" t="n"/>
      <c r="G879" s="14" t="n"/>
      <c r="H879" s="14" t="n"/>
      <c r="I879" s="14" t="n"/>
      <c r="J879" s="108">
        <f>IF(G879="","",IFERROR(LET(ev_cost,INDEX(Events!$G$5:$G$505,MATCH(G879,Events!$A$5:$A$505,0)),ev_split,INDEX(Events!$I$5:$I$505,MATCH(G879,Events!$A$5:$A$505,0)),att_offset,MATCH(G879,Attendance!$B$3:$AY$3,0),attendees,COUNTIF(INDEX(Attendance!$B$7:$AY$206,0,att_offset),"1"),IF(ev_split="Equal Split",ev_cost/MAX(1,COUNTA(Roster!$A$5:$A$204)),ev_cost/MAX(1,attendees))),"N/A"))</f>
        <v/>
      </c>
    </row>
    <row r="880" ht="20" customHeight="1">
      <c r="A880" s="12" t="n"/>
      <c r="B880" s="10" t="n"/>
      <c r="C880" s="10" t="n"/>
      <c r="D880" s="10" t="n"/>
      <c r="E880" s="10" t="n"/>
      <c r="F880" s="13" t="n"/>
      <c r="G880" s="10" t="n"/>
      <c r="H880" s="10" t="n"/>
      <c r="I880" s="10" t="n"/>
      <c r="J880" s="108">
        <f>IF(G880="","",IFERROR(LET(ev_cost,INDEX(Events!$G$5:$G$505,MATCH(G880,Events!$A$5:$A$505,0)),ev_split,INDEX(Events!$I$5:$I$505,MATCH(G880,Events!$A$5:$A$505,0)),att_offset,MATCH(G880,Attendance!$B$3:$AY$3,0),attendees,COUNTIF(INDEX(Attendance!$B$7:$AY$206,0,att_offset),"1"),IF(ev_split="Equal Split",ev_cost/MAX(1,COUNTA(Roster!$A$5:$A$204)),ev_cost/MAX(1,attendees))),"N/A"))</f>
        <v/>
      </c>
    </row>
    <row r="881" ht="20" customHeight="1">
      <c r="A881" s="16" t="n"/>
      <c r="B881" s="14" t="n"/>
      <c r="C881" s="14" t="n"/>
      <c r="D881" s="14" t="n"/>
      <c r="E881" s="14" t="n"/>
      <c r="F881" s="17" t="n"/>
      <c r="G881" s="14" t="n"/>
      <c r="H881" s="14" t="n"/>
      <c r="I881" s="14" t="n"/>
      <c r="J881" s="108">
        <f>IF(G881="","",IFERROR(LET(ev_cost,INDEX(Events!$G$5:$G$505,MATCH(G881,Events!$A$5:$A$505,0)),ev_split,INDEX(Events!$I$5:$I$505,MATCH(G881,Events!$A$5:$A$505,0)),att_offset,MATCH(G881,Attendance!$B$3:$AY$3,0),attendees,COUNTIF(INDEX(Attendance!$B$7:$AY$206,0,att_offset),"1"),IF(ev_split="Equal Split",ev_cost/MAX(1,COUNTA(Roster!$A$5:$A$204)),ev_cost/MAX(1,attendees))),"N/A"))</f>
        <v/>
      </c>
    </row>
    <row r="882" ht="20" customHeight="1">
      <c r="A882" s="12" t="n"/>
      <c r="B882" s="10" t="n"/>
      <c r="C882" s="10" t="n"/>
      <c r="D882" s="10" t="n"/>
      <c r="E882" s="10" t="n"/>
      <c r="F882" s="13" t="n"/>
      <c r="G882" s="10" t="n"/>
      <c r="H882" s="10" t="n"/>
      <c r="I882" s="10" t="n"/>
      <c r="J882" s="108">
        <f>IF(G882="","",IFERROR(LET(ev_cost,INDEX(Events!$G$5:$G$505,MATCH(G882,Events!$A$5:$A$505,0)),ev_split,INDEX(Events!$I$5:$I$505,MATCH(G882,Events!$A$5:$A$505,0)),att_offset,MATCH(G882,Attendance!$B$3:$AY$3,0),attendees,COUNTIF(INDEX(Attendance!$B$7:$AY$206,0,att_offset),"1"),IF(ev_split="Equal Split",ev_cost/MAX(1,COUNTA(Roster!$A$5:$A$204)),ev_cost/MAX(1,attendees))),"N/A"))</f>
        <v/>
      </c>
    </row>
    <row r="883" ht="20" customHeight="1">
      <c r="A883" s="16" t="n"/>
      <c r="B883" s="14" t="n"/>
      <c r="C883" s="14" t="n"/>
      <c r="D883" s="14" t="n"/>
      <c r="E883" s="14" t="n"/>
      <c r="F883" s="17" t="n"/>
      <c r="G883" s="14" t="n"/>
      <c r="H883" s="14" t="n"/>
      <c r="I883" s="14" t="n"/>
      <c r="J883" s="108">
        <f>IF(G883="","",IFERROR(LET(ev_cost,INDEX(Events!$G$5:$G$505,MATCH(G883,Events!$A$5:$A$505,0)),ev_split,INDEX(Events!$I$5:$I$505,MATCH(G883,Events!$A$5:$A$505,0)),att_offset,MATCH(G883,Attendance!$B$3:$AY$3,0),attendees,COUNTIF(INDEX(Attendance!$B$7:$AY$206,0,att_offset),"1"),IF(ev_split="Equal Split",ev_cost/MAX(1,COUNTA(Roster!$A$5:$A$204)),ev_cost/MAX(1,attendees))),"N/A"))</f>
        <v/>
      </c>
    </row>
    <row r="884" ht="20" customHeight="1">
      <c r="A884" s="12" t="n"/>
      <c r="B884" s="10" t="n"/>
      <c r="C884" s="10" t="n"/>
      <c r="D884" s="10" t="n"/>
      <c r="E884" s="10" t="n"/>
      <c r="F884" s="13" t="n"/>
      <c r="G884" s="10" t="n"/>
      <c r="H884" s="10" t="n"/>
      <c r="I884" s="10" t="n"/>
      <c r="J884" s="108">
        <f>IF(G884="","",IFERROR(LET(ev_cost,INDEX(Events!$G$5:$G$505,MATCH(G884,Events!$A$5:$A$505,0)),ev_split,INDEX(Events!$I$5:$I$505,MATCH(G884,Events!$A$5:$A$505,0)),att_offset,MATCH(G884,Attendance!$B$3:$AY$3,0),attendees,COUNTIF(INDEX(Attendance!$B$7:$AY$206,0,att_offset),"1"),IF(ev_split="Equal Split",ev_cost/MAX(1,COUNTA(Roster!$A$5:$A$204)),ev_cost/MAX(1,attendees))),"N/A"))</f>
        <v/>
      </c>
    </row>
    <row r="885" ht="20" customHeight="1">
      <c r="A885" s="16" t="n"/>
      <c r="B885" s="14" t="n"/>
      <c r="C885" s="14" t="n"/>
      <c r="D885" s="14" t="n"/>
      <c r="E885" s="14" t="n"/>
      <c r="F885" s="17" t="n"/>
      <c r="G885" s="14" t="n"/>
      <c r="H885" s="14" t="n"/>
      <c r="I885" s="14" t="n"/>
      <c r="J885" s="108">
        <f>IF(G885="","",IFERROR(LET(ev_cost,INDEX(Events!$G$5:$G$505,MATCH(G885,Events!$A$5:$A$505,0)),ev_split,INDEX(Events!$I$5:$I$505,MATCH(G885,Events!$A$5:$A$505,0)),att_offset,MATCH(G885,Attendance!$B$3:$AY$3,0),attendees,COUNTIF(INDEX(Attendance!$B$7:$AY$206,0,att_offset),"1"),IF(ev_split="Equal Split",ev_cost/MAX(1,COUNTA(Roster!$A$5:$A$204)),ev_cost/MAX(1,attendees))),"N/A"))</f>
        <v/>
      </c>
    </row>
    <row r="886" ht="20" customHeight="1">
      <c r="A886" s="12" t="n"/>
      <c r="B886" s="10" t="n"/>
      <c r="C886" s="10" t="n"/>
      <c r="D886" s="10" t="n"/>
      <c r="E886" s="10" t="n"/>
      <c r="F886" s="13" t="n"/>
      <c r="G886" s="10" t="n"/>
      <c r="H886" s="10" t="n"/>
      <c r="I886" s="10" t="n"/>
      <c r="J886" s="108">
        <f>IF(G886="","",IFERROR(LET(ev_cost,INDEX(Events!$G$5:$G$505,MATCH(G886,Events!$A$5:$A$505,0)),ev_split,INDEX(Events!$I$5:$I$505,MATCH(G886,Events!$A$5:$A$505,0)),att_offset,MATCH(G886,Attendance!$B$3:$AY$3,0),attendees,COUNTIF(INDEX(Attendance!$B$7:$AY$206,0,att_offset),"1"),IF(ev_split="Equal Split",ev_cost/MAX(1,COUNTA(Roster!$A$5:$A$204)),ev_cost/MAX(1,attendees))),"N/A"))</f>
        <v/>
      </c>
    </row>
    <row r="887" ht="20" customHeight="1">
      <c r="A887" s="16" t="n"/>
      <c r="B887" s="14" t="n"/>
      <c r="C887" s="14" t="n"/>
      <c r="D887" s="14" t="n"/>
      <c r="E887" s="14" t="n"/>
      <c r="F887" s="17" t="n"/>
      <c r="G887" s="14" t="n"/>
      <c r="H887" s="14" t="n"/>
      <c r="I887" s="14" t="n"/>
      <c r="J887" s="108">
        <f>IF(G887="","",IFERROR(LET(ev_cost,INDEX(Events!$G$5:$G$505,MATCH(G887,Events!$A$5:$A$505,0)),ev_split,INDEX(Events!$I$5:$I$505,MATCH(G887,Events!$A$5:$A$505,0)),att_offset,MATCH(G887,Attendance!$B$3:$AY$3,0),attendees,COUNTIF(INDEX(Attendance!$B$7:$AY$206,0,att_offset),"1"),IF(ev_split="Equal Split",ev_cost/MAX(1,COUNTA(Roster!$A$5:$A$204)),ev_cost/MAX(1,attendees))),"N/A"))</f>
        <v/>
      </c>
    </row>
    <row r="888" ht="20" customHeight="1">
      <c r="A888" s="12" t="n"/>
      <c r="B888" s="10" t="n"/>
      <c r="C888" s="10" t="n"/>
      <c r="D888" s="10" t="n"/>
      <c r="E888" s="10" t="n"/>
      <c r="F888" s="13" t="n"/>
      <c r="G888" s="10" t="n"/>
      <c r="H888" s="10" t="n"/>
      <c r="I888" s="10" t="n"/>
      <c r="J888" s="108">
        <f>IF(G888="","",IFERROR(LET(ev_cost,INDEX(Events!$G$5:$G$505,MATCH(G888,Events!$A$5:$A$505,0)),ev_split,INDEX(Events!$I$5:$I$505,MATCH(G888,Events!$A$5:$A$505,0)),att_offset,MATCH(G888,Attendance!$B$3:$AY$3,0),attendees,COUNTIF(INDEX(Attendance!$B$7:$AY$206,0,att_offset),"1"),IF(ev_split="Equal Split",ev_cost/MAX(1,COUNTA(Roster!$A$5:$A$204)),ev_cost/MAX(1,attendees))),"N/A"))</f>
        <v/>
      </c>
    </row>
    <row r="889" ht="20" customHeight="1">
      <c r="A889" s="16" t="n"/>
      <c r="B889" s="14" t="n"/>
      <c r="C889" s="14" t="n"/>
      <c r="D889" s="14" t="n"/>
      <c r="E889" s="14" t="n"/>
      <c r="F889" s="17" t="n"/>
      <c r="G889" s="14" t="n"/>
      <c r="H889" s="14" t="n"/>
      <c r="I889" s="14" t="n"/>
      <c r="J889" s="108">
        <f>IF(G889="","",IFERROR(LET(ev_cost,INDEX(Events!$G$5:$G$505,MATCH(G889,Events!$A$5:$A$505,0)),ev_split,INDEX(Events!$I$5:$I$505,MATCH(G889,Events!$A$5:$A$505,0)),att_offset,MATCH(G889,Attendance!$B$3:$AY$3,0),attendees,COUNTIF(INDEX(Attendance!$B$7:$AY$206,0,att_offset),"1"),IF(ev_split="Equal Split",ev_cost/MAX(1,COUNTA(Roster!$A$5:$A$204)),ev_cost/MAX(1,attendees))),"N/A"))</f>
        <v/>
      </c>
    </row>
    <row r="890" ht="20" customHeight="1">
      <c r="A890" s="12" t="n"/>
      <c r="B890" s="10" t="n"/>
      <c r="C890" s="10" t="n"/>
      <c r="D890" s="10" t="n"/>
      <c r="E890" s="10" t="n"/>
      <c r="F890" s="13" t="n"/>
      <c r="G890" s="10" t="n"/>
      <c r="H890" s="10" t="n"/>
      <c r="I890" s="10" t="n"/>
      <c r="J890" s="108">
        <f>IF(G890="","",IFERROR(LET(ev_cost,INDEX(Events!$G$5:$G$505,MATCH(G890,Events!$A$5:$A$505,0)),ev_split,INDEX(Events!$I$5:$I$505,MATCH(G890,Events!$A$5:$A$505,0)),att_offset,MATCH(G890,Attendance!$B$3:$AY$3,0),attendees,COUNTIF(INDEX(Attendance!$B$7:$AY$206,0,att_offset),"1"),IF(ev_split="Equal Split",ev_cost/MAX(1,COUNTA(Roster!$A$5:$A$204)),ev_cost/MAX(1,attendees))),"N/A"))</f>
        <v/>
      </c>
    </row>
    <row r="891" ht="20" customHeight="1">
      <c r="A891" s="16" t="n"/>
      <c r="B891" s="14" t="n"/>
      <c r="C891" s="14" t="n"/>
      <c r="D891" s="14" t="n"/>
      <c r="E891" s="14" t="n"/>
      <c r="F891" s="17" t="n"/>
      <c r="G891" s="14" t="n"/>
      <c r="H891" s="14" t="n"/>
      <c r="I891" s="14" t="n"/>
      <c r="J891" s="108">
        <f>IF(G891="","",IFERROR(LET(ev_cost,INDEX(Events!$G$5:$G$505,MATCH(G891,Events!$A$5:$A$505,0)),ev_split,INDEX(Events!$I$5:$I$505,MATCH(G891,Events!$A$5:$A$505,0)),att_offset,MATCH(G891,Attendance!$B$3:$AY$3,0),attendees,COUNTIF(INDEX(Attendance!$B$7:$AY$206,0,att_offset),"1"),IF(ev_split="Equal Split",ev_cost/MAX(1,COUNTA(Roster!$A$5:$A$204)),ev_cost/MAX(1,attendees))),"N/A"))</f>
        <v/>
      </c>
    </row>
    <row r="892" ht="20" customHeight="1">
      <c r="A892" s="12" t="n"/>
      <c r="B892" s="10" t="n"/>
      <c r="C892" s="10" t="n"/>
      <c r="D892" s="10" t="n"/>
      <c r="E892" s="10" t="n"/>
      <c r="F892" s="13" t="n"/>
      <c r="G892" s="10" t="n"/>
      <c r="H892" s="10" t="n"/>
      <c r="I892" s="10" t="n"/>
      <c r="J892" s="108">
        <f>IF(G892="","",IFERROR(LET(ev_cost,INDEX(Events!$G$5:$G$505,MATCH(G892,Events!$A$5:$A$505,0)),ev_split,INDEX(Events!$I$5:$I$505,MATCH(G892,Events!$A$5:$A$505,0)),att_offset,MATCH(G892,Attendance!$B$3:$AY$3,0),attendees,COUNTIF(INDEX(Attendance!$B$7:$AY$206,0,att_offset),"1"),IF(ev_split="Equal Split",ev_cost/MAX(1,COUNTA(Roster!$A$5:$A$204)),ev_cost/MAX(1,attendees))),"N/A"))</f>
        <v/>
      </c>
    </row>
    <row r="893" ht="20" customHeight="1">
      <c r="A893" s="16" t="n"/>
      <c r="B893" s="14" t="n"/>
      <c r="C893" s="14" t="n"/>
      <c r="D893" s="14" t="n"/>
      <c r="E893" s="14" t="n"/>
      <c r="F893" s="17" t="n"/>
      <c r="G893" s="14" t="n"/>
      <c r="H893" s="14" t="n"/>
      <c r="I893" s="14" t="n"/>
      <c r="J893" s="108">
        <f>IF(G893="","",IFERROR(LET(ev_cost,INDEX(Events!$G$5:$G$505,MATCH(G893,Events!$A$5:$A$505,0)),ev_split,INDEX(Events!$I$5:$I$505,MATCH(G893,Events!$A$5:$A$505,0)),att_offset,MATCH(G893,Attendance!$B$3:$AY$3,0),attendees,COUNTIF(INDEX(Attendance!$B$7:$AY$206,0,att_offset),"1"),IF(ev_split="Equal Split",ev_cost/MAX(1,COUNTA(Roster!$A$5:$A$204)),ev_cost/MAX(1,attendees))),"N/A"))</f>
        <v/>
      </c>
    </row>
    <row r="894" ht="20" customHeight="1">
      <c r="A894" s="12" t="n"/>
      <c r="B894" s="10" t="n"/>
      <c r="C894" s="10" t="n"/>
      <c r="D894" s="10" t="n"/>
      <c r="E894" s="10" t="n"/>
      <c r="F894" s="13" t="n"/>
      <c r="G894" s="10" t="n"/>
      <c r="H894" s="10" t="n"/>
      <c r="I894" s="10" t="n"/>
      <c r="J894" s="108">
        <f>IF(G894="","",IFERROR(LET(ev_cost,INDEX(Events!$G$5:$G$505,MATCH(G894,Events!$A$5:$A$505,0)),ev_split,INDEX(Events!$I$5:$I$505,MATCH(G894,Events!$A$5:$A$505,0)),att_offset,MATCH(G894,Attendance!$B$3:$AY$3,0),attendees,COUNTIF(INDEX(Attendance!$B$7:$AY$206,0,att_offset),"1"),IF(ev_split="Equal Split",ev_cost/MAX(1,COUNTA(Roster!$A$5:$A$204)),ev_cost/MAX(1,attendees))),"N/A"))</f>
        <v/>
      </c>
    </row>
    <row r="895" ht="20" customHeight="1">
      <c r="A895" s="16" t="n"/>
      <c r="B895" s="14" t="n"/>
      <c r="C895" s="14" t="n"/>
      <c r="D895" s="14" t="n"/>
      <c r="E895" s="14" t="n"/>
      <c r="F895" s="17" t="n"/>
      <c r="G895" s="14" t="n"/>
      <c r="H895" s="14" t="n"/>
      <c r="I895" s="14" t="n"/>
      <c r="J895" s="108">
        <f>IF(G895="","",IFERROR(LET(ev_cost,INDEX(Events!$G$5:$G$505,MATCH(G895,Events!$A$5:$A$505,0)),ev_split,INDEX(Events!$I$5:$I$505,MATCH(G895,Events!$A$5:$A$505,0)),att_offset,MATCH(G895,Attendance!$B$3:$AY$3,0),attendees,COUNTIF(INDEX(Attendance!$B$7:$AY$206,0,att_offset),"1"),IF(ev_split="Equal Split",ev_cost/MAX(1,COUNTA(Roster!$A$5:$A$204)),ev_cost/MAX(1,attendees))),"N/A"))</f>
        <v/>
      </c>
    </row>
    <row r="896" ht="20" customHeight="1">
      <c r="A896" s="12" t="n"/>
      <c r="B896" s="10" t="n"/>
      <c r="C896" s="10" t="n"/>
      <c r="D896" s="10" t="n"/>
      <c r="E896" s="10" t="n"/>
      <c r="F896" s="13" t="n"/>
      <c r="G896" s="10" t="n"/>
      <c r="H896" s="10" t="n"/>
      <c r="I896" s="10" t="n"/>
      <c r="J896" s="108">
        <f>IF(G896="","",IFERROR(LET(ev_cost,INDEX(Events!$G$5:$G$505,MATCH(G896,Events!$A$5:$A$505,0)),ev_split,INDEX(Events!$I$5:$I$505,MATCH(G896,Events!$A$5:$A$505,0)),att_offset,MATCH(G896,Attendance!$B$3:$AY$3,0),attendees,COUNTIF(INDEX(Attendance!$B$7:$AY$206,0,att_offset),"1"),IF(ev_split="Equal Split",ev_cost/MAX(1,COUNTA(Roster!$A$5:$A$204)),ev_cost/MAX(1,attendees))),"N/A"))</f>
        <v/>
      </c>
    </row>
    <row r="897" ht="20" customHeight="1">
      <c r="A897" s="16" t="n"/>
      <c r="B897" s="14" t="n"/>
      <c r="C897" s="14" t="n"/>
      <c r="D897" s="14" t="n"/>
      <c r="E897" s="14" t="n"/>
      <c r="F897" s="17" t="n"/>
      <c r="G897" s="14" t="n"/>
      <c r="H897" s="14" t="n"/>
      <c r="I897" s="14" t="n"/>
      <c r="J897" s="108">
        <f>IF(G897="","",IFERROR(LET(ev_cost,INDEX(Events!$G$5:$G$505,MATCH(G897,Events!$A$5:$A$505,0)),ev_split,INDEX(Events!$I$5:$I$505,MATCH(G897,Events!$A$5:$A$505,0)),att_offset,MATCH(G897,Attendance!$B$3:$AY$3,0),attendees,COUNTIF(INDEX(Attendance!$B$7:$AY$206,0,att_offset),"1"),IF(ev_split="Equal Split",ev_cost/MAX(1,COUNTA(Roster!$A$5:$A$204)),ev_cost/MAX(1,attendees))),"N/A"))</f>
        <v/>
      </c>
    </row>
    <row r="898" ht="20" customHeight="1">
      <c r="A898" s="12" t="n"/>
      <c r="B898" s="10" t="n"/>
      <c r="C898" s="10" t="n"/>
      <c r="D898" s="10" t="n"/>
      <c r="E898" s="10" t="n"/>
      <c r="F898" s="13" t="n"/>
      <c r="G898" s="10" t="n"/>
      <c r="H898" s="10" t="n"/>
      <c r="I898" s="10" t="n"/>
      <c r="J898" s="108">
        <f>IF(G898="","",IFERROR(LET(ev_cost,INDEX(Events!$G$5:$G$505,MATCH(G898,Events!$A$5:$A$505,0)),ev_split,INDEX(Events!$I$5:$I$505,MATCH(G898,Events!$A$5:$A$505,0)),att_offset,MATCH(G898,Attendance!$B$3:$AY$3,0),attendees,COUNTIF(INDEX(Attendance!$B$7:$AY$206,0,att_offset),"1"),IF(ev_split="Equal Split",ev_cost/MAX(1,COUNTA(Roster!$A$5:$A$204)),ev_cost/MAX(1,attendees))),"N/A"))</f>
        <v/>
      </c>
    </row>
    <row r="899" ht="20" customHeight="1">
      <c r="A899" s="16" t="n"/>
      <c r="B899" s="14" t="n"/>
      <c r="C899" s="14" t="n"/>
      <c r="D899" s="14" t="n"/>
      <c r="E899" s="14" t="n"/>
      <c r="F899" s="17" t="n"/>
      <c r="G899" s="14" t="n"/>
      <c r="H899" s="14" t="n"/>
      <c r="I899" s="14" t="n"/>
      <c r="J899" s="108">
        <f>IF(G899="","",IFERROR(LET(ev_cost,INDEX(Events!$G$5:$G$505,MATCH(G899,Events!$A$5:$A$505,0)),ev_split,INDEX(Events!$I$5:$I$505,MATCH(G899,Events!$A$5:$A$505,0)),att_offset,MATCH(G899,Attendance!$B$3:$AY$3,0),attendees,COUNTIF(INDEX(Attendance!$B$7:$AY$206,0,att_offset),"1"),IF(ev_split="Equal Split",ev_cost/MAX(1,COUNTA(Roster!$A$5:$A$204)),ev_cost/MAX(1,attendees))),"N/A"))</f>
        <v/>
      </c>
    </row>
    <row r="900" ht="20" customHeight="1">
      <c r="A900" s="12" t="n"/>
      <c r="B900" s="10" t="n"/>
      <c r="C900" s="10" t="n"/>
      <c r="D900" s="10" t="n"/>
      <c r="E900" s="10" t="n"/>
      <c r="F900" s="13" t="n"/>
      <c r="G900" s="10" t="n"/>
      <c r="H900" s="10" t="n"/>
      <c r="I900" s="10" t="n"/>
      <c r="J900" s="108">
        <f>IF(G900="","",IFERROR(LET(ev_cost,INDEX(Events!$G$5:$G$505,MATCH(G900,Events!$A$5:$A$505,0)),ev_split,INDEX(Events!$I$5:$I$505,MATCH(G900,Events!$A$5:$A$505,0)),att_offset,MATCH(G900,Attendance!$B$3:$AY$3,0),attendees,COUNTIF(INDEX(Attendance!$B$7:$AY$206,0,att_offset),"1"),IF(ev_split="Equal Split",ev_cost/MAX(1,COUNTA(Roster!$A$5:$A$204)),ev_cost/MAX(1,attendees))),"N/A"))</f>
        <v/>
      </c>
    </row>
    <row r="901" ht="20" customHeight="1">
      <c r="A901" s="16" t="n"/>
      <c r="B901" s="14" t="n"/>
      <c r="C901" s="14" t="n"/>
      <c r="D901" s="14" t="n"/>
      <c r="E901" s="14" t="n"/>
      <c r="F901" s="17" t="n"/>
      <c r="G901" s="14" t="n"/>
      <c r="H901" s="14" t="n"/>
      <c r="I901" s="14" t="n"/>
      <c r="J901" s="108">
        <f>IF(G901="","",IFERROR(LET(ev_cost,INDEX(Events!$G$5:$G$505,MATCH(G901,Events!$A$5:$A$505,0)),ev_split,INDEX(Events!$I$5:$I$505,MATCH(G901,Events!$A$5:$A$505,0)),att_offset,MATCH(G901,Attendance!$B$3:$AY$3,0),attendees,COUNTIF(INDEX(Attendance!$B$7:$AY$206,0,att_offset),"1"),IF(ev_split="Equal Split",ev_cost/MAX(1,COUNTA(Roster!$A$5:$A$204)),ev_cost/MAX(1,attendees))),"N/A"))</f>
        <v/>
      </c>
    </row>
    <row r="902" ht="20" customHeight="1">
      <c r="A902" s="12" t="n"/>
      <c r="B902" s="10" t="n"/>
      <c r="C902" s="10" t="n"/>
      <c r="D902" s="10" t="n"/>
      <c r="E902" s="10" t="n"/>
      <c r="F902" s="13" t="n"/>
      <c r="G902" s="10" t="n"/>
      <c r="H902" s="10" t="n"/>
      <c r="I902" s="10" t="n"/>
      <c r="J902" s="108">
        <f>IF(G902="","",IFERROR(LET(ev_cost,INDEX(Events!$G$5:$G$505,MATCH(G902,Events!$A$5:$A$505,0)),ev_split,INDEX(Events!$I$5:$I$505,MATCH(G902,Events!$A$5:$A$505,0)),att_offset,MATCH(G902,Attendance!$B$3:$AY$3,0),attendees,COUNTIF(INDEX(Attendance!$B$7:$AY$206,0,att_offset),"1"),IF(ev_split="Equal Split",ev_cost/MAX(1,COUNTA(Roster!$A$5:$A$204)),ev_cost/MAX(1,attendees))),"N/A"))</f>
        <v/>
      </c>
    </row>
    <row r="903" ht="20" customHeight="1">
      <c r="A903" s="16" t="n"/>
      <c r="B903" s="14" t="n"/>
      <c r="C903" s="14" t="n"/>
      <c r="D903" s="14" t="n"/>
      <c r="E903" s="14" t="n"/>
      <c r="F903" s="17" t="n"/>
      <c r="G903" s="14" t="n"/>
      <c r="H903" s="14" t="n"/>
      <c r="I903" s="14" t="n"/>
      <c r="J903" s="108">
        <f>IF(G903="","",IFERROR(LET(ev_cost,INDEX(Events!$G$5:$G$505,MATCH(G903,Events!$A$5:$A$505,0)),ev_split,INDEX(Events!$I$5:$I$505,MATCH(G903,Events!$A$5:$A$505,0)),att_offset,MATCH(G903,Attendance!$B$3:$AY$3,0),attendees,COUNTIF(INDEX(Attendance!$B$7:$AY$206,0,att_offset),"1"),IF(ev_split="Equal Split",ev_cost/MAX(1,COUNTA(Roster!$A$5:$A$204)),ev_cost/MAX(1,attendees))),"N/A"))</f>
        <v/>
      </c>
    </row>
    <row r="904" ht="20" customHeight="1">
      <c r="A904" s="12" t="n"/>
      <c r="B904" s="10" t="n"/>
      <c r="C904" s="10" t="n"/>
      <c r="D904" s="10" t="n"/>
      <c r="E904" s="10" t="n"/>
      <c r="F904" s="13" t="n"/>
      <c r="G904" s="10" t="n"/>
      <c r="H904" s="10" t="n"/>
      <c r="I904" s="10" t="n"/>
      <c r="J904" s="108">
        <f>IF(G904="","",IFERROR(LET(ev_cost,INDEX(Events!$G$5:$G$505,MATCH(G904,Events!$A$5:$A$505,0)),ev_split,INDEX(Events!$I$5:$I$505,MATCH(G904,Events!$A$5:$A$505,0)),att_offset,MATCH(G904,Attendance!$B$3:$AY$3,0),attendees,COUNTIF(INDEX(Attendance!$B$7:$AY$206,0,att_offset),"1"),IF(ev_split="Equal Split",ev_cost/MAX(1,COUNTA(Roster!$A$5:$A$204)),ev_cost/MAX(1,attendees))),"N/A"))</f>
        <v/>
      </c>
    </row>
    <row r="905" ht="20" customHeight="1">
      <c r="A905" s="16" t="n"/>
      <c r="B905" s="14" t="n"/>
      <c r="C905" s="14" t="n"/>
      <c r="D905" s="14" t="n"/>
      <c r="E905" s="14" t="n"/>
      <c r="F905" s="17" t="n"/>
      <c r="G905" s="14" t="n"/>
      <c r="H905" s="14" t="n"/>
      <c r="I905" s="14" t="n"/>
      <c r="J905" s="108">
        <f>IF(G905="","",IFERROR(LET(ev_cost,INDEX(Events!$G$5:$G$505,MATCH(G905,Events!$A$5:$A$505,0)),ev_split,INDEX(Events!$I$5:$I$505,MATCH(G905,Events!$A$5:$A$505,0)),att_offset,MATCH(G905,Attendance!$B$3:$AY$3,0),attendees,COUNTIF(INDEX(Attendance!$B$7:$AY$206,0,att_offset),"1"),IF(ev_split="Equal Split",ev_cost/MAX(1,COUNTA(Roster!$A$5:$A$204)),ev_cost/MAX(1,attendees))),"N/A"))</f>
        <v/>
      </c>
    </row>
    <row r="906" ht="20" customHeight="1">
      <c r="A906" s="12" t="n"/>
      <c r="B906" s="10" t="n"/>
      <c r="C906" s="10" t="n"/>
      <c r="D906" s="10" t="n"/>
      <c r="E906" s="10" t="n"/>
      <c r="F906" s="13" t="n"/>
      <c r="G906" s="10" t="n"/>
      <c r="H906" s="10" t="n"/>
      <c r="I906" s="10" t="n"/>
      <c r="J906" s="108">
        <f>IF(G906="","",IFERROR(LET(ev_cost,INDEX(Events!$G$5:$G$505,MATCH(G906,Events!$A$5:$A$505,0)),ev_split,INDEX(Events!$I$5:$I$505,MATCH(G906,Events!$A$5:$A$505,0)),att_offset,MATCH(G906,Attendance!$B$3:$AY$3,0),attendees,COUNTIF(INDEX(Attendance!$B$7:$AY$206,0,att_offset),"1"),IF(ev_split="Equal Split",ev_cost/MAX(1,COUNTA(Roster!$A$5:$A$204)),ev_cost/MAX(1,attendees))),"N/A"))</f>
        <v/>
      </c>
    </row>
    <row r="907" ht="20" customHeight="1">
      <c r="A907" s="16" t="n"/>
      <c r="B907" s="14" t="n"/>
      <c r="C907" s="14" t="n"/>
      <c r="D907" s="14" t="n"/>
      <c r="E907" s="14" t="n"/>
      <c r="F907" s="17" t="n"/>
      <c r="G907" s="14" t="n"/>
      <c r="H907" s="14" t="n"/>
      <c r="I907" s="14" t="n"/>
      <c r="J907" s="108">
        <f>IF(G907="","",IFERROR(LET(ev_cost,INDEX(Events!$G$5:$G$505,MATCH(G907,Events!$A$5:$A$505,0)),ev_split,INDEX(Events!$I$5:$I$505,MATCH(G907,Events!$A$5:$A$505,0)),att_offset,MATCH(G907,Attendance!$B$3:$AY$3,0),attendees,COUNTIF(INDEX(Attendance!$B$7:$AY$206,0,att_offset),"1"),IF(ev_split="Equal Split",ev_cost/MAX(1,COUNTA(Roster!$A$5:$A$204)),ev_cost/MAX(1,attendees))),"N/A"))</f>
        <v/>
      </c>
    </row>
    <row r="908" ht="20" customHeight="1">
      <c r="A908" s="12" t="n"/>
      <c r="B908" s="10" t="n"/>
      <c r="C908" s="10" t="n"/>
      <c r="D908" s="10" t="n"/>
      <c r="E908" s="10" t="n"/>
      <c r="F908" s="13" t="n"/>
      <c r="G908" s="10" t="n"/>
      <c r="H908" s="10" t="n"/>
      <c r="I908" s="10" t="n"/>
      <c r="J908" s="108">
        <f>IF(G908="","",IFERROR(LET(ev_cost,INDEX(Events!$G$5:$G$505,MATCH(G908,Events!$A$5:$A$505,0)),ev_split,INDEX(Events!$I$5:$I$505,MATCH(G908,Events!$A$5:$A$505,0)),att_offset,MATCH(G908,Attendance!$B$3:$AY$3,0),attendees,COUNTIF(INDEX(Attendance!$B$7:$AY$206,0,att_offset),"1"),IF(ev_split="Equal Split",ev_cost/MAX(1,COUNTA(Roster!$A$5:$A$204)),ev_cost/MAX(1,attendees))),"N/A"))</f>
        <v/>
      </c>
    </row>
    <row r="909" ht="20" customHeight="1">
      <c r="A909" s="16" t="n"/>
      <c r="B909" s="14" t="n"/>
      <c r="C909" s="14" t="n"/>
      <c r="D909" s="14" t="n"/>
      <c r="E909" s="14" t="n"/>
      <c r="F909" s="17" t="n"/>
      <c r="G909" s="14" t="n"/>
      <c r="H909" s="14" t="n"/>
      <c r="I909" s="14" t="n"/>
      <c r="J909" s="108">
        <f>IF(G909="","",IFERROR(LET(ev_cost,INDEX(Events!$G$5:$G$505,MATCH(G909,Events!$A$5:$A$505,0)),ev_split,INDEX(Events!$I$5:$I$505,MATCH(G909,Events!$A$5:$A$505,0)),att_offset,MATCH(G909,Attendance!$B$3:$AY$3,0),attendees,COUNTIF(INDEX(Attendance!$B$7:$AY$206,0,att_offset),"1"),IF(ev_split="Equal Split",ev_cost/MAX(1,COUNTA(Roster!$A$5:$A$204)),ev_cost/MAX(1,attendees))),"N/A"))</f>
        <v/>
      </c>
    </row>
    <row r="910" ht="20" customHeight="1">
      <c r="A910" s="12" t="n"/>
      <c r="B910" s="10" t="n"/>
      <c r="C910" s="10" t="n"/>
      <c r="D910" s="10" t="n"/>
      <c r="E910" s="10" t="n"/>
      <c r="F910" s="13" t="n"/>
      <c r="G910" s="10" t="n"/>
      <c r="H910" s="10" t="n"/>
      <c r="I910" s="10" t="n"/>
      <c r="J910" s="108">
        <f>IF(G910="","",IFERROR(LET(ev_cost,INDEX(Events!$G$5:$G$505,MATCH(G910,Events!$A$5:$A$505,0)),ev_split,INDEX(Events!$I$5:$I$505,MATCH(G910,Events!$A$5:$A$505,0)),att_offset,MATCH(G910,Attendance!$B$3:$AY$3,0),attendees,COUNTIF(INDEX(Attendance!$B$7:$AY$206,0,att_offset),"1"),IF(ev_split="Equal Split",ev_cost/MAX(1,COUNTA(Roster!$A$5:$A$204)),ev_cost/MAX(1,attendees))),"N/A"))</f>
        <v/>
      </c>
    </row>
    <row r="911" ht="20" customHeight="1">
      <c r="A911" s="16" t="n"/>
      <c r="B911" s="14" t="n"/>
      <c r="C911" s="14" t="n"/>
      <c r="D911" s="14" t="n"/>
      <c r="E911" s="14" t="n"/>
      <c r="F911" s="17" t="n"/>
      <c r="G911" s="14" t="n"/>
      <c r="H911" s="14" t="n"/>
      <c r="I911" s="14" t="n"/>
      <c r="J911" s="108">
        <f>IF(G911="","",IFERROR(LET(ev_cost,INDEX(Events!$G$5:$G$505,MATCH(G911,Events!$A$5:$A$505,0)),ev_split,INDEX(Events!$I$5:$I$505,MATCH(G911,Events!$A$5:$A$505,0)),att_offset,MATCH(G911,Attendance!$B$3:$AY$3,0),attendees,COUNTIF(INDEX(Attendance!$B$7:$AY$206,0,att_offset),"1"),IF(ev_split="Equal Split",ev_cost/MAX(1,COUNTA(Roster!$A$5:$A$204)),ev_cost/MAX(1,attendees))),"N/A"))</f>
        <v/>
      </c>
    </row>
    <row r="912" ht="20" customHeight="1">
      <c r="A912" s="12" t="n"/>
      <c r="B912" s="10" t="n"/>
      <c r="C912" s="10" t="n"/>
      <c r="D912" s="10" t="n"/>
      <c r="E912" s="10" t="n"/>
      <c r="F912" s="13" t="n"/>
      <c r="G912" s="10" t="n"/>
      <c r="H912" s="10" t="n"/>
      <c r="I912" s="10" t="n"/>
      <c r="J912" s="108">
        <f>IF(G912="","",IFERROR(LET(ev_cost,INDEX(Events!$G$5:$G$505,MATCH(G912,Events!$A$5:$A$505,0)),ev_split,INDEX(Events!$I$5:$I$505,MATCH(G912,Events!$A$5:$A$505,0)),att_offset,MATCH(G912,Attendance!$B$3:$AY$3,0),attendees,COUNTIF(INDEX(Attendance!$B$7:$AY$206,0,att_offset),"1"),IF(ev_split="Equal Split",ev_cost/MAX(1,COUNTA(Roster!$A$5:$A$204)),ev_cost/MAX(1,attendees))),"N/A"))</f>
        <v/>
      </c>
    </row>
    <row r="913" ht="20" customHeight="1">
      <c r="A913" s="16" t="n"/>
      <c r="B913" s="14" t="n"/>
      <c r="C913" s="14" t="n"/>
      <c r="D913" s="14" t="n"/>
      <c r="E913" s="14" t="n"/>
      <c r="F913" s="17" t="n"/>
      <c r="G913" s="14" t="n"/>
      <c r="H913" s="14" t="n"/>
      <c r="I913" s="14" t="n"/>
      <c r="J913" s="108">
        <f>IF(G913="","",IFERROR(LET(ev_cost,INDEX(Events!$G$5:$G$505,MATCH(G913,Events!$A$5:$A$505,0)),ev_split,INDEX(Events!$I$5:$I$505,MATCH(G913,Events!$A$5:$A$505,0)),att_offset,MATCH(G913,Attendance!$B$3:$AY$3,0),attendees,COUNTIF(INDEX(Attendance!$B$7:$AY$206,0,att_offset),"1"),IF(ev_split="Equal Split",ev_cost/MAX(1,COUNTA(Roster!$A$5:$A$204)),ev_cost/MAX(1,attendees))),"N/A"))</f>
        <v/>
      </c>
    </row>
    <row r="914" ht="20" customHeight="1">
      <c r="A914" s="12" t="n"/>
      <c r="B914" s="10" t="n"/>
      <c r="C914" s="10" t="n"/>
      <c r="D914" s="10" t="n"/>
      <c r="E914" s="10" t="n"/>
      <c r="F914" s="13" t="n"/>
      <c r="G914" s="10" t="n"/>
      <c r="H914" s="10" t="n"/>
      <c r="I914" s="10" t="n"/>
      <c r="J914" s="108">
        <f>IF(G914="","",IFERROR(LET(ev_cost,INDEX(Events!$G$5:$G$505,MATCH(G914,Events!$A$5:$A$505,0)),ev_split,INDEX(Events!$I$5:$I$505,MATCH(G914,Events!$A$5:$A$505,0)),att_offset,MATCH(G914,Attendance!$B$3:$AY$3,0),attendees,COUNTIF(INDEX(Attendance!$B$7:$AY$206,0,att_offset),"1"),IF(ev_split="Equal Split",ev_cost/MAX(1,COUNTA(Roster!$A$5:$A$204)),ev_cost/MAX(1,attendees))),"N/A"))</f>
        <v/>
      </c>
    </row>
    <row r="915" ht="20" customHeight="1">
      <c r="A915" s="16" t="n"/>
      <c r="B915" s="14" t="n"/>
      <c r="C915" s="14" t="n"/>
      <c r="D915" s="14" t="n"/>
      <c r="E915" s="14" t="n"/>
      <c r="F915" s="17" t="n"/>
      <c r="G915" s="14" t="n"/>
      <c r="H915" s="14" t="n"/>
      <c r="I915" s="14" t="n"/>
      <c r="J915" s="108">
        <f>IF(G915="","",IFERROR(LET(ev_cost,INDEX(Events!$G$5:$G$505,MATCH(G915,Events!$A$5:$A$505,0)),ev_split,INDEX(Events!$I$5:$I$505,MATCH(G915,Events!$A$5:$A$505,0)),att_offset,MATCH(G915,Attendance!$B$3:$AY$3,0),attendees,COUNTIF(INDEX(Attendance!$B$7:$AY$206,0,att_offset),"1"),IF(ev_split="Equal Split",ev_cost/MAX(1,COUNTA(Roster!$A$5:$A$204)),ev_cost/MAX(1,attendees))),"N/A"))</f>
        <v/>
      </c>
    </row>
    <row r="916" ht="20" customHeight="1">
      <c r="A916" s="12" t="n"/>
      <c r="B916" s="10" t="n"/>
      <c r="C916" s="10" t="n"/>
      <c r="D916" s="10" t="n"/>
      <c r="E916" s="10" t="n"/>
      <c r="F916" s="13" t="n"/>
      <c r="G916" s="10" t="n"/>
      <c r="H916" s="10" t="n"/>
      <c r="I916" s="10" t="n"/>
      <c r="J916" s="108">
        <f>IF(G916="","",IFERROR(LET(ev_cost,INDEX(Events!$G$5:$G$505,MATCH(G916,Events!$A$5:$A$505,0)),ev_split,INDEX(Events!$I$5:$I$505,MATCH(G916,Events!$A$5:$A$505,0)),att_offset,MATCH(G916,Attendance!$B$3:$AY$3,0),attendees,COUNTIF(INDEX(Attendance!$B$7:$AY$206,0,att_offset),"1"),IF(ev_split="Equal Split",ev_cost/MAX(1,COUNTA(Roster!$A$5:$A$204)),ev_cost/MAX(1,attendees))),"N/A"))</f>
        <v/>
      </c>
    </row>
    <row r="917" ht="20" customHeight="1">
      <c r="A917" s="16" t="n"/>
      <c r="B917" s="14" t="n"/>
      <c r="C917" s="14" t="n"/>
      <c r="D917" s="14" t="n"/>
      <c r="E917" s="14" t="n"/>
      <c r="F917" s="17" t="n"/>
      <c r="G917" s="14" t="n"/>
      <c r="H917" s="14" t="n"/>
      <c r="I917" s="14" t="n"/>
      <c r="J917" s="108">
        <f>IF(G917="","",IFERROR(LET(ev_cost,INDEX(Events!$G$5:$G$505,MATCH(G917,Events!$A$5:$A$505,0)),ev_split,INDEX(Events!$I$5:$I$505,MATCH(G917,Events!$A$5:$A$505,0)),att_offset,MATCH(G917,Attendance!$B$3:$AY$3,0),attendees,COUNTIF(INDEX(Attendance!$B$7:$AY$206,0,att_offset),"1"),IF(ev_split="Equal Split",ev_cost/MAX(1,COUNTA(Roster!$A$5:$A$204)),ev_cost/MAX(1,attendees))),"N/A"))</f>
        <v/>
      </c>
    </row>
    <row r="918" ht="20" customHeight="1">
      <c r="A918" s="12" t="n"/>
      <c r="B918" s="10" t="n"/>
      <c r="C918" s="10" t="n"/>
      <c r="D918" s="10" t="n"/>
      <c r="E918" s="10" t="n"/>
      <c r="F918" s="13" t="n"/>
      <c r="G918" s="10" t="n"/>
      <c r="H918" s="10" t="n"/>
      <c r="I918" s="10" t="n"/>
      <c r="J918" s="108">
        <f>IF(G918="","",IFERROR(LET(ev_cost,INDEX(Events!$G$5:$G$505,MATCH(G918,Events!$A$5:$A$505,0)),ev_split,INDEX(Events!$I$5:$I$505,MATCH(G918,Events!$A$5:$A$505,0)),att_offset,MATCH(G918,Attendance!$B$3:$AY$3,0),attendees,COUNTIF(INDEX(Attendance!$B$7:$AY$206,0,att_offset),"1"),IF(ev_split="Equal Split",ev_cost/MAX(1,COUNTA(Roster!$A$5:$A$204)),ev_cost/MAX(1,attendees))),"N/A"))</f>
        <v/>
      </c>
    </row>
    <row r="919" ht="20" customHeight="1">
      <c r="A919" s="16" t="n"/>
      <c r="B919" s="14" t="n"/>
      <c r="C919" s="14" t="n"/>
      <c r="D919" s="14" t="n"/>
      <c r="E919" s="14" t="n"/>
      <c r="F919" s="17" t="n"/>
      <c r="G919" s="14" t="n"/>
      <c r="H919" s="14" t="n"/>
      <c r="I919" s="14" t="n"/>
      <c r="J919" s="108">
        <f>IF(G919="","",IFERROR(LET(ev_cost,INDEX(Events!$G$5:$G$505,MATCH(G919,Events!$A$5:$A$505,0)),ev_split,INDEX(Events!$I$5:$I$505,MATCH(G919,Events!$A$5:$A$505,0)),att_offset,MATCH(G919,Attendance!$B$3:$AY$3,0),attendees,COUNTIF(INDEX(Attendance!$B$7:$AY$206,0,att_offset),"1"),IF(ev_split="Equal Split",ev_cost/MAX(1,COUNTA(Roster!$A$5:$A$204)),ev_cost/MAX(1,attendees))),"N/A"))</f>
        <v/>
      </c>
    </row>
    <row r="920" ht="20" customHeight="1">
      <c r="A920" s="12" t="n"/>
      <c r="B920" s="10" t="n"/>
      <c r="C920" s="10" t="n"/>
      <c r="D920" s="10" t="n"/>
      <c r="E920" s="10" t="n"/>
      <c r="F920" s="13" t="n"/>
      <c r="G920" s="10" t="n"/>
      <c r="H920" s="10" t="n"/>
      <c r="I920" s="10" t="n"/>
      <c r="J920" s="108">
        <f>IF(G920="","",IFERROR(LET(ev_cost,INDEX(Events!$G$5:$G$505,MATCH(G920,Events!$A$5:$A$505,0)),ev_split,INDEX(Events!$I$5:$I$505,MATCH(G920,Events!$A$5:$A$505,0)),att_offset,MATCH(G920,Attendance!$B$3:$AY$3,0),attendees,COUNTIF(INDEX(Attendance!$B$7:$AY$206,0,att_offset),"1"),IF(ev_split="Equal Split",ev_cost/MAX(1,COUNTA(Roster!$A$5:$A$204)),ev_cost/MAX(1,attendees))),"N/A"))</f>
        <v/>
      </c>
    </row>
    <row r="921" ht="20" customHeight="1">
      <c r="A921" s="16" t="n"/>
      <c r="B921" s="14" t="n"/>
      <c r="C921" s="14" t="n"/>
      <c r="D921" s="14" t="n"/>
      <c r="E921" s="14" t="n"/>
      <c r="F921" s="17" t="n"/>
      <c r="G921" s="14" t="n"/>
      <c r="H921" s="14" t="n"/>
      <c r="I921" s="14" t="n"/>
      <c r="J921" s="108">
        <f>IF(G921="","",IFERROR(LET(ev_cost,INDEX(Events!$G$5:$G$505,MATCH(G921,Events!$A$5:$A$505,0)),ev_split,INDEX(Events!$I$5:$I$505,MATCH(G921,Events!$A$5:$A$505,0)),att_offset,MATCH(G921,Attendance!$B$3:$AY$3,0),attendees,COUNTIF(INDEX(Attendance!$B$7:$AY$206,0,att_offset),"1"),IF(ev_split="Equal Split",ev_cost/MAX(1,COUNTA(Roster!$A$5:$A$204)),ev_cost/MAX(1,attendees))),"N/A"))</f>
        <v/>
      </c>
    </row>
    <row r="922" ht="20" customHeight="1">
      <c r="A922" s="12" t="n"/>
      <c r="B922" s="10" t="n"/>
      <c r="C922" s="10" t="n"/>
      <c r="D922" s="10" t="n"/>
      <c r="E922" s="10" t="n"/>
      <c r="F922" s="13" t="n"/>
      <c r="G922" s="10" t="n"/>
      <c r="H922" s="10" t="n"/>
      <c r="I922" s="10" t="n"/>
      <c r="J922" s="108">
        <f>IF(G922="","",IFERROR(LET(ev_cost,INDEX(Events!$G$5:$G$505,MATCH(G922,Events!$A$5:$A$505,0)),ev_split,INDEX(Events!$I$5:$I$505,MATCH(G922,Events!$A$5:$A$505,0)),att_offset,MATCH(G922,Attendance!$B$3:$AY$3,0),attendees,COUNTIF(INDEX(Attendance!$B$7:$AY$206,0,att_offset),"1"),IF(ev_split="Equal Split",ev_cost/MAX(1,COUNTA(Roster!$A$5:$A$204)),ev_cost/MAX(1,attendees))),"N/A"))</f>
        <v/>
      </c>
    </row>
    <row r="923" ht="20" customHeight="1">
      <c r="A923" s="16" t="n"/>
      <c r="B923" s="14" t="n"/>
      <c r="C923" s="14" t="n"/>
      <c r="D923" s="14" t="n"/>
      <c r="E923" s="14" t="n"/>
      <c r="F923" s="17" t="n"/>
      <c r="G923" s="14" t="n"/>
      <c r="H923" s="14" t="n"/>
      <c r="I923" s="14" t="n"/>
      <c r="J923" s="108">
        <f>IF(G923="","",IFERROR(LET(ev_cost,INDEX(Events!$G$5:$G$505,MATCH(G923,Events!$A$5:$A$505,0)),ev_split,INDEX(Events!$I$5:$I$505,MATCH(G923,Events!$A$5:$A$505,0)),att_offset,MATCH(G923,Attendance!$B$3:$AY$3,0),attendees,COUNTIF(INDEX(Attendance!$B$7:$AY$206,0,att_offset),"1"),IF(ev_split="Equal Split",ev_cost/MAX(1,COUNTA(Roster!$A$5:$A$204)),ev_cost/MAX(1,attendees))),"N/A"))</f>
        <v/>
      </c>
    </row>
    <row r="924" ht="20" customHeight="1">
      <c r="A924" s="12" t="n"/>
      <c r="B924" s="10" t="n"/>
      <c r="C924" s="10" t="n"/>
      <c r="D924" s="10" t="n"/>
      <c r="E924" s="10" t="n"/>
      <c r="F924" s="13" t="n"/>
      <c r="G924" s="10" t="n"/>
      <c r="H924" s="10" t="n"/>
      <c r="I924" s="10" t="n"/>
      <c r="J924" s="108">
        <f>IF(G924="","",IFERROR(LET(ev_cost,INDEX(Events!$G$5:$G$505,MATCH(G924,Events!$A$5:$A$505,0)),ev_split,INDEX(Events!$I$5:$I$505,MATCH(G924,Events!$A$5:$A$505,0)),att_offset,MATCH(G924,Attendance!$B$3:$AY$3,0),attendees,COUNTIF(INDEX(Attendance!$B$7:$AY$206,0,att_offset),"1"),IF(ev_split="Equal Split",ev_cost/MAX(1,COUNTA(Roster!$A$5:$A$204)),ev_cost/MAX(1,attendees))),"N/A"))</f>
        <v/>
      </c>
    </row>
    <row r="925" ht="20" customHeight="1">
      <c r="A925" s="16" t="n"/>
      <c r="B925" s="14" t="n"/>
      <c r="C925" s="14" t="n"/>
      <c r="D925" s="14" t="n"/>
      <c r="E925" s="14" t="n"/>
      <c r="F925" s="17" t="n"/>
      <c r="G925" s="14" t="n"/>
      <c r="H925" s="14" t="n"/>
      <c r="I925" s="14" t="n"/>
      <c r="J925" s="108">
        <f>IF(G925="","",IFERROR(LET(ev_cost,INDEX(Events!$G$5:$G$505,MATCH(G925,Events!$A$5:$A$505,0)),ev_split,INDEX(Events!$I$5:$I$505,MATCH(G925,Events!$A$5:$A$505,0)),att_offset,MATCH(G925,Attendance!$B$3:$AY$3,0),attendees,COUNTIF(INDEX(Attendance!$B$7:$AY$206,0,att_offset),"1"),IF(ev_split="Equal Split",ev_cost/MAX(1,COUNTA(Roster!$A$5:$A$204)),ev_cost/MAX(1,attendees))),"N/A"))</f>
        <v/>
      </c>
    </row>
    <row r="926" ht="20" customHeight="1">
      <c r="A926" s="12" t="n"/>
      <c r="B926" s="10" t="n"/>
      <c r="C926" s="10" t="n"/>
      <c r="D926" s="10" t="n"/>
      <c r="E926" s="10" t="n"/>
      <c r="F926" s="13" t="n"/>
      <c r="G926" s="10" t="n"/>
      <c r="H926" s="10" t="n"/>
      <c r="I926" s="10" t="n"/>
      <c r="J926" s="108">
        <f>IF(G926="","",IFERROR(LET(ev_cost,INDEX(Events!$G$5:$G$505,MATCH(G926,Events!$A$5:$A$505,0)),ev_split,INDEX(Events!$I$5:$I$505,MATCH(G926,Events!$A$5:$A$505,0)),att_offset,MATCH(G926,Attendance!$B$3:$AY$3,0),attendees,COUNTIF(INDEX(Attendance!$B$7:$AY$206,0,att_offset),"1"),IF(ev_split="Equal Split",ev_cost/MAX(1,COUNTA(Roster!$A$5:$A$204)),ev_cost/MAX(1,attendees))),"N/A"))</f>
        <v/>
      </c>
    </row>
    <row r="927" ht="20" customHeight="1">
      <c r="A927" s="16" t="n"/>
      <c r="B927" s="14" t="n"/>
      <c r="C927" s="14" t="n"/>
      <c r="D927" s="14" t="n"/>
      <c r="E927" s="14" t="n"/>
      <c r="F927" s="17" t="n"/>
      <c r="G927" s="14" t="n"/>
      <c r="H927" s="14" t="n"/>
      <c r="I927" s="14" t="n"/>
      <c r="J927" s="108">
        <f>IF(G927="","",IFERROR(LET(ev_cost,INDEX(Events!$G$5:$G$505,MATCH(G927,Events!$A$5:$A$505,0)),ev_split,INDEX(Events!$I$5:$I$505,MATCH(G927,Events!$A$5:$A$505,0)),att_offset,MATCH(G927,Attendance!$B$3:$AY$3,0),attendees,COUNTIF(INDEX(Attendance!$B$7:$AY$206,0,att_offset),"1"),IF(ev_split="Equal Split",ev_cost/MAX(1,COUNTA(Roster!$A$5:$A$204)),ev_cost/MAX(1,attendees))),"N/A"))</f>
        <v/>
      </c>
    </row>
    <row r="928" ht="20" customHeight="1">
      <c r="A928" s="12" t="n"/>
      <c r="B928" s="10" t="n"/>
      <c r="C928" s="10" t="n"/>
      <c r="D928" s="10" t="n"/>
      <c r="E928" s="10" t="n"/>
      <c r="F928" s="13" t="n"/>
      <c r="G928" s="10" t="n"/>
      <c r="H928" s="10" t="n"/>
      <c r="I928" s="10" t="n"/>
      <c r="J928" s="108">
        <f>IF(G928="","",IFERROR(LET(ev_cost,INDEX(Events!$G$5:$G$505,MATCH(G928,Events!$A$5:$A$505,0)),ev_split,INDEX(Events!$I$5:$I$505,MATCH(G928,Events!$A$5:$A$505,0)),att_offset,MATCH(G928,Attendance!$B$3:$AY$3,0),attendees,COUNTIF(INDEX(Attendance!$B$7:$AY$206,0,att_offset),"1"),IF(ev_split="Equal Split",ev_cost/MAX(1,COUNTA(Roster!$A$5:$A$204)),ev_cost/MAX(1,attendees))),"N/A"))</f>
        <v/>
      </c>
    </row>
    <row r="929" ht="20" customHeight="1">
      <c r="A929" s="16" t="n"/>
      <c r="B929" s="14" t="n"/>
      <c r="C929" s="14" t="n"/>
      <c r="D929" s="14" t="n"/>
      <c r="E929" s="14" t="n"/>
      <c r="F929" s="17" t="n"/>
      <c r="G929" s="14" t="n"/>
      <c r="H929" s="14" t="n"/>
      <c r="I929" s="14" t="n"/>
      <c r="J929" s="108">
        <f>IF(G929="","",IFERROR(LET(ev_cost,INDEX(Events!$G$5:$G$505,MATCH(G929,Events!$A$5:$A$505,0)),ev_split,INDEX(Events!$I$5:$I$505,MATCH(G929,Events!$A$5:$A$505,0)),att_offset,MATCH(G929,Attendance!$B$3:$AY$3,0),attendees,COUNTIF(INDEX(Attendance!$B$7:$AY$206,0,att_offset),"1"),IF(ev_split="Equal Split",ev_cost/MAX(1,COUNTA(Roster!$A$5:$A$204)),ev_cost/MAX(1,attendees))),"N/A"))</f>
        <v/>
      </c>
    </row>
    <row r="930" ht="20" customHeight="1">
      <c r="A930" s="12" t="n"/>
      <c r="B930" s="10" t="n"/>
      <c r="C930" s="10" t="n"/>
      <c r="D930" s="10" t="n"/>
      <c r="E930" s="10" t="n"/>
      <c r="F930" s="13" t="n"/>
      <c r="G930" s="10" t="n"/>
      <c r="H930" s="10" t="n"/>
      <c r="I930" s="10" t="n"/>
      <c r="J930" s="108">
        <f>IF(G930="","",IFERROR(LET(ev_cost,INDEX(Events!$G$5:$G$505,MATCH(G930,Events!$A$5:$A$505,0)),ev_split,INDEX(Events!$I$5:$I$505,MATCH(G930,Events!$A$5:$A$505,0)),att_offset,MATCH(G930,Attendance!$B$3:$AY$3,0),attendees,COUNTIF(INDEX(Attendance!$B$7:$AY$206,0,att_offset),"1"),IF(ev_split="Equal Split",ev_cost/MAX(1,COUNTA(Roster!$A$5:$A$204)),ev_cost/MAX(1,attendees))),"N/A"))</f>
        <v/>
      </c>
    </row>
    <row r="931" ht="20" customHeight="1">
      <c r="A931" s="16" t="n"/>
      <c r="B931" s="14" t="n"/>
      <c r="C931" s="14" t="n"/>
      <c r="D931" s="14" t="n"/>
      <c r="E931" s="14" t="n"/>
      <c r="F931" s="17" t="n"/>
      <c r="G931" s="14" t="n"/>
      <c r="H931" s="14" t="n"/>
      <c r="I931" s="14" t="n"/>
      <c r="J931" s="108">
        <f>IF(G931="","",IFERROR(LET(ev_cost,INDEX(Events!$G$5:$G$505,MATCH(G931,Events!$A$5:$A$505,0)),ev_split,INDEX(Events!$I$5:$I$505,MATCH(G931,Events!$A$5:$A$505,0)),att_offset,MATCH(G931,Attendance!$B$3:$AY$3,0),attendees,COUNTIF(INDEX(Attendance!$B$7:$AY$206,0,att_offset),"1"),IF(ev_split="Equal Split",ev_cost/MAX(1,COUNTA(Roster!$A$5:$A$204)),ev_cost/MAX(1,attendees))),"N/A"))</f>
        <v/>
      </c>
    </row>
    <row r="932" ht="20" customHeight="1">
      <c r="A932" s="12" t="n"/>
      <c r="B932" s="10" t="n"/>
      <c r="C932" s="10" t="n"/>
      <c r="D932" s="10" t="n"/>
      <c r="E932" s="10" t="n"/>
      <c r="F932" s="13" t="n"/>
      <c r="G932" s="10" t="n"/>
      <c r="H932" s="10" t="n"/>
      <c r="I932" s="10" t="n"/>
      <c r="J932" s="108">
        <f>IF(G932="","",IFERROR(LET(ev_cost,INDEX(Events!$G$5:$G$505,MATCH(G932,Events!$A$5:$A$505,0)),ev_split,INDEX(Events!$I$5:$I$505,MATCH(G932,Events!$A$5:$A$505,0)),att_offset,MATCH(G932,Attendance!$B$3:$AY$3,0),attendees,COUNTIF(INDEX(Attendance!$B$7:$AY$206,0,att_offset),"1"),IF(ev_split="Equal Split",ev_cost/MAX(1,COUNTA(Roster!$A$5:$A$204)),ev_cost/MAX(1,attendees))),"N/A"))</f>
        <v/>
      </c>
    </row>
    <row r="933" ht="20" customHeight="1">
      <c r="A933" s="16" t="n"/>
      <c r="B933" s="14" t="n"/>
      <c r="C933" s="14" t="n"/>
      <c r="D933" s="14" t="n"/>
      <c r="E933" s="14" t="n"/>
      <c r="F933" s="17" t="n"/>
      <c r="G933" s="14" t="n"/>
      <c r="H933" s="14" t="n"/>
      <c r="I933" s="14" t="n"/>
      <c r="J933" s="108">
        <f>IF(G933="","",IFERROR(LET(ev_cost,INDEX(Events!$G$5:$G$505,MATCH(G933,Events!$A$5:$A$505,0)),ev_split,INDEX(Events!$I$5:$I$505,MATCH(G933,Events!$A$5:$A$505,0)),att_offset,MATCH(G933,Attendance!$B$3:$AY$3,0),attendees,COUNTIF(INDEX(Attendance!$B$7:$AY$206,0,att_offset),"1"),IF(ev_split="Equal Split",ev_cost/MAX(1,COUNTA(Roster!$A$5:$A$204)),ev_cost/MAX(1,attendees))),"N/A"))</f>
        <v/>
      </c>
    </row>
    <row r="934" ht="20" customHeight="1">
      <c r="A934" s="12" t="n"/>
      <c r="B934" s="10" t="n"/>
      <c r="C934" s="10" t="n"/>
      <c r="D934" s="10" t="n"/>
      <c r="E934" s="10" t="n"/>
      <c r="F934" s="13" t="n"/>
      <c r="G934" s="10" t="n"/>
      <c r="H934" s="10" t="n"/>
      <c r="I934" s="10" t="n"/>
      <c r="J934" s="108">
        <f>IF(G934="","",IFERROR(LET(ev_cost,INDEX(Events!$G$5:$G$505,MATCH(G934,Events!$A$5:$A$505,0)),ev_split,INDEX(Events!$I$5:$I$505,MATCH(G934,Events!$A$5:$A$505,0)),att_offset,MATCH(G934,Attendance!$B$3:$AY$3,0),attendees,COUNTIF(INDEX(Attendance!$B$7:$AY$206,0,att_offset),"1"),IF(ev_split="Equal Split",ev_cost/MAX(1,COUNTA(Roster!$A$5:$A$204)),ev_cost/MAX(1,attendees))),"N/A"))</f>
        <v/>
      </c>
    </row>
    <row r="935" ht="20" customHeight="1">
      <c r="A935" s="16" t="n"/>
      <c r="B935" s="14" t="n"/>
      <c r="C935" s="14" t="n"/>
      <c r="D935" s="14" t="n"/>
      <c r="E935" s="14" t="n"/>
      <c r="F935" s="17" t="n"/>
      <c r="G935" s="14" t="n"/>
      <c r="H935" s="14" t="n"/>
      <c r="I935" s="14" t="n"/>
      <c r="J935" s="108">
        <f>IF(G935="","",IFERROR(LET(ev_cost,INDEX(Events!$G$5:$G$505,MATCH(G935,Events!$A$5:$A$505,0)),ev_split,INDEX(Events!$I$5:$I$505,MATCH(G935,Events!$A$5:$A$505,0)),att_offset,MATCH(G935,Attendance!$B$3:$AY$3,0),attendees,COUNTIF(INDEX(Attendance!$B$7:$AY$206,0,att_offset),"1"),IF(ev_split="Equal Split",ev_cost/MAX(1,COUNTA(Roster!$A$5:$A$204)),ev_cost/MAX(1,attendees))),"N/A"))</f>
        <v/>
      </c>
    </row>
    <row r="936" ht="20" customHeight="1">
      <c r="A936" s="12" t="n"/>
      <c r="B936" s="10" t="n"/>
      <c r="C936" s="10" t="n"/>
      <c r="D936" s="10" t="n"/>
      <c r="E936" s="10" t="n"/>
      <c r="F936" s="13" t="n"/>
      <c r="G936" s="10" t="n"/>
      <c r="H936" s="10" t="n"/>
      <c r="I936" s="10" t="n"/>
      <c r="J936" s="108">
        <f>IF(G936="","",IFERROR(LET(ev_cost,INDEX(Events!$G$5:$G$505,MATCH(G936,Events!$A$5:$A$505,0)),ev_split,INDEX(Events!$I$5:$I$505,MATCH(G936,Events!$A$5:$A$505,0)),att_offset,MATCH(G936,Attendance!$B$3:$AY$3,0),attendees,COUNTIF(INDEX(Attendance!$B$7:$AY$206,0,att_offset),"1"),IF(ev_split="Equal Split",ev_cost/MAX(1,COUNTA(Roster!$A$5:$A$204)),ev_cost/MAX(1,attendees))),"N/A"))</f>
        <v/>
      </c>
    </row>
    <row r="937" ht="20" customHeight="1">
      <c r="A937" s="16" t="n"/>
      <c r="B937" s="14" t="n"/>
      <c r="C937" s="14" t="n"/>
      <c r="D937" s="14" t="n"/>
      <c r="E937" s="14" t="n"/>
      <c r="F937" s="17" t="n"/>
      <c r="G937" s="14" t="n"/>
      <c r="H937" s="14" t="n"/>
      <c r="I937" s="14" t="n"/>
      <c r="J937" s="108">
        <f>IF(G937="","",IFERROR(LET(ev_cost,INDEX(Events!$G$5:$G$505,MATCH(G937,Events!$A$5:$A$505,0)),ev_split,INDEX(Events!$I$5:$I$505,MATCH(G937,Events!$A$5:$A$505,0)),att_offset,MATCH(G937,Attendance!$B$3:$AY$3,0),attendees,COUNTIF(INDEX(Attendance!$B$7:$AY$206,0,att_offset),"1"),IF(ev_split="Equal Split",ev_cost/MAX(1,COUNTA(Roster!$A$5:$A$204)),ev_cost/MAX(1,attendees))),"N/A"))</f>
        <v/>
      </c>
    </row>
    <row r="938" ht="20" customHeight="1">
      <c r="A938" s="12" t="n"/>
      <c r="B938" s="10" t="n"/>
      <c r="C938" s="10" t="n"/>
      <c r="D938" s="10" t="n"/>
      <c r="E938" s="10" t="n"/>
      <c r="F938" s="13" t="n"/>
      <c r="G938" s="10" t="n"/>
      <c r="H938" s="10" t="n"/>
      <c r="I938" s="10" t="n"/>
      <c r="J938" s="108">
        <f>IF(G938="","",IFERROR(LET(ev_cost,INDEX(Events!$G$5:$G$505,MATCH(G938,Events!$A$5:$A$505,0)),ev_split,INDEX(Events!$I$5:$I$505,MATCH(G938,Events!$A$5:$A$505,0)),att_offset,MATCH(G938,Attendance!$B$3:$AY$3,0),attendees,COUNTIF(INDEX(Attendance!$B$7:$AY$206,0,att_offset),"1"),IF(ev_split="Equal Split",ev_cost/MAX(1,COUNTA(Roster!$A$5:$A$204)),ev_cost/MAX(1,attendees))),"N/A"))</f>
        <v/>
      </c>
    </row>
    <row r="939" ht="20" customHeight="1">
      <c r="A939" s="16" t="n"/>
      <c r="B939" s="14" t="n"/>
      <c r="C939" s="14" t="n"/>
      <c r="D939" s="14" t="n"/>
      <c r="E939" s="14" t="n"/>
      <c r="F939" s="17" t="n"/>
      <c r="G939" s="14" t="n"/>
      <c r="H939" s="14" t="n"/>
      <c r="I939" s="14" t="n"/>
      <c r="J939" s="108">
        <f>IF(G939="","",IFERROR(LET(ev_cost,INDEX(Events!$G$5:$G$505,MATCH(G939,Events!$A$5:$A$505,0)),ev_split,INDEX(Events!$I$5:$I$505,MATCH(G939,Events!$A$5:$A$505,0)),att_offset,MATCH(G939,Attendance!$B$3:$AY$3,0),attendees,COUNTIF(INDEX(Attendance!$B$7:$AY$206,0,att_offset),"1"),IF(ev_split="Equal Split",ev_cost/MAX(1,COUNTA(Roster!$A$5:$A$204)),ev_cost/MAX(1,attendees))),"N/A"))</f>
        <v/>
      </c>
    </row>
    <row r="940" ht="20" customHeight="1">
      <c r="A940" s="12" t="n"/>
      <c r="B940" s="10" t="n"/>
      <c r="C940" s="10" t="n"/>
      <c r="D940" s="10" t="n"/>
      <c r="E940" s="10" t="n"/>
      <c r="F940" s="13" t="n"/>
      <c r="G940" s="10" t="n"/>
      <c r="H940" s="10" t="n"/>
      <c r="I940" s="10" t="n"/>
      <c r="J940" s="108">
        <f>IF(G940="","",IFERROR(LET(ev_cost,INDEX(Events!$G$5:$G$505,MATCH(G940,Events!$A$5:$A$505,0)),ev_split,INDEX(Events!$I$5:$I$505,MATCH(G940,Events!$A$5:$A$505,0)),att_offset,MATCH(G940,Attendance!$B$3:$AY$3,0),attendees,COUNTIF(INDEX(Attendance!$B$7:$AY$206,0,att_offset),"1"),IF(ev_split="Equal Split",ev_cost/MAX(1,COUNTA(Roster!$A$5:$A$204)),ev_cost/MAX(1,attendees))),"N/A"))</f>
        <v/>
      </c>
    </row>
    <row r="941" ht="20" customHeight="1">
      <c r="A941" s="16" t="n"/>
      <c r="B941" s="14" t="n"/>
      <c r="C941" s="14" t="n"/>
      <c r="D941" s="14" t="n"/>
      <c r="E941" s="14" t="n"/>
      <c r="F941" s="17" t="n"/>
      <c r="G941" s="14" t="n"/>
      <c r="H941" s="14" t="n"/>
      <c r="I941" s="14" t="n"/>
      <c r="J941" s="108">
        <f>IF(G941="","",IFERROR(LET(ev_cost,INDEX(Events!$G$5:$G$505,MATCH(G941,Events!$A$5:$A$505,0)),ev_split,INDEX(Events!$I$5:$I$505,MATCH(G941,Events!$A$5:$A$505,0)),att_offset,MATCH(G941,Attendance!$B$3:$AY$3,0),attendees,COUNTIF(INDEX(Attendance!$B$7:$AY$206,0,att_offset),"1"),IF(ev_split="Equal Split",ev_cost/MAX(1,COUNTA(Roster!$A$5:$A$204)),ev_cost/MAX(1,attendees))),"N/A"))</f>
        <v/>
      </c>
    </row>
    <row r="942" ht="20" customHeight="1">
      <c r="A942" s="12" t="n"/>
      <c r="B942" s="10" t="n"/>
      <c r="C942" s="10" t="n"/>
      <c r="D942" s="10" t="n"/>
      <c r="E942" s="10" t="n"/>
      <c r="F942" s="13" t="n"/>
      <c r="G942" s="10" t="n"/>
      <c r="H942" s="10" t="n"/>
      <c r="I942" s="10" t="n"/>
      <c r="J942" s="108">
        <f>IF(G942="","",IFERROR(LET(ev_cost,INDEX(Events!$G$5:$G$505,MATCH(G942,Events!$A$5:$A$505,0)),ev_split,INDEX(Events!$I$5:$I$505,MATCH(G942,Events!$A$5:$A$505,0)),att_offset,MATCH(G942,Attendance!$B$3:$AY$3,0),attendees,COUNTIF(INDEX(Attendance!$B$7:$AY$206,0,att_offset),"1"),IF(ev_split="Equal Split",ev_cost/MAX(1,COUNTA(Roster!$A$5:$A$204)),ev_cost/MAX(1,attendees))),"N/A"))</f>
        <v/>
      </c>
    </row>
    <row r="943" ht="20" customHeight="1">
      <c r="A943" s="16" t="n"/>
      <c r="B943" s="14" t="n"/>
      <c r="C943" s="14" t="n"/>
      <c r="D943" s="14" t="n"/>
      <c r="E943" s="14" t="n"/>
      <c r="F943" s="17" t="n"/>
      <c r="G943" s="14" t="n"/>
      <c r="H943" s="14" t="n"/>
      <c r="I943" s="14" t="n"/>
      <c r="J943" s="108">
        <f>IF(G943="","",IFERROR(LET(ev_cost,INDEX(Events!$G$5:$G$505,MATCH(G943,Events!$A$5:$A$505,0)),ev_split,INDEX(Events!$I$5:$I$505,MATCH(G943,Events!$A$5:$A$505,0)),att_offset,MATCH(G943,Attendance!$B$3:$AY$3,0),attendees,COUNTIF(INDEX(Attendance!$B$7:$AY$206,0,att_offset),"1"),IF(ev_split="Equal Split",ev_cost/MAX(1,COUNTA(Roster!$A$5:$A$204)),ev_cost/MAX(1,attendees))),"N/A"))</f>
        <v/>
      </c>
    </row>
    <row r="944" ht="20" customHeight="1">
      <c r="A944" s="12" t="n"/>
      <c r="B944" s="10" t="n"/>
      <c r="C944" s="10" t="n"/>
      <c r="D944" s="10" t="n"/>
      <c r="E944" s="10" t="n"/>
      <c r="F944" s="13" t="n"/>
      <c r="G944" s="10" t="n"/>
      <c r="H944" s="10" t="n"/>
      <c r="I944" s="10" t="n"/>
      <c r="J944" s="108">
        <f>IF(G944="","",IFERROR(LET(ev_cost,INDEX(Events!$G$5:$G$505,MATCH(G944,Events!$A$5:$A$505,0)),ev_split,INDEX(Events!$I$5:$I$505,MATCH(G944,Events!$A$5:$A$505,0)),att_offset,MATCH(G944,Attendance!$B$3:$AY$3,0),attendees,COUNTIF(INDEX(Attendance!$B$7:$AY$206,0,att_offset),"1"),IF(ev_split="Equal Split",ev_cost/MAX(1,COUNTA(Roster!$A$5:$A$204)),ev_cost/MAX(1,attendees))),"N/A"))</f>
        <v/>
      </c>
    </row>
    <row r="945" ht="20" customHeight="1">
      <c r="A945" s="16" t="n"/>
      <c r="B945" s="14" t="n"/>
      <c r="C945" s="14" t="n"/>
      <c r="D945" s="14" t="n"/>
      <c r="E945" s="14" t="n"/>
      <c r="F945" s="17" t="n"/>
      <c r="G945" s="14" t="n"/>
      <c r="H945" s="14" t="n"/>
      <c r="I945" s="14" t="n"/>
      <c r="J945" s="108">
        <f>IF(G945="","",IFERROR(LET(ev_cost,INDEX(Events!$G$5:$G$505,MATCH(G945,Events!$A$5:$A$505,0)),ev_split,INDEX(Events!$I$5:$I$505,MATCH(G945,Events!$A$5:$A$505,0)),att_offset,MATCH(G945,Attendance!$B$3:$AY$3,0),attendees,COUNTIF(INDEX(Attendance!$B$7:$AY$206,0,att_offset),"1"),IF(ev_split="Equal Split",ev_cost/MAX(1,COUNTA(Roster!$A$5:$A$204)),ev_cost/MAX(1,attendees))),"N/A"))</f>
        <v/>
      </c>
    </row>
    <row r="946" ht="20" customHeight="1">
      <c r="A946" s="12" t="n"/>
      <c r="B946" s="10" t="n"/>
      <c r="C946" s="10" t="n"/>
      <c r="D946" s="10" t="n"/>
      <c r="E946" s="10" t="n"/>
      <c r="F946" s="13" t="n"/>
      <c r="G946" s="10" t="n"/>
      <c r="H946" s="10" t="n"/>
      <c r="I946" s="10" t="n"/>
      <c r="J946" s="108">
        <f>IF(G946="","",IFERROR(LET(ev_cost,INDEX(Events!$G$5:$G$505,MATCH(G946,Events!$A$5:$A$505,0)),ev_split,INDEX(Events!$I$5:$I$505,MATCH(G946,Events!$A$5:$A$505,0)),att_offset,MATCH(G946,Attendance!$B$3:$AY$3,0),attendees,COUNTIF(INDEX(Attendance!$B$7:$AY$206,0,att_offset),"1"),IF(ev_split="Equal Split",ev_cost/MAX(1,COUNTA(Roster!$A$5:$A$204)),ev_cost/MAX(1,attendees))),"N/A"))</f>
        <v/>
      </c>
    </row>
    <row r="947" ht="20" customHeight="1">
      <c r="A947" s="16" t="n"/>
      <c r="B947" s="14" t="n"/>
      <c r="C947" s="14" t="n"/>
      <c r="D947" s="14" t="n"/>
      <c r="E947" s="14" t="n"/>
      <c r="F947" s="17" t="n"/>
      <c r="G947" s="14" t="n"/>
      <c r="H947" s="14" t="n"/>
      <c r="I947" s="14" t="n"/>
      <c r="J947" s="108">
        <f>IF(G947="","",IFERROR(LET(ev_cost,INDEX(Events!$G$5:$G$505,MATCH(G947,Events!$A$5:$A$505,0)),ev_split,INDEX(Events!$I$5:$I$505,MATCH(G947,Events!$A$5:$A$505,0)),att_offset,MATCH(G947,Attendance!$B$3:$AY$3,0),attendees,COUNTIF(INDEX(Attendance!$B$7:$AY$206,0,att_offset),"1"),IF(ev_split="Equal Split",ev_cost/MAX(1,COUNTA(Roster!$A$5:$A$204)),ev_cost/MAX(1,attendees))),"N/A"))</f>
        <v/>
      </c>
    </row>
    <row r="948" ht="20" customHeight="1">
      <c r="A948" s="12" t="n"/>
      <c r="B948" s="10" t="n"/>
      <c r="C948" s="10" t="n"/>
      <c r="D948" s="10" t="n"/>
      <c r="E948" s="10" t="n"/>
      <c r="F948" s="13" t="n"/>
      <c r="G948" s="10" t="n"/>
      <c r="H948" s="10" t="n"/>
      <c r="I948" s="10" t="n"/>
      <c r="J948" s="108">
        <f>IF(G948="","",IFERROR(LET(ev_cost,INDEX(Events!$G$5:$G$505,MATCH(G948,Events!$A$5:$A$505,0)),ev_split,INDEX(Events!$I$5:$I$505,MATCH(G948,Events!$A$5:$A$505,0)),att_offset,MATCH(G948,Attendance!$B$3:$AY$3,0),attendees,COUNTIF(INDEX(Attendance!$B$7:$AY$206,0,att_offset),"1"),IF(ev_split="Equal Split",ev_cost/MAX(1,COUNTA(Roster!$A$5:$A$204)),ev_cost/MAX(1,attendees))),"N/A"))</f>
        <v/>
      </c>
    </row>
    <row r="949" ht="20" customHeight="1">
      <c r="A949" s="16" t="n"/>
      <c r="B949" s="14" t="n"/>
      <c r="C949" s="14" t="n"/>
      <c r="D949" s="14" t="n"/>
      <c r="E949" s="14" t="n"/>
      <c r="F949" s="17" t="n"/>
      <c r="G949" s="14" t="n"/>
      <c r="H949" s="14" t="n"/>
      <c r="I949" s="14" t="n"/>
      <c r="J949" s="108">
        <f>IF(G949="","",IFERROR(LET(ev_cost,INDEX(Events!$G$5:$G$505,MATCH(G949,Events!$A$5:$A$505,0)),ev_split,INDEX(Events!$I$5:$I$505,MATCH(G949,Events!$A$5:$A$505,0)),att_offset,MATCH(G949,Attendance!$B$3:$AY$3,0),attendees,COUNTIF(INDEX(Attendance!$B$7:$AY$206,0,att_offset),"1"),IF(ev_split="Equal Split",ev_cost/MAX(1,COUNTA(Roster!$A$5:$A$204)),ev_cost/MAX(1,attendees))),"N/A"))</f>
        <v/>
      </c>
    </row>
    <row r="950" ht="20" customHeight="1">
      <c r="A950" s="12" t="n"/>
      <c r="B950" s="10" t="n"/>
      <c r="C950" s="10" t="n"/>
      <c r="D950" s="10" t="n"/>
      <c r="E950" s="10" t="n"/>
      <c r="F950" s="13" t="n"/>
      <c r="G950" s="10" t="n"/>
      <c r="H950" s="10" t="n"/>
      <c r="I950" s="10" t="n"/>
      <c r="J950" s="108">
        <f>IF(G950="","",IFERROR(LET(ev_cost,INDEX(Events!$G$5:$G$505,MATCH(G950,Events!$A$5:$A$505,0)),ev_split,INDEX(Events!$I$5:$I$505,MATCH(G950,Events!$A$5:$A$505,0)),att_offset,MATCH(G950,Attendance!$B$3:$AY$3,0),attendees,COUNTIF(INDEX(Attendance!$B$7:$AY$206,0,att_offset),"1"),IF(ev_split="Equal Split",ev_cost/MAX(1,COUNTA(Roster!$A$5:$A$204)),ev_cost/MAX(1,attendees))),"N/A"))</f>
        <v/>
      </c>
    </row>
    <row r="951" ht="20" customHeight="1">
      <c r="A951" s="16" t="n"/>
      <c r="B951" s="14" t="n"/>
      <c r="C951" s="14" t="n"/>
      <c r="D951" s="14" t="n"/>
      <c r="E951" s="14" t="n"/>
      <c r="F951" s="17" t="n"/>
      <c r="G951" s="14" t="n"/>
      <c r="H951" s="14" t="n"/>
      <c r="I951" s="14" t="n"/>
      <c r="J951" s="108">
        <f>IF(G951="","",IFERROR(LET(ev_cost,INDEX(Events!$G$5:$G$505,MATCH(G951,Events!$A$5:$A$505,0)),ev_split,INDEX(Events!$I$5:$I$505,MATCH(G951,Events!$A$5:$A$505,0)),att_offset,MATCH(G951,Attendance!$B$3:$AY$3,0),attendees,COUNTIF(INDEX(Attendance!$B$7:$AY$206,0,att_offset),"1"),IF(ev_split="Equal Split",ev_cost/MAX(1,COUNTA(Roster!$A$5:$A$204)),ev_cost/MAX(1,attendees))),"N/A"))</f>
        <v/>
      </c>
    </row>
    <row r="952" ht="20" customHeight="1">
      <c r="A952" s="12" t="n"/>
      <c r="B952" s="10" t="n"/>
      <c r="C952" s="10" t="n"/>
      <c r="D952" s="10" t="n"/>
      <c r="E952" s="10" t="n"/>
      <c r="F952" s="13" t="n"/>
      <c r="G952" s="10" t="n"/>
      <c r="H952" s="10" t="n"/>
      <c r="I952" s="10" t="n"/>
      <c r="J952" s="108">
        <f>IF(G952="","",IFERROR(LET(ev_cost,INDEX(Events!$G$5:$G$505,MATCH(G952,Events!$A$5:$A$505,0)),ev_split,INDEX(Events!$I$5:$I$505,MATCH(G952,Events!$A$5:$A$505,0)),att_offset,MATCH(G952,Attendance!$B$3:$AY$3,0),attendees,COUNTIF(INDEX(Attendance!$B$7:$AY$206,0,att_offset),"1"),IF(ev_split="Equal Split",ev_cost/MAX(1,COUNTA(Roster!$A$5:$A$204)),ev_cost/MAX(1,attendees))),"N/A"))</f>
        <v/>
      </c>
    </row>
    <row r="953" ht="20" customHeight="1">
      <c r="A953" s="16" t="n"/>
      <c r="B953" s="14" t="n"/>
      <c r="C953" s="14" t="n"/>
      <c r="D953" s="14" t="n"/>
      <c r="E953" s="14" t="n"/>
      <c r="F953" s="17" t="n"/>
      <c r="G953" s="14" t="n"/>
      <c r="H953" s="14" t="n"/>
      <c r="I953" s="14" t="n"/>
      <c r="J953" s="108">
        <f>IF(G953="","",IFERROR(LET(ev_cost,INDEX(Events!$G$5:$G$505,MATCH(G953,Events!$A$5:$A$505,0)),ev_split,INDEX(Events!$I$5:$I$505,MATCH(G953,Events!$A$5:$A$505,0)),att_offset,MATCH(G953,Attendance!$B$3:$AY$3,0),attendees,COUNTIF(INDEX(Attendance!$B$7:$AY$206,0,att_offset),"1"),IF(ev_split="Equal Split",ev_cost/MAX(1,COUNTA(Roster!$A$5:$A$204)),ev_cost/MAX(1,attendees))),"N/A"))</f>
        <v/>
      </c>
    </row>
    <row r="954" ht="20" customHeight="1">
      <c r="A954" s="12" t="n"/>
      <c r="B954" s="10" t="n"/>
      <c r="C954" s="10" t="n"/>
      <c r="D954" s="10" t="n"/>
      <c r="E954" s="10" t="n"/>
      <c r="F954" s="13" t="n"/>
      <c r="G954" s="10" t="n"/>
      <c r="H954" s="10" t="n"/>
      <c r="I954" s="10" t="n"/>
      <c r="J954" s="108">
        <f>IF(G954="","",IFERROR(LET(ev_cost,INDEX(Events!$G$5:$G$505,MATCH(G954,Events!$A$5:$A$505,0)),ev_split,INDEX(Events!$I$5:$I$505,MATCH(G954,Events!$A$5:$A$505,0)),att_offset,MATCH(G954,Attendance!$B$3:$AY$3,0),attendees,COUNTIF(INDEX(Attendance!$B$7:$AY$206,0,att_offset),"1"),IF(ev_split="Equal Split",ev_cost/MAX(1,COUNTA(Roster!$A$5:$A$204)),ev_cost/MAX(1,attendees))),"N/A"))</f>
        <v/>
      </c>
    </row>
    <row r="955" ht="20" customHeight="1">
      <c r="A955" s="16" t="n"/>
      <c r="B955" s="14" t="n"/>
      <c r="C955" s="14" t="n"/>
      <c r="D955" s="14" t="n"/>
      <c r="E955" s="14" t="n"/>
      <c r="F955" s="17" t="n"/>
      <c r="G955" s="14" t="n"/>
      <c r="H955" s="14" t="n"/>
      <c r="I955" s="14" t="n"/>
      <c r="J955" s="108">
        <f>IF(G955="","",IFERROR(LET(ev_cost,INDEX(Events!$G$5:$G$505,MATCH(G955,Events!$A$5:$A$505,0)),ev_split,INDEX(Events!$I$5:$I$505,MATCH(G955,Events!$A$5:$A$505,0)),att_offset,MATCH(G955,Attendance!$B$3:$AY$3,0),attendees,COUNTIF(INDEX(Attendance!$B$7:$AY$206,0,att_offset),"1"),IF(ev_split="Equal Split",ev_cost/MAX(1,COUNTA(Roster!$A$5:$A$204)),ev_cost/MAX(1,attendees))),"N/A"))</f>
        <v/>
      </c>
    </row>
    <row r="956" ht="20" customHeight="1">
      <c r="A956" s="12" t="n"/>
      <c r="B956" s="10" t="n"/>
      <c r="C956" s="10" t="n"/>
      <c r="D956" s="10" t="n"/>
      <c r="E956" s="10" t="n"/>
      <c r="F956" s="13" t="n"/>
      <c r="G956" s="10" t="n"/>
      <c r="H956" s="10" t="n"/>
      <c r="I956" s="10" t="n"/>
      <c r="J956" s="108">
        <f>IF(G956="","",IFERROR(LET(ev_cost,INDEX(Events!$G$5:$G$505,MATCH(G956,Events!$A$5:$A$505,0)),ev_split,INDEX(Events!$I$5:$I$505,MATCH(G956,Events!$A$5:$A$505,0)),att_offset,MATCH(G956,Attendance!$B$3:$AY$3,0),attendees,COUNTIF(INDEX(Attendance!$B$7:$AY$206,0,att_offset),"1"),IF(ev_split="Equal Split",ev_cost/MAX(1,COUNTA(Roster!$A$5:$A$204)),ev_cost/MAX(1,attendees))),"N/A"))</f>
        <v/>
      </c>
    </row>
    <row r="957" ht="20" customHeight="1">
      <c r="A957" s="16" t="n"/>
      <c r="B957" s="14" t="n"/>
      <c r="C957" s="14" t="n"/>
      <c r="D957" s="14" t="n"/>
      <c r="E957" s="14" t="n"/>
      <c r="F957" s="17" t="n"/>
      <c r="G957" s="14" t="n"/>
      <c r="H957" s="14" t="n"/>
      <c r="I957" s="14" t="n"/>
      <c r="J957" s="108">
        <f>IF(G957="","",IFERROR(LET(ev_cost,INDEX(Events!$G$5:$G$505,MATCH(G957,Events!$A$5:$A$505,0)),ev_split,INDEX(Events!$I$5:$I$505,MATCH(G957,Events!$A$5:$A$505,0)),att_offset,MATCH(G957,Attendance!$B$3:$AY$3,0),attendees,COUNTIF(INDEX(Attendance!$B$7:$AY$206,0,att_offset),"1"),IF(ev_split="Equal Split",ev_cost/MAX(1,COUNTA(Roster!$A$5:$A$204)),ev_cost/MAX(1,attendees))),"N/A"))</f>
        <v/>
      </c>
    </row>
    <row r="958" ht="20" customHeight="1">
      <c r="A958" s="12" t="n"/>
      <c r="B958" s="10" t="n"/>
      <c r="C958" s="10" t="n"/>
      <c r="D958" s="10" t="n"/>
      <c r="E958" s="10" t="n"/>
      <c r="F958" s="13" t="n"/>
      <c r="G958" s="10" t="n"/>
      <c r="H958" s="10" t="n"/>
      <c r="I958" s="10" t="n"/>
      <c r="J958" s="108">
        <f>IF(G958="","",IFERROR(LET(ev_cost,INDEX(Events!$G$5:$G$505,MATCH(G958,Events!$A$5:$A$505,0)),ev_split,INDEX(Events!$I$5:$I$505,MATCH(G958,Events!$A$5:$A$505,0)),att_offset,MATCH(G958,Attendance!$B$3:$AY$3,0),attendees,COUNTIF(INDEX(Attendance!$B$7:$AY$206,0,att_offset),"1"),IF(ev_split="Equal Split",ev_cost/MAX(1,COUNTA(Roster!$A$5:$A$204)),ev_cost/MAX(1,attendees))),"N/A"))</f>
        <v/>
      </c>
    </row>
    <row r="959" ht="20" customHeight="1">
      <c r="A959" s="16" t="n"/>
      <c r="B959" s="14" t="n"/>
      <c r="C959" s="14" t="n"/>
      <c r="D959" s="14" t="n"/>
      <c r="E959" s="14" t="n"/>
      <c r="F959" s="17" t="n"/>
      <c r="G959" s="14" t="n"/>
      <c r="H959" s="14" t="n"/>
      <c r="I959" s="14" t="n"/>
      <c r="J959" s="108">
        <f>IF(G959="","",IFERROR(LET(ev_cost,INDEX(Events!$G$5:$G$505,MATCH(G959,Events!$A$5:$A$505,0)),ev_split,INDEX(Events!$I$5:$I$505,MATCH(G959,Events!$A$5:$A$505,0)),att_offset,MATCH(G959,Attendance!$B$3:$AY$3,0),attendees,COUNTIF(INDEX(Attendance!$B$7:$AY$206,0,att_offset),"1"),IF(ev_split="Equal Split",ev_cost/MAX(1,COUNTA(Roster!$A$5:$A$204)),ev_cost/MAX(1,attendees))),"N/A"))</f>
        <v/>
      </c>
    </row>
    <row r="960" ht="20" customHeight="1">
      <c r="A960" s="12" t="n"/>
      <c r="B960" s="10" t="n"/>
      <c r="C960" s="10" t="n"/>
      <c r="D960" s="10" t="n"/>
      <c r="E960" s="10" t="n"/>
      <c r="F960" s="13" t="n"/>
      <c r="G960" s="10" t="n"/>
      <c r="H960" s="10" t="n"/>
      <c r="I960" s="10" t="n"/>
      <c r="J960" s="108">
        <f>IF(G960="","",IFERROR(LET(ev_cost,INDEX(Events!$G$5:$G$505,MATCH(G960,Events!$A$5:$A$505,0)),ev_split,INDEX(Events!$I$5:$I$505,MATCH(G960,Events!$A$5:$A$505,0)),att_offset,MATCH(G960,Attendance!$B$3:$AY$3,0),attendees,COUNTIF(INDEX(Attendance!$B$7:$AY$206,0,att_offset),"1"),IF(ev_split="Equal Split",ev_cost/MAX(1,COUNTA(Roster!$A$5:$A$204)),ev_cost/MAX(1,attendees))),"N/A"))</f>
        <v/>
      </c>
    </row>
    <row r="961" ht="20" customHeight="1">
      <c r="A961" s="16" t="n"/>
      <c r="B961" s="14" t="n"/>
      <c r="C961" s="14" t="n"/>
      <c r="D961" s="14" t="n"/>
      <c r="E961" s="14" t="n"/>
      <c r="F961" s="17" t="n"/>
      <c r="G961" s="14" t="n"/>
      <c r="H961" s="14" t="n"/>
      <c r="I961" s="14" t="n"/>
      <c r="J961" s="108">
        <f>IF(G961="","",IFERROR(LET(ev_cost,INDEX(Events!$G$5:$G$505,MATCH(G961,Events!$A$5:$A$505,0)),ev_split,INDEX(Events!$I$5:$I$505,MATCH(G961,Events!$A$5:$A$505,0)),att_offset,MATCH(G961,Attendance!$B$3:$AY$3,0),attendees,COUNTIF(INDEX(Attendance!$B$7:$AY$206,0,att_offset),"1"),IF(ev_split="Equal Split",ev_cost/MAX(1,COUNTA(Roster!$A$5:$A$204)),ev_cost/MAX(1,attendees))),"N/A"))</f>
        <v/>
      </c>
    </row>
    <row r="962" ht="20" customHeight="1">
      <c r="A962" s="12" t="n"/>
      <c r="B962" s="10" t="n"/>
      <c r="C962" s="10" t="n"/>
      <c r="D962" s="10" t="n"/>
      <c r="E962" s="10" t="n"/>
      <c r="F962" s="13" t="n"/>
      <c r="G962" s="10" t="n"/>
      <c r="H962" s="10" t="n"/>
      <c r="I962" s="10" t="n"/>
      <c r="J962" s="108">
        <f>IF(G962="","",IFERROR(LET(ev_cost,INDEX(Events!$G$5:$G$505,MATCH(G962,Events!$A$5:$A$505,0)),ev_split,INDEX(Events!$I$5:$I$505,MATCH(G962,Events!$A$5:$A$505,0)),att_offset,MATCH(G962,Attendance!$B$3:$AY$3,0),attendees,COUNTIF(INDEX(Attendance!$B$7:$AY$206,0,att_offset),"1"),IF(ev_split="Equal Split",ev_cost/MAX(1,COUNTA(Roster!$A$5:$A$204)),ev_cost/MAX(1,attendees))),"N/A"))</f>
        <v/>
      </c>
    </row>
    <row r="963" ht="20" customHeight="1">
      <c r="A963" s="16" t="n"/>
      <c r="B963" s="14" t="n"/>
      <c r="C963" s="14" t="n"/>
      <c r="D963" s="14" t="n"/>
      <c r="E963" s="14" t="n"/>
      <c r="F963" s="17" t="n"/>
      <c r="G963" s="14" t="n"/>
      <c r="H963" s="14" t="n"/>
      <c r="I963" s="14" t="n"/>
      <c r="J963" s="108">
        <f>IF(G963="","",IFERROR(LET(ev_cost,INDEX(Events!$G$5:$G$505,MATCH(G963,Events!$A$5:$A$505,0)),ev_split,INDEX(Events!$I$5:$I$505,MATCH(G963,Events!$A$5:$A$505,0)),att_offset,MATCH(G963,Attendance!$B$3:$AY$3,0),attendees,COUNTIF(INDEX(Attendance!$B$7:$AY$206,0,att_offset),"1"),IF(ev_split="Equal Split",ev_cost/MAX(1,COUNTA(Roster!$A$5:$A$204)),ev_cost/MAX(1,attendees))),"N/A"))</f>
        <v/>
      </c>
    </row>
    <row r="964" ht="20" customHeight="1">
      <c r="A964" s="12" t="n"/>
      <c r="B964" s="10" t="n"/>
      <c r="C964" s="10" t="n"/>
      <c r="D964" s="10" t="n"/>
      <c r="E964" s="10" t="n"/>
      <c r="F964" s="13" t="n"/>
      <c r="G964" s="10" t="n"/>
      <c r="H964" s="10" t="n"/>
      <c r="I964" s="10" t="n"/>
      <c r="J964" s="108">
        <f>IF(G964="","",IFERROR(LET(ev_cost,INDEX(Events!$G$5:$G$505,MATCH(G964,Events!$A$5:$A$505,0)),ev_split,INDEX(Events!$I$5:$I$505,MATCH(G964,Events!$A$5:$A$505,0)),att_offset,MATCH(G964,Attendance!$B$3:$AY$3,0),attendees,COUNTIF(INDEX(Attendance!$B$7:$AY$206,0,att_offset),"1"),IF(ev_split="Equal Split",ev_cost/MAX(1,COUNTA(Roster!$A$5:$A$204)),ev_cost/MAX(1,attendees))),"N/A"))</f>
        <v/>
      </c>
    </row>
    <row r="965" ht="20" customHeight="1">
      <c r="A965" s="16" t="n"/>
      <c r="B965" s="14" t="n"/>
      <c r="C965" s="14" t="n"/>
      <c r="D965" s="14" t="n"/>
      <c r="E965" s="14" t="n"/>
      <c r="F965" s="17" t="n"/>
      <c r="G965" s="14" t="n"/>
      <c r="H965" s="14" t="n"/>
      <c r="I965" s="14" t="n"/>
      <c r="J965" s="108">
        <f>IF(G965="","",IFERROR(LET(ev_cost,INDEX(Events!$G$5:$G$505,MATCH(G965,Events!$A$5:$A$505,0)),ev_split,INDEX(Events!$I$5:$I$505,MATCH(G965,Events!$A$5:$A$505,0)),att_offset,MATCH(G965,Attendance!$B$3:$AY$3,0),attendees,COUNTIF(INDEX(Attendance!$B$7:$AY$206,0,att_offset),"1"),IF(ev_split="Equal Split",ev_cost/MAX(1,COUNTA(Roster!$A$5:$A$204)),ev_cost/MAX(1,attendees))),"N/A"))</f>
        <v/>
      </c>
    </row>
    <row r="966" ht="20" customHeight="1">
      <c r="A966" s="12" t="n"/>
      <c r="B966" s="10" t="n"/>
      <c r="C966" s="10" t="n"/>
      <c r="D966" s="10" t="n"/>
      <c r="E966" s="10" t="n"/>
      <c r="F966" s="13" t="n"/>
      <c r="G966" s="10" t="n"/>
      <c r="H966" s="10" t="n"/>
      <c r="I966" s="10" t="n"/>
      <c r="J966" s="108">
        <f>IF(G966="","",IFERROR(LET(ev_cost,INDEX(Events!$G$5:$G$505,MATCH(G966,Events!$A$5:$A$505,0)),ev_split,INDEX(Events!$I$5:$I$505,MATCH(G966,Events!$A$5:$A$505,0)),att_offset,MATCH(G966,Attendance!$B$3:$AY$3,0),attendees,COUNTIF(INDEX(Attendance!$B$7:$AY$206,0,att_offset),"1"),IF(ev_split="Equal Split",ev_cost/MAX(1,COUNTA(Roster!$A$5:$A$204)),ev_cost/MAX(1,attendees))),"N/A"))</f>
        <v/>
      </c>
    </row>
    <row r="967" ht="20" customHeight="1">
      <c r="A967" s="16" t="n"/>
      <c r="B967" s="14" t="n"/>
      <c r="C967" s="14" t="n"/>
      <c r="D967" s="14" t="n"/>
      <c r="E967" s="14" t="n"/>
      <c r="F967" s="17" t="n"/>
      <c r="G967" s="14" t="n"/>
      <c r="H967" s="14" t="n"/>
      <c r="I967" s="14" t="n"/>
      <c r="J967" s="108">
        <f>IF(G967="","",IFERROR(LET(ev_cost,INDEX(Events!$G$5:$G$505,MATCH(G967,Events!$A$5:$A$505,0)),ev_split,INDEX(Events!$I$5:$I$505,MATCH(G967,Events!$A$5:$A$505,0)),att_offset,MATCH(G967,Attendance!$B$3:$AY$3,0),attendees,COUNTIF(INDEX(Attendance!$B$7:$AY$206,0,att_offset),"1"),IF(ev_split="Equal Split",ev_cost/MAX(1,COUNTA(Roster!$A$5:$A$204)),ev_cost/MAX(1,attendees))),"N/A"))</f>
        <v/>
      </c>
    </row>
    <row r="968" ht="20" customHeight="1">
      <c r="A968" s="12" t="n"/>
      <c r="B968" s="10" t="n"/>
      <c r="C968" s="10" t="n"/>
      <c r="D968" s="10" t="n"/>
      <c r="E968" s="10" t="n"/>
      <c r="F968" s="13" t="n"/>
      <c r="G968" s="10" t="n"/>
      <c r="H968" s="10" t="n"/>
      <c r="I968" s="10" t="n"/>
      <c r="J968" s="108">
        <f>IF(G968="","",IFERROR(LET(ev_cost,INDEX(Events!$G$5:$G$505,MATCH(G968,Events!$A$5:$A$505,0)),ev_split,INDEX(Events!$I$5:$I$505,MATCH(G968,Events!$A$5:$A$505,0)),att_offset,MATCH(G968,Attendance!$B$3:$AY$3,0),attendees,COUNTIF(INDEX(Attendance!$B$7:$AY$206,0,att_offset),"1"),IF(ev_split="Equal Split",ev_cost/MAX(1,COUNTA(Roster!$A$5:$A$204)),ev_cost/MAX(1,attendees))),"N/A"))</f>
        <v/>
      </c>
    </row>
    <row r="969" ht="20" customHeight="1">
      <c r="A969" s="16" t="n"/>
      <c r="B969" s="14" t="n"/>
      <c r="C969" s="14" t="n"/>
      <c r="D969" s="14" t="n"/>
      <c r="E969" s="14" t="n"/>
      <c r="F969" s="17" t="n"/>
      <c r="G969" s="14" t="n"/>
      <c r="H969" s="14" t="n"/>
      <c r="I969" s="14" t="n"/>
      <c r="J969" s="108">
        <f>IF(G969="","",IFERROR(LET(ev_cost,INDEX(Events!$G$5:$G$505,MATCH(G969,Events!$A$5:$A$505,0)),ev_split,INDEX(Events!$I$5:$I$505,MATCH(G969,Events!$A$5:$A$505,0)),att_offset,MATCH(G969,Attendance!$B$3:$AY$3,0),attendees,COUNTIF(INDEX(Attendance!$B$7:$AY$206,0,att_offset),"1"),IF(ev_split="Equal Split",ev_cost/MAX(1,COUNTA(Roster!$A$5:$A$204)),ev_cost/MAX(1,attendees))),"N/A"))</f>
        <v/>
      </c>
    </row>
    <row r="970" ht="20" customHeight="1">
      <c r="A970" s="12" t="n"/>
      <c r="B970" s="10" t="n"/>
      <c r="C970" s="10" t="n"/>
      <c r="D970" s="10" t="n"/>
      <c r="E970" s="10" t="n"/>
      <c r="F970" s="13" t="n"/>
      <c r="G970" s="10" t="n"/>
      <c r="H970" s="10" t="n"/>
      <c r="I970" s="10" t="n"/>
      <c r="J970" s="108">
        <f>IF(G970="","",IFERROR(LET(ev_cost,INDEX(Events!$G$5:$G$505,MATCH(G970,Events!$A$5:$A$505,0)),ev_split,INDEX(Events!$I$5:$I$505,MATCH(G970,Events!$A$5:$A$505,0)),att_offset,MATCH(G970,Attendance!$B$3:$AY$3,0),attendees,COUNTIF(INDEX(Attendance!$B$7:$AY$206,0,att_offset),"1"),IF(ev_split="Equal Split",ev_cost/MAX(1,COUNTA(Roster!$A$5:$A$204)),ev_cost/MAX(1,attendees))),"N/A"))</f>
        <v/>
      </c>
    </row>
    <row r="971" ht="20" customHeight="1">
      <c r="A971" s="16" t="n"/>
      <c r="B971" s="14" t="n"/>
      <c r="C971" s="14" t="n"/>
      <c r="D971" s="14" t="n"/>
      <c r="E971" s="14" t="n"/>
      <c r="F971" s="17" t="n"/>
      <c r="G971" s="14" t="n"/>
      <c r="H971" s="14" t="n"/>
      <c r="I971" s="14" t="n"/>
      <c r="J971" s="108">
        <f>IF(G971="","",IFERROR(LET(ev_cost,INDEX(Events!$G$5:$G$505,MATCH(G971,Events!$A$5:$A$505,0)),ev_split,INDEX(Events!$I$5:$I$505,MATCH(G971,Events!$A$5:$A$505,0)),att_offset,MATCH(G971,Attendance!$B$3:$AY$3,0),attendees,COUNTIF(INDEX(Attendance!$B$7:$AY$206,0,att_offset),"1"),IF(ev_split="Equal Split",ev_cost/MAX(1,COUNTA(Roster!$A$5:$A$204)),ev_cost/MAX(1,attendees))),"N/A"))</f>
        <v/>
      </c>
    </row>
    <row r="972" ht="20" customHeight="1">
      <c r="A972" s="12" t="n"/>
      <c r="B972" s="10" t="n"/>
      <c r="C972" s="10" t="n"/>
      <c r="D972" s="10" t="n"/>
      <c r="E972" s="10" t="n"/>
      <c r="F972" s="13" t="n"/>
      <c r="G972" s="10" t="n"/>
      <c r="H972" s="10" t="n"/>
      <c r="I972" s="10" t="n"/>
      <c r="J972" s="108">
        <f>IF(G972="","",IFERROR(LET(ev_cost,INDEX(Events!$G$5:$G$505,MATCH(G972,Events!$A$5:$A$505,0)),ev_split,INDEX(Events!$I$5:$I$505,MATCH(G972,Events!$A$5:$A$505,0)),att_offset,MATCH(G972,Attendance!$B$3:$AY$3,0),attendees,COUNTIF(INDEX(Attendance!$B$7:$AY$206,0,att_offset),"1"),IF(ev_split="Equal Split",ev_cost/MAX(1,COUNTA(Roster!$A$5:$A$204)),ev_cost/MAX(1,attendees))),"N/A"))</f>
        <v/>
      </c>
    </row>
    <row r="973" ht="20" customHeight="1">
      <c r="A973" s="16" t="n"/>
      <c r="B973" s="14" t="n"/>
      <c r="C973" s="14" t="n"/>
      <c r="D973" s="14" t="n"/>
      <c r="E973" s="14" t="n"/>
      <c r="F973" s="17" t="n"/>
      <c r="G973" s="14" t="n"/>
      <c r="H973" s="14" t="n"/>
      <c r="I973" s="14" t="n"/>
      <c r="J973" s="108">
        <f>IF(G973="","",IFERROR(LET(ev_cost,INDEX(Events!$G$5:$G$505,MATCH(G973,Events!$A$5:$A$505,0)),ev_split,INDEX(Events!$I$5:$I$505,MATCH(G973,Events!$A$5:$A$505,0)),att_offset,MATCH(G973,Attendance!$B$3:$AY$3,0),attendees,COUNTIF(INDEX(Attendance!$B$7:$AY$206,0,att_offset),"1"),IF(ev_split="Equal Split",ev_cost/MAX(1,COUNTA(Roster!$A$5:$A$204)),ev_cost/MAX(1,attendees))),"N/A"))</f>
        <v/>
      </c>
    </row>
    <row r="974" ht="20" customHeight="1">
      <c r="A974" s="12" t="n"/>
      <c r="B974" s="10" t="n"/>
      <c r="C974" s="10" t="n"/>
      <c r="D974" s="10" t="n"/>
      <c r="E974" s="10" t="n"/>
      <c r="F974" s="13" t="n"/>
      <c r="G974" s="10" t="n"/>
      <c r="H974" s="10" t="n"/>
      <c r="I974" s="10" t="n"/>
      <c r="J974" s="108">
        <f>IF(G974="","",IFERROR(LET(ev_cost,INDEX(Events!$G$5:$G$505,MATCH(G974,Events!$A$5:$A$505,0)),ev_split,INDEX(Events!$I$5:$I$505,MATCH(G974,Events!$A$5:$A$505,0)),att_offset,MATCH(G974,Attendance!$B$3:$AY$3,0),attendees,COUNTIF(INDEX(Attendance!$B$7:$AY$206,0,att_offset),"1"),IF(ev_split="Equal Split",ev_cost/MAX(1,COUNTA(Roster!$A$5:$A$204)),ev_cost/MAX(1,attendees))),"N/A"))</f>
        <v/>
      </c>
    </row>
    <row r="975" ht="20" customHeight="1">
      <c r="A975" s="16" t="n"/>
      <c r="B975" s="14" t="n"/>
      <c r="C975" s="14" t="n"/>
      <c r="D975" s="14" t="n"/>
      <c r="E975" s="14" t="n"/>
      <c r="F975" s="17" t="n"/>
      <c r="G975" s="14" t="n"/>
      <c r="H975" s="14" t="n"/>
      <c r="I975" s="14" t="n"/>
      <c r="J975" s="108">
        <f>IF(G975="","",IFERROR(LET(ev_cost,INDEX(Events!$G$5:$G$505,MATCH(G975,Events!$A$5:$A$505,0)),ev_split,INDEX(Events!$I$5:$I$505,MATCH(G975,Events!$A$5:$A$505,0)),att_offset,MATCH(G975,Attendance!$B$3:$AY$3,0),attendees,COUNTIF(INDEX(Attendance!$B$7:$AY$206,0,att_offset),"1"),IF(ev_split="Equal Split",ev_cost/MAX(1,COUNTA(Roster!$A$5:$A$204)),ev_cost/MAX(1,attendees))),"N/A"))</f>
        <v/>
      </c>
    </row>
    <row r="976" ht="20" customHeight="1">
      <c r="A976" s="12" t="n"/>
      <c r="B976" s="10" t="n"/>
      <c r="C976" s="10" t="n"/>
      <c r="D976" s="10" t="n"/>
      <c r="E976" s="10" t="n"/>
      <c r="F976" s="13" t="n"/>
      <c r="G976" s="10" t="n"/>
      <c r="H976" s="10" t="n"/>
      <c r="I976" s="10" t="n"/>
      <c r="J976" s="108">
        <f>IF(G976="","",IFERROR(LET(ev_cost,INDEX(Events!$G$5:$G$505,MATCH(G976,Events!$A$5:$A$505,0)),ev_split,INDEX(Events!$I$5:$I$505,MATCH(G976,Events!$A$5:$A$505,0)),att_offset,MATCH(G976,Attendance!$B$3:$AY$3,0),attendees,COUNTIF(INDEX(Attendance!$B$7:$AY$206,0,att_offset),"1"),IF(ev_split="Equal Split",ev_cost/MAX(1,COUNTA(Roster!$A$5:$A$204)),ev_cost/MAX(1,attendees))),"N/A"))</f>
        <v/>
      </c>
    </row>
    <row r="977" ht="20" customHeight="1">
      <c r="A977" s="16" t="n"/>
      <c r="B977" s="14" t="n"/>
      <c r="C977" s="14" t="n"/>
      <c r="D977" s="14" t="n"/>
      <c r="E977" s="14" t="n"/>
      <c r="F977" s="17" t="n"/>
      <c r="G977" s="14" t="n"/>
      <c r="H977" s="14" t="n"/>
      <c r="I977" s="14" t="n"/>
      <c r="J977" s="108">
        <f>IF(G977="","",IFERROR(LET(ev_cost,INDEX(Events!$G$5:$G$505,MATCH(G977,Events!$A$5:$A$505,0)),ev_split,INDEX(Events!$I$5:$I$505,MATCH(G977,Events!$A$5:$A$505,0)),att_offset,MATCH(G977,Attendance!$B$3:$AY$3,0),attendees,COUNTIF(INDEX(Attendance!$B$7:$AY$206,0,att_offset),"1"),IF(ev_split="Equal Split",ev_cost/MAX(1,COUNTA(Roster!$A$5:$A$204)),ev_cost/MAX(1,attendees))),"N/A"))</f>
        <v/>
      </c>
    </row>
    <row r="978" ht="20" customHeight="1">
      <c r="A978" s="12" t="n"/>
      <c r="B978" s="10" t="n"/>
      <c r="C978" s="10" t="n"/>
      <c r="D978" s="10" t="n"/>
      <c r="E978" s="10" t="n"/>
      <c r="F978" s="13" t="n"/>
      <c r="G978" s="10" t="n"/>
      <c r="H978" s="10" t="n"/>
      <c r="I978" s="10" t="n"/>
      <c r="J978" s="108">
        <f>IF(G978="","",IFERROR(LET(ev_cost,INDEX(Events!$G$5:$G$505,MATCH(G978,Events!$A$5:$A$505,0)),ev_split,INDEX(Events!$I$5:$I$505,MATCH(G978,Events!$A$5:$A$505,0)),att_offset,MATCH(G978,Attendance!$B$3:$AY$3,0),attendees,COUNTIF(INDEX(Attendance!$B$7:$AY$206,0,att_offset),"1"),IF(ev_split="Equal Split",ev_cost/MAX(1,COUNTA(Roster!$A$5:$A$204)),ev_cost/MAX(1,attendees))),"N/A"))</f>
        <v/>
      </c>
    </row>
    <row r="979" ht="20" customHeight="1">
      <c r="A979" s="16" t="n"/>
      <c r="B979" s="14" t="n"/>
      <c r="C979" s="14" t="n"/>
      <c r="D979" s="14" t="n"/>
      <c r="E979" s="14" t="n"/>
      <c r="F979" s="17" t="n"/>
      <c r="G979" s="14" t="n"/>
      <c r="H979" s="14" t="n"/>
      <c r="I979" s="14" t="n"/>
      <c r="J979" s="108">
        <f>IF(G979="","",IFERROR(LET(ev_cost,INDEX(Events!$G$5:$G$505,MATCH(G979,Events!$A$5:$A$505,0)),ev_split,INDEX(Events!$I$5:$I$505,MATCH(G979,Events!$A$5:$A$505,0)),att_offset,MATCH(G979,Attendance!$B$3:$AY$3,0),attendees,COUNTIF(INDEX(Attendance!$B$7:$AY$206,0,att_offset),"1"),IF(ev_split="Equal Split",ev_cost/MAX(1,COUNTA(Roster!$A$5:$A$204)),ev_cost/MAX(1,attendees))),"N/A"))</f>
        <v/>
      </c>
    </row>
    <row r="980" ht="20" customHeight="1">
      <c r="A980" s="12" t="n"/>
      <c r="B980" s="10" t="n"/>
      <c r="C980" s="10" t="n"/>
      <c r="D980" s="10" t="n"/>
      <c r="E980" s="10" t="n"/>
      <c r="F980" s="13" t="n"/>
      <c r="G980" s="10" t="n"/>
      <c r="H980" s="10" t="n"/>
      <c r="I980" s="10" t="n"/>
      <c r="J980" s="108">
        <f>IF(G980="","",IFERROR(LET(ev_cost,INDEX(Events!$G$5:$G$505,MATCH(G980,Events!$A$5:$A$505,0)),ev_split,INDEX(Events!$I$5:$I$505,MATCH(G980,Events!$A$5:$A$505,0)),att_offset,MATCH(G980,Attendance!$B$3:$AY$3,0),attendees,COUNTIF(INDEX(Attendance!$B$7:$AY$206,0,att_offset),"1"),IF(ev_split="Equal Split",ev_cost/MAX(1,COUNTA(Roster!$A$5:$A$204)),ev_cost/MAX(1,attendees))),"N/A"))</f>
        <v/>
      </c>
    </row>
    <row r="981" ht="20" customHeight="1">
      <c r="A981" s="16" t="n"/>
      <c r="B981" s="14" t="n"/>
      <c r="C981" s="14" t="n"/>
      <c r="D981" s="14" t="n"/>
      <c r="E981" s="14" t="n"/>
      <c r="F981" s="17" t="n"/>
      <c r="G981" s="14" t="n"/>
      <c r="H981" s="14" t="n"/>
      <c r="I981" s="14" t="n"/>
      <c r="J981" s="108">
        <f>IF(G981="","",IFERROR(LET(ev_cost,INDEX(Events!$G$5:$G$505,MATCH(G981,Events!$A$5:$A$505,0)),ev_split,INDEX(Events!$I$5:$I$505,MATCH(G981,Events!$A$5:$A$505,0)),att_offset,MATCH(G981,Attendance!$B$3:$AY$3,0),attendees,COUNTIF(INDEX(Attendance!$B$7:$AY$206,0,att_offset),"1"),IF(ev_split="Equal Split",ev_cost/MAX(1,COUNTA(Roster!$A$5:$A$204)),ev_cost/MAX(1,attendees))),"N/A"))</f>
        <v/>
      </c>
    </row>
    <row r="982" ht="20" customHeight="1">
      <c r="A982" s="12" t="n"/>
      <c r="B982" s="10" t="n"/>
      <c r="C982" s="10" t="n"/>
      <c r="D982" s="10" t="n"/>
      <c r="E982" s="10" t="n"/>
      <c r="F982" s="13" t="n"/>
      <c r="G982" s="10" t="n"/>
      <c r="H982" s="10" t="n"/>
      <c r="I982" s="10" t="n"/>
      <c r="J982" s="108">
        <f>IF(G982="","",IFERROR(LET(ev_cost,INDEX(Events!$G$5:$G$505,MATCH(G982,Events!$A$5:$A$505,0)),ev_split,INDEX(Events!$I$5:$I$505,MATCH(G982,Events!$A$5:$A$505,0)),att_offset,MATCH(G982,Attendance!$B$3:$AY$3,0),attendees,COUNTIF(INDEX(Attendance!$B$7:$AY$206,0,att_offset),"1"),IF(ev_split="Equal Split",ev_cost/MAX(1,COUNTA(Roster!$A$5:$A$204)),ev_cost/MAX(1,attendees))),"N/A"))</f>
        <v/>
      </c>
    </row>
    <row r="983" ht="20" customHeight="1">
      <c r="A983" s="16" t="n"/>
      <c r="B983" s="14" t="n"/>
      <c r="C983" s="14" t="n"/>
      <c r="D983" s="14" t="n"/>
      <c r="E983" s="14" t="n"/>
      <c r="F983" s="17" t="n"/>
      <c r="G983" s="14" t="n"/>
      <c r="H983" s="14" t="n"/>
      <c r="I983" s="14" t="n"/>
      <c r="J983" s="108">
        <f>IF(G983="","",IFERROR(LET(ev_cost,INDEX(Events!$G$5:$G$505,MATCH(G983,Events!$A$5:$A$505,0)),ev_split,INDEX(Events!$I$5:$I$505,MATCH(G983,Events!$A$5:$A$505,0)),att_offset,MATCH(G983,Attendance!$B$3:$AY$3,0),attendees,COUNTIF(INDEX(Attendance!$B$7:$AY$206,0,att_offset),"1"),IF(ev_split="Equal Split",ev_cost/MAX(1,COUNTA(Roster!$A$5:$A$204)),ev_cost/MAX(1,attendees))),"N/A"))</f>
        <v/>
      </c>
    </row>
    <row r="984" ht="20" customHeight="1">
      <c r="A984" s="12" t="n"/>
      <c r="B984" s="10" t="n"/>
      <c r="C984" s="10" t="n"/>
      <c r="D984" s="10" t="n"/>
      <c r="E984" s="10" t="n"/>
      <c r="F984" s="13" t="n"/>
      <c r="G984" s="10" t="n"/>
      <c r="H984" s="10" t="n"/>
      <c r="I984" s="10" t="n"/>
      <c r="J984" s="108">
        <f>IF(G984="","",IFERROR(LET(ev_cost,INDEX(Events!$G$5:$G$505,MATCH(G984,Events!$A$5:$A$505,0)),ev_split,INDEX(Events!$I$5:$I$505,MATCH(G984,Events!$A$5:$A$505,0)),att_offset,MATCH(G984,Attendance!$B$3:$AY$3,0),attendees,COUNTIF(INDEX(Attendance!$B$7:$AY$206,0,att_offset),"1"),IF(ev_split="Equal Split",ev_cost/MAX(1,COUNTA(Roster!$A$5:$A$204)),ev_cost/MAX(1,attendees))),"N/A"))</f>
        <v/>
      </c>
    </row>
    <row r="985" ht="20" customHeight="1">
      <c r="A985" s="16" t="n"/>
      <c r="B985" s="14" t="n"/>
      <c r="C985" s="14" t="n"/>
      <c r="D985" s="14" t="n"/>
      <c r="E985" s="14" t="n"/>
      <c r="F985" s="17" t="n"/>
      <c r="G985" s="14" t="n"/>
      <c r="H985" s="14" t="n"/>
      <c r="I985" s="14" t="n"/>
      <c r="J985" s="108">
        <f>IF(G985="","",IFERROR(LET(ev_cost,INDEX(Events!$G$5:$G$505,MATCH(G985,Events!$A$5:$A$505,0)),ev_split,INDEX(Events!$I$5:$I$505,MATCH(G985,Events!$A$5:$A$505,0)),att_offset,MATCH(G985,Attendance!$B$3:$AY$3,0),attendees,COUNTIF(INDEX(Attendance!$B$7:$AY$206,0,att_offset),"1"),IF(ev_split="Equal Split",ev_cost/MAX(1,COUNTA(Roster!$A$5:$A$204)),ev_cost/MAX(1,attendees))),"N/A"))</f>
        <v/>
      </c>
    </row>
    <row r="986" ht="20" customHeight="1">
      <c r="A986" s="12" t="n"/>
      <c r="B986" s="10" t="n"/>
      <c r="C986" s="10" t="n"/>
      <c r="D986" s="10" t="n"/>
      <c r="E986" s="10" t="n"/>
      <c r="F986" s="13" t="n"/>
      <c r="G986" s="10" t="n"/>
      <c r="H986" s="10" t="n"/>
      <c r="I986" s="10" t="n"/>
      <c r="J986" s="108">
        <f>IF(G986="","",IFERROR(LET(ev_cost,INDEX(Events!$G$5:$G$505,MATCH(G986,Events!$A$5:$A$505,0)),ev_split,INDEX(Events!$I$5:$I$505,MATCH(G986,Events!$A$5:$A$505,0)),att_offset,MATCH(G986,Attendance!$B$3:$AY$3,0),attendees,COUNTIF(INDEX(Attendance!$B$7:$AY$206,0,att_offset),"1"),IF(ev_split="Equal Split",ev_cost/MAX(1,COUNTA(Roster!$A$5:$A$204)),ev_cost/MAX(1,attendees))),"N/A"))</f>
        <v/>
      </c>
    </row>
    <row r="987" ht="20" customHeight="1">
      <c r="A987" s="16" t="n"/>
      <c r="B987" s="14" t="n"/>
      <c r="C987" s="14" t="n"/>
      <c r="D987" s="14" t="n"/>
      <c r="E987" s="14" t="n"/>
      <c r="F987" s="17" t="n"/>
      <c r="G987" s="14" t="n"/>
      <c r="H987" s="14" t="n"/>
      <c r="I987" s="14" t="n"/>
      <c r="J987" s="108">
        <f>IF(G987="","",IFERROR(LET(ev_cost,INDEX(Events!$G$5:$G$505,MATCH(G987,Events!$A$5:$A$505,0)),ev_split,INDEX(Events!$I$5:$I$505,MATCH(G987,Events!$A$5:$A$505,0)),att_offset,MATCH(G987,Attendance!$B$3:$AY$3,0),attendees,COUNTIF(INDEX(Attendance!$B$7:$AY$206,0,att_offset),"1"),IF(ev_split="Equal Split",ev_cost/MAX(1,COUNTA(Roster!$A$5:$A$204)),ev_cost/MAX(1,attendees))),"N/A"))</f>
        <v/>
      </c>
    </row>
    <row r="988" ht="20" customHeight="1">
      <c r="A988" s="12" t="n"/>
      <c r="B988" s="10" t="n"/>
      <c r="C988" s="10" t="n"/>
      <c r="D988" s="10" t="n"/>
      <c r="E988" s="10" t="n"/>
      <c r="F988" s="13" t="n"/>
      <c r="G988" s="10" t="n"/>
      <c r="H988" s="10" t="n"/>
      <c r="I988" s="10" t="n"/>
      <c r="J988" s="108">
        <f>IF(G988="","",IFERROR(LET(ev_cost,INDEX(Events!$G$5:$G$505,MATCH(G988,Events!$A$5:$A$505,0)),ev_split,INDEX(Events!$I$5:$I$505,MATCH(G988,Events!$A$5:$A$505,0)),att_offset,MATCH(G988,Attendance!$B$3:$AY$3,0),attendees,COUNTIF(INDEX(Attendance!$B$7:$AY$206,0,att_offset),"1"),IF(ev_split="Equal Split",ev_cost/MAX(1,COUNTA(Roster!$A$5:$A$204)),ev_cost/MAX(1,attendees))),"N/A"))</f>
        <v/>
      </c>
    </row>
    <row r="989" ht="20" customHeight="1">
      <c r="A989" s="16" t="n"/>
      <c r="B989" s="14" t="n"/>
      <c r="C989" s="14" t="n"/>
      <c r="D989" s="14" t="n"/>
      <c r="E989" s="14" t="n"/>
      <c r="F989" s="17" t="n"/>
      <c r="G989" s="14" t="n"/>
      <c r="H989" s="14" t="n"/>
      <c r="I989" s="14" t="n"/>
      <c r="J989" s="108">
        <f>IF(G989="","",IFERROR(LET(ev_cost,INDEX(Events!$G$5:$G$505,MATCH(G989,Events!$A$5:$A$505,0)),ev_split,INDEX(Events!$I$5:$I$505,MATCH(G989,Events!$A$5:$A$505,0)),att_offset,MATCH(G989,Attendance!$B$3:$AY$3,0),attendees,COUNTIF(INDEX(Attendance!$B$7:$AY$206,0,att_offset),"1"),IF(ev_split="Equal Split",ev_cost/MAX(1,COUNTA(Roster!$A$5:$A$204)),ev_cost/MAX(1,attendees))),"N/A"))</f>
        <v/>
      </c>
    </row>
    <row r="990" ht="20" customHeight="1">
      <c r="A990" s="12" t="n"/>
      <c r="B990" s="10" t="n"/>
      <c r="C990" s="10" t="n"/>
      <c r="D990" s="10" t="n"/>
      <c r="E990" s="10" t="n"/>
      <c r="F990" s="13" t="n"/>
      <c r="G990" s="10" t="n"/>
      <c r="H990" s="10" t="n"/>
      <c r="I990" s="10" t="n"/>
      <c r="J990" s="108">
        <f>IF(G990="","",IFERROR(LET(ev_cost,INDEX(Events!$G$5:$G$505,MATCH(G990,Events!$A$5:$A$505,0)),ev_split,INDEX(Events!$I$5:$I$505,MATCH(G990,Events!$A$5:$A$505,0)),att_offset,MATCH(G990,Attendance!$B$3:$AY$3,0),attendees,COUNTIF(INDEX(Attendance!$B$7:$AY$206,0,att_offset),"1"),IF(ev_split="Equal Split",ev_cost/MAX(1,COUNTA(Roster!$A$5:$A$204)),ev_cost/MAX(1,attendees))),"N/A"))</f>
        <v/>
      </c>
    </row>
    <row r="991" ht="20" customHeight="1">
      <c r="A991" s="16" t="n"/>
      <c r="B991" s="14" t="n"/>
      <c r="C991" s="14" t="n"/>
      <c r="D991" s="14" t="n"/>
      <c r="E991" s="14" t="n"/>
      <c r="F991" s="17" t="n"/>
      <c r="G991" s="14" t="n"/>
      <c r="H991" s="14" t="n"/>
      <c r="I991" s="14" t="n"/>
      <c r="J991" s="108">
        <f>IF(G991="","",IFERROR(LET(ev_cost,INDEX(Events!$G$5:$G$505,MATCH(G991,Events!$A$5:$A$505,0)),ev_split,INDEX(Events!$I$5:$I$505,MATCH(G991,Events!$A$5:$A$505,0)),att_offset,MATCH(G991,Attendance!$B$3:$AY$3,0),attendees,COUNTIF(INDEX(Attendance!$B$7:$AY$206,0,att_offset),"1"),IF(ev_split="Equal Split",ev_cost/MAX(1,COUNTA(Roster!$A$5:$A$204)),ev_cost/MAX(1,attendees))),"N/A"))</f>
        <v/>
      </c>
    </row>
    <row r="992" ht="20" customHeight="1">
      <c r="A992" s="12" t="n"/>
      <c r="B992" s="10" t="n"/>
      <c r="C992" s="10" t="n"/>
      <c r="D992" s="10" t="n"/>
      <c r="E992" s="10" t="n"/>
      <c r="F992" s="13" t="n"/>
      <c r="G992" s="10" t="n"/>
      <c r="H992" s="10" t="n"/>
      <c r="I992" s="10" t="n"/>
      <c r="J992" s="108">
        <f>IF(G992="","",IFERROR(LET(ev_cost,INDEX(Events!$G$5:$G$505,MATCH(G992,Events!$A$5:$A$505,0)),ev_split,INDEX(Events!$I$5:$I$505,MATCH(G992,Events!$A$5:$A$505,0)),att_offset,MATCH(G992,Attendance!$B$3:$AY$3,0),attendees,COUNTIF(INDEX(Attendance!$B$7:$AY$206,0,att_offset),"1"),IF(ev_split="Equal Split",ev_cost/MAX(1,COUNTA(Roster!$A$5:$A$204)),ev_cost/MAX(1,attendees))),"N/A"))</f>
        <v/>
      </c>
    </row>
    <row r="993" ht="20" customHeight="1">
      <c r="A993" s="16" t="n"/>
      <c r="B993" s="14" t="n"/>
      <c r="C993" s="14" t="n"/>
      <c r="D993" s="14" t="n"/>
      <c r="E993" s="14" t="n"/>
      <c r="F993" s="17" t="n"/>
      <c r="G993" s="14" t="n"/>
      <c r="H993" s="14" t="n"/>
      <c r="I993" s="14" t="n"/>
      <c r="J993" s="108">
        <f>IF(G993="","",IFERROR(LET(ev_cost,INDEX(Events!$G$5:$G$505,MATCH(G993,Events!$A$5:$A$505,0)),ev_split,INDEX(Events!$I$5:$I$505,MATCH(G993,Events!$A$5:$A$505,0)),att_offset,MATCH(G993,Attendance!$B$3:$AY$3,0),attendees,COUNTIF(INDEX(Attendance!$B$7:$AY$206,0,att_offset),"1"),IF(ev_split="Equal Split",ev_cost/MAX(1,COUNTA(Roster!$A$5:$A$204)),ev_cost/MAX(1,attendees))),"N/A"))</f>
        <v/>
      </c>
    </row>
    <row r="994" ht="20" customHeight="1">
      <c r="A994" s="12" t="n"/>
      <c r="B994" s="10" t="n"/>
      <c r="C994" s="10" t="n"/>
      <c r="D994" s="10" t="n"/>
      <c r="E994" s="10" t="n"/>
      <c r="F994" s="13" t="n"/>
      <c r="G994" s="10" t="n"/>
      <c r="H994" s="10" t="n"/>
      <c r="I994" s="10" t="n"/>
      <c r="J994" s="108">
        <f>IF(G994="","",IFERROR(LET(ev_cost,INDEX(Events!$G$5:$G$505,MATCH(G994,Events!$A$5:$A$505,0)),ev_split,INDEX(Events!$I$5:$I$505,MATCH(G994,Events!$A$5:$A$505,0)),att_offset,MATCH(G994,Attendance!$B$3:$AY$3,0),attendees,COUNTIF(INDEX(Attendance!$B$7:$AY$206,0,att_offset),"1"),IF(ev_split="Equal Split",ev_cost/MAX(1,COUNTA(Roster!$A$5:$A$204)),ev_cost/MAX(1,attendees))),"N/A"))</f>
        <v/>
      </c>
    </row>
    <row r="995" ht="20" customHeight="1">
      <c r="A995" s="16" t="n"/>
      <c r="B995" s="14" t="n"/>
      <c r="C995" s="14" t="n"/>
      <c r="D995" s="14" t="n"/>
      <c r="E995" s="14" t="n"/>
      <c r="F995" s="17" t="n"/>
      <c r="G995" s="14" t="n"/>
      <c r="H995" s="14" t="n"/>
      <c r="I995" s="14" t="n"/>
      <c r="J995" s="108">
        <f>IF(G995="","",IFERROR(LET(ev_cost,INDEX(Events!$G$5:$G$505,MATCH(G995,Events!$A$5:$A$505,0)),ev_split,INDEX(Events!$I$5:$I$505,MATCH(G995,Events!$A$5:$A$505,0)),att_offset,MATCH(G995,Attendance!$B$3:$AY$3,0),attendees,COUNTIF(INDEX(Attendance!$B$7:$AY$206,0,att_offset),"1"),IF(ev_split="Equal Split",ev_cost/MAX(1,COUNTA(Roster!$A$5:$A$204)),ev_cost/MAX(1,attendees))),"N/A"))</f>
        <v/>
      </c>
    </row>
    <row r="996" ht="20" customHeight="1">
      <c r="A996" s="12" t="n"/>
      <c r="B996" s="10" t="n"/>
      <c r="C996" s="10" t="n"/>
      <c r="D996" s="10" t="n"/>
      <c r="E996" s="10" t="n"/>
      <c r="F996" s="13" t="n"/>
      <c r="G996" s="10" t="n"/>
      <c r="H996" s="10" t="n"/>
      <c r="I996" s="10" t="n"/>
      <c r="J996" s="108">
        <f>IF(G996="","",IFERROR(LET(ev_cost,INDEX(Events!$G$5:$G$505,MATCH(G996,Events!$A$5:$A$505,0)),ev_split,INDEX(Events!$I$5:$I$505,MATCH(G996,Events!$A$5:$A$505,0)),att_offset,MATCH(G996,Attendance!$B$3:$AY$3,0),attendees,COUNTIF(INDEX(Attendance!$B$7:$AY$206,0,att_offset),"1"),IF(ev_split="Equal Split",ev_cost/MAX(1,COUNTA(Roster!$A$5:$A$204)),ev_cost/MAX(1,attendees))),"N/A"))</f>
        <v/>
      </c>
    </row>
    <row r="997" ht="20" customHeight="1">
      <c r="A997" s="16" t="n"/>
      <c r="B997" s="14" t="n"/>
      <c r="C997" s="14" t="n"/>
      <c r="D997" s="14" t="n"/>
      <c r="E997" s="14" t="n"/>
      <c r="F997" s="17" t="n"/>
      <c r="G997" s="14" t="n"/>
      <c r="H997" s="14" t="n"/>
      <c r="I997" s="14" t="n"/>
      <c r="J997" s="108">
        <f>IF(G997="","",IFERROR(LET(ev_cost,INDEX(Events!$G$5:$G$505,MATCH(G997,Events!$A$5:$A$505,0)),ev_split,INDEX(Events!$I$5:$I$505,MATCH(G997,Events!$A$5:$A$505,0)),att_offset,MATCH(G997,Attendance!$B$3:$AY$3,0),attendees,COUNTIF(INDEX(Attendance!$B$7:$AY$206,0,att_offset),"1"),IF(ev_split="Equal Split",ev_cost/MAX(1,COUNTA(Roster!$A$5:$A$204)),ev_cost/MAX(1,attendees))),"N/A"))</f>
        <v/>
      </c>
    </row>
    <row r="998" ht="20" customHeight="1">
      <c r="A998" s="12" t="n"/>
      <c r="B998" s="10" t="n"/>
      <c r="C998" s="10" t="n"/>
      <c r="D998" s="10" t="n"/>
      <c r="E998" s="10" t="n"/>
      <c r="F998" s="13" t="n"/>
      <c r="G998" s="10" t="n"/>
      <c r="H998" s="10" t="n"/>
      <c r="I998" s="10" t="n"/>
      <c r="J998" s="108">
        <f>IF(G998="","",IFERROR(LET(ev_cost,INDEX(Events!$G$5:$G$505,MATCH(G998,Events!$A$5:$A$505,0)),ev_split,INDEX(Events!$I$5:$I$505,MATCH(G998,Events!$A$5:$A$505,0)),att_offset,MATCH(G998,Attendance!$B$3:$AY$3,0),attendees,COUNTIF(INDEX(Attendance!$B$7:$AY$206,0,att_offset),"1"),IF(ev_split="Equal Split",ev_cost/MAX(1,COUNTA(Roster!$A$5:$A$204)),ev_cost/MAX(1,attendees))),"N/A"))</f>
        <v/>
      </c>
    </row>
    <row r="999" ht="20" customHeight="1">
      <c r="A999" s="16" t="n"/>
      <c r="B999" s="14" t="n"/>
      <c r="C999" s="14" t="n"/>
      <c r="D999" s="14" t="n"/>
      <c r="E999" s="14" t="n"/>
      <c r="F999" s="17" t="n"/>
      <c r="G999" s="14" t="n"/>
      <c r="H999" s="14" t="n"/>
      <c r="I999" s="14" t="n"/>
      <c r="J999" s="108">
        <f>IF(G999="","",IFERROR(LET(ev_cost,INDEX(Events!$G$5:$G$505,MATCH(G999,Events!$A$5:$A$505,0)),ev_split,INDEX(Events!$I$5:$I$505,MATCH(G999,Events!$A$5:$A$505,0)),att_offset,MATCH(G999,Attendance!$B$3:$AY$3,0),attendees,COUNTIF(INDEX(Attendance!$B$7:$AY$206,0,att_offset),"1"),IF(ev_split="Equal Split",ev_cost/MAX(1,COUNTA(Roster!$A$5:$A$204)),ev_cost/MAX(1,attendees))),"N/A"))</f>
        <v/>
      </c>
    </row>
    <row r="1000" ht="20" customHeight="1">
      <c r="A1000" s="12" t="n"/>
      <c r="B1000" s="10" t="n"/>
      <c r="C1000" s="10" t="n"/>
      <c r="D1000" s="10" t="n"/>
      <c r="E1000" s="10" t="n"/>
      <c r="F1000" s="13" t="n"/>
      <c r="G1000" s="10" t="n"/>
      <c r="H1000" s="10" t="n"/>
      <c r="I1000" s="10" t="n"/>
      <c r="J1000" s="108">
        <f>IF(G1000="","",IFERROR(LET(ev_cost,INDEX(Events!$G$5:$G$505,MATCH(G1000,Events!$A$5:$A$505,0)),ev_split,INDEX(Events!$I$5:$I$505,MATCH(G1000,Events!$A$5:$A$505,0)),att_offset,MATCH(G1000,Attendance!$B$3:$AY$3,0),attendees,COUNTIF(INDEX(Attendance!$B$7:$AY$206,0,att_offset),"1"),IF(ev_split="Equal Split",ev_cost/MAX(1,COUNTA(Roster!$A$5:$A$204)),ev_cost/MAX(1,attendees))),"N/A"))</f>
        <v/>
      </c>
    </row>
  </sheetData>
  <mergeCells count="1">
    <mergeCell ref="A1:I1"/>
  </mergeCells>
  <dataValidations count="4">
    <dataValidation sqref="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C514 C515 C516 C517 C518 C519 C520 C521 C522 C523 C524 C525 C526 C527 C528 C529 C530 C531 C532 C533 C534 C535 C536 C537 C538 C539 C540 C541 C542 C543 C544 C545 C546 C547 C548 C549 C550 C551 C552 C553 C554 C555 C556 C557 C558 C559 C560 C561 C562 C563 C564 C565 C566 C567 C568 C569 C570 C571 C572 C573 C574 C575 C576 C577 C578 C579 C580 C581 C582 C583 C584 C585 C586 C587 C588 C589 C590 C591 C592 C593 C594 C595 C596 C597 C598 C599 C600 C601 C602 C603 C604 C605 C606 C607 C608 C609 C610 C611 C612 C613 C614 C615 C616 C617 C618 C619 C620 C621 C622 C623 C624 C625 C626 C627 C628 C629 C630 C631 C632 C633 C634 C635 C636 C637 C638 C639 C640 C641 C642 C643 C644 C645 C646 C647 C648 C649 C650 C651 C652 C653 C654 C655 C656 C657 C658 C659 C660 C661 C662 C663 C664 C665 C666 C667 C668 C669 C670 C671 C672 C673 C674 C675 C676 C677 C678 C679 C680 C681 C682 C683 C684 C685 C686 C687 C688 C689 C690 C691 C692 C693 C694 C695 C696 C697 C698 C699 C700 C701 C702 C703 C704 C705 C706 C707 C708 C709 C710 C711 C712 C713 C714 C715 C716 C717 C718 C719 C720 C721 C722 C723 C724 C725 C726 C727 C728 C729 C730 C731 C732 C733 C734 C735 C736 C737 C738 C739 C740 C741 C742 C743 C744 C745 C746 C747 C748 C749 C750 C751 C752 C753 C754 C755 C756 C757 C758 C759 C760 C761 C762 C763 C764 C765 C766 C767 C768 C769 C770 C771 C772 C773 C774 C775 C776 C777 C778 C779 C780 C781 C782 C783 C784 C785 C786 C787 C788 C789 C790 C791 C792 C793 C794 C795 C796 C797 C798 C799 C800 C801 C802 C803 C804 C805 C806 C807 C808 C809 C810 C811 C812 C813 C814 C815 C816 C817 C818 C819 C820 C821 C822 C823 C824 C825 C826 C827 C828 C829 C830 C831 C832 C833 C834 C835 C836 C837 C838 C839 C840 C841 C842 C843 C844 C845 C846 C847 C848 C849 C850 C851 C852 C853 C854 C855 C856 C857 C858 C859 C860 C861 C862 C863 C864 C865 C866 C867 C868 C869 C870 C871 C872 C873 C874 C875 C876 C877 C878 C879 C880 C881 C882 C883 C884 C885 C886 C887 C888 C889 C890 C891 C892 C893 C894 C895 C896 C897 C898 C899 C900 C901 C902 C903 C904 C905 C906 C907 C908 C909 C910 C911 C912 C913 C914 C915 C916 C917 C918 C919 C920 C921 C922 C923 C924 C925 C926 C927 C928 C929 C930 C931 C932 C933 C934 C935 C936 C937 C938 C939 C940 C941 C942 C943 C944 C945 C946 C947 C948 C949 C950 C951 C952 C953 C954 C955 C956 C957 C958 C959 C960 C961 C962 C963 C964 C965 C966 C967 C968 C969 C970 C971 C972 C973 C974 C975 C976 C977 C978 C979 C980 C981 C982 C983 C984 C985 C986 C987 C988 C989 C990 C991 C992 C993 C994 C995 C996 C997 C998 C999 C1000" showDropDown="0" showInputMessage="0" showErrorMessage="0" allowBlank="1" type="list">
      <formula1>"Dues,Tournament Fee,Field Fee,Hotel,Travel,Equipment,Fundraiser Income,Sponsorship,Refund,Other"</formula1>
    </dataValidation>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D467 D468 D469 D470 D471 D472 D473 D474 D475 D476 D477 D478 D479 D480 D481 D482 D483 D484 D485 D486 D487 D488 D489 D490 D491 D492 D493 D494 D495 D496 D497 D498 D499 D500 D501 D502 D503 D504 D505 D506 D507 D508 D509 D510 D511 D512 D513 D514 D515 D516 D517 D518 D519 D520 D521 D522 D523 D524 D525 D526 D527 D528 D529 D530 D531 D532 D533 D534 D535 D536 D537 D538 D539 D540 D541 D542 D543 D544 D545 D546 D547 D548 D549 D550 D551 D552 D553 D554 D555 D556 D557 D558 D559 D560 D561 D562 D563 D564 D565 D566 D567 D568 D569 D570 D571 D572 D573 D574 D575 D576 D577 D578 D579 D580 D581 D582 D583 D584 D585 D586 D587 D588 D589 D590 D591 D592 D593 D594 D595 D596 D597 D598 D599 D600 D601 D602 D603 D604 D605 D606 D607 D608 D609 D610 D611 D612 D613 D614 D615 D616 D617 D618 D619 D620 D621 D622 D623 D624 D625 D626 D627 D628 D629 D630 D631 D632 D633 D634 D635 D636 D637 D638 D639 D640 D641 D642 D643 D644 D645 D646 D647 D648 D649 D650 D651 D652 D653 D654 D655 D656 D657 D658 D659 D660 D661 D662 D663 D664 D665 D666 D667 D668 D669 D670 D671 D672 D673 D674 D675 D676 D677 D678 D679 D680 D681 D682 D683 D684 D685 D686 D687 D688 D689 D690 D691 D692 D693 D694 D695 D696 D697 D698 D699 D700 D701 D702 D703 D704 D705 D706 D707 D708 D709 D710 D711 D712 D713 D714 D715 D716 D717 D718 D719 D720 D721 D722 D723 D724 D725 D726 D727 D728 D729 D730 D731 D732 D733 D734 D735 D736 D737 D738 D739 D740 D741 D742 D743 D744 D745 D746 D747 D748 D749 D750 D751 D752 D753 D754 D755 D756 D757 D758 D759 D760 D761 D762 D763 D764 D765 D766 D767 D768 D769 D770 D771 D772 D773 D774 D775 D776 D777 D778 D779 D780 D781 D782 D783 D784 D785 D786 D787 D788 D789 D790 D791 D792 D793 D794 D795 D796 D797 D798 D799 D800 D801 D802 D803 D804 D805 D806 D807 D808 D809 D810 D811 D812 D813 D814 D815 D816 D817 D818 D819 D820 D821 D822 D823 D824 D825 D826 D827 D828 D829 D830 D831 D832 D833 D834 D835 D836 D837 D838 D839 D840 D841 D842 D843 D844 D845 D846 D847 D848 D849 D850 D851 D852 D853 D854 D855 D856 D857 D858 D859 D860 D861 D862 D863 D864 D865 D866 D867 D868 D869 D870 D871 D872 D873 D874 D875 D876 D877 D878 D879 D880 D881 D882 D883 D884 D885 D886 D887 D888 D889 D890 D891 D892 D893 D894 D895 D896 D897 D898 D899 D900 D901 D902 D903 D904 D905 D906 D907 D908 D909 D910 D911 D912 D913 D914 D915 D916 D917 D918 D919 D920 D921 D922 D923 D924 D925 D926 D927 D928 D929 D930 D931 D932 D933 D934 D935 D936 D937 D938 D939 D940 D941 D942 D943 D944 D945 D946 D947 D948 D949 D950 D951 D952 D953 D954 D955 D956 D957 D958 D959 D960 D961 D962 D963 D964 D965 D966 D967 D968 D969 D970 D971 D972 D973 D974 D975 D976 D977 D978 D979 D980 D981 D982 D983 D984 D985 D986 D987 D988 D989 D990 D991 D992 D993 D994 D995 D996 D997 D998 D999 D1000" showDropDown="0" showInputMessage="0" showErrorMessage="0" allowBlank="1" type="list">
      <formula1>"Income,Expense"</formula1>
    </dataValidation>
    <dataValidation sqref="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I287 I288 I289 I290 I291 I292 I293 I294 I295 I296 I297 I298 I299 I300 I301 I302 I303 I304 I305 I306 I307 I308 I309 I310 I311 I312 I313 I314 I315 I316 I317 I318 I319 I320 I321 I322 I323 I324 I325 I326 I327 I328 I329 I330 I331 I332 I333 I334 I335 I336 I337 I338 I339 I340 I341 I342 I343 I344 I345 I346 I347 I348 I349 I350 I351 I352 I353 I354 I355 I356 I357 I358 I359 I360 I361 I362 I363 I364 I365 I366 I367 I368 I369 I370 I371 I372 I373 I374 I375 I376 I377 I378 I379 I380 I381 I382 I383 I384 I385 I386 I387 I388 I389 I390 I391 I392 I393 I394 I395 I396 I397 I398 I399 I400 I401 I402 I403 I404 I405 I406 I407 I408 I409 I410 I411 I412 I413 I414 I415 I416 I417 I418 I419 I420 I421 I422 I423 I424 I425 I426 I427 I428 I429 I430 I431 I432 I433 I434 I435 I436 I437 I438 I439 I440 I441 I442 I443 I444 I445 I446 I447 I448 I449 I450 I451 I452 I453 I454 I455 I456 I457 I458 I459 I460 I461 I462 I463 I464 I465 I466 I467 I468 I469 I470 I471 I472 I473 I474 I475 I476 I477 I478 I479 I480 I481 I482 I483 I484 I485 I486 I487 I488 I489 I490 I491 I492 I493 I494 I495 I496 I497 I498 I499 I500 I501 I502 I503 I504 I505 I506 I507 I508 I509 I510 I511 I512 I513 I514 I515 I516 I517 I518 I519 I520 I521 I522 I523 I524 I525 I526 I527 I528 I529 I530 I531 I532 I533 I534 I535 I536 I537 I538 I539 I540 I541 I542 I543 I544 I545 I546 I547 I548 I549 I550 I551 I552 I553 I554 I555 I556 I557 I558 I559 I560 I561 I562 I563 I564 I565 I566 I567 I568 I569 I570 I571 I572 I573 I574 I575 I576 I577 I578 I579 I580 I581 I582 I583 I584 I585 I586 I587 I588 I589 I590 I591 I592 I593 I594 I595 I596 I597 I598 I599 I600 I601 I602 I603 I604 I605 I606 I607 I608 I609 I610 I611 I612 I613 I614 I615 I616 I617 I618 I619 I620 I621 I622 I623 I624 I625 I626 I627 I628 I629 I630 I631 I632 I633 I634 I635 I636 I637 I638 I639 I640 I641 I642 I643 I644 I645 I646 I647 I648 I649 I650 I651 I652 I653 I654 I655 I656 I657 I658 I659 I660 I661 I662 I663 I664 I665 I666 I667 I668 I669 I670 I671 I672 I673 I674 I675 I676 I677 I678 I679 I680 I681 I682 I683 I684 I685 I686 I687 I688 I689 I690 I691 I692 I693 I694 I695 I696 I697 I698 I699 I700 I701 I702 I703 I704 I705 I706 I707 I708 I709 I710 I711 I712 I713 I714 I715 I716 I717 I718 I719 I720 I721 I722 I723 I724 I725 I726 I727 I728 I729 I730 I731 I732 I733 I734 I735 I736 I737 I738 I739 I740 I741 I742 I743 I744 I745 I746 I747 I748 I749 I750 I751 I752 I753 I754 I755 I756 I757 I758 I759 I760 I761 I762 I763 I764 I765 I766 I767 I768 I769 I770 I771 I772 I773 I774 I775 I776 I777 I778 I779 I780 I781 I782 I783 I784 I785 I786 I787 I788 I789 I790 I791 I792 I793 I794 I795 I796 I797 I798 I799 I800 I801 I802 I803 I804 I805 I806 I807 I808 I809 I810 I811 I812 I813 I814 I815 I816 I817 I818 I819 I820 I821 I822 I823 I824 I825 I826 I827 I828 I829 I830 I831 I832 I833 I834 I835 I836 I837 I838 I839 I840 I841 I842 I843 I844 I845 I846 I847 I848 I849 I850 I851 I852 I853 I854 I855 I856 I857 I858 I859 I860 I861 I862 I863 I864 I865 I866 I867 I868 I869 I870 I871 I872 I873 I874 I875 I876 I877 I878 I879 I880 I881 I882 I883 I884 I885 I886 I887 I888 I889 I890 I891 I892 I893 I894 I895 I896 I897 I898 I899 I900 I901 I902 I903 I904 I905 I906 I907 I908 I909 I910 I911 I912 I913 I914 I915 I916 I917 I918 I919 I920 I921 I922 I923 I924 I925 I926 I927 I928 I929 I930 I931 I932 I933 I934 I935 I936 I937 I938 I939 I940 I941 I942 I943 I944 I945 I946 I947 I948 I949 I950 I951 I952 I953 I954 I955 I956 I957 I958 I959 I960 I961 I962 I963 I964 I965 I966 I967 I968 I969 I970 I971 I972 I973 I974 I975 I976 I977 I978 I979 I980 I981 I982 I983 I984 I985 I986 I987 I988 I989 I990 I991 I992 I993 I994 I995 I996 I997 I998 I999 I1000" showDropDown="0" showInputMessage="0" showErrorMessage="0" allowBlank="1" type="list">
      <formula1>"Cleared,Pending,Disputed"</formula1>
    </dataValidation>
    <dataValidation sqref="G7:G1000" showDropDown="0" showInputMessage="0" showErrorMessage="0" allowBlank="1" type="list">
      <formula1>Events!$A$5:$A$505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06"/>
  <sheetViews>
    <sheetView showGridLines="0" workbookViewId="0">
      <pane ySplit="6" topLeftCell="A7" activePane="bottomLeft" state="frozen"/>
      <selection pane="bottomLeft" activeCell="A1" sqref="A1"/>
    </sheetView>
  </sheetViews>
  <sheetFormatPr baseColWidth="8" defaultRowHeight="15"/>
  <cols>
    <col width="22" customWidth="1" min="1" max="1"/>
    <col width="20" customWidth="1" min="2" max="2"/>
    <col width="18" customWidth="1" min="3" max="3"/>
    <col width="24" customWidth="1" min="4" max="4"/>
    <col width="18" customWidth="1" min="5" max="5"/>
    <col width="18" customWidth="1" min="6" max="6"/>
    <col width="16" customWidth="1" min="7" max="7"/>
    <col width="20" customWidth="1" min="8" max="8"/>
  </cols>
  <sheetData>
    <row r="1" ht="38" customHeight="1">
      <c r="A1" s="76" t="inlineStr">
        <is>
          <t>PLAYER BALANCES - Individual Ledger</t>
        </is>
      </c>
      <c r="B1" s="106" t="n"/>
      <c r="C1" s="106" t="n"/>
      <c r="D1" s="106" t="n"/>
      <c r="E1" s="106" t="n"/>
      <c r="F1" s="106" t="n"/>
      <c r="G1" s="106" t="n"/>
      <c r="H1" s="107" t="n"/>
    </row>
    <row r="2" ht="14" customHeight="1">
      <c r="G2" s="91" t="n"/>
      <c r="H2" s="91" t="n"/>
    </row>
    <row r="3" ht="22" customHeight="1">
      <c r="A3" s="92" t="inlineStr">
        <is>
          <t>Total Owed TO Team</t>
        </is>
      </c>
      <c r="B3" s="92" t="inlineStr">
        <is>
          <t>Total Owed BY Team</t>
        </is>
      </c>
      <c r="C3" s="92" t="inlineStr">
        <is>
          <t>Net</t>
        </is>
      </c>
      <c r="D3" s="92" t="inlineStr">
        <is>
          <t>Settled</t>
        </is>
      </c>
      <c r="E3" s="92" t="inlineStr">
        <is>
          <t>Unsettled</t>
        </is>
      </c>
      <c r="F3" s="91" t="n"/>
      <c r="G3" s="91" t="n"/>
      <c r="H3" s="91" t="n"/>
    </row>
    <row r="4" ht="22" customHeight="1">
      <c r="A4" s="93">
        <f>SUMIF(E7:E206,"&gt;0",E7:E206)</f>
        <v/>
      </c>
      <c r="B4" s="93">
        <f>SUMIF(E7:E206,"&lt;0",E7:E206)</f>
        <v/>
      </c>
      <c r="C4" s="93">
        <f>SUM(E7:E206)</f>
        <v/>
      </c>
      <c r="D4" s="94">
        <f>COUNTIF(F7:F206,"Settled")</f>
        <v/>
      </c>
      <c r="E4" s="94">
        <f>COUNTIF(F7:F206,"Unsettled")</f>
        <v/>
      </c>
      <c r="F4" s="91" t="n"/>
      <c r="G4" s="91" t="n"/>
      <c r="H4" s="91" t="n"/>
    </row>
    <row r="5" ht="8" customHeight="1">
      <c r="G5" s="91" t="n"/>
      <c r="H5" s="91" t="n"/>
    </row>
    <row r="6" ht="22" customHeight="1">
      <c r="A6" s="78" t="inlineStr">
        <is>
          <t>Player Name</t>
        </is>
      </c>
      <c r="B6" s="78" t="inlineStr">
        <is>
          <t>Total Charged ($)</t>
        </is>
      </c>
      <c r="C6" s="78" t="inlineStr">
        <is>
          <t>Total Paid ($)</t>
        </is>
      </c>
      <c r="D6" s="78" t="inlineStr">
        <is>
          <t>Paid Upfront For Team ($)</t>
        </is>
      </c>
      <c r="E6" s="78" t="inlineStr">
        <is>
          <t>Net Balance ($)</t>
        </is>
      </c>
      <c r="F6" s="78" t="inlineStr">
        <is>
          <t>Status</t>
        </is>
      </c>
      <c r="G6" s="91" t="n"/>
      <c r="H6" s="91" t="n"/>
    </row>
    <row r="7" ht="20" customHeight="1">
      <c r="A7" s="89">
        <f>IF(Roster!$A$5&lt;&gt;"",Roster!$A$5,"")</f>
        <v/>
      </c>
      <c r="B7" s="89">
        <f>IF(A7&lt;&gt;"",IFERROR(INDEX(Roster!$B$5:$B$204,MATCH(A7,Roster!$A$5:$A$204,0)),0)+IFERROR(SUMPRODUCT((INDEX(Attendance!$B$7:$AY$206,MATCH(A7,Attendance!$A$7:$A$206,0),0)=1)*Attendance!$B$4:$AY$4),0),"")</f>
        <v/>
      </c>
      <c r="C7" s="95">
        <f>IF(A7&lt;&gt;"",SUMIFS(Transactions!$F$7:$F$1000,Transactions!$D$7:$D$1000,"Income",Transactions!$E$7:$E$1000,A7),"")</f>
        <v/>
      </c>
      <c r="D7" s="95">
        <f>IF(A7&lt;&gt;"",SUMIFS(Transactions!$F$7:$F$1000,Transactions!$D$7:$D$1000,"Expense",Transactions!$E$7:$E$1000,A7),"")</f>
        <v/>
      </c>
      <c r="E7" s="93">
        <f>IF(A7&lt;&gt;"",B7-C7-D7,"")</f>
        <v/>
      </c>
      <c r="F7" s="93">
        <f>IF(A7&lt;&gt;"",IF(E7=0,"Settled","Unsettled"),"")</f>
        <v/>
      </c>
      <c r="G7" s="96" t="n"/>
      <c r="H7" s="91" t="n"/>
    </row>
    <row r="8" ht="20" customHeight="1">
      <c r="A8" s="89">
        <f>IF(Roster!$A$6&lt;&gt;"",Roster!$A$6,"")</f>
        <v/>
      </c>
      <c r="B8" s="89">
        <f>IF(A8&lt;&gt;"",IFERROR(INDEX(Roster!$B$5:$B$204,MATCH(A8,Roster!$A$5:$A$204,0)),0)+IFERROR(SUMPRODUCT((INDEX(Attendance!$B$7:$AY$206,MATCH(A8,Attendance!$A$7:$A$206,0),0)=1)*Attendance!$B$4:$AY$4),0),"")</f>
        <v/>
      </c>
      <c r="C8" s="95">
        <f>IF(A8&lt;&gt;"",SUMIFS(Transactions!$F$7:$F$1000,Transactions!$D$7:$D$1000,"Income",Transactions!$E$7:$E$1000,A8),"")</f>
        <v/>
      </c>
      <c r="D8" s="95">
        <f>IF(A8&lt;&gt;"",SUMIFS(Transactions!$F$7:$F$1000,Transactions!$D$7:$D$1000,"Expense",Transactions!$E$7:$E$1000,A8),"")</f>
        <v/>
      </c>
      <c r="E8" s="93">
        <f>IF(A8&lt;&gt;"",B8-C8-D8,"")</f>
        <v/>
      </c>
      <c r="F8" s="93">
        <f>IF(A8&lt;&gt;"",IF(E8=0,"Settled","Unsettled"),"")</f>
        <v/>
      </c>
      <c r="G8" s="96" t="n"/>
      <c r="H8" s="91" t="n"/>
    </row>
    <row r="9" ht="20" customHeight="1">
      <c r="A9" s="89">
        <f>IF(Roster!$A$7&lt;&gt;"",Roster!$A$7,"")</f>
        <v/>
      </c>
      <c r="B9" s="89">
        <f>IF(A9&lt;&gt;"",IFERROR(INDEX(Roster!$B$5:$B$204,MATCH(A9,Roster!$A$5:$A$204,0)),0)+IFERROR(SUMPRODUCT((INDEX(Attendance!$B$7:$AY$206,MATCH(A9,Attendance!$A$7:$A$206,0),0)=1)*Attendance!$B$4:$AY$4),0),"")</f>
        <v/>
      </c>
      <c r="C9" s="95">
        <f>IF(A9&lt;&gt;"",SUMIFS(Transactions!$F$7:$F$1000,Transactions!$D$7:$D$1000,"Income",Transactions!$E$7:$E$1000,A9),"")</f>
        <v/>
      </c>
      <c r="D9" s="95">
        <f>IF(A9&lt;&gt;"",SUMIFS(Transactions!$F$7:$F$1000,Transactions!$D$7:$D$1000,"Expense",Transactions!$E$7:$E$1000,A9),"")</f>
        <v/>
      </c>
      <c r="E9" s="93">
        <f>IF(A9&lt;&gt;"",B9-C9-D9,"")</f>
        <v/>
      </c>
      <c r="F9" s="93">
        <f>IF(A9&lt;&gt;"",IF(E9=0,"Settled","Unsettled"),"")</f>
        <v/>
      </c>
      <c r="G9" s="96" t="n"/>
      <c r="H9" s="91" t="n"/>
    </row>
    <row r="10" ht="20" customHeight="1">
      <c r="A10" s="89">
        <f>IF(Roster!$A$8&lt;&gt;"",Roster!$A$8,"")</f>
        <v/>
      </c>
      <c r="B10" s="89">
        <f>IF(A10&lt;&gt;"",IFERROR(INDEX(Roster!$B$5:$B$204,MATCH(A10,Roster!$A$5:$A$204,0)),0)+IFERROR(SUMPRODUCT((INDEX(Attendance!$B$7:$AY$206,MATCH(A10,Attendance!$A$7:$A$206,0),0)=1)*Attendance!$B$4:$AY$4),0),"")</f>
        <v/>
      </c>
      <c r="C10" s="95">
        <f>IF(A10&lt;&gt;"",SUMIFS(Transactions!$F$7:$F$1000,Transactions!$D$7:$D$1000,"Income",Transactions!$E$7:$E$1000,A10),"")</f>
        <v/>
      </c>
      <c r="D10" s="95">
        <f>IF(A10&lt;&gt;"",SUMIFS(Transactions!$F$7:$F$1000,Transactions!$D$7:$D$1000,"Expense",Transactions!$E$7:$E$1000,A10),"")</f>
        <v/>
      </c>
      <c r="E10" s="93">
        <f>IF(A10&lt;&gt;"",B10-C10-D10,"")</f>
        <v/>
      </c>
      <c r="F10" s="93">
        <f>IF(A10&lt;&gt;"",IF(E10=0,"Settled","Unsettled"),"")</f>
        <v/>
      </c>
      <c r="G10" s="96" t="n"/>
      <c r="H10" s="91" t="n"/>
    </row>
    <row r="11" ht="20" customHeight="1">
      <c r="A11" s="89">
        <f>IF(Roster!$A$9&lt;&gt;"",Roster!$A$9,"")</f>
        <v/>
      </c>
      <c r="B11" s="89">
        <f>IF(A11&lt;&gt;"",IFERROR(INDEX(Roster!$B$5:$B$204,MATCH(A11,Roster!$A$5:$A$204,0)),0)+IFERROR(SUMPRODUCT((INDEX(Attendance!$B$7:$AY$206,MATCH(A11,Attendance!$A$7:$A$206,0),0)=1)*Attendance!$B$4:$AY$4),0),"")</f>
        <v/>
      </c>
      <c r="C11" s="95">
        <f>IF(A11&lt;&gt;"",SUMIFS(Transactions!$F$7:$F$1000,Transactions!$D$7:$D$1000,"Income",Transactions!$E$7:$E$1000,A11),"")</f>
        <v/>
      </c>
      <c r="D11" s="95">
        <f>IF(A11&lt;&gt;"",SUMIFS(Transactions!$F$7:$F$1000,Transactions!$D$7:$D$1000,"Expense",Transactions!$E$7:$E$1000,A11),"")</f>
        <v/>
      </c>
      <c r="E11" s="93">
        <f>IF(A11&lt;&gt;"",B11-C11-D11,"")</f>
        <v/>
      </c>
      <c r="F11" s="93">
        <f>IF(A11&lt;&gt;"",IF(E11=0,"Settled","Unsettled"),"")</f>
        <v/>
      </c>
      <c r="G11" s="96" t="n"/>
      <c r="H11" s="91" t="n"/>
    </row>
    <row r="12" ht="20" customHeight="1">
      <c r="A12" s="97">
        <f>IF(Roster!$A$10&lt;&gt;"",Roster!$A$10,"")</f>
        <v/>
      </c>
      <c r="B12" s="97">
        <f>IF(A12&lt;&gt;"",IFERROR(INDEX(Roster!$B$5:$B$204,MATCH(A12,Roster!$A$5:$A$204,0)),0)+IFERROR(SUMPRODUCT((INDEX(Attendance!$B$7:$AY$206,MATCH(A12,Attendance!$A$7:$A$206,0),0)=1)*Attendance!$B$4:$AY$4),0),"")</f>
        <v/>
      </c>
      <c r="C12" s="98">
        <f>IF(A12&lt;&gt;"",SUMIFS(Transactions!$F$7:$F$1000,Transactions!$D$7:$D$1000,"Income",Transactions!$E$7:$E$1000,A12),"")</f>
        <v/>
      </c>
      <c r="D12" s="98">
        <f>IF(A12&lt;&gt;"",SUMIFS(Transactions!$F$7:$F$1000,Transactions!$D$7:$D$1000,"Expense",Transactions!$E$7:$E$1000,A12),"")</f>
        <v/>
      </c>
      <c r="E12" s="99">
        <f>IF(A12&lt;&gt;"",B12-C12-D12,"")</f>
        <v/>
      </c>
      <c r="F12" s="99">
        <f>IF(A12&lt;&gt;"",IF(E12=0,"Settled","Unsettled"),"")</f>
        <v/>
      </c>
      <c r="G12" s="96" t="n"/>
      <c r="H12" s="91" t="n"/>
    </row>
    <row r="13" ht="20" customHeight="1">
      <c r="A13" s="89">
        <f>IF(Roster!$A$11&lt;&gt;"",Roster!$A$11,"")</f>
        <v/>
      </c>
      <c r="B13" s="89">
        <f>IF(A13&lt;&gt;"",IFERROR(INDEX(Roster!$B$5:$B$204,MATCH(A13,Roster!$A$5:$A$204,0)),0)+IFERROR(SUMPRODUCT((INDEX(Attendance!$B$7:$AY$206,MATCH(A13,Attendance!$A$7:$A$206,0),0)=1)*Attendance!$B$4:$AY$4),0),"")</f>
        <v/>
      </c>
      <c r="C13" s="95">
        <f>IF(A13&lt;&gt;"",SUMIFS(Transactions!$F$7:$F$1000,Transactions!$D$7:$D$1000,"Income",Transactions!$E$7:$E$1000,A13),"")</f>
        <v/>
      </c>
      <c r="D13" s="95">
        <f>IF(A13&lt;&gt;"",SUMIFS(Transactions!$F$7:$F$1000,Transactions!$D$7:$D$1000,"Expense",Transactions!$E$7:$E$1000,A13),"")</f>
        <v/>
      </c>
      <c r="E13" s="93">
        <f>IF(A13&lt;&gt;"",B13-C13-D13,"")</f>
        <v/>
      </c>
      <c r="F13" s="93">
        <f>IF(A13&lt;&gt;"",IF(E13=0,"Settled","Unsettled"),"")</f>
        <v/>
      </c>
      <c r="G13" s="96" t="n"/>
      <c r="H13" s="91" t="n"/>
    </row>
    <row r="14" ht="20" customHeight="1">
      <c r="A14" s="97">
        <f>IF(Roster!$A$12&lt;&gt;"",Roster!$A$12,"")</f>
        <v/>
      </c>
      <c r="B14" s="97">
        <f>IF(A14&lt;&gt;"",IFERROR(INDEX(Roster!$B$5:$B$204,MATCH(A14,Roster!$A$5:$A$204,0)),0)+IFERROR(SUMPRODUCT((INDEX(Attendance!$B$7:$AY$206,MATCH(A14,Attendance!$A$7:$A$206,0),0)=1)*Attendance!$B$4:$AY$4),0),"")</f>
        <v/>
      </c>
      <c r="C14" s="98">
        <f>IF(A14&lt;&gt;"",SUMIFS(Transactions!$F$7:$F$1000,Transactions!$D$7:$D$1000,"Income",Transactions!$E$7:$E$1000,A14),"")</f>
        <v/>
      </c>
      <c r="D14" s="98">
        <f>IF(A14&lt;&gt;"",SUMIFS(Transactions!$F$7:$F$1000,Transactions!$D$7:$D$1000,"Expense",Transactions!$E$7:$E$1000,A14),"")</f>
        <v/>
      </c>
      <c r="E14" s="99">
        <f>IF(A14&lt;&gt;"",B14-C14-D14,"")</f>
        <v/>
      </c>
      <c r="F14" s="99">
        <f>IF(A14&lt;&gt;"",IF(E14=0,"Settled","Unsettled"),"")</f>
        <v/>
      </c>
      <c r="G14" s="96" t="n"/>
      <c r="H14" s="91" t="n"/>
    </row>
    <row r="15" ht="20" customHeight="1">
      <c r="A15" s="89">
        <f>IF(Roster!$A$13&lt;&gt;"",Roster!$A$13,"")</f>
        <v/>
      </c>
      <c r="B15" s="89">
        <f>IF(A15&lt;&gt;"",IFERROR(INDEX(Roster!$B$5:$B$204,MATCH(A15,Roster!$A$5:$A$204,0)),0)+IFERROR(SUMPRODUCT((INDEX(Attendance!$B$7:$AY$206,MATCH(A15,Attendance!$A$7:$A$206,0),0)=1)*Attendance!$B$4:$AY$4),0),"")</f>
        <v/>
      </c>
      <c r="C15" s="95">
        <f>IF(A15&lt;&gt;"",SUMIFS(Transactions!$F$7:$F$1000,Transactions!$D$7:$D$1000,"Income",Transactions!$E$7:$E$1000,A15),"")</f>
        <v/>
      </c>
      <c r="D15" s="95">
        <f>IF(A15&lt;&gt;"",SUMIFS(Transactions!$F$7:$F$1000,Transactions!$D$7:$D$1000,"Expense",Transactions!$E$7:$E$1000,A15),"")</f>
        <v/>
      </c>
      <c r="E15" s="93">
        <f>IF(A15&lt;&gt;"",B15-C15-D15,"")</f>
        <v/>
      </c>
      <c r="F15" s="93">
        <f>IF(A15&lt;&gt;"",IF(E15=0,"Settled","Unsettled"),"")</f>
        <v/>
      </c>
      <c r="G15" s="96" t="n"/>
      <c r="H15" s="91" t="n"/>
    </row>
    <row r="16" ht="20" customHeight="1">
      <c r="A16" s="97">
        <f>IF(Roster!$A$14&lt;&gt;"",Roster!$A$14,"")</f>
        <v/>
      </c>
      <c r="B16" s="97">
        <f>IF(A16&lt;&gt;"",IFERROR(INDEX(Roster!$B$5:$B$204,MATCH(A16,Roster!$A$5:$A$204,0)),0)+IFERROR(SUMPRODUCT((INDEX(Attendance!$B$7:$AY$206,MATCH(A16,Attendance!$A$7:$A$206,0),0)=1)*Attendance!$B$4:$AY$4),0),"")</f>
        <v/>
      </c>
      <c r="C16" s="98">
        <f>IF(A16&lt;&gt;"",SUMIFS(Transactions!$F$7:$F$1000,Transactions!$D$7:$D$1000,"Income",Transactions!$E$7:$E$1000,A16),"")</f>
        <v/>
      </c>
      <c r="D16" s="98">
        <f>IF(A16&lt;&gt;"",SUMIFS(Transactions!$F$7:$F$1000,Transactions!$D$7:$D$1000,"Expense",Transactions!$E$7:$E$1000,A16),"")</f>
        <v/>
      </c>
      <c r="E16" s="99">
        <f>IF(A16&lt;&gt;"",B16-C16-D16,"")</f>
        <v/>
      </c>
      <c r="F16" s="99">
        <f>IF(A16&lt;&gt;"",IF(E16=0,"Settled","Unsettled"),"")</f>
        <v/>
      </c>
      <c r="G16" s="96" t="n"/>
      <c r="H16" s="91" t="n"/>
    </row>
    <row r="17" ht="20" customHeight="1">
      <c r="A17" s="89">
        <f>IF(Roster!$A$15&lt;&gt;"",Roster!$A$15,"")</f>
        <v/>
      </c>
      <c r="B17" s="89">
        <f>IF(A17&lt;&gt;"",IFERROR(INDEX(Roster!$B$5:$B$204,MATCH(A17,Roster!$A$5:$A$204,0)),0)+IFERROR(SUMPRODUCT((INDEX(Attendance!$B$7:$AY$206,MATCH(A17,Attendance!$A$7:$A$206,0),0)=1)*Attendance!$B$4:$AY$4),0),"")</f>
        <v/>
      </c>
      <c r="C17" s="95">
        <f>IF(A17&lt;&gt;"",SUMIFS(Transactions!$F$7:$F$1000,Transactions!$D$7:$D$1000,"Income",Transactions!$E$7:$E$1000,A17),"")</f>
        <v/>
      </c>
      <c r="D17" s="95">
        <f>IF(A17&lt;&gt;"",SUMIFS(Transactions!$F$7:$F$1000,Transactions!$D$7:$D$1000,"Expense",Transactions!$E$7:$E$1000,A17),"")</f>
        <v/>
      </c>
      <c r="E17" s="93">
        <f>IF(A17&lt;&gt;"",B17-C17-D17,"")</f>
        <v/>
      </c>
      <c r="F17" s="93">
        <f>IF(A17&lt;&gt;"",IF(E17=0,"Settled","Unsettled"),"")</f>
        <v/>
      </c>
      <c r="G17" s="96" t="n"/>
      <c r="H17" s="91" t="n"/>
    </row>
    <row r="18" ht="20" customHeight="1">
      <c r="A18" s="97">
        <f>IF(Roster!$A$16&lt;&gt;"",Roster!$A$16,"")</f>
        <v/>
      </c>
      <c r="B18" s="97">
        <f>IF(A18&lt;&gt;"",IFERROR(INDEX(Roster!$B$5:$B$204,MATCH(A18,Roster!$A$5:$A$204,0)),0)+IFERROR(SUMPRODUCT((INDEX(Attendance!$B$7:$AY$206,MATCH(A18,Attendance!$A$7:$A$206,0),0)=1)*Attendance!$B$4:$AY$4),0),"")</f>
        <v/>
      </c>
      <c r="C18" s="98">
        <f>IF(A18&lt;&gt;"",SUMIFS(Transactions!$F$7:$F$1000,Transactions!$D$7:$D$1000,"Income",Transactions!$E$7:$E$1000,A18),"")</f>
        <v/>
      </c>
      <c r="D18" s="98">
        <f>IF(A18&lt;&gt;"",SUMIFS(Transactions!$F$7:$F$1000,Transactions!$D$7:$D$1000,"Expense",Transactions!$E$7:$E$1000,A18),"")</f>
        <v/>
      </c>
      <c r="E18" s="99">
        <f>IF(A18&lt;&gt;"",B18-C18-D18,"")</f>
        <v/>
      </c>
      <c r="F18" s="99">
        <f>IF(A18&lt;&gt;"",IF(E18=0,"Settled","Unsettled"),"")</f>
        <v/>
      </c>
      <c r="G18" s="96" t="n"/>
      <c r="H18" s="91" t="n"/>
    </row>
    <row r="19" ht="20" customHeight="1">
      <c r="A19" s="89">
        <f>IF(Roster!$A$17&lt;&gt;"",Roster!$A$17,"")</f>
        <v/>
      </c>
      <c r="B19" s="89">
        <f>IF(A19&lt;&gt;"",IFERROR(INDEX(Roster!$B$5:$B$204,MATCH(A19,Roster!$A$5:$A$204,0)),0)+IFERROR(SUMPRODUCT((INDEX(Attendance!$B$7:$AY$206,MATCH(A19,Attendance!$A$7:$A$206,0),0)=1)*Attendance!$B$4:$AY$4),0),"")</f>
        <v/>
      </c>
      <c r="C19" s="95">
        <f>IF(A19&lt;&gt;"",SUMIFS(Transactions!$F$7:$F$1000,Transactions!$D$7:$D$1000,"Income",Transactions!$E$7:$E$1000,A19),"")</f>
        <v/>
      </c>
      <c r="D19" s="95">
        <f>IF(A19&lt;&gt;"",SUMIFS(Transactions!$F$7:$F$1000,Transactions!$D$7:$D$1000,"Expense",Transactions!$E$7:$E$1000,A19),"")</f>
        <v/>
      </c>
      <c r="E19" s="93">
        <f>IF(A19&lt;&gt;"",B19-C19-D19,"")</f>
        <v/>
      </c>
      <c r="F19" s="93">
        <f>IF(A19&lt;&gt;"",IF(E19=0,"Settled","Unsettled"),"")</f>
        <v/>
      </c>
      <c r="G19" s="96" t="n"/>
      <c r="H19" s="91" t="n"/>
    </row>
    <row r="20" ht="20" customHeight="1">
      <c r="A20" s="97">
        <f>IF(Roster!$A$18&lt;&gt;"",Roster!$A$18,"")</f>
        <v/>
      </c>
      <c r="B20" s="97">
        <f>IF(A20&lt;&gt;"",IFERROR(INDEX(Roster!$B$5:$B$204,MATCH(A20,Roster!$A$5:$A$204,0)),0)+IFERROR(SUMPRODUCT((INDEX(Attendance!$B$7:$AY$206,MATCH(A20,Attendance!$A$7:$A$206,0),0)=1)*Attendance!$B$4:$AY$4),0),"")</f>
        <v/>
      </c>
      <c r="C20" s="98">
        <f>IF(A20&lt;&gt;"",SUMIFS(Transactions!$F$7:$F$1000,Transactions!$D$7:$D$1000,"Income",Transactions!$E$7:$E$1000,A20),"")</f>
        <v/>
      </c>
      <c r="D20" s="98">
        <f>IF(A20&lt;&gt;"",SUMIFS(Transactions!$F$7:$F$1000,Transactions!$D$7:$D$1000,"Expense",Transactions!$E$7:$E$1000,A20),"")</f>
        <v/>
      </c>
      <c r="E20" s="99">
        <f>IF(A20&lt;&gt;"",B20-C20-D20,"")</f>
        <v/>
      </c>
      <c r="F20" s="99">
        <f>IF(A20&lt;&gt;"",IF(E20=0,"Settled","Unsettled"),"")</f>
        <v/>
      </c>
      <c r="G20" s="96" t="n"/>
      <c r="H20" s="91" t="n"/>
    </row>
    <row r="21" ht="20" customHeight="1">
      <c r="A21" s="89">
        <f>IF(Roster!$A$19&lt;&gt;"",Roster!$A$19,"")</f>
        <v/>
      </c>
      <c r="B21" s="89">
        <f>IF(A21&lt;&gt;"",IFERROR(INDEX(Roster!$B$5:$B$204,MATCH(A21,Roster!$A$5:$A$204,0)),0)+IFERROR(SUMPRODUCT((INDEX(Attendance!$B$7:$AY$206,MATCH(A21,Attendance!$A$7:$A$206,0),0)=1)*Attendance!$B$4:$AY$4),0),"")</f>
        <v/>
      </c>
      <c r="C21" s="95">
        <f>IF(A21&lt;&gt;"",SUMIFS(Transactions!$F$7:$F$1000,Transactions!$D$7:$D$1000,"Income",Transactions!$E$7:$E$1000,A21),"")</f>
        <v/>
      </c>
      <c r="D21" s="95">
        <f>IF(A21&lt;&gt;"",SUMIFS(Transactions!$F$7:$F$1000,Transactions!$D$7:$D$1000,"Expense",Transactions!$E$7:$E$1000,A21),"")</f>
        <v/>
      </c>
      <c r="E21" s="93">
        <f>IF(A21&lt;&gt;"",B21-C21-D21,"")</f>
        <v/>
      </c>
      <c r="F21" s="93">
        <f>IF(A21&lt;&gt;"",IF(E21=0,"Settled","Unsettled"),"")</f>
        <v/>
      </c>
      <c r="G21" s="96" t="n"/>
      <c r="H21" s="91" t="n"/>
    </row>
    <row r="22" ht="20" customHeight="1">
      <c r="A22" s="97">
        <f>IF(Roster!$A$20&lt;&gt;"",Roster!$A$20,"")</f>
        <v/>
      </c>
      <c r="B22" s="97">
        <f>IF(A22&lt;&gt;"",IFERROR(INDEX(Roster!$B$5:$B$204,MATCH(A22,Roster!$A$5:$A$204,0)),0)+IFERROR(SUMPRODUCT((INDEX(Attendance!$B$7:$AY$206,MATCH(A22,Attendance!$A$7:$A$206,0),0)=1)*Attendance!$B$4:$AY$4),0),"")</f>
        <v/>
      </c>
      <c r="C22" s="98">
        <f>IF(A22&lt;&gt;"",SUMIFS(Transactions!$F$7:$F$1000,Transactions!$D$7:$D$1000,"Income",Transactions!$E$7:$E$1000,A22),"")</f>
        <v/>
      </c>
      <c r="D22" s="98">
        <f>IF(A22&lt;&gt;"",SUMIFS(Transactions!$F$7:$F$1000,Transactions!$D$7:$D$1000,"Expense",Transactions!$E$7:$E$1000,A22),"")</f>
        <v/>
      </c>
      <c r="E22" s="99">
        <f>IF(A22&lt;&gt;"",B22-C22-D22,"")</f>
        <v/>
      </c>
      <c r="F22" s="99">
        <f>IF(A22&lt;&gt;"",IF(E22=0,"Settled","Unsettled"),"")</f>
        <v/>
      </c>
      <c r="G22" s="96" t="n"/>
      <c r="H22" s="91" t="n"/>
    </row>
    <row r="23" ht="20" customHeight="1">
      <c r="A23" s="89">
        <f>IF(Roster!$A$21&lt;&gt;"",Roster!$A$21,"")</f>
        <v/>
      </c>
      <c r="B23" s="89">
        <f>IF(A23&lt;&gt;"",IFERROR(INDEX(Roster!$B$5:$B$204,MATCH(A23,Roster!$A$5:$A$204,0)),0)+IFERROR(SUMPRODUCT((INDEX(Attendance!$B$7:$AY$206,MATCH(A23,Attendance!$A$7:$A$206,0),0)=1)*Attendance!$B$4:$AY$4),0),"")</f>
        <v/>
      </c>
      <c r="C23" s="95">
        <f>IF(A23&lt;&gt;"",SUMIFS(Transactions!$F$7:$F$1000,Transactions!$D$7:$D$1000,"Income",Transactions!$E$7:$E$1000,A23),"")</f>
        <v/>
      </c>
      <c r="D23" s="95">
        <f>IF(A23&lt;&gt;"",SUMIFS(Transactions!$F$7:$F$1000,Transactions!$D$7:$D$1000,"Expense",Transactions!$E$7:$E$1000,A23),"")</f>
        <v/>
      </c>
      <c r="E23" s="93">
        <f>IF(A23&lt;&gt;"",B23-C23-D23,"")</f>
        <v/>
      </c>
      <c r="F23" s="93">
        <f>IF(A23&lt;&gt;"",IF(E23=0,"Settled","Unsettled"),"")</f>
        <v/>
      </c>
      <c r="G23" s="96" t="n"/>
      <c r="H23" s="91" t="n"/>
    </row>
    <row r="24" ht="20" customHeight="1">
      <c r="A24" s="97">
        <f>IF(Roster!$A$22&lt;&gt;"",Roster!$A$22,"")</f>
        <v/>
      </c>
      <c r="B24" s="97">
        <f>IF(A24&lt;&gt;"",IFERROR(INDEX(Roster!$B$5:$B$204,MATCH(A24,Roster!$A$5:$A$204,0)),0)+IFERROR(SUMPRODUCT((INDEX(Attendance!$B$7:$AY$206,MATCH(A24,Attendance!$A$7:$A$206,0),0)=1)*Attendance!$B$4:$AY$4),0),"")</f>
        <v/>
      </c>
      <c r="C24" s="98">
        <f>IF(A24&lt;&gt;"",SUMIFS(Transactions!$F$7:$F$1000,Transactions!$D$7:$D$1000,"Income",Transactions!$E$7:$E$1000,A24),"")</f>
        <v/>
      </c>
      <c r="D24" s="98">
        <f>IF(A24&lt;&gt;"",SUMIFS(Transactions!$F$7:$F$1000,Transactions!$D$7:$D$1000,"Expense",Transactions!$E$7:$E$1000,A24),"")</f>
        <v/>
      </c>
      <c r="E24" s="99">
        <f>IF(A24&lt;&gt;"",B24-C24-D24,"")</f>
        <v/>
      </c>
      <c r="F24" s="99">
        <f>IF(A24&lt;&gt;"",IF(E24=0,"Settled","Unsettled"),"")</f>
        <v/>
      </c>
      <c r="G24" s="96" t="n"/>
      <c r="H24" s="91" t="n"/>
    </row>
    <row r="25" ht="20" customHeight="1">
      <c r="A25" s="89">
        <f>IF(Roster!$A$23&lt;&gt;"",Roster!$A$23,"")</f>
        <v/>
      </c>
      <c r="B25" s="89">
        <f>IF(A25&lt;&gt;"",IFERROR(INDEX(Roster!$B$5:$B$204,MATCH(A25,Roster!$A$5:$A$204,0)),0)+IFERROR(SUMPRODUCT((INDEX(Attendance!$B$7:$AY$206,MATCH(A25,Attendance!$A$7:$A$206,0),0)=1)*Attendance!$B$4:$AY$4),0),"")</f>
        <v/>
      </c>
      <c r="C25" s="95">
        <f>IF(A25&lt;&gt;"",SUMIFS(Transactions!$F$7:$F$1000,Transactions!$D$7:$D$1000,"Income",Transactions!$E$7:$E$1000,A25),"")</f>
        <v/>
      </c>
      <c r="D25" s="95">
        <f>IF(A25&lt;&gt;"",SUMIFS(Transactions!$F$7:$F$1000,Transactions!$D$7:$D$1000,"Expense",Transactions!$E$7:$E$1000,A25),"")</f>
        <v/>
      </c>
      <c r="E25" s="93">
        <f>IF(A25&lt;&gt;"",B25-C25-D25,"")</f>
        <v/>
      </c>
      <c r="F25" s="93">
        <f>IF(A25&lt;&gt;"",IF(E25=0,"Settled","Unsettled"),"")</f>
        <v/>
      </c>
      <c r="G25" s="96" t="n"/>
      <c r="H25" s="91" t="n"/>
    </row>
    <row r="26" ht="20" customHeight="1">
      <c r="A26" s="97">
        <f>IF(Roster!$A$24&lt;&gt;"",Roster!$A$24,"")</f>
        <v/>
      </c>
      <c r="B26" s="97">
        <f>IF(A26&lt;&gt;"",IFERROR(INDEX(Roster!$B$5:$B$204,MATCH(A26,Roster!$A$5:$A$204,0)),0)+IFERROR(SUMPRODUCT((INDEX(Attendance!$B$7:$AY$206,MATCH(A26,Attendance!$A$7:$A$206,0),0)=1)*Attendance!$B$4:$AY$4),0),"")</f>
        <v/>
      </c>
      <c r="C26" s="98">
        <f>IF(A26&lt;&gt;"",SUMIFS(Transactions!$F$7:$F$1000,Transactions!$D$7:$D$1000,"Income",Transactions!$E$7:$E$1000,A26),"")</f>
        <v/>
      </c>
      <c r="D26" s="98">
        <f>IF(A26&lt;&gt;"",SUMIFS(Transactions!$F$7:$F$1000,Transactions!$D$7:$D$1000,"Expense",Transactions!$E$7:$E$1000,A26),"")</f>
        <v/>
      </c>
      <c r="E26" s="99">
        <f>IF(A26&lt;&gt;"",B26-C26-D26,"")</f>
        <v/>
      </c>
      <c r="F26" s="99">
        <f>IF(A26&lt;&gt;"",IF(E26=0,"Settled","Unsettled"),"")</f>
        <v/>
      </c>
      <c r="G26" s="96" t="n"/>
      <c r="H26" s="91" t="n"/>
    </row>
    <row r="27" ht="20" customHeight="1">
      <c r="A27" s="89">
        <f>IF(Roster!$A$25&lt;&gt;"",Roster!$A$25,"")</f>
        <v/>
      </c>
      <c r="B27" s="89">
        <f>IF(A27&lt;&gt;"",IFERROR(INDEX(Roster!$B$5:$B$204,MATCH(A27,Roster!$A$5:$A$204,0)),0)+IFERROR(SUMPRODUCT((INDEX(Attendance!$B$7:$AY$206,MATCH(A27,Attendance!$A$7:$A$206,0),0)=1)*Attendance!$B$4:$AY$4),0),"")</f>
        <v/>
      </c>
      <c r="C27" s="95">
        <f>IF(A27&lt;&gt;"",SUMIFS(Transactions!$F$7:$F$1000,Transactions!$D$7:$D$1000,"Income",Transactions!$E$7:$E$1000,A27),"")</f>
        <v/>
      </c>
      <c r="D27" s="95">
        <f>IF(A27&lt;&gt;"",SUMIFS(Transactions!$F$7:$F$1000,Transactions!$D$7:$D$1000,"Expense",Transactions!$E$7:$E$1000,A27),"")</f>
        <v/>
      </c>
      <c r="E27" s="93">
        <f>IF(A27&lt;&gt;"",B27-C27-D27,"")</f>
        <v/>
      </c>
      <c r="F27" s="93">
        <f>IF(A27&lt;&gt;"",IF(E27=0,"Settled","Unsettled"),"")</f>
        <v/>
      </c>
      <c r="G27" s="96" t="n"/>
      <c r="H27" s="91" t="n"/>
    </row>
    <row r="28" ht="20" customHeight="1">
      <c r="A28" s="97">
        <f>IF(Roster!$A$26&lt;&gt;"",Roster!$A$26,"")</f>
        <v/>
      </c>
      <c r="B28" s="97">
        <f>IF(A28&lt;&gt;"",IFERROR(INDEX(Roster!$B$5:$B$204,MATCH(A28,Roster!$A$5:$A$204,0)),0)+IFERROR(SUMPRODUCT((INDEX(Attendance!$B$7:$AY$206,MATCH(A28,Attendance!$A$7:$A$206,0),0)=1)*Attendance!$B$4:$AY$4),0),"")</f>
        <v/>
      </c>
      <c r="C28" s="98">
        <f>IF(A28&lt;&gt;"",SUMIFS(Transactions!$F$7:$F$1000,Transactions!$D$7:$D$1000,"Income",Transactions!$E$7:$E$1000,A28),"")</f>
        <v/>
      </c>
      <c r="D28" s="98">
        <f>IF(A28&lt;&gt;"",SUMIFS(Transactions!$F$7:$F$1000,Transactions!$D$7:$D$1000,"Expense",Transactions!$E$7:$E$1000,A28),"")</f>
        <v/>
      </c>
      <c r="E28" s="99">
        <f>IF(A28&lt;&gt;"",B28-C28-D28,"")</f>
        <v/>
      </c>
      <c r="F28" s="99">
        <f>IF(A28&lt;&gt;"",IF(E28=0,"Settled","Unsettled"),"")</f>
        <v/>
      </c>
      <c r="G28" s="96" t="n"/>
      <c r="H28" s="91" t="n"/>
    </row>
    <row r="29" ht="20" customHeight="1">
      <c r="A29" s="89">
        <f>IF(Roster!$A$27&lt;&gt;"",Roster!$A$27,"")</f>
        <v/>
      </c>
      <c r="B29" s="89">
        <f>IF(A29&lt;&gt;"",IFERROR(INDEX(Roster!$B$5:$B$204,MATCH(A29,Roster!$A$5:$A$204,0)),0)+IFERROR(SUMPRODUCT((INDEX(Attendance!$B$7:$AY$206,MATCH(A29,Attendance!$A$7:$A$206,0),0)=1)*Attendance!$B$4:$AY$4),0),"")</f>
        <v/>
      </c>
      <c r="C29" s="95">
        <f>IF(A29&lt;&gt;"",SUMIFS(Transactions!$F$7:$F$1000,Transactions!$D$7:$D$1000,"Income",Transactions!$E$7:$E$1000,A29),"")</f>
        <v/>
      </c>
      <c r="D29" s="95">
        <f>IF(A29&lt;&gt;"",SUMIFS(Transactions!$F$7:$F$1000,Transactions!$D$7:$D$1000,"Expense",Transactions!$E$7:$E$1000,A29),"")</f>
        <v/>
      </c>
      <c r="E29" s="93">
        <f>IF(A29&lt;&gt;"",B29-C29-D29,"")</f>
        <v/>
      </c>
      <c r="F29" s="93">
        <f>IF(A29&lt;&gt;"",IF(E29=0,"Settled","Unsettled"),"")</f>
        <v/>
      </c>
      <c r="G29" s="96" t="n"/>
      <c r="H29" s="91" t="n"/>
    </row>
    <row r="30" ht="20" customHeight="1">
      <c r="A30" s="97">
        <f>IF(Roster!$A$28&lt;&gt;"",Roster!$A$28,"")</f>
        <v/>
      </c>
      <c r="B30" s="97">
        <f>IF(A30&lt;&gt;"",IFERROR(INDEX(Roster!$B$5:$B$204,MATCH(A30,Roster!$A$5:$A$204,0)),0)+IFERROR(SUMPRODUCT((INDEX(Attendance!$B$7:$AY$206,MATCH(A30,Attendance!$A$7:$A$206,0),0)=1)*Attendance!$B$4:$AY$4),0),"")</f>
        <v/>
      </c>
      <c r="C30" s="98">
        <f>IF(A30&lt;&gt;"",SUMIFS(Transactions!$F$7:$F$1000,Transactions!$D$7:$D$1000,"Income",Transactions!$E$7:$E$1000,A30),"")</f>
        <v/>
      </c>
      <c r="D30" s="98">
        <f>IF(A30&lt;&gt;"",SUMIFS(Transactions!$F$7:$F$1000,Transactions!$D$7:$D$1000,"Expense",Transactions!$E$7:$E$1000,A30),"")</f>
        <v/>
      </c>
      <c r="E30" s="99">
        <f>IF(A30&lt;&gt;"",B30-C30-D30,"")</f>
        <v/>
      </c>
      <c r="F30" s="99">
        <f>IF(A30&lt;&gt;"",IF(E30=0,"Settled","Unsettled"),"")</f>
        <v/>
      </c>
      <c r="G30" s="96" t="n"/>
      <c r="H30" s="91" t="n"/>
    </row>
    <row r="31" ht="20" customHeight="1">
      <c r="A31" s="89">
        <f>IF(Roster!$A$29&lt;&gt;"",Roster!$A$29,"")</f>
        <v/>
      </c>
      <c r="B31" s="89">
        <f>IF(A31&lt;&gt;"",IFERROR(INDEX(Roster!$B$5:$B$204,MATCH(A31,Roster!$A$5:$A$204,0)),0)+IFERROR(SUMPRODUCT((INDEX(Attendance!$B$7:$AY$206,MATCH(A31,Attendance!$A$7:$A$206,0),0)=1)*Attendance!$B$4:$AY$4),0),"")</f>
        <v/>
      </c>
      <c r="C31" s="95">
        <f>IF(A31&lt;&gt;"",SUMIFS(Transactions!$F$7:$F$1000,Transactions!$D$7:$D$1000,"Income",Transactions!$E$7:$E$1000,A31),"")</f>
        <v/>
      </c>
      <c r="D31" s="95">
        <f>IF(A31&lt;&gt;"",SUMIFS(Transactions!$F$7:$F$1000,Transactions!$D$7:$D$1000,"Expense",Transactions!$E$7:$E$1000,A31),"")</f>
        <v/>
      </c>
      <c r="E31" s="93">
        <f>IF(A31&lt;&gt;"",B31-C31-D31,"")</f>
        <v/>
      </c>
      <c r="F31" s="93">
        <f>IF(A31&lt;&gt;"",IF(E31=0,"Settled","Unsettled"),"")</f>
        <v/>
      </c>
      <c r="G31" s="96" t="n"/>
      <c r="H31" s="91" t="n"/>
    </row>
    <row r="32" ht="20" customHeight="1">
      <c r="A32" s="97">
        <f>IF(Roster!$A$30&lt;&gt;"",Roster!$A$30,"")</f>
        <v/>
      </c>
      <c r="B32" s="97">
        <f>IF(A32&lt;&gt;"",IFERROR(INDEX(Roster!$B$5:$B$204,MATCH(A32,Roster!$A$5:$A$204,0)),0)+IFERROR(SUMPRODUCT((INDEX(Attendance!$B$7:$AY$206,MATCH(A32,Attendance!$A$7:$A$206,0),0)=1)*Attendance!$B$4:$AY$4),0),"")</f>
        <v/>
      </c>
      <c r="C32" s="98">
        <f>IF(A32&lt;&gt;"",SUMIFS(Transactions!$F$7:$F$1000,Transactions!$D$7:$D$1000,"Income",Transactions!$E$7:$E$1000,A32),"")</f>
        <v/>
      </c>
      <c r="D32" s="98">
        <f>IF(A32&lt;&gt;"",SUMIFS(Transactions!$F$7:$F$1000,Transactions!$D$7:$D$1000,"Expense",Transactions!$E$7:$E$1000,A32),"")</f>
        <v/>
      </c>
      <c r="E32" s="99">
        <f>IF(A32&lt;&gt;"",B32-C32-D32,"")</f>
        <v/>
      </c>
      <c r="F32" s="99">
        <f>IF(A32&lt;&gt;"",IF(E32=0,"Settled","Unsettled"),"")</f>
        <v/>
      </c>
      <c r="G32" s="96" t="n"/>
      <c r="H32" s="91" t="n"/>
    </row>
    <row r="33" ht="20" customHeight="1">
      <c r="A33" s="89">
        <f>IF(Roster!$A$31&lt;&gt;"",Roster!$A$31,"")</f>
        <v/>
      </c>
      <c r="B33" s="89">
        <f>IF(A33&lt;&gt;"",IFERROR(INDEX(Roster!$B$5:$B$204,MATCH(A33,Roster!$A$5:$A$204,0)),0)+IFERROR(SUMPRODUCT((INDEX(Attendance!$B$7:$AY$206,MATCH(A33,Attendance!$A$7:$A$206,0),0)=1)*Attendance!$B$4:$AY$4),0),"")</f>
        <v/>
      </c>
      <c r="C33" s="95">
        <f>IF(A33&lt;&gt;"",SUMIFS(Transactions!$F$7:$F$1000,Transactions!$D$7:$D$1000,"Income",Transactions!$E$7:$E$1000,A33),"")</f>
        <v/>
      </c>
      <c r="D33" s="95">
        <f>IF(A33&lt;&gt;"",SUMIFS(Transactions!$F$7:$F$1000,Transactions!$D$7:$D$1000,"Expense",Transactions!$E$7:$E$1000,A33),"")</f>
        <v/>
      </c>
      <c r="E33" s="93">
        <f>IF(A33&lt;&gt;"",B33-C33-D33,"")</f>
        <v/>
      </c>
      <c r="F33" s="93">
        <f>IF(A33&lt;&gt;"",IF(E33=0,"Settled","Unsettled"),"")</f>
        <v/>
      </c>
      <c r="G33" s="96" t="n"/>
      <c r="H33" s="91" t="n"/>
    </row>
    <row r="34" ht="20" customHeight="1">
      <c r="A34" s="97">
        <f>IF(Roster!$A$32&lt;&gt;"",Roster!$A$32,"")</f>
        <v/>
      </c>
      <c r="B34" s="97">
        <f>IF(A34&lt;&gt;"",IFERROR(INDEX(Roster!$B$5:$B$204,MATCH(A34,Roster!$A$5:$A$204,0)),0)+IFERROR(SUMPRODUCT((INDEX(Attendance!$B$7:$AY$206,MATCH(A34,Attendance!$A$7:$A$206,0),0)=1)*Attendance!$B$4:$AY$4),0),"")</f>
        <v/>
      </c>
      <c r="C34" s="98">
        <f>IF(A34&lt;&gt;"",SUMIFS(Transactions!$F$7:$F$1000,Transactions!$D$7:$D$1000,"Income",Transactions!$E$7:$E$1000,A34),"")</f>
        <v/>
      </c>
      <c r="D34" s="98">
        <f>IF(A34&lt;&gt;"",SUMIFS(Transactions!$F$7:$F$1000,Transactions!$D$7:$D$1000,"Expense",Transactions!$E$7:$E$1000,A34),"")</f>
        <v/>
      </c>
      <c r="E34" s="99">
        <f>IF(A34&lt;&gt;"",B34-C34-D34,"")</f>
        <v/>
      </c>
      <c r="F34" s="99">
        <f>IF(A34&lt;&gt;"",IF(E34=0,"Settled","Unsettled"),"")</f>
        <v/>
      </c>
      <c r="G34" s="96" t="n"/>
      <c r="H34" s="91" t="n"/>
    </row>
    <row r="35" ht="20" customHeight="1">
      <c r="A35" s="89">
        <f>IF(Roster!$A$33&lt;&gt;"",Roster!$A$33,"")</f>
        <v/>
      </c>
      <c r="B35" s="89">
        <f>IF(A35&lt;&gt;"",IFERROR(INDEX(Roster!$B$5:$B$204,MATCH(A35,Roster!$A$5:$A$204,0)),0)+IFERROR(SUMPRODUCT((INDEX(Attendance!$B$7:$AY$206,MATCH(A35,Attendance!$A$7:$A$206,0),0)=1)*Attendance!$B$4:$AY$4),0),"")</f>
        <v/>
      </c>
      <c r="C35" s="95">
        <f>IF(A35&lt;&gt;"",SUMIFS(Transactions!$F$7:$F$1000,Transactions!$D$7:$D$1000,"Income",Transactions!$E$7:$E$1000,A35),"")</f>
        <v/>
      </c>
      <c r="D35" s="95">
        <f>IF(A35&lt;&gt;"",SUMIFS(Transactions!$F$7:$F$1000,Transactions!$D$7:$D$1000,"Expense",Transactions!$E$7:$E$1000,A35),"")</f>
        <v/>
      </c>
      <c r="E35" s="93">
        <f>IF(A35&lt;&gt;"",B35-C35-D35,"")</f>
        <v/>
      </c>
      <c r="F35" s="93">
        <f>IF(A35&lt;&gt;"",IF(E35=0,"Settled","Unsettled"),"")</f>
        <v/>
      </c>
      <c r="G35" s="96" t="n"/>
      <c r="H35" s="91" t="n"/>
    </row>
    <row r="36" ht="20" customHeight="1">
      <c r="A36" s="97">
        <f>IF(Roster!$A$34&lt;&gt;"",Roster!$A$34,"")</f>
        <v/>
      </c>
      <c r="B36" s="97">
        <f>IF(A36&lt;&gt;"",IFERROR(INDEX(Roster!$B$5:$B$204,MATCH(A36,Roster!$A$5:$A$204,0)),0)+IFERROR(SUMPRODUCT((INDEX(Attendance!$B$7:$AY$206,MATCH(A36,Attendance!$A$7:$A$206,0),0)=1)*Attendance!$B$4:$AY$4),0),"")</f>
        <v/>
      </c>
      <c r="C36" s="98">
        <f>IF(A36&lt;&gt;"",SUMIFS(Transactions!$F$7:$F$1000,Transactions!$D$7:$D$1000,"Income",Transactions!$E$7:$E$1000,A36),"")</f>
        <v/>
      </c>
      <c r="D36" s="98">
        <f>IF(A36&lt;&gt;"",SUMIFS(Transactions!$F$7:$F$1000,Transactions!$D$7:$D$1000,"Expense",Transactions!$E$7:$E$1000,A36),"")</f>
        <v/>
      </c>
      <c r="E36" s="99">
        <f>IF(A36&lt;&gt;"",B36-C36-D36,"")</f>
        <v/>
      </c>
      <c r="F36" s="99">
        <f>IF(A36&lt;&gt;"",IF(E36=0,"Settled","Unsettled"),"")</f>
        <v/>
      </c>
      <c r="G36" s="96" t="n"/>
      <c r="H36" s="91" t="n"/>
    </row>
    <row r="37" ht="20" customHeight="1">
      <c r="A37" s="89">
        <f>IF(Roster!$A$35&lt;&gt;"",Roster!$A$35,"")</f>
        <v/>
      </c>
      <c r="B37" s="89">
        <f>IF(A37&lt;&gt;"",IFERROR(INDEX(Roster!$B$5:$B$204,MATCH(A37,Roster!$A$5:$A$204,0)),0)+IFERROR(SUMPRODUCT((INDEX(Attendance!$B$7:$AY$206,MATCH(A37,Attendance!$A$7:$A$206,0),0)=1)*Attendance!$B$4:$AY$4),0),"")</f>
        <v/>
      </c>
      <c r="C37" s="95">
        <f>IF(A37&lt;&gt;"",SUMIFS(Transactions!$F$7:$F$1000,Transactions!$D$7:$D$1000,"Income",Transactions!$E$7:$E$1000,A37),"")</f>
        <v/>
      </c>
      <c r="D37" s="95">
        <f>IF(A37&lt;&gt;"",SUMIFS(Transactions!$F$7:$F$1000,Transactions!$D$7:$D$1000,"Expense",Transactions!$E$7:$E$1000,A37),"")</f>
        <v/>
      </c>
      <c r="E37" s="93">
        <f>IF(A37&lt;&gt;"",B37-C37-D37,"")</f>
        <v/>
      </c>
      <c r="F37" s="93">
        <f>IF(A37&lt;&gt;"",IF(E37=0,"Settled","Unsettled"),"")</f>
        <v/>
      </c>
      <c r="G37" s="96" t="n"/>
      <c r="H37" s="91" t="n"/>
    </row>
    <row r="38" ht="20" customHeight="1">
      <c r="A38" s="97">
        <f>IF(Roster!$A$36&lt;&gt;"",Roster!$A$36,"")</f>
        <v/>
      </c>
      <c r="B38" s="97">
        <f>IF(A38&lt;&gt;"",IFERROR(INDEX(Roster!$B$5:$B$204,MATCH(A38,Roster!$A$5:$A$204,0)),0)+IFERROR(SUMPRODUCT((INDEX(Attendance!$B$7:$AY$206,MATCH(A38,Attendance!$A$7:$A$206,0),0)=1)*Attendance!$B$4:$AY$4),0),"")</f>
        <v/>
      </c>
      <c r="C38" s="98">
        <f>IF(A38&lt;&gt;"",SUMIFS(Transactions!$F$7:$F$1000,Transactions!$D$7:$D$1000,"Income",Transactions!$E$7:$E$1000,A38),"")</f>
        <v/>
      </c>
      <c r="D38" s="98">
        <f>IF(A38&lt;&gt;"",SUMIFS(Transactions!$F$7:$F$1000,Transactions!$D$7:$D$1000,"Expense",Transactions!$E$7:$E$1000,A38),"")</f>
        <v/>
      </c>
      <c r="E38" s="99">
        <f>IF(A38&lt;&gt;"",B38-C38-D38,"")</f>
        <v/>
      </c>
      <c r="F38" s="99">
        <f>IF(A38&lt;&gt;"",IF(E38=0,"Settled","Unsettled"),"")</f>
        <v/>
      </c>
      <c r="G38" s="96" t="n"/>
      <c r="H38" s="91" t="n"/>
    </row>
    <row r="39" ht="20" customHeight="1">
      <c r="A39" s="89">
        <f>IF(Roster!$A$37&lt;&gt;"",Roster!$A$37,"")</f>
        <v/>
      </c>
      <c r="B39" s="89">
        <f>IF(A39&lt;&gt;"",IFERROR(INDEX(Roster!$B$5:$B$204,MATCH(A39,Roster!$A$5:$A$204,0)),0)+IFERROR(SUMPRODUCT((INDEX(Attendance!$B$7:$AY$206,MATCH(A39,Attendance!$A$7:$A$206,0),0)=1)*Attendance!$B$4:$AY$4),0),"")</f>
        <v/>
      </c>
      <c r="C39" s="95">
        <f>IF(A39&lt;&gt;"",SUMIFS(Transactions!$F$7:$F$1000,Transactions!$D$7:$D$1000,"Income",Transactions!$E$7:$E$1000,A39),"")</f>
        <v/>
      </c>
      <c r="D39" s="95">
        <f>IF(A39&lt;&gt;"",SUMIFS(Transactions!$F$7:$F$1000,Transactions!$D$7:$D$1000,"Expense",Transactions!$E$7:$E$1000,A39),"")</f>
        <v/>
      </c>
      <c r="E39" s="93">
        <f>IF(A39&lt;&gt;"",B39-C39-D39,"")</f>
        <v/>
      </c>
      <c r="F39" s="93">
        <f>IF(A39&lt;&gt;"",IF(E39=0,"Settled","Unsettled"),"")</f>
        <v/>
      </c>
      <c r="G39" s="96" t="n"/>
      <c r="H39" s="91" t="n"/>
    </row>
    <row r="40" ht="20" customHeight="1">
      <c r="A40" s="97">
        <f>IF(Roster!$A$38&lt;&gt;"",Roster!$A$38,"")</f>
        <v/>
      </c>
      <c r="B40" s="97">
        <f>IF(A40&lt;&gt;"",IFERROR(INDEX(Roster!$B$5:$B$204,MATCH(A40,Roster!$A$5:$A$204,0)),0)+IFERROR(SUMPRODUCT((INDEX(Attendance!$B$7:$AY$206,MATCH(A40,Attendance!$A$7:$A$206,0),0)=1)*Attendance!$B$4:$AY$4),0),"")</f>
        <v/>
      </c>
      <c r="C40" s="98">
        <f>IF(A40&lt;&gt;"",SUMIFS(Transactions!$F$7:$F$1000,Transactions!$D$7:$D$1000,"Income",Transactions!$E$7:$E$1000,A40),"")</f>
        <v/>
      </c>
      <c r="D40" s="98">
        <f>IF(A40&lt;&gt;"",SUMIFS(Transactions!$F$7:$F$1000,Transactions!$D$7:$D$1000,"Expense",Transactions!$E$7:$E$1000,A40),"")</f>
        <v/>
      </c>
      <c r="E40" s="99">
        <f>IF(A40&lt;&gt;"",B40-C40-D40,"")</f>
        <v/>
      </c>
      <c r="F40" s="99">
        <f>IF(A40&lt;&gt;"",IF(E40=0,"Settled","Unsettled"),"")</f>
        <v/>
      </c>
      <c r="G40" s="96" t="n"/>
      <c r="H40" s="91" t="n"/>
    </row>
    <row r="41" ht="20" customHeight="1">
      <c r="A41" s="89">
        <f>IF(Roster!$A$39&lt;&gt;"",Roster!$A$39,"")</f>
        <v/>
      </c>
      <c r="B41" s="89">
        <f>IF(A41&lt;&gt;"",IFERROR(INDEX(Roster!$B$5:$B$204,MATCH(A41,Roster!$A$5:$A$204,0)),0)+IFERROR(SUMPRODUCT((INDEX(Attendance!$B$7:$AY$206,MATCH(A41,Attendance!$A$7:$A$206,0),0)=1)*Attendance!$B$4:$AY$4),0),"")</f>
        <v/>
      </c>
      <c r="C41" s="95">
        <f>IF(A41&lt;&gt;"",SUMIFS(Transactions!$F$7:$F$1000,Transactions!$D$7:$D$1000,"Income",Transactions!$E$7:$E$1000,A41),"")</f>
        <v/>
      </c>
      <c r="D41" s="95">
        <f>IF(A41&lt;&gt;"",SUMIFS(Transactions!$F$7:$F$1000,Transactions!$D$7:$D$1000,"Expense",Transactions!$E$7:$E$1000,A41),"")</f>
        <v/>
      </c>
      <c r="E41" s="93">
        <f>IF(A41&lt;&gt;"",B41-C41-D41,"")</f>
        <v/>
      </c>
      <c r="F41" s="93">
        <f>IF(A41&lt;&gt;"",IF(E41=0,"Settled","Unsettled"),"")</f>
        <v/>
      </c>
      <c r="G41" s="96" t="n"/>
      <c r="H41" s="91" t="n"/>
    </row>
    <row r="42" ht="20" customHeight="1">
      <c r="A42" s="97">
        <f>IF(Roster!$A$40&lt;&gt;"",Roster!$A$40,"")</f>
        <v/>
      </c>
      <c r="B42" s="97">
        <f>IF(A42&lt;&gt;"",IFERROR(INDEX(Roster!$B$5:$B$204,MATCH(A42,Roster!$A$5:$A$204,0)),0)+IFERROR(SUMPRODUCT((INDEX(Attendance!$B$7:$AY$206,MATCH(A42,Attendance!$A$7:$A$206,0),0)=1)*Attendance!$B$4:$AY$4),0),"")</f>
        <v/>
      </c>
      <c r="C42" s="98">
        <f>IF(A42&lt;&gt;"",SUMIFS(Transactions!$F$7:$F$1000,Transactions!$D$7:$D$1000,"Income",Transactions!$E$7:$E$1000,A42),"")</f>
        <v/>
      </c>
      <c r="D42" s="98">
        <f>IF(A42&lt;&gt;"",SUMIFS(Transactions!$F$7:$F$1000,Transactions!$D$7:$D$1000,"Expense",Transactions!$E$7:$E$1000,A42),"")</f>
        <v/>
      </c>
      <c r="E42" s="99">
        <f>IF(A42&lt;&gt;"",B42-C42-D42,"")</f>
        <v/>
      </c>
      <c r="F42" s="99">
        <f>IF(A42&lt;&gt;"",IF(E42=0,"Settled","Unsettled"),"")</f>
        <v/>
      </c>
      <c r="G42" s="96" t="n"/>
      <c r="H42" s="91" t="n"/>
    </row>
    <row r="43" ht="20" customHeight="1">
      <c r="A43" s="89">
        <f>IF(Roster!$A$41&lt;&gt;"",Roster!$A$41,"")</f>
        <v/>
      </c>
      <c r="B43" s="89">
        <f>IF(A43&lt;&gt;"",IFERROR(INDEX(Roster!$B$5:$B$204,MATCH(A43,Roster!$A$5:$A$204,0)),0)+IFERROR(SUMPRODUCT((INDEX(Attendance!$B$7:$AY$206,MATCH(A43,Attendance!$A$7:$A$206,0),0)=1)*Attendance!$B$4:$AY$4),0),"")</f>
        <v/>
      </c>
      <c r="C43" s="95">
        <f>IF(A43&lt;&gt;"",SUMIFS(Transactions!$F$7:$F$1000,Transactions!$D$7:$D$1000,"Income",Transactions!$E$7:$E$1000,A43),"")</f>
        <v/>
      </c>
      <c r="D43" s="95">
        <f>IF(A43&lt;&gt;"",SUMIFS(Transactions!$F$7:$F$1000,Transactions!$D$7:$D$1000,"Expense",Transactions!$E$7:$E$1000,A43),"")</f>
        <v/>
      </c>
      <c r="E43" s="93">
        <f>IF(A43&lt;&gt;"",B43-C43-D43,"")</f>
        <v/>
      </c>
      <c r="F43" s="93">
        <f>IF(A43&lt;&gt;"",IF(E43=0,"Settled","Unsettled"),"")</f>
        <v/>
      </c>
      <c r="G43" s="96" t="n"/>
      <c r="H43" s="91" t="n"/>
    </row>
    <row r="44" ht="20" customHeight="1">
      <c r="A44" s="97">
        <f>IF(Roster!$A$42&lt;&gt;"",Roster!$A$42,"")</f>
        <v/>
      </c>
      <c r="B44" s="97">
        <f>IF(A44&lt;&gt;"",IFERROR(INDEX(Roster!$B$5:$B$204,MATCH(A44,Roster!$A$5:$A$204,0)),0)+IFERROR(SUMPRODUCT((INDEX(Attendance!$B$7:$AY$206,MATCH(A44,Attendance!$A$7:$A$206,0),0)=1)*Attendance!$B$4:$AY$4),0),"")</f>
        <v/>
      </c>
      <c r="C44" s="98">
        <f>IF(A44&lt;&gt;"",SUMIFS(Transactions!$F$7:$F$1000,Transactions!$D$7:$D$1000,"Income",Transactions!$E$7:$E$1000,A44),"")</f>
        <v/>
      </c>
      <c r="D44" s="98">
        <f>IF(A44&lt;&gt;"",SUMIFS(Transactions!$F$7:$F$1000,Transactions!$D$7:$D$1000,"Expense",Transactions!$E$7:$E$1000,A44),"")</f>
        <v/>
      </c>
      <c r="E44" s="99">
        <f>IF(A44&lt;&gt;"",B44-C44-D44,"")</f>
        <v/>
      </c>
      <c r="F44" s="99">
        <f>IF(A44&lt;&gt;"",IF(E44=0,"Settled","Unsettled"),"")</f>
        <v/>
      </c>
      <c r="G44" s="96" t="n"/>
      <c r="H44" s="91" t="n"/>
    </row>
    <row r="45" ht="20" customHeight="1">
      <c r="A45" s="89">
        <f>IF(Roster!$A$43&lt;&gt;"",Roster!$A$43,"")</f>
        <v/>
      </c>
      <c r="B45" s="89">
        <f>IF(A45&lt;&gt;"",IFERROR(INDEX(Roster!$B$5:$B$204,MATCH(A45,Roster!$A$5:$A$204,0)),0)+IFERROR(SUMPRODUCT((INDEX(Attendance!$B$7:$AY$206,MATCH(A45,Attendance!$A$7:$A$206,0),0)=1)*Attendance!$B$4:$AY$4),0),"")</f>
        <v/>
      </c>
      <c r="C45" s="95">
        <f>IF(A45&lt;&gt;"",SUMIFS(Transactions!$F$7:$F$1000,Transactions!$D$7:$D$1000,"Income",Transactions!$E$7:$E$1000,A45),"")</f>
        <v/>
      </c>
      <c r="D45" s="95">
        <f>IF(A45&lt;&gt;"",SUMIFS(Transactions!$F$7:$F$1000,Transactions!$D$7:$D$1000,"Expense",Transactions!$E$7:$E$1000,A45),"")</f>
        <v/>
      </c>
      <c r="E45" s="93">
        <f>IF(A45&lt;&gt;"",B45-C45-D45,"")</f>
        <v/>
      </c>
      <c r="F45" s="93">
        <f>IF(A45&lt;&gt;"",IF(E45=0,"Settled","Unsettled"),"")</f>
        <v/>
      </c>
      <c r="G45" s="96" t="n"/>
      <c r="H45" s="91" t="n"/>
    </row>
    <row r="46" ht="20" customHeight="1">
      <c r="A46" s="97">
        <f>IF(Roster!$A$44&lt;&gt;"",Roster!$A$44,"")</f>
        <v/>
      </c>
      <c r="B46" s="97">
        <f>IF(A46&lt;&gt;"",IFERROR(INDEX(Roster!$B$5:$B$204,MATCH(A46,Roster!$A$5:$A$204,0)),0)+IFERROR(SUMPRODUCT((INDEX(Attendance!$B$7:$AY$206,MATCH(A46,Attendance!$A$7:$A$206,0),0)=1)*Attendance!$B$4:$AY$4),0),"")</f>
        <v/>
      </c>
      <c r="C46" s="98">
        <f>IF(A46&lt;&gt;"",SUMIFS(Transactions!$F$7:$F$1000,Transactions!$D$7:$D$1000,"Income",Transactions!$E$7:$E$1000,A46),"")</f>
        <v/>
      </c>
      <c r="D46" s="98">
        <f>IF(A46&lt;&gt;"",SUMIFS(Transactions!$F$7:$F$1000,Transactions!$D$7:$D$1000,"Expense",Transactions!$E$7:$E$1000,A46),"")</f>
        <v/>
      </c>
      <c r="E46" s="99">
        <f>IF(A46&lt;&gt;"",B46-C46-D46,"")</f>
        <v/>
      </c>
      <c r="F46" s="99">
        <f>IF(A46&lt;&gt;"",IF(E46=0,"Settled","Unsettled"),"")</f>
        <v/>
      </c>
      <c r="G46" s="96" t="n"/>
      <c r="H46" s="91" t="n"/>
    </row>
    <row r="47" ht="20" customHeight="1">
      <c r="A47" s="89">
        <f>IF(Roster!$A$45&lt;&gt;"",Roster!$A$45,"")</f>
        <v/>
      </c>
      <c r="B47" s="89">
        <f>IF(A47&lt;&gt;"",IFERROR(INDEX(Roster!$B$5:$B$204,MATCH(A47,Roster!$A$5:$A$204,0)),0)+IFERROR(SUMPRODUCT((INDEX(Attendance!$B$7:$AY$206,MATCH(A47,Attendance!$A$7:$A$206,0),0)=1)*Attendance!$B$4:$AY$4),0),"")</f>
        <v/>
      </c>
      <c r="C47" s="95">
        <f>IF(A47&lt;&gt;"",SUMIFS(Transactions!$F$7:$F$1000,Transactions!$D$7:$D$1000,"Income",Transactions!$E$7:$E$1000,A47),"")</f>
        <v/>
      </c>
      <c r="D47" s="95">
        <f>IF(A47&lt;&gt;"",SUMIFS(Transactions!$F$7:$F$1000,Transactions!$D$7:$D$1000,"Expense",Transactions!$E$7:$E$1000,A47),"")</f>
        <v/>
      </c>
      <c r="E47" s="93">
        <f>IF(A47&lt;&gt;"",B47-C47-D47,"")</f>
        <v/>
      </c>
      <c r="F47" s="93">
        <f>IF(A47&lt;&gt;"",IF(E47=0,"Settled","Unsettled"),"")</f>
        <v/>
      </c>
      <c r="G47" s="96" t="n"/>
      <c r="H47" s="91" t="n"/>
    </row>
    <row r="48" ht="20" customHeight="1">
      <c r="A48" s="97">
        <f>IF(Roster!$A$46&lt;&gt;"",Roster!$A$46,"")</f>
        <v/>
      </c>
      <c r="B48" s="97">
        <f>IF(A48&lt;&gt;"",IFERROR(INDEX(Roster!$B$5:$B$204,MATCH(A48,Roster!$A$5:$A$204,0)),0)+IFERROR(SUMPRODUCT((INDEX(Attendance!$B$7:$AY$206,MATCH(A48,Attendance!$A$7:$A$206,0),0)=1)*Attendance!$B$4:$AY$4),0),"")</f>
        <v/>
      </c>
      <c r="C48" s="98">
        <f>IF(A48&lt;&gt;"",SUMIFS(Transactions!$F$7:$F$1000,Transactions!$D$7:$D$1000,"Income",Transactions!$E$7:$E$1000,A48),"")</f>
        <v/>
      </c>
      <c r="D48" s="98">
        <f>IF(A48&lt;&gt;"",SUMIFS(Transactions!$F$7:$F$1000,Transactions!$D$7:$D$1000,"Expense",Transactions!$E$7:$E$1000,A48),"")</f>
        <v/>
      </c>
      <c r="E48" s="99">
        <f>IF(A48&lt;&gt;"",B48-C48-D48,"")</f>
        <v/>
      </c>
      <c r="F48" s="99">
        <f>IF(A48&lt;&gt;"",IF(E48=0,"Settled","Unsettled"),"")</f>
        <v/>
      </c>
      <c r="G48" s="96" t="n"/>
      <c r="H48" s="91" t="n"/>
    </row>
    <row r="49" ht="20" customHeight="1">
      <c r="A49" s="89">
        <f>IF(Roster!$A$47&lt;&gt;"",Roster!$A$47,"")</f>
        <v/>
      </c>
      <c r="B49" s="89">
        <f>IF(A49&lt;&gt;"",IFERROR(INDEX(Roster!$B$5:$B$204,MATCH(A49,Roster!$A$5:$A$204,0)),0)+IFERROR(SUMPRODUCT((INDEX(Attendance!$B$7:$AY$206,MATCH(A49,Attendance!$A$7:$A$206,0),0)=1)*Attendance!$B$4:$AY$4),0),"")</f>
        <v/>
      </c>
      <c r="C49" s="95">
        <f>IF(A49&lt;&gt;"",SUMIFS(Transactions!$F$7:$F$1000,Transactions!$D$7:$D$1000,"Income",Transactions!$E$7:$E$1000,A49),"")</f>
        <v/>
      </c>
      <c r="D49" s="95">
        <f>IF(A49&lt;&gt;"",SUMIFS(Transactions!$F$7:$F$1000,Transactions!$D$7:$D$1000,"Expense",Transactions!$E$7:$E$1000,A49),"")</f>
        <v/>
      </c>
      <c r="E49" s="93">
        <f>IF(A49&lt;&gt;"",B49-C49-D49,"")</f>
        <v/>
      </c>
      <c r="F49" s="93">
        <f>IF(A49&lt;&gt;"",IF(E49=0,"Settled","Unsettled"),"")</f>
        <v/>
      </c>
      <c r="G49" s="96" t="n"/>
      <c r="H49" s="91" t="n"/>
    </row>
    <row r="50" ht="20" customHeight="1">
      <c r="A50" s="97">
        <f>IF(Roster!$A$48&lt;&gt;"",Roster!$A$48,"")</f>
        <v/>
      </c>
      <c r="B50" s="97">
        <f>IF(A50&lt;&gt;"",IFERROR(INDEX(Roster!$B$5:$B$204,MATCH(A50,Roster!$A$5:$A$204,0)),0)+IFERROR(SUMPRODUCT((INDEX(Attendance!$B$7:$AY$206,MATCH(A50,Attendance!$A$7:$A$206,0),0)=1)*Attendance!$B$4:$AY$4),0),"")</f>
        <v/>
      </c>
      <c r="C50" s="98">
        <f>IF(A50&lt;&gt;"",SUMIFS(Transactions!$F$7:$F$1000,Transactions!$D$7:$D$1000,"Income",Transactions!$E$7:$E$1000,A50),"")</f>
        <v/>
      </c>
      <c r="D50" s="98">
        <f>IF(A50&lt;&gt;"",SUMIFS(Transactions!$F$7:$F$1000,Transactions!$D$7:$D$1000,"Expense",Transactions!$E$7:$E$1000,A50),"")</f>
        <v/>
      </c>
      <c r="E50" s="99">
        <f>IF(A50&lt;&gt;"",B50-C50-D50,"")</f>
        <v/>
      </c>
      <c r="F50" s="99">
        <f>IF(A50&lt;&gt;"",IF(E50=0,"Settled","Unsettled"),"")</f>
        <v/>
      </c>
      <c r="G50" s="96" t="n"/>
      <c r="H50" s="91" t="n"/>
    </row>
    <row r="51" ht="20" customHeight="1">
      <c r="A51" s="89">
        <f>IF(Roster!$A$49&lt;&gt;"",Roster!$A$49,"")</f>
        <v/>
      </c>
      <c r="B51" s="89">
        <f>IF(A51&lt;&gt;"",IFERROR(INDEX(Roster!$B$5:$B$204,MATCH(A51,Roster!$A$5:$A$204,0)),0)+IFERROR(SUMPRODUCT((INDEX(Attendance!$B$7:$AY$206,MATCH(A51,Attendance!$A$7:$A$206,0),0)=1)*Attendance!$B$4:$AY$4),0),"")</f>
        <v/>
      </c>
      <c r="C51" s="95">
        <f>IF(A51&lt;&gt;"",SUMIFS(Transactions!$F$7:$F$1000,Transactions!$D$7:$D$1000,"Income",Transactions!$E$7:$E$1000,A51),"")</f>
        <v/>
      </c>
      <c r="D51" s="95">
        <f>IF(A51&lt;&gt;"",SUMIFS(Transactions!$F$7:$F$1000,Transactions!$D$7:$D$1000,"Expense",Transactions!$E$7:$E$1000,A51),"")</f>
        <v/>
      </c>
      <c r="E51" s="93">
        <f>IF(A51&lt;&gt;"",B51-C51-D51,"")</f>
        <v/>
      </c>
      <c r="F51" s="93">
        <f>IF(A51&lt;&gt;"",IF(E51=0,"Settled","Unsettled"),"")</f>
        <v/>
      </c>
      <c r="G51" s="96" t="n"/>
      <c r="H51" s="91" t="n"/>
    </row>
    <row r="52" ht="20" customHeight="1">
      <c r="A52" s="97">
        <f>IF(Roster!$A$50&lt;&gt;"",Roster!$A$50,"")</f>
        <v/>
      </c>
      <c r="B52" s="97">
        <f>IF(A52&lt;&gt;"",IFERROR(INDEX(Roster!$B$5:$B$204,MATCH(A52,Roster!$A$5:$A$204,0)),0)+IFERROR(SUMPRODUCT((INDEX(Attendance!$B$7:$AY$206,MATCH(A52,Attendance!$A$7:$A$206,0),0)=1)*Attendance!$B$4:$AY$4),0),"")</f>
        <v/>
      </c>
      <c r="C52" s="98">
        <f>IF(A52&lt;&gt;"",SUMIFS(Transactions!$F$7:$F$1000,Transactions!$D$7:$D$1000,"Income",Transactions!$E$7:$E$1000,A52),"")</f>
        <v/>
      </c>
      <c r="D52" s="98">
        <f>IF(A52&lt;&gt;"",SUMIFS(Transactions!$F$7:$F$1000,Transactions!$D$7:$D$1000,"Expense",Transactions!$E$7:$E$1000,A52),"")</f>
        <v/>
      </c>
      <c r="E52" s="99">
        <f>IF(A52&lt;&gt;"",B52-C52-D52,"")</f>
        <v/>
      </c>
      <c r="F52" s="99">
        <f>IF(A52&lt;&gt;"",IF(E52=0,"Settled","Unsettled"),"")</f>
        <v/>
      </c>
      <c r="G52" s="96" t="n"/>
      <c r="H52" s="91" t="n"/>
    </row>
    <row r="53" ht="20" customHeight="1">
      <c r="A53" s="89">
        <f>IF(Roster!$A$51&lt;&gt;"",Roster!$A$51,"")</f>
        <v/>
      </c>
      <c r="B53" s="89">
        <f>IF(A53&lt;&gt;"",IFERROR(INDEX(Roster!$B$5:$B$204,MATCH(A53,Roster!$A$5:$A$204,0)),0)+IFERROR(SUMPRODUCT((INDEX(Attendance!$B$7:$AY$206,MATCH(A53,Attendance!$A$7:$A$206,0),0)=1)*Attendance!$B$4:$AY$4),0),"")</f>
        <v/>
      </c>
      <c r="C53" s="95">
        <f>IF(A53&lt;&gt;"",SUMIFS(Transactions!$F$7:$F$1000,Transactions!$D$7:$D$1000,"Income",Transactions!$E$7:$E$1000,A53),"")</f>
        <v/>
      </c>
      <c r="D53" s="95">
        <f>IF(A53&lt;&gt;"",SUMIFS(Transactions!$F$7:$F$1000,Transactions!$D$7:$D$1000,"Expense",Transactions!$E$7:$E$1000,A53),"")</f>
        <v/>
      </c>
      <c r="E53" s="93">
        <f>IF(A53&lt;&gt;"",B53-C53-D53,"")</f>
        <v/>
      </c>
      <c r="F53" s="93">
        <f>IF(A53&lt;&gt;"",IF(E53=0,"Settled","Unsettled"),"")</f>
        <v/>
      </c>
      <c r="G53" s="96" t="n"/>
      <c r="H53" s="91" t="n"/>
    </row>
    <row r="54" ht="20" customHeight="1">
      <c r="A54" s="97">
        <f>IF(Roster!$A$52&lt;&gt;"",Roster!$A$52,"")</f>
        <v/>
      </c>
      <c r="B54" s="97">
        <f>IF(A54&lt;&gt;"",IFERROR(INDEX(Roster!$B$5:$B$204,MATCH(A54,Roster!$A$5:$A$204,0)),0)+IFERROR(SUMPRODUCT((INDEX(Attendance!$B$7:$AY$206,MATCH(A54,Attendance!$A$7:$A$206,0),0)=1)*Attendance!$B$4:$AY$4),0),"")</f>
        <v/>
      </c>
      <c r="C54" s="98">
        <f>IF(A54&lt;&gt;"",SUMIFS(Transactions!$F$7:$F$1000,Transactions!$D$7:$D$1000,"Income",Transactions!$E$7:$E$1000,A54),"")</f>
        <v/>
      </c>
      <c r="D54" s="98">
        <f>IF(A54&lt;&gt;"",SUMIFS(Transactions!$F$7:$F$1000,Transactions!$D$7:$D$1000,"Expense",Transactions!$E$7:$E$1000,A54),"")</f>
        <v/>
      </c>
      <c r="E54" s="99">
        <f>IF(A54&lt;&gt;"",B54-C54-D54,"")</f>
        <v/>
      </c>
      <c r="F54" s="99">
        <f>IF(A54&lt;&gt;"",IF(E54=0,"Settled","Unsettled"),"")</f>
        <v/>
      </c>
      <c r="G54" s="96" t="n"/>
      <c r="H54" s="91" t="n"/>
    </row>
    <row r="55" ht="20" customHeight="1">
      <c r="A55" s="89">
        <f>IF(Roster!$A$53&lt;&gt;"",Roster!$A$53,"")</f>
        <v/>
      </c>
      <c r="B55" s="89">
        <f>IF(A55&lt;&gt;"",IFERROR(INDEX(Roster!$B$5:$B$204,MATCH(A55,Roster!$A$5:$A$204,0)),0)+IFERROR(SUMPRODUCT((INDEX(Attendance!$B$7:$AY$206,MATCH(A55,Attendance!$A$7:$A$206,0),0)=1)*Attendance!$B$4:$AY$4),0),"")</f>
        <v/>
      </c>
      <c r="C55" s="95">
        <f>IF(A55&lt;&gt;"",SUMIFS(Transactions!$F$7:$F$1000,Transactions!$D$7:$D$1000,"Income",Transactions!$E$7:$E$1000,A55),"")</f>
        <v/>
      </c>
      <c r="D55" s="95">
        <f>IF(A55&lt;&gt;"",SUMIFS(Transactions!$F$7:$F$1000,Transactions!$D$7:$D$1000,"Expense",Transactions!$E$7:$E$1000,A55),"")</f>
        <v/>
      </c>
      <c r="E55" s="93">
        <f>IF(A55&lt;&gt;"",B55-C55-D55,"")</f>
        <v/>
      </c>
      <c r="F55" s="93">
        <f>IF(A55&lt;&gt;"",IF(E55=0,"Settled","Unsettled"),"")</f>
        <v/>
      </c>
      <c r="G55" s="96" t="n"/>
      <c r="H55" s="91" t="n"/>
    </row>
    <row r="56" ht="20" customHeight="1">
      <c r="A56" s="97">
        <f>IF(Roster!$A$54&lt;&gt;"",Roster!$A$54,"")</f>
        <v/>
      </c>
      <c r="B56" s="97">
        <f>IF(A56&lt;&gt;"",IFERROR(INDEX(Roster!$B$5:$B$204,MATCH(A56,Roster!$A$5:$A$204,0)),0)+IFERROR(SUMPRODUCT((INDEX(Attendance!$B$7:$AY$206,MATCH(A56,Attendance!$A$7:$A$206,0),0)=1)*Attendance!$B$4:$AY$4),0),"")</f>
        <v/>
      </c>
      <c r="C56" s="98">
        <f>IF(A56&lt;&gt;"",SUMIFS(Transactions!$F$7:$F$1000,Transactions!$D$7:$D$1000,"Income",Transactions!$E$7:$E$1000,A56),"")</f>
        <v/>
      </c>
      <c r="D56" s="98">
        <f>IF(A56&lt;&gt;"",SUMIFS(Transactions!$F$7:$F$1000,Transactions!$D$7:$D$1000,"Expense",Transactions!$E$7:$E$1000,A56),"")</f>
        <v/>
      </c>
      <c r="E56" s="99">
        <f>IF(A56&lt;&gt;"",B56-C56-D56,"")</f>
        <v/>
      </c>
      <c r="F56" s="99">
        <f>IF(A56&lt;&gt;"",IF(E56=0,"Settled","Unsettled"),"")</f>
        <v/>
      </c>
      <c r="G56" s="96" t="n"/>
      <c r="H56" s="91" t="n"/>
    </row>
    <row r="57" ht="20" customHeight="1">
      <c r="A57" s="89">
        <f>IF(Roster!$A$55&lt;&gt;"",Roster!$A$55,"")</f>
        <v/>
      </c>
      <c r="B57" s="89">
        <f>IF(A57&lt;&gt;"",IFERROR(INDEX(Roster!$B$5:$B$204,MATCH(A57,Roster!$A$5:$A$204,0)),0)+IFERROR(SUMPRODUCT((INDEX(Attendance!$B$7:$AY$206,MATCH(A57,Attendance!$A$7:$A$206,0),0)=1)*Attendance!$B$4:$AY$4),0),"")</f>
        <v/>
      </c>
      <c r="C57" s="95">
        <f>IF(A57&lt;&gt;"",SUMIFS(Transactions!$F$7:$F$1000,Transactions!$D$7:$D$1000,"Income",Transactions!$E$7:$E$1000,A57),"")</f>
        <v/>
      </c>
      <c r="D57" s="95">
        <f>IF(A57&lt;&gt;"",SUMIFS(Transactions!$F$7:$F$1000,Transactions!$D$7:$D$1000,"Expense",Transactions!$E$7:$E$1000,A57),"")</f>
        <v/>
      </c>
      <c r="E57" s="93">
        <f>IF(A57&lt;&gt;"",B57-C57-D57,"")</f>
        <v/>
      </c>
      <c r="F57" s="93">
        <f>IF(A57&lt;&gt;"",IF(E57=0,"Settled","Unsettled"),"")</f>
        <v/>
      </c>
      <c r="G57" s="96" t="n"/>
      <c r="H57" s="91" t="n"/>
    </row>
    <row r="58" ht="20" customHeight="1">
      <c r="A58" s="97">
        <f>IF(Roster!$A$56&lt;&gt;"",Roster!$A$56,"")</f>
        <v/>
      </c>
      <c r="B58" s="97">
        <f>IF(A58&lt;&gt;"",IFERROR(INDEX(Roster!$B$5:$B$204,MATCH(A58,Roster!$A$5:$A$204,0)),0)+IFERROR(SUMPRODUCT((INDEX(Attendance!$B$7:$AY$206,MATCH(A58,Attendance!$A$7:$A$206,0),0)=1)*Attendance!$B$4:$AY$4),0),"")</f>
        <v/>
      </c>
      <c r="C58" s="98">
        <f>IF(A58&lt;&gt;"",SUMIFS(Transactions!$F$7:$F$1000,Transactions!$D$7:$D$1000,"Income",Transactions!$E$7:$E$1000,A58),"")</f>
        <v/>
      </c>
      <c r="D58" s="98">
        <f>IF(A58&lt;&gt;"",SUMIFS(Transactions!$F$7:$F$1000,Transactions!$D$7:$D$1000,"Expense",Transactions!$E$7:$E$1000,A58),"")</f>
        <v/>
      </c>
      <c r="E58" s="99">
        <f>IF(A58&lt;&gt;"",B58-C58-D58,"")</f>
        <v/>
      </c>
      <c r="F58" s="99">
        <f>IF(A58&lt;&gt;"",IF(E58=0,"Settled","Unsettled"),"")</f>
        <v/>
      </c>
      <c r="G58" s="96" t="n"/>
      <c r="H58" s="91" t="n"/>
    </row>
    <row r="59" ht="20" customHeight="1">
      <c r="A59" s="89">
        <f>IF(Roster!$A$57&lt;&gt;"",Roster!$A$57,"")</f>
        <v/>
      </c>
      <c r="B59" s="89">
        <f>IF(A59&lt;&gt;"",IFERROR(INDEX(Roster!$B$5:$B$204,MATCH(A59,Roster!$A$5:$A$204,0)),0)+IFERROR(SUMPRODUCT((INDEX(Attendance!$B$7:$AY$206,MATCH(A59,Attendance!$A$7:$A$206,0),0)=1)*Attendance!$B$4:$AY$4),0),"")</f>
        <v/>
      </c>
      <c r="C59" s="95">
        <f>IF(A59&lt;&gt;"",SUMIFS(Transactions!$F$7:$F$1000,Transactions!$D$7:$D$1000,"Income",Transactions!$E$7:$E$1000,A59),"")</f>
        <v/>
      </c>
      <c r="D59" s="95">
        <f>IF(A59&lt;&gt;"",SUMIFS(Transactions!$F$7:$F$1000,Transactions!$D$7:$D$1000,"Expense",Transactions!$E$7:$E$1000,A59),"")</f>
        <v/>
      </c>
      <c r="E59" s="93">
        <f>IF(A59&lt;&gt;"",B59-C59-D59,"")</f>
        <v/>
      </c>
      <c r="F59" s="93">
        <f>IF(A59&lt;&gt;"",IF(E59=0,"Settled","Unsettled"),"")</f>
        <v/>
      </c>
      <c r="G59" s="96" t="n"/>
      <c r="H59" s="91" t="n"/>
    </row>
    <row r="60" ht="20" customHeight="1">
      <c r="A60" s="97">
        <f>IF(Roster!$A$58&lt;&gt;"",Roster!$A$58,"")</f>
        <v/>
      </c>
      <c r="B60" s="97">
        <f>IF(A60&lt;&gt;"",IFERROR(INDEX(Roster!$B$5:$B$204,MATCH(A60,Roster!$A$5:$A$204,0)),0)+IFERROR(SUMPRODUCT((INDEX(Attendance!$B$7:$AY$206,MATCH(A60,Attendance!$A$7:$A$206,0),0)=1)*Attendance!$B$4:$AY$4),0),"")</f>
        <v/>
      </c>
      <c r="C60" s="98">
        <f>IF(A60&lt;&gt;"",SUMIFS(Transactions!$F$7:$F$1000,Transactions!$D$7:$D$1000,"Income",Transactions!$E$7:$E$1000,A60),"")</f>
        <v/>
      </c>
      <c r="D60" s="98">
        <f>IF(A60&lt;&gt;"",SUMIFS(Transactions!$F$7:$F$1000,Transactions!$D$7:$D$1000,"Expense",Transactions!$E$7:$E$1000,A60),"")</f>
        <v/>
      </c>
      <c r="E60" s="99">
        <f>IF(A60&lt;&gt;"",B60-C60-D60,"")</f>
        <v/>
      </c>
      <c r="F60" s="99">
        <f>IF(A60&lt;&gt;"",IF(E60=0,"Settled","Unsettled"),"")</f>
        <v/>
      </c>
      <c r="G60" s="96" t="n"/>
      <c r="H60" s="91" t="n"/>
    </row>
    <row r="61" ht="20" customHeight="1">
      <c r="A61" s="89">
        <f>IF(Roster!$A$59&lt;&gt;"",Roster!$A$59,"")</f>
        <v/>
      </c>
      <c r="B61" s="89">
        <f>IF(A61&lt;&gt;"",IFERROR(INDEX(Roster!$B$5:$B$204,MATCH(A61,Roster!$A$5:$A$204,0)),0)+IFERROR(SUMPRODUCT((INDEX(Attendance!$B$7:$AY$206,MATCH(A61,Attendance!$A$7:$A$206,0),0)=1)*Attendance!$B$4:$AY$4),0),"")</f>
        <v/>
      </c>
      <c r="C61" s="95">
        <f>IF(A61&lt;&gt;"",SUMIFS(Transactions!$F$7:$F$1000,Transactions!$D$7:$D$1000,"Income",Transactions!$E$7:$E$1000,A61),"")</f>
        <v/>
      </c>
      <c r="D61" s="95">
        <f>IF(A61&lt;&gt;"",SUMIFS(Transactions!$F$7:$F$1000,Transactions!$D$7:$D$1000,"Expense",Transactions!$E$7:$E$1000,A61),"")</f>
        <v/>
      </c>
      <c r="E61" s="93">
        <f>IF(A61&lt;&gt;"",B61-C61-D61,"")</f>
        <v/>
      </c>
      <c r="F61" s="93">
        <f>IF(A61&lt;&gt;"",IF(E61=0,"Settled","Unsettled"),"")</f>
        <v/>
      </c>
      <c r="G61" s="96" t="n"/>
      <c r="H61" s="91" t="n"/>
    </row>
    <row r="62" ht="20" customHeight="1">
      <c r="A62" s="97">
        <f>IF(Roster!$A$60&lt;&gt;"",Roster!$A$60,"")</f>
        <v/>
      </c>
      <c r="B62" s="97">
        <f>IF(A62&lt;&gt;"",IFERROR(INDEX(Roster!$B$5:$B$204,MATCH(A62,Roster!$A$5:$A$204,0)),0)+IFERROR(SUMPRODUCT((INDEX(Attendance!$B$7:$AY$206,MATCH(A62,Attendance!$A$7:$A$206,0),0)=1)*Attendance!$B$4:$AY$4),0),"")</f>
        <v/>
      </c>
      <c r="C62" s="98">
        <f>IF(A62&lt;&gt;"",SUMIFS(Transactions!$F$7:$F$1000,Transactions!$D$7:$D$1000,"Income",Transactions!$E$7:$E$1000,A62),"")</f>
        <v/>
      </c>
      <c r="D62" s="98">
        <f>IF(A62&lt;&gt;"",SUMIFS(Transactions!$F$7:$F$1000,Transactions!$D$7:$D$1000,"Expense",Transactions!$E$7:$E$1000,A62),"")</f>
        <v/>
      </c>
      <c r="E62" s="99">
        <f>IF(A62&lt;&gt;"",B62-C62-D62,"")</f>
        <v/>
      </c>
      <c r="F62" s="99">
        <f>IF(A62&lt;&gt;"",IF(E62=0,"Settled","Unsettled"),"")</f>
        <v/>
      </c>
      <c r="G62" s="96" t="n"/>
      <c r="H62" s="91" t="n"/>
    </row>
    <row r="63" ht="20" customHeight="1">
      <c r="A63" s="89">
        <f>IF(Roster!$A$61&lt;&gt;"",Roster!$A$61,"")</f>
        <v/>
      </c>
      <c r="B63" s="89">
        <f>IF(A63&lt;&gt;"",IFERROR(INDEX(Roster!$B$5:$B$204,MATCH(A63,Roster!$A$5:$A$204,0)),0)+IFERROR(SUMPRODUCT((INDEX(Attendance!$B$7:$AY$206,MATCH(A63,Attendance!$A$7:$A$206,0),0)=1)*Attendance!$B$4:$AY$4),0),"")</f>
        <v/>
      </c>
      <c r="C63" s="95">
        <f>IF(A63&lt;&gt;"",SUMIFS(Transactions!$F$7:$F$1000,Transactions!$D$7:$D$1000,"Income",Transactions!$E$7:$E$1000,A63),"")</f>
        <v/>
      </c>
      <c r="D63" s="95">
        <f>IF(A63&lt;&gt;"",SUMIFS(Transactions!$F$7:$F$1000,Transactions!$D$7:$D$1000,"Expense",Transactions!$E$7:$E$1000,A63),"")</f>
        <v/>
      </c>
      <c r="E63" s="93">
        <f>IF(A63&lt;&gt;"",B63-C63-D63,"")</f>
        <v/>
      </c>
      <c r="F63" s="93">
        <f>IF(A63&lt;&gt;"",IF(E63=0,"Settled","Unsettled"),"")</f>
        <v/>
      </c>
      <c r="G63" s="96" t="n"/>
      <c r="H63" s="91" t="n"/>
    </row>
    <row r="64" ht="20" customHeight="1">
      <c r="A64" s="97">
        <f>IF(Roster!$A$62&lt;&gt;"",Roster!$A$62,"")</f>
        <v/>
      </c>
      <c r="B64" s="97">
        <f>IF(A64&lt;&gt;"",IFERROR(INDEX(Roster!$B$5:$B$204,MATCH(A64,Roster!$A$5:$A$204,0)),0)+IFERROR(SUMPRODUCT((INDEX(Attendance!$B$7:$AY$206,MATCH(A64,Attendance!$A$7:$A$206,0),0)=1)*Attendance!$B$4:$AY$4),0),"")</f>
        <v/>
      </c>
      <c r="C64" s="98">
        <f>IF(A64&lt;&gt;"",SUMIFS(Transactions!$F$7:$F$1000,Transactions!$D$7:$D$1000,"Income",Transactions!$E$7:$E$1000,A64),"")</f>
        <v/>
      </c>
      <c r="D64" s="98">
        <f>IF(A64&lt;&gt;"",SUMIFS(Transactions!$F$7:$F$1000,Transactions!$D$7:$D$1000,"Expense",Transactions!$E$7:$E$1000,A64),"")</f>
        <v/>
      </c>
      <c r="E64" s="99">
        <f>IF(A64&lt;&gt;"",B64-C64-D64,"")</f>
        <v/>
      </c>
      <c r="F64" s="99">
        <f>IF(A64&lt;&gt;"",IF(E64=0,"Settled","Unsettled"),"")</f>
        <v/>
      </c>
      <c r="G64" s="96" t="n"/>
      <c r="H64" s="91" t="n"/>
    </row>
    <row r="65" ht="20" customHeight="1">
      <c r="A65" s="89">
        <f>IF(Roster!$A$63&lt;&gt;"",Roster!$A$63,"")</f>
        <v/>
      </c>
      <c r="B65" s="89">
        <f>IF(A65&lt;&gt;"",IFERROR(INDEX(Roster!$B$5:$B$204,MATCH(A65,Roster!$A$5:$A$204,0)),0)+IFERROR(SUMPRODUCT((INDEX(Attendance!$B$7:$AY$206,MATCH(A65,Attendance!$A$7:$A$206,0),0)=1)*Attendance!$B$4:$AY$4),0),"")</f>
        <v/>
      </c>
      <c r="C65" s="95">
        <f>IF(A65&lt;&gt;"",SUMIFS(Transactions!$F$7:$F$1000,Transactions!$D$7:$D$1000,"Income",Transactions!$E$7:$E$1000,A65),"")</f>
        <v/>
      </c>
      <c r="D65" s="95">
        <f>IF(A65&lt;&gt;"",SUMIFS(Transactions!$F$7:$F$1000,Transactions!$D$7:$D$1000,"Expense",Transactions!$E$7:$E$1000,A65),"")</f>
        <v/>
      </c>
      <c r="E65" s="93">
        <f>IF(A65&lt;&gt;"",B65-C65-D65,"")</f>
        <v/>
      </c>
      <c r="F65" s="93">
        <f>IF(A65&lt;&gt;"",IF(E65=0,"Settled","Unsettled"),"")</f>
        <v/>
      </c>
      <c r="G65" s="96" t="n"/>
      <c r="H65" s="91" t="n"/>
    </row>
    <row r="66" ht="20" customHeight="1">
      <c r="A66" s="97">
        <f>IF(Roster!$A$64&lt;&gt;"",Roster!$A$64,"")</f>
        <v/>
      </c>
      <c r="B66" s="97">
        <f>IF(A66&lt;&gt;"",IFERROR(INDEX(Roster!$B$5:$B$204,MATCH(A66,Roster!$A$5:$A$204,0)),0)+IFERROR(SUMPRODUCT((INDEX(Attendance!$B$7:$AY$206,MATCH(A66,Attendance!$A$7:$A$206,0),0)=1)*Attendance!$B$4:$AY$4),0),"")</f>
        <v/>
      </c>
      <c r="C66" s="98">
        <f>IF(A66&lt;&gt;"",SUMIFS(Transactions!$F$7:$F$1000,Transactions!$D$7:$D$1000,"Income",Transactions!$E$7:$E$1000,A66),"")</f>
        <v/>
      </c>
      <c r="D66" s="98">
        <f>IF(A66&lt;&gt;"",SUMIFS(Transactions!$F$7:$F$1000,Transactions!$D$7:$D$1000,"Expense",Transactions!$E$7:$E$1000,A66),"")</f>
        <v/>
      </c>
      <c r="E66" s="99">
        <f>IF(A66&lt;&gt;"",B66-C66-D66,"")</f>
        <v/>
      </c>
      <c r="F66" s="99">
        <f>IF(A66&lt;&gt;"",IF(E66=0,"Settled","Unsettled"),"")</f>
        <v/>
      </c>
      <c r="G66" s="96" t="n"/>
      <c r="H66" s="91" t="n"/>
    </row>
    <row r="67" ht="20" customHeight="1">
      <c r="A67" s="89">
        <f>IF(Roster!$A$65&lt;&gt;"",Roster!$A$65,"")</f>
        <v/>
      </c>
      <c r="B67" s="89">
        <f>IF(A67&lt;&gt;"",IFERROR(INDEX(Roster!$B$5:$B$204,MATCH(A67,Roster!$A$5:$A$204,0)),0)+IFERROR(SUMPRODUCT((INDEX(Attendance!$B$7:$AY$206,MATCH(A67,Attendance!$A$7:$A$206,0),0)=1)*Attendance!$B$4:$AY$4),0),"")</f>
        <v/>
      </c>
      <c r="C67" s="95">
        <f>IF(A67&lt;&gt;"",SUMIFS(Transactions!$F$7:$F$1000,Transactions!$D$7:$D$1000,"Income",Transactions!$E$7:$E$1000,A67),"")</f>
        <v/>
      </c>
      <c r="D67" s="95">
        <f>IF(A67&lt;&gt;"",SUMIFS(Transactions!$F$7:$F$1000,Transactions!$D$7:$D$1000,"Expense",Transactions!$E$7:$E$1000,A67),"")</f>
        <v/>
      </c>
      <c r="E67" s="93">
        <f>IF(A67&lt;&gt;"",B67-C67-D67,"")</f>
        <v/>
      </c>
      <c r="F67" s="93">
        <f>IF(A67&lt;&gt;"",IF(E67=0,"Settled","Unsettled"),"")</f>
        <v/>
      </c>
      <c r="G67" s="96" t="n"/>
      <c r="H67" s="91" t="n"/>
    </row>
    <row r="68" ht="20" customHeight="1">
      <c r="A68" s="97">
        <f>IF(Roster!$A$66&lt;&gt;"",Roster!$A$66,"")</f>
        <v/>
      </c>
      <c r="B68" s="97">
        <f>IF(A68&lt;&gt;"",IFERROR(INDEX(Roster!$B$5:$B$204,MATCH(A68,Roster!$A$5:$A$204,0)),0)+IFERROR(SUMPRODUCT((INDEX(Attendance!$B$7:$AY$206,MATCH(A68,Attendance!$A$7:$A$206,0),0)=1)*Attendance!$B$4:$AY$4),0),"")</f>
        <v/>
      </c>
      <c r="C68" s="98">
        <f>IF(A68&lt;&gt;"",SUMIFS(Transactions!$F$7:$F$1000,Transactions!$D$7:$D$1000,"Income",Transactions!$E$7:$E$1000,A68),"")</f>
        <v/>
      </c>
      <c r="D68" s="98">
        <f>IF(A68&lt;&gt;"",SUMIFS(Transactions!$F$7:$F$1000,Transactions!$D$7:$D$1000,"Expense",Transactions!$E$7:$E$1000,A68),"")</f>
        <v/>
      </c>
      <c r="E68" s="99">
        <f>IF(A68&lt;&gt;"",B68-C68-D68,"")</f>
        <v/>
      </c>
      <c r="F68" s="99">
        <f>IF(A68&lt;&gt;"",IF(E68=0,"Settled","Unsettled"),"")</f>
        <v/>
      </c>
      <c r="G68" s="96" t="n"/>
      <c r="H68" s="91" t="n"/>
    </row>
    <row r="69" ht="20" customHeight="1">
      <c r="A69" s="89">
        <f>IF(Roster!$A$67&lt;&gt;"",Roster!$A$67,"")</f>
        <v/>
      </c>
      <c r="B69" s="89">
        <f>IF(A69&lt;&gt;"",IFERROR(INDEX(Roster!$B$5:$B$204,MATCH(A69,Roster!$A$5:$A$204,0)),0)+IFERROR(SUMPRODUCT((INDEX(Attendance!$B$7:$AY$206,MATCH(A69,Attendance!$A$7:$A$206,0),0)=1)*Attendance!$B$4:$AY$4),0),"")</f>
        <v/>
      </c>
      <c r="C69" s="95">
        <f>IF(A69&lt;&gt;"",SUMIFS(Transactions!$F$7:$F$1000,Transactions!$D$7:$D$1000,"Income",Transactions!$E$7:$E$1000,A69),"")</f>
        <v/>
      </c>
      <c r="D69" s="95">
        <f>IF(A69&lt;&gt;"",SUMIFS(Transactions!$F$7:$F$1000,Transactions!$D$7:$D$1000,"Expense",Transactions!$E$7:$E$1000,A69),"")</f>
        <v/>
      </c>
      <c r="E69" s="93">
        <f>IF(A69&lt;&gt;"",B69-C69-D69,"")</f>
        <v/>
      </c>
      <c r="F69" s="93">
        <f>IF(A69&lt;&gt;"",IF(E69=0,"Settled","Unsettled"),"")</f>
        <v/>
      </c>
      <c r="G69" s="96" t="n"/>
      <c r="H69" s="91" t="n"/>
    </row>
    <row r="70" ht="20" customHeight="1">
      <c r="A70" s="97">
        <f>IF(Roster!$A$68&lt;&gt;"",Roster!$A$68,"")</f>
        <v/>
      </c>
      <c r="B70" s="97">
        <f>IF(A70&lt;&gt;"",IFERROR(INDEX(Roster!$B$5:$B$204,MATCH(A70,Roster!$A$5:$A$204,0)),0)+IFERROR(SUMPRODUCT((INDEX(Attendance!$B$7:$AY$206,MATCH(A70,Attendance!$A$7:$A$206,0),0)=1)*Attendance!$B$4:$AY$4),0),"")</f>
        <v/>
      </c>
      <c r="C70" s="98">
        <f>IF(A70&lt;&gt;"",SUMIFS(Transactions!$F$7:$F$1000,Transactions!$D$7:$D$1000,"Income",Transactions!$E$7:$E$1000,A70),"")</f>
        <v/>
      </c>
      <c r="D70" s="98">
        <f>IF(A70&lt;&gt;"",SUMIFS(Transactions!$F$7:$F$1000,Transactions!$D$7:$D$1000,"Expense",Transactions!$E$7:$E$1000,A70),"")</f>
        <v/>
      </c>
      <c r="E70" s="99">
        <f>IF(A70&lt;&gt;"",B70-C70-D70,"")</f>
        <v/>
      </c>
      <c r="F70" s="99">
        <f>IF(A70&lt;&gt;"",IF(E70=0,"Settled","Unsettled"),"")</f>
        <v/>
      </c>
      <c r="G70" s="96" t="n"/>
      <c r="H70" s="91" t="n"/>
    </row>
    <row r="71" ht="20" customHeight="1">
      <c r="A71" s="89">
        <f>IF(Roster!$A$69&lt;&gt;"",Roster!$A$69,"")</f>
        <v/>
      </c>
      <c r="B71" s="89">
        <f>IF(A71&lt;&gt;"",IFERROR(INDEX(Roster!$B$5:$B$204,MATCH(A71,Roster!$A$5:$A$204,0)),0)+IFERROR(SUMPRODUCT((INDEX(Attendance!$B$7:$AY$206,MATCH(A71,Attendance!$A$7:$A$206,0),0)=1)*Attendance!$B$4:$AY$4),0),"")</f>
        <v/>
      </c>
      <c r="C71" s="95">
        <f>IF(A71&lt;&gt;"",SUMIFS(Transactions!$F$7:$F$1000,Transactions!$D$7:$D$1000,"Income",Transactions!$E$7:$E$1000,A71),"")</f>
        <v/>
      </c>
      <c r="D71" s="95">
        <f>IF(A71&lt;&gt;"",SUMIFS(Transactions!$F$7:$F$1000,Transactions!$D$7:$D$1000,"Expense",Transactions!$E$7:$E$1000,A71),"")</f>
        <v/>
      </c>
      <c r="E71" s="93">
        <f>IF(A71&lt;&gt;"",B71-C71-D71,"")</f>
        <v/>
      </c>
      <c r="F71" s="93">
        <f>IF(A71&lt;&gt;"",IF(E71=0,"Settled","Unsettled"),"")</f>
        <v/>
      </c>
      <c r="G71" s="96" t="n"/>
      <c r="H71" s="91" t="n"/>
    </row>
    <row r="72" ht="20" customHeight="1">
      <c r="A72" s="97">
        <f>IF(Roster!$A$70&lt;&gt;"",Roster!$A$70,"")</f>
        <v/>
      </c>
      <c r="B72" s="97">
        <f>IF(A72&lt;&gt;"",IFERROR(INDEX(Roster!$B$5:$B$204,MATCH(A72,Roster!$A$5:$A$204,0)),0)+IFERROR(SUMPRODUCT((INDEX(Attendance!$B$7:$AY$206,MATCH(A72,Attendance!$A$7:$A$206,0),0)=1)*Attendance!$B$4:$AY$4),0),"")</f>
        <v/>
      </c>
      <c r="C72" s="98">
        <f>IF(A72&lt;&gt;"",SUMIFS(Transactions!$F$7:$F$1000,Transactions!$D$7:$D$1000,"Income",Transactions!$E$7:$E$1000,A72),"")</f>
        <v/>
      </c>
      <c r="D72" s="98">
        <f>IF(A72&lt;&gt;"",SUMIFS(Transactions!$F$7:$F$1000,Transactions!$D$7:$D$1000,"Expense",Transactions!$E$7:$E$1000,A72),"")</f>
        <v/>
      </c>
      <c r="E72" s="99">
        <f>IF(A72&lt;&gt;"",B72-C72-D72,"")</f>
        <v/>
      </c>
      <c r="F72" s="99">
        <f>IF(A72&lt;&gt;"",IF(E72=0,"Settled","Unsettled"),"")</f>
        <v/>
      </c>
      <c r="G72" s="96" t="n"/>
      <c r="H72" s="91" t="n"/>
    </row>
    <row r="73" ht="20" customHeight="1">
      <c r="A73" s="89">
        <f>IF(Roster!$A$71&lt;&gt;"",Roster!$A$71,"")</f>
        <v/>
      </c>
      <c r="B73" s="89">
        <f>IF(A73&lt;&gt;"",IFERROR(INDEX(Roster!$B$5:$B$204,MATCH(A73,Roster!$A$5:$A$204,0)),0)+IFERROR(SUMPRODUCT((INDEX(Attendance!$B$7:$AY$206,MATCH(A73,Attendance!$A$7:$A$206,0),0)=1)*Attendance!$B$4:$AY$4),0),"")</f>
        <v/>
      </c>
      <c r="C73" s="95">
        <f>IF(A73&lt;&gt;"",SUMIFS(Transactions!$F$7:$F$1000,Transactions!$D$7:$D$1000,"Income",Transactions!$E$7:$E$1000,A73),"")</f>
        <v/>
      </c>
      <c r="D73" s="95">
        <f>IF(A73&lt;&gt;"",SUMIFS(Transactions!$F$7:$F$1000,Transactions!$D$7:$D$1000,"Expense",Transactions!$E$7:$E$1000,A73),"")</f>
        <v/>
      </c>
      <c r="E73" s="93">
        <f>IF(A73&lt;&gt;"",B73-C73-D73,"")</f>
        <v/>
      </c>
      <c r="F73" s="93">
        <f>IF(A73&lt;&gt;"",IF(E73=0,"Settled","Unsettled"),"")</f>
        <v/>
      </c>
      <c r="G73" s="96" t="n"/>
      <c r="H73" s="91" t="n"/>
    </row>
    <row r="74" ht="20" customHeight="1">
      <c r="A74" s="97">
        <f>IF(Roster!$A$72&lt;&gt;"",Roster!$A$72,"")</f>
        <v/>
      </c>
      <c r="B74" s="97">
        <f>IF(A74&lt;&gt;"",IFERROR(INDEX(Roster!$B$5:$B$204,MATCH(A74,Roster!$A$5:$A$204,0)),0)+IFERROR(SUMPRODUCT((INDEX(Attendance!$B$7:$AY$206,MATCH(A74,Attendance!$A$7:$A$206,0),0)=1)*Attendance!$B$4:$AY$4),0),"")</f>
        <v/>
      </c>
      <c r="C74" s="98">
        <f>IF(A74&lt;&gt;"",SUMIFS(Transactions!$F$7:$F$1000,Transactions!$D$7:$D$1000,"Income",Transactions!$E$7:$E$1000,A74),"")</f>
        <v/>
      </c>
      <c r="D74" s="98">
        <f>IF(A74&lt;&gt;"",SUMIFS(Transactions!$F$7:$F$1000,Transactions!$D$7:$D$1000,"Expense",Transactions!$E$7:$E$1000,A74),"")</f>
        <v/>
      </c>
      <c r="E74" s="99">
        <f>IF(A74&lt;&gt;"",B74-C74-D74,"")</f>
        <v/>
      </c>
      <c r="F74" s="99">
        <f>IF(A74&lt;&gt;"",IF(E74=0,"Settled","Unsettled"),"")</f>
        <v/>
      </c>
      <c r="G74" s="96" t="n"/>
      <c r="H74" s="91" t="n"/>
    </row>
    <row r="75" ht="20" customHeight="1">
      <c r="A75" s="89">
        <f>IF(Roster!$A$73&lt;&gt;"",Roster!$A$73,"")</f>
        <v/>
      </c>
      <c r="B75" s="89">
        <f>IF(A75&lt;&gt;"",IFERROR(INDEX(Roster!$B$5:$B$204,MATCH(A75,Roster!$A$5:$A$204,0)),0)+IFERROR(SUMPRODUCT((INDEX(Attendance!$B$7:$AY$206,MATCH(A75,Attendance!$A$7:$A$206,0),0)=1)*Attendance!$B$4:$AY$4),0),"")</f>
        <v/>
      </c>
      <c r="C75" s="95">
        <f>IF(A75&lt;&gt;"",SUMIFS(Transactions!$F$7:$F$1000,Transactions!$D$7:$D$1000,"Income",Transactions!$E$7:$E$1000,A75),"")</f>
        <v/>
      </c>
      <c r="D75" s="95">
        <f>IF(A75&lt;&gt;"",SUMIFS(Transactions!$F$7:$F$1000,Transactions!$D$7:$D$1000,"Expense",Transactions!$E$7:$E$1000,A75),"")</f>
        <v/>
      </c>
      <c r="E75" s="93">
        <f>IF(A75&lt;&gt;"",B75-C75-D75,"")</f>
        <v/>
      </c>
      <c r="F75" s="93">
        <f>IF(A75&lt;&gt;"",IF(E75=0,"Settled","Unsettled"),"")</f>
        <v/>
      </c>
      <c r="G75" s="96" t="n"/>
      <c r="H75" s="91" t="n"/>
    </row>
    <row r="76" ht="20" customHeight="1">
      <c r="A76" s="97">
        <f>IF(Roster!$A$74&lt;&gt;"",Roster!$A$74,"")</f>
        <v/>
      </c>
      <c r="B76" s="97">
        <f>IF(A76&lt;&gt;"",IFERROR(INDEX(Roster!$B$5:$B$204,MATCH(A76,Roster!$A$5:$A$204,0)),0)+IFERROR(SUMPRODUCT((INDEX(Attendance!$B$7:$AY$206,MATCH(A76,Attendance!$A$7:$A$206,0),0)=1)*Attendance!$B$4:$AY$4),0),"")</f>
        <v/>
      </c>
      <c r="C76" s="98">
        <f>IF(A76&lt;&gt;"",SUMIFS(Transactions!$F$7:$F$1000,Transactions!$D$7:$D$1000,"Income",Transactions!$E$7:$E$1000,A76),"")</f>
        <v/>
      </c>
      <c r="D76" s="98">
        <f>IF(A76&lt;&gt;"",SUMIFS(Transactions!$F$7:$F$1000,Transactions!$D$7:$D$1000,"Expense",Transactions!$E$7:$E$1000,A76),"")</f>
        <v/>
      </c>
      <c r="E76" s="99">
        <f>IF(A76&lt;&gt;"",B76-C76-D76,"")</f>
        <v/>
      </c>
      <c r="F76" s="99">
        <f>IF(A76&lt;&gt;"",IF(E76=0,"Settled","Unsettled"),"")</f>
        <v/>
      </c>
      <c r="G76" s="96" t="n"/>
      <c r="H76" s="91" t="n"/>
    </row>
    <row r="77" ht="20" customHeight="1">
      <c r="A77" s="89">
        <f>IF(Roster!$A$75&lt;&gt;"",Roster!$A$75,"")</f>
        <v/>
      </c>
      <c r="B77" s="89">
        <f>IF(A77&lt;&gt;"",IFERROR(INDEX(Roster!$B$5:$B$204,MATCH(A77,Roster!$A$5:$A$204,0)),0)+IFERROR(SUMPRODUCT((INDEX(Attendance!$B$7:$AY$206,MATCH(A77,Attendance!$A$7:$A$206,0),0)=1)*Attendance!$B$4:$AY$4),0),"")</f>
        <v/>
      </c>
      <c r="C77" s="95">
        <f>IF(A77&lt;&gt;"",SUMIFS(Transactions!$F$7:$F$1000,Transactions!$D$7:$D$1000,"Income",Transactions!$E$7:$E$1000,A77),"")</f>
        <v/>
      </c>
      <c r="D77" s="95">
        <f>IF(A77&lt;&gt;"",SUMIFS(Transactions!$F$7:$F$1000,Transactions!$D$7:$D$1000,"Expense",Transactions!$E$7:$E$1000,A77),"")</f>
        <v/>
      </c>
      <c r="E77" s="93">
        <f>IF(A77&lt;&gt;"",B77-C77-D77,"")</f>
        <v/>
      </c>
      <c r="F77" s="93">
        <f>IF(A77&lt;&gt;"",IF(E77=0,"Settled","Unsettled"),"")</f>
        <v/>
      </c>
      <c r="G77" s="96" t="n"/>
      <c r="H77" s="91" t="n"/>
    </row>
    <row r="78" ht="20" customHeight="1">
      <c r="A78" s="97">
        <f>IF(Roster!$A$76&lt;&gt;"",Roster!$A$76,"")</f>
        <v/>
      </c>
      <c r="B78" s="97">
        <f>IF(A78&lt;&gt;"",IFERROR(INDEX(Roster!$B$5:$B$204,MATCH(A78,Roster!$A$5:$A$204,0)),0)+IFERROR(SUMPRODUCT((INDEX(Attendance!$B$7:$AY$206,MATCH(A78,Attendance!$A$7:$A$206,0),0)=1)*Attendance!$B$4:$AY$4),0),"")</f>
        <v/>
      </c>
      <c r="C78" s="98">
        <f>IF(A78&lt;&gt;"",SUMIFS(Transactions!$F$7:$F$1000,Transactions!$D$7:$D$1000,"Income",Transactions!$E$7:$E$1000,A78),"")</f>
        <v/>
      </c>
      <c r="D78" s="98">
        <f>IF(A78&lt;&gt;"",SUMIFS(Transactions!$F$7:$F$1000,Transactions!$D$7:$D$1000,"Expense",Transactions!$E$7:$E$1000,A78),"")</f>
        <v/>
      </c>
      <c r="E78" s="99">
        <f>IF(A78&lt;&gt;"",B78-C78-D78,"")</f>
        <v/>
      </c>
      <c r="F78" s="99">
        <f>IF(A78&lt;&gt;"",IF(E78=0,"Settled","Unsettled"),"")</f>
        <v/>
      </c>
      <c r="G78" s="96" t="n"/>
      <c r="H78" s="91" t="n"/>
    </row>
    <row r="79" ht="20" customHeight="1">
      <c r="A79" s="89">
        <f>IF(Roster!$A$77&lt;&gt;"",Roster!$A$77,"")</f>
        <v/>
      </c>
      <c r="B79" s="89">
        <f>IF(A79&lt;&gt;"",IFERROR(INDEX(Roster!$B$5:$B$204,MATCH(A79,Roster!$A$5:$A$204,0)),0)+IFERROR(SUMPRODUCT((INDEX(Attendance!$B$7:$AY$206,MATCH(A79,Attendance!$A$7:$A$206,0),0)=1)*Attendance!$B$4:$AY$4),0),"")</f>
        <v/>
      </c>
      <c r="C79" s="95">
        <f>IF(A79&lt;&gt;"",SUMIFS(Transactions!$F$7:$F$1000,Transactions!$D$7:$D$1000,"Income",Transactions!$E$7:$E$1000,A79),"")</f>
        <v/>
      </c>
      <c r="D79" s="95">
        <f>IF(A79&lt;&gt;"",SUMIFS(Transactions!$F$7:$F$1000,Transactions!$D$7:$D$1000,"Expense",Transactions!$E$7:$E$1000,A79),"")</f>
        <v/>
      </c>
      <c r="E79" s="93">
        <f>IF(A79&lt;&gt;"",B79-C79-D79,"")</f>
        <v/>
      </c>
      <c r="F79" s="93">
        <f>IF(A79&lt;&gt;"",IF(E79=0,"Settled","Unsettled"),"")</f>
        <v/>
      </c>
      <c r="G79" s="96" t="n"/>
      <c r="H79" s="91" t="n"/>
    </row>
    <row r="80" ht="20" customHeight="1">
      <c r="A80" s="97">
        <f>IF(Roster!$A$78&lt;&gt;"",Roster!$A$78,"")</f>
        <v/>
      </c>
      <c r="B80" s="97">
        <f>IF(A80&lt;&gt;"",IFERROR(INDEX(Roster!$B$5:$B$204,MATCH(A80,Roster!$A$5:$A$204,0)),0)+IFERROR(SUMPRODUCT((INDEX(Attendance!$B$7:$AY$206,MATCH(A80,Attendance!$A$7:$A$206,0),0)=1)*Attendance!$B$4:$AY$4),0),"")</f>
        <v/>
      </c>
      <c r="C80" s="98">
        <f>IF(A80&lt;&gt;"",SUMIFS(Transactions!$F$7:$F$1000,Transactions!$D$7:$D$1000,"Income",Transactions!$E$7:$E$1000,A80),"")</f>
        <v/>
      </c>
      <c r="D80" s="98">
        <f>IF(A80&lt;&gt;"",SUMIFS(Transactions!$F$7:$F$1000,Transactions!$D$7:$D$1000,"Expense",Transactions!$E$7:$E$1000,A80),"")</f>
        <v/>
      </c>
      <c r="E80" s="99">
        <f>IF(A80&lt;&gt;"",B80-C80-D80,"")</f>
        <v/>
      </c>
      <c r="F80" s="99">
        <f>IF(A80&lt;&gt;"",IF(E80=0,"Settled","Unsettled"),"")</f>
        <v/>
      </c>
      <c r="G80" s="96" t="n"/>
      <c r="H80" s="91" t="n"/>
    </row>
    <row r="81" ht="20" customHeight="1">
      <c r="A81" s="89">
        <f>IF(Roster!$A$79&lt;&gt;"",Roster!$A$79,"")</f>
        <v/>
      </c>
      <c r="B81" s="89">
        <f>IF(A81&lt;&gt;"",IFERROR(INDEX(Roster!$B$5:$B$204,MATCH(A81,Roster!$A$5:$A$204,0)),0)+IFERROR(SUMPRODUCT((INDEX(Attendance!$B$7:$AY$206,MATCH(A81,Attendance!$A$7:$A$206,0),0)=1)*Attendance!$B$4:$AY$4),0),"")</f>
        <v/>
      </c>
      <c r="C81" s="95">
        <f>IF(A81&lt;&gt;"",SUMIFS(Transactions!$F$7:$F$1000,Transactions!$D$7:$D$1000,"Income",Transactions!$E$7:$E$1000,A81),"")</f>
        <v/>
      </c>
      <c r="D81" s="95">
        <f>IF(A81&lt;&gt;"",SUMIFS(Transactions!$F$7:$F$1000,Transactions!$D$7:$D$1000,"Expense",Transactions!$E$7:$E$1000,A81),"")</f>
        <v/>
      </c>
      <c r="E81" s="93">
        <f>IF(A81&lt;&gt;"",B81-C81-D81,"")</f>
        <v/>
      </c>
      <c r="F81" s="93">
        <f>IF(A81&lt;&gt;"",IF(E81=0,"Settled","Unsettled"),"")</f>
        <v/>
      </c>
      <c r="G81" s="96" t="n"/>
      <c r="H81" s="91" t="n"/>
    </row>
    <row r="82" ht="20" customHeight="1">
      <c r="A82" s="97">
        <f>IF(Roster!$A$80&lt;&gt;"",Roster!$A$80,"")</f>
        <v/>
      </c>
      <c r="B82" s="97">
        <f>IF(A82&lt;&gt;"",IFERROR(INDEX(Roster!$B$5:$B$204,MATCH(A82,Roster!$A$5:$A$204,0)),0)+IFERROR(SUMPRODUCT((INDEX(Attendance!$B$7:$AY$206,MATCH(A82,Attendance!$A$7:$A$206,0),0)=1)*Attendance!$B$4:$AY$4),0),"")</f>
        <v/>
      </c>
      <c r="C82" s="98">
        <f>IF(A82&lt;&gt;"",SUMIFS(Transactions!$F$7:$F$1000,Transactions!$D$7:$D$1000,"Income",Transactions!$E$7:$E$1000,A82),"")</f>
        <v/>
      </c>
      <c r="D82" s="98">
        <f>IF(A82&lt;&gt;"",SUMIFS(Transactions!$F$7:$F$1000,Transactions!$D$7:$D$1000,"Expense",Transactions!$E$7:$E$1000,A82),"")</f>
        <v/>
      </c>
      <c r="E82" s="99">
        <f>IF(A82&lt;&gt;"",B82-C82-D82,"")</f>
        <v/>
      </c>
      <c r="F82" s="99">
        <f>IF(A82&lt;&gt;"",IF(E82=0,"Settled","Unsettled"),"")</f>
        <v/>
      </c>
      <c r="G82" s="96" t="n"/>
      <c r="H82" s="91" t="n"/>
    </row>
    <row r="83" ht="20" customHeight="1">
      <c r="A83" s="89">
        <f>IF(Roster!$A$81&lt;&gt;"",Roster!$A$81,"")</f>
        <v/>
      </c>
      <c r="B83" s="89">
        <f>IF(A83&lt;&gt;"",IFERROR(INDEX(Roster!$B$5:$B$204,MATCH(A83,Roster!$A$5:$A$204,0)),0)+IFERROR(SUMPRODUCT((INDEX(Attendance!$B$7:$AY$206,MATCH(A83,Attendance!$A$7:$A$206,0),0)=1)*Attendance!$B$4:$AY$4),0),"")</f>
        <v/>
      </c>
      <c r="C83" s="95">
        <f>IF(A83&lt;&gt;"",SUMIFS(Transactions!$F$7:$F$1000,Transactions!$D$7:$D$1000,"Income",Transactions!$E$7:$E$1000,A83),"")</f>
        <v/>
      </c>
      <c r="D83" s="95">
        <f>IF(A83&lt;&gt;"",SUMIFS(Transactions!$F$7:$F$1000,Transactions!$D$7:$D$1000,"Expense",Transactions!$E$7:$E$1000,A83),"")</f>
        <v/>
      </c>
      <c r="E83" s="93">
        <f>IF(A83&lt;&gt;"",B83-C83-D83,"")</f>
        <v/>
      </c>
      <c r="F83" s="93">
        <f>IF(A83&lt;&gt;"",IF(E83=0,"Settled","Unsettled"),"")</f>
        <v/>
      </c>
      <c r="G83" s="96" t="n"/>
      <c r="H83" s="91" t="n"/>
    </row>
    <row r="84" ht="20" customHeight="1">
      <c r="A84" s="97">
        <f>IF(Roster!$A$82&lt;&gt;"",Roster!$A$82,"")</f>
        <v/>
      </c>
      <c r="B84" s="97">
        <f>IF(A84&lt;&gt;"",IFERROR(INDEX(Roster!$B$5:$B$204,MATCH(A84,Roster!$A$5:$A$204,0)),0)+IFERROR(SUMPRODUCT((INDEX(Attendance!$B$7:$AY$206,MATCH(A84,Attendance!$A$7:$A$206,0),0)=1)*Attendance!$B$4:$AY$4),0),"")</f>
        <v/>
      </c>
      <c r="C84" s="98">
        <f>IF(A84&lt;&gt;"",SUMIFS(Transactions!$F$7:$F$1000,Transactions!$D$7:$D$1000,"Income",Transactions!$E$7:$E$1000,A84),"")</f>
        <v/>
      </c>
      <c r="D84" s="98">
        <f>IF(A84&lt;&gt;"",SUMIFS(Transactions!$F$7:$F$1000,Transactions!$D$7:$D$1000,"Expense",Transactions!$E$7:$E$1000,A84),"")</f>
        <v/>
      </c>
      <c r="E84" s="99">
        <f>IF(A84&lt;&gt;"",B84-C84-D84,"")</f>
        <v/>
      </c>
      <c r="F84" s="99">
        <f>IF(A84&lt;&gt;"",IF(E84=0,"Settled","Unsettled"),"")</f>
        <v/>
      </c>
      <c r="G84" s="96" t="n"/>
      <c r="H84" s="91" t="n"/>
    </row>
    <row r="85" ht="20" customHeight="1">
      <c r="A85" s="89">
        <f>IF(Roster!$A$83&lt;&gt;"",Roster!$A$83,"")</f>
        <v/>
      </c>
      <c r="B85" s="89">
        <f>IF(A85&lt;&gt;"",IFERROR(INDEX(Roster!$B$5:$B$204,MATCH(A85,Roster!$A$5:$A$204,0)),0)+IFERROR(SUMPRODUCT((INDEX(Attendance!$B$7:$AY$206,MATCH(A85,Attendance!$A$7:$A$206,0),0)=1)*Attendance!$B$4:$AY$4),0),"")</f>
        <v/>
      </c>
      <c r="C85" s="95">
        <f>IF(A85&lt;&gt;"",SUMIFS(Transactions!$F$7:$F$1000,Transactions!$D$7:$D$1000,"Income",Transactions!$E$7:$E$1000,A85),"")</f>
        <v/>
      </c>
      <c r="D85" s="95">
        <f>IF(A85&lt;&gt;"",SUMIFS(Transactions!$F$7:$F$1000,Transactions!$D$7:$D$1000,"Expense",Transactions!$E$7:$E$1000,A85),"")</f>
        <v/>
      </c>
      <c r="E85" s="93">
        <f>IF(A85&lt;&gt;"",B85-C85-D85,"")</f>
        <v/>
      </c>
      <c r="F85" s="93">
        <f>IF(A85&lt;&gt;"",IF(E85=0,"Settled","Unsettled"),"")</f>
        <v/>
      </c>
      <c r="G85" s="96" t="n"/>
      <c r="H85" s="91" t="n"/>
    </row>
    <row r="86" ht="20" customHeight="1">
      <c r="A86" s="97">
        <f>IF(Roster!$A$84&lt;&gt;"",Roster!$A$84,"")</f>
        <v/>
      </c>
      <c r="B86" s="97">
        <f>IF(A86&lt;&gt;"",IFERROR(INDEX(Roster!$B$5:$B$204,MATCH(A86,Roster!$A$5:$A$204,0)),0)+IFERROR(SUMPRODUCT((INDEX(Attendance!$B$7:$AY$206,MATCH(A86,Attendance!$A$7:$A$206,0),0)=1)*Attendance!$B$4:$AY$4),0),"")</f>
        <v/>
      </c>
      <c r="C86" s="98">
        <f>IF(A86&lt;&gt;"",SUMIFS(Transactions!$F$7:$F$1000,Transactions!$D$7:$D$1000,"Income",Transactions!$E$7:$E$1000,A86),"")</f>
        <v/>
      </c>
      <c r="D86" s="98">
        <f>IF(A86&lt;&gt;"",SUMIFS(Transactions!$F$7:$F$1000,Transactions!$D$7:$D$1000,"Expense",Transactions!$E$7:$E$1000,A86),"")</f>
        <v/>
      </c>
      <c r="E86" s="99">
        <f>IF(A86&lt;&gt;"",B86-C86-D86,"")</f>
        <v/>
      </c>
      <c r="F86" s="99">
        <f>IF(A86&lt;&gt;"",IF(E86=0,"Settled","Unsettled"),"")</f>
        <v/>
      </c>
      <c r="G86" s="96" t="n"/>
      <c r="H86" s="91" t="n"/>
    </row>
    <row r="87" ht="20" customHeight="1">
      <c r="A87" s="89">
        <f>IF(Roster!$A$85&lt;&gt;"",Roster!$A$85,"")</f>
        <v/>
      </c>
      <c r="B87" s="89">
        <f>IF(A87&lt;&gt;"",IFERROR(INDEX(Roster!$B$5:$B$204,MATCH(A87,Roster!$A$5:$A$204,0)),0)+IFERROR(SUMPRODUCT((INDEX(Attendance!$B$7:$AY$206,MATCH(A87,Attendance!$A$7:$A$206,0),0)=1)*Attendance!$B$4:$AY$4),0),"")</f>
        <v/>
      </c>
      <c r="C87" s="95">
        <f>IF(A87&lt;&gt;"",SUMIFS(Transactions!$F$7:$F$1000,Transactions!$D$7:$D$1000,"Income",Transactions!$E$7:$E$1000,A87),"")</f>
        <v/>
      </c>
      <c r="D87" s="95">
        <f>IF(A87&lt;&gt;"",SUMIFS(Transactions!$F$7:$F$1000,Transactions!$D$7:$D$1000,"Expense",Transactions!$E$7:$E$1000,A87),"")</f>
        <v/>
      </c>
      <c r="E87" s="93">
        <f>IF(A87&lt;&gt;"",B87-C87-D87,"")</f>
        <v/>
      </c>
      <c r="F87" s="93">
        <f>IF(A87&lt;&gt;"",IF(E87=0,"Settled","Unsettled"),"")</f>
        <v/>
      </c>
      <c r="G87" s="96" t="n"/>
      <c r="H87" s="91" t="n"/>
    </row>
    <row r="88" ht="20" customHeight="1">
      <c r="A88" s="97">
        <f>IF(Roster!$A$86&lt;&gt;"",Roster!$A$86,"")</f>
        <v/>
      </c>
      <c r="B88" s="97">
        <f>IF(A88&lt;&gt;"",IFERROR(INDEX(Roster!$B$5:$B$204,MATCH(A88,Roster!$A$5:$A$204,0)),0)+IFERROR(SUMPRODUCT((INDEX(Attendance!$B$7:$AY$206,MATCH(A88,Attendance!$A$7:$A$206,0),0)=1)*Attendance!$B$4:$AY$4),0),"")</f>
        <v/>
      </c>
      <c r="C88" s="98">
        <f>IF(A88&lt;&gt;"",SUMIFS(Transactions!$F$7:$F$1000,Transactions!$D$7:$D$1000,"Income",Transactions!$E$7:$E$1000,A88),"")</f>
        <v/>
      </c>
      <c r="D88" s="98">
        <f>IF(A88&lt;&gt;"",SUMIFS(Transactions!$F$7:$F$1000,Transactions!$D$7:$D$1000,"Expense",Transactions!$E$7:$E$1000,A88),"")</f>
        <v/>
      </c>
      <c r="E88" s="99">
        <f>IF(A88&lt;&gt;"",B88-C88-D88,"")</f>
        <v/>
      </c>
      <c r="F88" s="99">
        <f>IF(A88&lt;&gt;"",IF(E88=0,"Settled","Unsettled"),"")</f>
        <v/>
      </c>
      <c r="G88" s="96" t="n"/>
      <c r="H88" s="91" t="n"/>
    </row>
    <row r="89" ht="20" customHeight="1">
      <c r="A89" s="89">
        <f>IF(Roster!$A$87&lt;&gt;"",Roster!$A$87,"")</f>
        <v/>
      </c>
      <c r="B89" s="89">
        <f>IF(A89&lt;&gt;"",IFERROR(INDEX(Roster!$B$5:$B$204,MATCH(A89,Roster!$A$5:$A$204,0)),0)+IFERROR(SUMPRODUCT((INDEX(Attendance!$B$7:$AY$206,MATCH(A89,Attendance!$A$7:$A$206,0),0)=1)*Attendance!$B$4:$AY$4),0),"")</f>
        <v/>
      </c>
      <c r="C89" s="95">
        <f>IF(A89&lt;&gt;"",SUMIFS(Transactions!$F$7:$F$1000,Transactions!$D$7:$D$1000,"Income",Transactions!$E$7:$E$1000,A89),"")</f>
        <v/>
      </c>
      <c r="D89" s="95">
        <f>IF(A89&lt;&gt;"",SUMIFS(Transactions!$F$7:$F$1000,Transactions!$D$7:$D$1000,"Expense",Transactions!$E$7:$E$1000,A89),"")</f>
        <v/>
      </c>
      <c r="E89" s="93">
        <f>IF(A89&lt;&gt;"",B89-C89-D89,"")</f>
        <v/>
      </c>
      <c r="F89" s="93">
        <f>IF(A89&lt;&gt;"",IF(E89=0,"Settled","Unsettled"),"")</f>
        <v/>
      </c>
      <c r="G89" s="96" t="n"/>
      <c r="H89" s="91" t="n"/>
    </row>
    <row r="90" ht="20" customHeight="1">
      <c r="A90" s="97">
        <f>IF(Roster!$A$88&lt;&gt;"",Roster!$A$88,"")</f>
        <v/>
      </c>
      <c r="B90" s="97">
        <f>IF(A90&lt;&gt;"",IFERROR(INDEX(Roster!$B$5:$B$204,MATCH(A90,Roster!$A$5:$A$204,0)),0)+IFERROR(SUMPRODUCT((INDEX(Attendance!$B$7:$AY$206,MATCH(A90,Attendance!$A$7:$A$206,0),0)=1)*Attendance!$B$4:$AY$4),0),"")</f>
        <v/>
      </c>
      <c r="C90" s="98">
        <f>IF(A90&lt;&gt;"",SUMIFS(Transactions!$F$7:$F$1000,Transactions!$D$7:$D$1000,"Income",Transactions!$E$7:$E$1000,A90),"")</f>
        <v/>
      </c>
      <c r="D90" s="98">
        <f>IF(A90&lt;&gt;"",SUMIFS(Transactions!$F$7:$F$1000,Transactions!$D$7:$D$1000,"Expense",Transactions!$E$7:$E$1000,A90),"")</f>
        <v/>
      </c>
      <c r="E90" s="99">
        <f>IF(A90&lt;&gt;"",B90-C90-D90,"")</f>
        <v/>
      </c>
      <c r="F90" s="99">
        <f>IF(A90&lt;&gt;"",IF(E90=0,"Settled","Unsettled"),"")</f>
        <v/>
      </c>
      <c r="G90" s="96" t="n"/>
      <c r="H90" s="91" t="n"/>
    </row>
    <row r="91" ht="20" customHeight="1">
      <c r="A91" s="89">
        <f>IF(Roster!$A$89&lt;&gt;"",Roster!$A$89,"")</f>
        <v/>
      </c>
      <c r="B91" s="89">
        <f>IF(A91&lt;&gt;"",IFERROR(INDEX(Roster!$B$5:$B$204,MATCH(A91,Roster!$A$5:$A$204,0)),0)+IFERROR(SUMPRODUCT((INDEX(Attendance!$B$7:$AY$206,MATCH(A91,Attendance!$A$7:$A$206,0),0)=1)*Attendance!$B$4:$AY$4),0),"")</f>
        <v/>
      </c>
      <c r="C91" s="95">
        <f>IF(A91&lt;&gt;"",SUMIFS(Transactions!$F$7:$F$1000,Transactions!$D$7:$D$1000,"Income",Transactions!$E$7:$E$1000,A91),"")</f>
        <v/>
      </c>
      <c r="D91" s="95">
        <f>IF(A91&lt;&gt;"",SUMIFS(Transactions!$F$7:$F$1000,Transactions!$D$7:$D$1000,"Expense",Transactions!$E$7:$E$1000,A91),"")</f>
        <v/>
      </c>
      <c r="E91" s="93">
        <f>IF(A91&lt;&gt;"",B91-C91-D91,"")</f>
        <v/>
      </c>
      <c r="F91" s="93">
        <f>IF(A91&lt;&gt;"",IF(E91=0,"Settled","Unsettled"),"")</f>
        <v/>
      </c>
      <c r="G91" s="96" t="n"/>
      <c r="H91" s="91" t="n"/>
    </row>
    <row r="92" ht="20" customHeight="1">
      <c r="A92" s="97">
        <f>IF(Roster!$A$90&lt;&gt;"",Roster!$A$90,"")</f>
        <v/>
      </c>
      <c r="B92" s="97">
        <f>IF(A92&lt;&gt;"",IFERROR(INDEX(Roster!$B$5:$B$204,MATCH(A92,Roster!$A$5:$A$204,0)),0)+IFERROR(SUMPRODUCT((INDEX(Attendance!$B$7:$AY$206,MATCH(A92,Attendance!$A$7:$A$206,0),0)=1)*Attendance!$B$4:$AY$4),0),"")</f>
        <v/>
      </c>
      <c r="C92" s="98">
        <f>IF(A92&lt;&gt;"",SUMIFS(Transactions!$F$7:$F$1000,Transactions!$D$7:$D$1000,"Income",Transactions!$E$7:$E$1000,A92),"")</f>
        <v/>
      </c>
      <c r="D92" s="98">
        <f>IF(A92&lt;&gt;"",SUMIFS(Transactions!$F$7:$F$1000,Transactions!$D$7:$D$1000,"Expense",Transactions!$E$7:$E$1000,A92),"")</f>
        <v/>
      </c>
      <c r="E92" s="99">
        <f>IF(A92&lt;&gt;"",B92-C92-D92,"")</f>
        <v/>
      </c>
      <c r="F92" s="99">
        <f>IF(A92&lt;&gt;"",IF(E92=0,"Settled","Unsettled"),"")</f>
        <v/>
      </c>
      <c r="G92" s="96" t="n"/>
      <c r="H92" s="91" t="n"/>
    </row>
    <row r="93" ht="20" customHeight="1">
      <c r="A93" s="89">
        <f>IF(Roster!$A$91&lt;&gt;"",Roster!$A$91,"")</f>
        <v/>
      </c>
      <c r="B93" s="89">
        <f>IF(A93&lt;&gt;"",IFERROR(INDEX(Roster!$B$5:$B$204,MATCH(A93,Roster!$A$5:$A$204,0)),0)+IFERROR(SUMPRODUCT((INDEX(Attendance!$B$7:$AY$206,MATCH(A93,Attendance!$A$7:$A$206,0),0)=1)*Attendance!$B$4:$AY$4),0),"")</f>
        <v/>
      </c>
      <c r="C93" s="95">
        <f>IF(A93&lt;&gt;"",SUMIFS(Transactions!$F$7:$F$1000,Transactions!$D$7:$D$1000,"Income",Transactions!$E$7:$E$1000,A93),"")</f>
        <v/>
      </c>
      <c r="D93" s="95">
        <f>IF(A93&lt;&gt;"",SUMIFS(Transactions!$F$7:$F$1000,Transactions!$D$7:$D$1000,"Expense",Transactions!$E$7:$E$1000,A93),"")</f>
        <v/>
      </c>
      <c r="E93" s="93">
        <f>IF(A93&lt;&gt;"",B93-C93-D93,"")</f>
        <v/>
      </c>
      <c r="F93" s="93">
        <f>IF(A93&lt;&gt;"",IF(E93=0,"Settled","Unsettled"),"")</f>
        <v/>
      </c>
      <c r="G93" s="96" t="n"/>
      <c r="H93" s="91" t="n"/>
    </row>
    <row r="94" ht="20" customHeight="1">
      <c r="A94" s="97">
        <f>IF(Roster!$A$92&lt;&gt;"",Roster!$A$92,"")</f>
        <v/>
      </c>
      <c r="B94" s="97">
        <f>IF(A94&lt;&gt;"",IFERROR(INDEX(Roster!$B$5:$B$204,MATCH(A94,Roster!$A$5:$A$204,0)),0)+IFERROR(SUMPRODUCT((INDEX(Attendance!$B$7:$AY$206,MATCH(A94,Attendance!$A$7:$A$206,0),0)=1)*Attendance!$B$4:$AY$4),0),"")</f>
        <v/>
      </c>
      <c r="C94" s="98">
        <f>IF(A94&lt;&gt;"",SUMIFS(Transactions!$F$7:$F$1000,Transactions!$D$7:$D$1000,"Income",Transactions!$E$7:$E$1000,A94),"")</f>
        <v/>
      </c>
      <c r="D94" s="98">
        <f>IF(A94&lt;&gt;"",SUMIFS(Transactions!$F$7:$F$1000,Transactions!$D$7:$D$1000,"Expense",Transactions!$E$7:$E$1000,A94),"")</f>
        <v/>
      </c>
      <c r="E94" s="99">
        <f>IF(A94&lt;&gt;"",B94-C94-D94,"")</f>
        <v/>
      </c>
      <c r="F94" s="99">
        <f>IF(A94&lt;&gt;"",IF(E94=0,"Settled","Unsettled"),"")</f>
        <v/>
      </c>
      <c r="G94" s="96" t="n"/>
      <c r="H94" s="91" t="n"/>
    </row>
    <row r="95" ht="20" customHeight="1">
      <c r="A95" s="89">
        <f>IF(Roster!$A$93&lt;&gt;"",Roster!$A$93,"")</f>
        <v/>
      </c>
      <c r="B95" s="89">
        <f>IF(A95&lt;&gt;"",IFERROR(INDEX(Roster!$B$5:$B$204,MATCH(A95,Roster!$A$5:$A$204,0)),0)+IFERROR(SUMPRODUCT((INDEX(Attendance!$B$7:$AY$206,MATCH(A95,Attendance!$A$7:$A$206,0),0)=1)*Attendance!$B$4:$AY$4),0),"")</f>
        <v/>
      </c>
      <c r="C95" s="95">
        <f>IF(A95&lt;&gt;"",SUMIFS(Transactions!$F$7:$F$1000,Transactions!$D$7:$D$1000,"Income",Transactions!$E$7:$E$1000,A95),"")</f>
        <v/>
      </c>
      <c r="D95" s="95">
        <f>IF(A95&lt;&gt;"",SUMIFS(Transactions!$F$7:$F$1000,Transactions!$D$7:$D$1000,"Expense",Transactions!$E$7:$E$1000,A95),"")</f>
        <v/>
      </c>
      <c r="E95" s="93">
        <f>IF(A95&lt;&gt;"",B95-C95-D95,"")</f>
        <v/>
      </c>
      <c r="F95" s="93">
        <f>IF(A95&lt;&gt;"",IF(E95=0,"Settled","Unsettled"),"")</f>
        <v/>
      </c>
      <c r="G95" s="96" t="n"/>
      <c r="H95" s="91" t="n"/>
    </row>
    <row r="96" ht="20" customHeight="1">
      <c r="A96" s="97">
        <f>IF(Roster!$A$94&lt;&gt;"",Roster!$A$94,"")</f>
        <v/>
      </c>
      <c r="B96" s="97">
        <f>IF(A96&lt;&gt;"",IFERROR(INDEX(Roster!$B$5:$B$204,MATCH(A96,Roster!$A$5:$A$204,0)),0)+IFERROR(SUMPRODUCT((INDEX(Attendance!$B$7:$AY$206,MATCH(A96,Attendance!$A$7:$A$206,0),0)=1)*Attendance!$B$4:$AY$4),0),"")</f>
        <v/>
      </c>
      <c r="C96" s="98">
        <f>IF(A96&lt;&gt;"",SUMIFS(Transactions!$F$7:$F$1000,Transactions!$D$7:$D$1000,"Income",Transactions!$E$7:$E$1000,A96),"")</f>
        <v/>
      </c>
      <c r="D96" s="98">
        <f>IF(A96&lt;&gt;"",SUMIFS(Transactions!$F$7:$F$1000,Transactions!$D$7:$D$1000,"Expense",Transactions!$E$7:$E$1000,A96),"")</f>
        <v/>
      </c>
      <c r="E96" s="99">
        <f>IF(A96&lt;&gt;"",B96-C96-D96,"")</f>
        <v/>
      </c>
      <c r="F96" s="99">
        <f>IF(A96&lt;&gt;"",IF(E96=0,"Settled","Unsettled"),"")</f>
        <v/>
      </c>
      <c r="G96" s="96" t="n"/>
      <c r="H96" s="91" t="n"/>
    </row>
    <row r="97" ht="20" customHeight="1">
      <c r="A97" s="89">
        <f>IF(Roster!$A$95&lt;&gt;"",Roster!$A$95,"")</f>
        <v/>
      </c>
      <c r="B97" s="89">
        <f>IF(A97&lt;&gt;"",IFERROR(INDEX(Roster!$B$5:$B$204,MATCH(A97,Roster!$A$5:$A$204,0)),0)+IFERROR(SUMPRODUCT((INDEX(Attendance!$B$7:$AY$206,MATCH(A97,Attendance!$A$7:$A$206,0),0)=1)*Attendance!$B$4:$AY$4),0),"")</f>
        <v/>
      </c>
      <c r="C97" s="95">
        <f>IF(A97&lt;&gt;"",SUMIFS(Transactions!$F$7:$F$1000,Transactions!$D$7:$D$1000,"Income",Transactions!$E$7:$E$1000,A97),"")</f>
        <v/>
      </c>
      <c r="D97" s="95">
        <f>IF(A97&lt;&gt;"",SUMIFS(Transactions!$F$7:$F$1000,Transactions!$D$7:$D$1000,"Expense",Transactions!$E$7:$E$1000,A97),"")</f>
        <v/>
      </c>
      <c r="E97" s="93">
        <f>IF(A97&lt;&gt;"",B97-C97-D97,"")</f>
        <v/>
      </c>
      <c r="F97" s="93">
        <f>IF(A97&lt;&gt;"",IF(E97=0,"Settled","Unsettled"),"")</f>
        <v/>
      </c>
      <c r="G97" s="96" t="n"/>
      <c r="H97" s="91" t="n"/>
    </row>
    <row r="98" ht="20" customHeight="1">
      <c r="A98" s="97">
        <f>IF(Roster!$A$96&lt;&gt;"",Roster!$A$96,"")</f>
        <v/>
      </c>
      <c r="B98" s="97">
        <f>IF(A98&lt;&gt;"",IFERROR(INDEX(Roster!$B$5:$B$204,MATCH(A98,Roster!$A$5:$A$204,0)),0)+IFERROR(SUMPRODUCT((INDEX(Attendance!$B$7:$AY$206,MATCH(A98,Attendance!$A$7:$A$206,0),0)=1)*Attendance!$B$4:$AY$4),0),"")</f>
        <v/>
      </c>
      <c r="C98" s="98">
        <f>IF(A98&lt;&gt;"",SUMIFS(Transactions!$F$7:$F$1000,Transactions!$D$7:$D$1000,"Income",Transactions!$E$7:$E$1000,A98),"")</f>
        <v/>
      </c>
      <c r="D98" s="98">
        <f>IF(A98&lt;&gt;"",SUMIFS(Transactions!$F$7:$F$1000,Transactions!$D$7:$D$1000,"Expense",Transactions!$E$7:$E$1000,A98),"")</f>
        <v/>
      </c>
      <c r="E98" s="99">
        <f>IF(A98&lt;&gt;"",B98-C98-D98,"")</f>
        <v/>
      </c>
      <c r="F98" s="99">
        <f>IF(A98&lt;&gt;"",IF(E98=0,"Settled","Unsettled"),"")</f>
        <v/>
      </c>
      <c r="G98" s="96" t="n"/>
      <c r="H98" s="91" t="n"/>
    </row>
    <row r="99" ht="20" customHeight="1">
      <c r="A99" s="89">
        <f>IF(Roster!$A$97&lt;&gt;"",Roster!$A$97,"")</f>
        <v/>
      </c>
      <c r="B99" s="89">
        <f>IF(A99&lt;&gt;"",IFERROR(INDEX(Roster!$B$5:$B$204,MATCH(A99,Roster!$A$5:$A$204,0)),0)+IFERROR(SUMPRODUCT((INDEX(Attendance!$B$7:$AY$206,MATCH(A99,Attendance!$A$7:$A$206,0),0)=1)*Attendance!$B$4:$AY$4),0),"")</f>
        <v/>
      </c>
      <c r="C99" s="95">
        <f>IF(A99&lt;&gt;"",SUMIFS(Transactions!$F$7:$F$1000,Transactions!$D$7:$D$1000,"Income",Transactions!$E$7:$E$1000,A99),"")</f>
        <v/>
      </c>
      <c r="D99" s="95">
        <f>IF(A99&lt;&gt;"",SUMIFS(Transactions!$F$7:$F$1000,Transactions!$D$7:$D$1000,"Expense",Transactions!$E$7:$E$1000,A99),"")</f>
        <v/>
      </c>
      <c r="E99" s="93">
        <f>IF(A99&lt;&gt;"",B99-C99-D99,"")</f>
        <v/>
      </c>
      <c r="F99" s="93">
        <f>IF(A99&lt;&gt;"",IF(E99=0,"Settled","Unsettled"),"")</f>
        <v/>
      </c>
      <c r="G99" s="96" t="n"/>
      <c r="H99" s="91" t="n"/>
    </row>
    <row r="100" ht="20" customHeight="1">
      <c r="A100" s="97">
        <f>IF(Roster!$A$98&lt;&gt;"",Roster!$A$98,"")</f>
        <v/>
      </c>
      <c r="B100" s="97">
        <f>IF(A100&lt;&gt;"",IFERROR(INDEX(Roster!$B$5:$B$204,MATCH(A100,Roster!$A$5:$A$204,0)),0)+IFERROR(SUMPRODUCT((INDEX(Attendance!$B$7:$AY$206,MATCH(A100,Attendance!$A$7:$A$206,0),0)=1)*Attendance!$B$4:$AY$4),0),"")</f>
        <v/>
      </c>
      <c r="C100" s="98">
        <f>IF(A100&lt;&gt;"",SUMIFS(Transactions!$F$7:$F$1000,Transactions!$D$7:$D$1000,"Income",Transactions!$E$7:$E$1000,A100),"")</f>
        <v/>
      </c>
      <c r="D100" s="98">
        <f>IF(A100&lt;&gt;"",SUMIFS(Transactions!$F$7:$F$1000,Transactions!$D$7:$D$1000,"Expense",Transactions!$E$7:$E$1000,A100),"")</f>
        <v/>
      </c>
      <c r="E100" s="99">
        <f>IF(A100&lt;&gt;"",B100-C100-D100,"")</f>
        <v/>
      </c>
      <c r="F100" s="99">
        <f>IF(A100&lt;&gt;"",IF(E100=0,"Settled","Unsettled"),"")</f>
        <v/>
      </c>
      <c r="G100" s="96" t="n"/>
      <c r="H100" s="91" t="n"/>
    </row>
    <row r="101" ht="20" customHeight="1">
      <c r="A101" s="89">
        <f>IF(Roster!$A$99&lt;&gt;"",Roster!$A$99,"")</f>
        <v/>
      </c>
      <c r="B101" s="89">
        <f>IF(A101&lt;&gt;"",IFERROR(INDEX(Roster!$B$5:$B$204,MATCH(A101,Roster!$A$5:$A$204,0)),0)+IFERROR(SUMPRODUCT((INDEX(Attendance!$B$7:$AY$206,MATCH(A101,Attendance!$A$7:$A$206,0),0)=1)*Attendance!$B$4:$AY$4),0),"")</f>
        <v/>
      </c>
      <c r="C101" s="95">
        <f>IF(A101&lt;&gt;"",SUMIFS(Transactions!$F$7:$F$1000,Transactions!$D$7:$D$1000,"Income",Transactions!$E$7:$E$1000,A101),"")</f>
        <v/>
      </c>
      <c r="D101" s="95">
        <f>IF(A101&lt;&gt;"",SUMIFS(Transactions!$F$7:$F$1000,Transactions!$D$7:$D$1000,"Expense",Transactions!$E$7:$E$1000,A101),"")</f>
        <v/>
      </c>
      <c r="E101" s="93">
        <f>IF(A101&lt;&gt;"",B101-C101-D101,"")</f>
        <v/>
      </c>
      <c r="F101" s="93">
        <f>IF(A101&lt;&gt;"",IF(E101=0,"Settled","Unsettled"),"")</f>
        <v/>
      </c>
      <c r="G101" s="96" t="n"/>
      <c r="H101" s="91" t="n"/>
    </row>
    <row r="102" ht="20" customHeight="1">
      <c r="A102" s="97">
        <f>IF(Roster!$A$100&lt;&gt;"",Roster!$A$100,"")</f>
        <v/>
      </c>
      <c r="B102" s="97">
        <f>IF(A102&lt;&gt;"",IFERROR(INDEX(Roster!$B$5:$B$204,MATCH(A102,Roster!$A$5:$A$204,0)),0)+IFERROR(SUMPRODUCT((INDEX(Attendance!$B$7:$AY$206,MATCH(A102,Attendance!$A$7:$A$206,0),0)=1)*Attendance!$B$4:$AY$4),0),"")</f>
        <v/>
      </c>
      <c r="C102" s="98">
        <f>IF(A102&lt;&gt;"",SUMIFS(Transactions!$F$7:$F$1000,Transactions!$D$7:$D$1000,"Income",Transactions!$E$7:$E$1000,A102),"")</f>
        <v/>
      </c>
      <c r="D102" s="98">
        <f>IF(A102&lt;&gt;"",SUMIFS(Transactions!$F$7:$F$1000,Transactions!$D$7:$D$1000,"Expense",Transactions!$E$7:$E$1000,A102),"")</f>
        <v/>
      </c>
      <c r="E102" s="99">
        <f>IF(A102&lt;&gt;"",B102-C102-D102,"")</f>
        <v/>
      </c>
      <c r="F102" s="99">
        <f>IF(A102&lt;&gt;"",IF(E102=0,"Settled","Unsettled"),"")</f>
        <v/>
      </c>
      <c r="G102" s="96" t="n"/>
      <c r="H102" s="91" t="n"/>
    </row>
    <row r="103" ht="20" customHeight="1">
      <c r="A103" s="89">
        <f>IF(Roster!$A$101&lt;&gt;"",Roster!$A$101,"")</f>
        <v/>
      </c>
      <c r="B103" s="89">
        <f>IF(A103&lt;&gt;"",IFERROR(INDEX(Roster!$B$5:$B$204,MATCH(A103,Roster!$A$5:$A$204,0)),0)+IFERROR(SUMPRODUCT((INDEX(Attendance!$B$7:$AY$206,MATCH(A103,Attendance!$A$7:$A$206,0),0)=1)*Attendance!$B$4:$AY$4),0),"")</f>
        <v/>
      </c>
      <c r="C103" s="95">
        <f>IF(A103&lt;&gt;"",SUMIFS(Transactions!$F$7:$F$1000,Transactions!$D$7:$D$1000,"Income",Transactions!$E$7:$E$1000,A103),"")</f>
        <v/>
      </c>
      <c r="D103" s="95">
        <f>IF(A103&lt;&gt;"",SUMIFS(Transactions!$F$7:$F$1000,Transactions!$D$7:$D$1000,"Expense",Transactions!$E$7:$E$1000,A103),"")</f>
        <v/>
      </c>
      <c r="E103" s="93">
        <f>IF(A103&lt;&gt;"",B103-C103-D103,"")</f>
        <v/>
      </c>
      <c r="F103" s="93">
        <f>IF(A103&lt;&gt;"",IF(E103=0,"Settled","Unsettled"),"")</f>
        <v/>
      </c>
      <c r="G103" s="96" t="n"/>
      <c r="H103" s="91" t="n"/>
    </row>
    <row r="104" ht="20" customHeight="1">
      <c r="A104" s="97">
        <f>IF(Roster!$A$102&lt;&gt;"",Roster!$A$102,"")</f>
        <v/>
      </c>
      <c r="B104" s="97">
        <f>IF(A104&lt;&gt;"",IFERROR(INDEX(Roster!$B$5:$B$204,MATCH(A104,Roster!$A$5:$A$204,0)),0)+IFERROR(SUMPRODUCT((INDEX(Attendance!$B$7:$AY$206,MATCH(A104,Attendance!$A$7:$A$206,0),0)=1)*Attendance!$B$4:$AY$4),0),"")</f>
        <v/>
      </c>
      <c r="C104" s="98">
        <f>IF(A104&lt;&gt;"",SUMIFS(Transactions!$F$7:$F$1000,Transactions!$D$7:$D$1000,"Income",Transactions!$E$7:$E$1000,A104),"")</f>
        <v/>
      </c>
      <c r="D104" s="98">
        <f>IF(A104&lt;&gt;"",SUMIFS(Transactions!$F$7:$F$1000,Transactions!$D$7:$D$1000,"Expense",Transactions!$E$7:$E$1000,A104),"")</f>
        <v/>
      </c>
      <c r="E104" s="99">
        <f>IF(A104&lt;&gt;"",B104-C104-D104,"")</f>
        <v/>
      </c>
      <c r="F104" s="99">
        <f>IF(A104&lt;&gt;"",IF(E104=0,"Settled","Unsettled"),"")</f>
        <v/>
      </c>
      <c r="G104" s="96" t="n"/>
      <c r="H104" s="91" t="n"/>
    </row>
    <row r="105" ht="20" customHeight="1">
      <c r="A105" s="89">
        <f>IF(Roster!$A$103&lt;&gt;"",Roster!$A$103,"")</f>
        <v/>
      </c>
      <c r="B105" s="89">
        <f>IF(A105&lt;&gt;"",IFERROR(INDEX(Roster!$B$5:$B$204,MATCH(A105,Roster!$A$5:$A$204,0)),0)+IFERROR(SUMPRODUCT((INDEX(Attendance!$B$7:$AY$206,MATCH(A105,Attendance!$A$7:$A$206,0),0)=1)*Attendance!$B$4:$AY$4),0),"")</f>
        <v/>
      </c>
      <c r="C105" s="95">
        <f>IF(A105&lt;&gt;"",SUMIFS(Transactions!$F$7:$F$1000,Transactions!$D$7:$D$1000,"Income",Transactions!$E$7:$E$1000,A105),"")</f>
        <v/>
      </c>
      <c r="D105" s="95">
        <f>IF(A105&lt;&gt;"",SUMIFS(Transactions!$F$7:$F$1000,Transactions!$D$7:$D$1000,"Expense",Transactions!$E$7:$E$1000,A105),"")</f>
        <v/>
      </c>
      <c r="E105" s="93">
        <f>IF(A105&lt;&gt;"",B105-C105-D105,"")</f>
        <v/>
      </c>
      <c r="F105" s="93">
        <f>IF(A105&lt;&gt;"",IF(E105=0,"Settled","Unsettled"),"")</f>
        <v/>
      </c>
      <c r="G105" s="96" t="n"/>
      <c r="H105" s="91" t="n"/>
    </row>
    <row r="106" ht="20" customHeight="1">
      <c r="A106" s="97">
        <f>IF(Roster!$A$104&lt;&gt;"",Roster!$A$104,"")</f>
        <v/>
      </c>
      <c r="B106" s="97">
        <f>IF(A106&lt;&gt;"",IFERROR(INDEX(Roster!$B$5:$B$204,MATCH(A106,Roster!$A$5:$A$204,0)),0)+IFERROR(SUMPRODUCT((INDEX(Attendance!$B$7:$AY$206,MATCH(A106,Attendance!$A$7:$A$206,0),0)=1)*Attendance!$B$4:$AY$4),0),"")</f>
        <v/>
      </c>
      <c r="C106" s="98">
        <f>IF(A106&lt;&gt;"",SUMIFS(Transactions!$F$7:$F$1000,Transactions!$D$7:$D$1000,"Income",Transactions!$E$7:$E$1000,A106),"")</f>
        <v/>
      </c>
      <c r="D106" s="98">
        <f>IF(A106&lt;&gt;"",SUMIFS(Transactions!$F$7:$F$1000,Transactions!$D$7:$D$1000,"Expense",Transactions!$E$7:$E$1000,A106),"")</f>
        <v/>
      </c>
      <c r="E106" s="99">
        <f>IF(A106&lt;&gt;"",B106-C106-D106,"")</f>
        <v/>
      </c>
      <c r="F106" s="99">
        <f>IF(A106&lt;&gt;"",IF(E106=0,"Settled","Unsettled"),"")</f>
        <v/>
      </c>
      <c r="G106" s="96" t="n"/>
      <c r="H106" s="91" t="n"/>
    </row>
    <row r="107" ht="20" customHeight="1">
      <c r="A107" s="89">
        <f>IF(Roster!$A$105&lt;&gt;"",Roster!$A$105,"")</f>
        <v/>
      </c>
      <c r="B107" s="89">
        <f>IF(A107&lt;&gt;"",IFERROR(INDEX(Roster!$B$5:$B$204,MATCH(A107,Roster!$A$5:$A$204,0)),0)+IFERROR(SUMPRODUCT((INDEX(Attendance!$B$7:$AY$206,MATCH(A107,Attendance!$A$7:$A$206,0),0)=1)*Attendance!$B$4:$AY$4),0),"")</f>
        <v/>
      </c>
      <c r="C107" s="95">
        <f>IF(A107&lt;&gt;"",SUMIFS(Transactions!$F$7:$F$1000,Transactions!$D$7:$D$1000,"Income",Transactions!$E$7:$E$1000,A107),"")</f>
        <v/>
      </c>
      <c r="D107" s="95">
        <f>IF(A107&lt;&gt;"",SUMIFS(Transactions!$F$7:$F$1000,Transactions!$D$7:$D$1000,"Expense",Transactions!$E$7:$E$1000,A107),"")</f>
        <v/>
      </c>
      <c r="E107" s="93">
        <f>IF(A107&lt;&gt;"",B107-C107-D107,"")</f>
        <v/>
      </c>
      <c r="F107" s="93">
        <f>IF(A107&lt;&gt;"",IF(E107=0,"Settled","Unsettled"),"")</f>
        <v/>
      </c>
      <c r="G107" s="96" t="n"/>
      <c r="H107" s="91" t="n"/>
    </row>
    <row r="108" ht="20" customHeight="1">
      <c r="A108" s="97">
        <f>IF(Roster!$A$106&lt;&gt;"",Roster!$A$106,"")</f>
        <v/>
      </c>
      <c r="B108" s="97">
        <f>IF(A108&lt;&gt;"",IFERROR(INDEX(Roster!$B$5:$B$204,MATCH(A108,Roster!$A$5:$A$204,0)),0)+IFERROR(SUMPRODUCT((INDEX(Attendance!$B$7:$AY$206,MATCH(A108,Attendance!$A$7:$A$206,0),0)=1)*Attendance!$B$4:$AY$4),0),"")</f>
        <v/>
      </c>
      <c r="C108" s="98">
        <f>IF(A108&lt;&gt;"",SUMIFS(Transactions!$F$7:$F$1000,Transactions!$D$7:$D$1000,"Income",Transactions!$E$7:$E$1000,A108),"")</f>
        <v/>
      </c>
      <c r="D108" s="98">
        <f>IF(A108&lt;&gt;"",SUMIFS(Transactions!$F$7:$F$1000,Transactions!$D$7:$D$1000,"Expense",Transactions!$E$7:$E$1000,A108),"")</f>
        <v/>
      </c>
      <c r="E108" s="99">
        <f>IF(A108&lt;&gt;"",B108-C108-D108,"")</f>
        <v/>
      </c>
      <c r="F108" s="99">
        <f>IF(A108&lt;&gt;"",IF(E108=0,"Settled","Unsettled"),"")</f>
        <v/>
      </c>
      <c r="G108" s="96" t="n"/>
      <c r="H108" s="91" t="n"/>
    </row>
    <row r="109" ht="20" customHeight="1">
      <c r="A109" s="89">
        <f>IF(Roster!$A$107&lt;&gt;"",Roster!$A$107,"")</f>
        <v/>
      </c>
      <c r="B109" s="89">
        <f>IF(A109&lt;&gt;"",IFERROR(INDEX(Roster!$B$5:$B$204,MATCH(A109,Roster!$A$5:$A$204,0)),0)+IFERROR(SUMPRODUCT((INDEX(Attendance!$B$7:$AY$206,MATCH(A109,Attendance!$A$7:$A$206,0),0)=1)*Attendance!$B$4:$AY$4),0),"")</f>
        <v/>
      </c>
      <c r="C109" s="95">
        <f>IF(A109&lt;&gt;"",SUMIFS(Transactions!$F$7:$F$1000,Transactions!$D$7:$D$1000,"Income",Transactions!$E$7:$E$1000,A109),"")</f>
        <v/>
      </c>
      <c r="D109" s="95">
        <f>IF(A109&lt;&gt;"",SUMIFS(Transactions!$F$7:$F$1000,Transactions!$D$7:$D$1000,"Expense",Transactions!$E$7:$E$1000,A109),"")</f>
        <v/>
      </c>
      <c r="E109" s="93">
        <f>IF(A109&lt;&gt;"",B109-C109-D109,"")</f>
        <v/>
      </c>
      <c r="F109" s="93">
        <f>IF(A109&lt;&gt;"",IF(E109=0,"Settled","Unsettled"),"")</f>
        <v/>
      </c>
      <c r="G109" s="96" t="n"/>
      <c r="H109" s="91" t="n"/>
    </row>
    <row r="110" ht="20" customHeight="1">
      <c r="A110" s="97">
        <f>IF(Roster!$A$108&lt;&gt;"",Roster!$A$108,"")</f>
        <v/>
      </c>
      <c r="B110" s="97">
        <f>IF(A110&lt;&gt;"",IFERROR(INDEX(Roster!$B$5:$B$204,MATCH(A110,Roster!$A$5:$A$204,0)),0)+IFERROR(SUMPRODUCT((INDEX(Attendance!$B$7:$AY$206,MATCH(A110,Attendance!$A$7:$A$206,0),0)=1)*Attendance!$B$4:$AY$4),0),"")</f>
        <v/>
      </c>
      <c r="C110" s="98">
        <f>IF(A110&lt;&gt;"",SUMIFS(Transactions!$F$7:$F$1000,Transactions!$D$7:$D$1000,"Income",Transactions!$E$7:$E$1000,A110),"")</f>
        <v/>
      </c>
      <c r="D110" s="98">
        <f>IF(A110&lt;&gt;"",SUMIFS(Transactions!$F$7:$F$1000,Transactions!$D$7:$D$1000,"Expense",Transactions!$E$7:$E$1000,A110),"")</f>
        <v/>
      </c>
      <c r="E110" s="99">
        <f>IF(A110&lt;&gt;"",B110-C110-D110,"")</f>
        <v/>
      </c>
      <c r="F110" s="99">
        <f>IF(A110&lt;&gt;"",IF(E110=0,"Settled","Unsettled"),"")</f>
        <v/>
      </c>
      <c r="G110" s="96" t="n"/>
      <c r="H110" s="91" t="n"/>
    </row>
    <row r="111" ht="20" customHeight="1">
      <c r="A111" s="89">
        <f>IF(Roster!$A$109&lt;&gt;"",Roster!$A$109,"")</f>
        <v/>
      </c>
      <c r="B111" s="89">
        <f>IF(A111&lt;&gt;"",IFERROR(INDEX(Roster!$B$5:$B$204,MATCH(A111,Roster!$A$5:$A$204,0)),0)+IFERROR(SUMPRODUCT((INDEX(Attendance!$B$7:$AY$206,MATCH(A111,Attendance!$A$7:$A$206,0),0)=1)*Attendance!$B$4:$AY$4),0),"")</f>
        <v/>
      </c>
      <c r="C111" s="95">
        <f>IF(A111&lt;&gt;"",SUMIFS(Transactions!$F$7:$F$1000,Transactions!$D$7:$D$1000,"Income",Transactions!$E$7:$E$1000,A111),"")</f>
        <v/>
      </c>
      <c r="D111" s="95">
        <f>IF(A111&lt;&gt;"",SUMIFS(Transactions!$F$7:$F$1000,Transactions!$D$7:$D$1000,"Expense",Transactions!$E$7:$E$1000,A111),"")</f>
        <v/>
      </c>
      <c r="E111" s="93">
        <f>IF(A111&lt;&gt;"",B111-C111-D111,"")</f>
        <v/>
      </c>
      <c r="F111" s="93">
        <f>IF(A111&lt;&gt;"",IF(E111=0,"Settled","Unsettled"),"")</f>
        <v/>
      </c>
      <c r="G111" s="96" t="n"/>
      <c r="H111" s="91" t="n"/>
    </row>
    <row r="112" ht="20" customHeight="1">
      <c r="A112" s="97">
        <f>IF(Roster!$A$110&lt;&gt;"",Roster!$A$110,"")</f>
        <v/>
      </c>
      <c r="B112" s="97">
        <f>IF(A112&lt;&gt;"",IFERROR(INDEX(Roster!$B$5:$B$204,MATCH(A112,Roster!$A$5:$A$204,0)),0)+IFERROR(SUMPRODUCT((INDEX(Attendance!$B$7:$AY$206,MATCH(A112,Attendance!$A$7:$A$206,0),0)=1)*Attendance!$B$4:$AY$4),0),"")</f>
        <v/>
      </c>
      <c r="C112" s="98">
        <f>IF(A112&lt;&gt;"",SUMIFS(Transactions!$F$7:$F$1000,Transactions!$D$7:$D$1000,"Income",Transactions!$E$7:$E$1000,A112),"")</f>
        <v/>
      </c>
      <c r="D112" s="98">
        <f>IF(A112&lt;&gt;"",SUMIFS(Transactions!$F$7:$F$1000,Transactions!$D$7:$D$1000,"Expense",Transactions!$E$7:$E$1000,A112),"")</f>
        <v/>
      </c>
      <c r="E112" s="99">
        <f>IF(A112&lt;&gt;"",B112-C112-D112,"")</f>
        <v/>
      </c>
      <c r="F112" s="99">
        <f>IF(A112&lt;&gt;"",IF(E112=0,"Settled","Unsettled"),"")</f>
        <v/>
      </c>
      <c r="G112" s="96" t="n"/>
      <c r="H112" s="91" t="n"/>
    </row>
    <row r="113" ht="20" customHeight="1">
      <c r="A113" s="89">
        <f>IF(Roster!$A$111&lt;&gt;"",Roster!$A$111,"")</f>
        <v/>
      </c>
      <c r="B113" s="89">
        <f>IF(A113&lt;&gt;"",IFERROR(INDEX(Roster!$B$5:$B$204,MATCH(A113,Roster!$A$5:$A$204,0)),0)+IFERROR(SUMPRODUCT((INDEX(Attendance!$B$7:$AY$206,MATCH(A113,Attendance!$A$7:$A$206,0),0)=1)*Attendance!$B$4:$AY$4),0),"")</f>
        <v/>
      </c>
      <c r="C113" s="95">
        <f>IF(A113&lt;&gt;"",SUMIFS(Transactions!$F$7:$F$1000,Transactions!$D$7:$D$1000,"Income",Transactions!$E$7:$E$1000,A113),"")</f>
        <v/>
      </c>
      <c r="D113" s="95">
        <f>IF(A113&lt;&gt;"",SUMIFS(Transactions!$F$7:$F$1000,Transactions!$D$7:$D$1000,"Expense",Transactions!$E$7:$E$1000,A113),"")</f>
        <v/>
      </c>
      <c r="E113" s="93">
        <f>IF(A113&lt;&gt;"",B113-C113-D113,"")</f>
        <v/>
      </c>
      <c r="F113" s="93">
        <f>IF(A113&lt;&gt;"",IF(E113=0,"Settled","Unsettled"),"")</f>
        <v/>
      </c>
      <c r="G113" s="96" t="n"/>
      <c r="H113" s="91" t="n"/>
    </row>
    <row r="114" ht="20" customHeight="1">
      <c r="A114" s="97">
        <f>IF(Roster!$A$112&lt;&gt;"",Roster!$A$112,"")</f>
        <v/>
      </c>
      <c r="B114" s="97">
        <f>IF(A114&lt;&gt;"",IFERROR(INDEX(Roster!$B$5:$B$204,MATCH(A114,Roster!$A$5:$A$204,0)),0)+IFERROR(SUMPRODUCT((INDEX(Attendance!$B$7:$AY$206,MATCH(A114,Attendance!$A$7:$A$206,0),0)=1)*Attendance!$B$4:$AY$4),0),"")</f>
        <v/>
      </c>
      <c r="C114" s="98">
        <f>IF(A114&lt;&gt;"",SUMIFS(Transactions!$F$7:$F$1000,Transactions!$D$7:$D$1000,"Income",Transactions!$E$7:$E$1000,A114),"")</f>
        <v/>
      </c>
      <c r="D114" s="98">
        <f>IF(A114&lt;&gt;"",SUMIFS(Transactions!$F$7:$F$1000,Transactions!$D$7:$D$1000,"Expense",Transactions!$E$7:$E$1000,A114),"")</f>
        <v/>
      </c>
      <c r="E114" s="99">
        <f>IF(A114&lt;&gt;"",B114-C114-D114,"")</f>
        <v/>
      </c>
      <c r="F114" s="99">
        <f>IF(A114&lt;&gt;"",IF(E114=0,"Settled","Unsettled"),"")</f>
        <v/>
      </c>
      <c r="G114" s="96" t="n"/>
      <c r="H114" s="91" t="n"/>
    </row>
    <row r="115" ht="20" customHeight="1">
      <c r="A115" s="89">
        <f>IF(Roster!$A$113&lt;&gt;"",Roster!$A$113,"")</f>
        <v/>
      </c>
      <c r="B115" s="89">
        <f>IF(A115&lt;&gt;"",IFERROR(INDEX(Roster!$B$5:$B$204,MATCH(A115,Roster!$A$5:$A$204,0)),0)+IFERROR(SUMPRODUCT((INDEX(Attendance!$B$7:$AY$206,MATCH(A115,Attendance!$A$7:$A$206,0),0)=1)*Attendance!$B$4:$AY$4),0),"")</f>
        <v/>
      </c>
      <c r="C115" s="95">
        <f>IF(A115&lt;&gt;"",SUMIFS(Transactions!$F$7:$F$1000,Transactions!$D$7:$D$1000,"Income",Transactions!$E$7:$E$1000,A115),"")</f>
        <v/>
      </c>
      <c r="D115" s="95">
        <f>IF(A115&lt;&gt;"",SUMIFS(Transactions!$F$7:$F$1000,Transactions!$D$7:$D$1000,"Expense",Transactions!$E$7:$E$1000,A115),"")</f>
        <v/>
      </c>
      <c r="E115" s="93">
        <f>IF(A115&lt;&gt;"",B115-C115-D115,"")</f>
        <v/>
      </c>
      <c r="F115" s="93">
        <f>IF(A115&lt;&gt;"",IF(E115=0,"Settled","Unsettled"),"")</f>
        <v/>
      </c>
      <c r="G115" s="96" t="n"/>
      <c r="H115" s="91" t="n"/>
    </row>
    <row r="116" ht="20" customHeight="1">
      <c r="A116" s="97">
        <f>IF(Roster!$A$114&lt;&gt;"",Roster!$A$114,"")</f>
        <v/>
      </c>
      <c r="B116" s="97">
        <f>IF(A116&lt;&gt;"",IFERROR(INDEX(Roster!$B$5:$B$204,MATCH(A116,Roster!$A$5:$A$204,0)),0)+IFERROR(SUMPRODUCT((INDEX(Attendance!$B$7:$AY$206,MATCH(A116,Attendance!$A$7:$A$206,0),0)=1)*Attendance!$B$4:$AY$4),0),"")</f>
        <v/>
      </c>
      <c r="C116" s="98">
        <f>IF(A116&lt;&gt;"",SUMIFS(Transactions!$F$7:$F$1000,Transactions!$D$7:$D$1000,"Income",Transactions!$E$7:$E$1000,A116),"")</f>
        <v/>
      </c>
      <c r="D116" s="98">
        <f>IF(A116&lt;&gt;"",SUMIFS(Transactions!$F$7:$F$1000,Transactions!$D$7:$D$1000,"Expense",Transactions!$E$7:$E$1000,A116),"")</f>
        <v/>
      </c>
      <c r="E116" s="99">
        <f>IF(A116&lt;&gt;"",B116-C116-D116,"")</f>
        <v/>
      </c>
      <c r="F116" s="99">
        <f>IF(A116&lt;&gt;"",IF(E116=0,"Settled","Unsettled"),"")</f>
        <v/>
      </c>
      <c r="G116" s="96" t="n"/>
      <c r="H116" s="91" t="n"/>
    </row>
    <row r="117" ht="20" customHeight="1">
      <c r="A117" s="89">
        <f>IF(Roster!$A$115&lt;&gt;"",Roster!$A$115,"")</f>
        <v/>
      </c>
      <c r="B117" s="89">
        <f>IF(A117&lt;&gt;"",IFERROR(INDEX(Roster!$B$5:$B$204,MATCH(A117,Roster!$A$5:$A$204,0)),0)+IFERROR(SUMPRODUCT((INDEX(Attendance!$B$7:$AY$206,MATCH(A117,Attendance!$A$7:$A$206,0),0)=1)*Attendance!$B$4:$AY$4),0),"")</f>
        <v/>
      </c>
      <c r="C117" s="95">
        <f>IF(A117&lt;&gt;"",SUMIFS(Transactions!$F$7:$F$1000,Transactions!$D$7:$D$1000,"Income",Transactions!$E$7:$E$1000,A117),"")</f>
        <v/>
      </c>
      <c r="D117" s="95">
        <f>IF(A117&lt;&gt;"",SUMIFS(Transactions!$F$7:$F$1000,Transactions!$D$7:$D$1000,"Expense",Transactions!$E$7:$E$1000,A117),"")</f>
        <v/>
      </c>
      <c r="E117" s="93">
        <f>IF(A117&lt;&gt;"",B117-C117-D117,"")</f>
        <v/>
      </c>
      <c r="F117" s="93">
        <f>IF(A117&lt;&gt;"",IF(E117=0,"Settled","Unsettled"),"")</f>
        <v/>
      </c>
      <c r="G117" s="96" t="n"/>
      <c r="H117" s="91" t="n"/>
    </row>
    <row r="118" ht="20" customHeight="1">
      <c r="A118" s="97">
        <f>IF(Roster!$A$116&lt;&gt;"",Roster!$A$116,"")</f>
        <v/>
      </c>
      <c r="B118" s="97">
        <f>IF(A118&lt;&gt;"",IFERROR(INDEX(Roster!$B$5:$B$204,MATCH(A118,Roster!$A$5:$A$204,0)),0)+IFERROR(SUMPRODUCT((INDEX(Attendance!$B$7:$AY$206,MATCH(A118,Attendance!$A$7:$A$206,0),0)=1)*Attendance!$B$4:$AY$4),0),"")</f>
        <v/>
      </c>
      <c r="C118" s="98">
        <f>IF(A118&lt;&gt;"",SUMIFS(Transactions!$F$7:$F$1000,Transactions!$D$7:$D$1000,"Income",Transactions!$E$7:$E$1000,A118),"")</f>
        <v/>
      </c>
      <c r="D118" s="98">
        <f>IF(A118&lt;&gt;"",SUMIFS(Transactions!$F$7:$F$1000,Transactions!$D$7:$D$1000,"Expense",Transactions!$E$7:$E$1000,A118),"")</f>
        <v/>
      </c>
      <c r="E118" s="99">
        <f>IF(A118&lt;&gt;"",B118-C118-D118,"")</f>
        <v/>
      </c>
      <c r="F118" s="99">
        <f>IF(A118&lt;&gt;"",IF(E118=0,"Settled","Unsettled"),"")</f>
        <v/>
      </c>
      <c r="G118" s="96" t="n"/>
      <c r="H118" s="91" t="n"/>
    </row>
    <row r="119" ht="20" customHeight="1">
      <c r="A119" s="89">
        <f>IF(Roster!$A$117&lt;&gt;"",Roster!$A$117,"")</f>
        <v/>
      </c>
      <c r="B119" s="89">
        <f>IF(A119&lt;&gt;"",IFERROR(INDEX(Roster!$B$5:$B$204,MATCH(A119,Roster!$A$5:$A$204,0)),0)+IFERROR(SUMPRODUCT((INDEX(Attendance!$B$7:$AY$206,MATCH(A119,Attendance!$A$7:$A$206,0),0)=1)*Attendance!$B$4:$AY$4),0),"")</f>
        <v/>
      </c>
      <c r="C119" s="95">
        <f>IF(A119&lt;&gt;"",SUMIFS(Transactions!$F$7:$F$1000,Transactions!$D$7:$D$1000,"Income",Transactions!$E$7:$E$1000,A119),"")</f>
        <v/>
      </c>
      <c r="D119" s="95">
        <f>IF(A119&lt;&gt;"",SUMIFS(Transactions!$F$7:$F$1000,Transactions!$D$7:$D$1000,"Expense",Transactions!$E$7:$E$1000,A119),"")</f>
        <v/>
      </c>
      <c r="E119" s="93">
        <f>IF(A119&lt;&gt;"",B119-C119-D119,"")</f>
        <v/>
      </c>
      <c r="F119" s="93">
        <f>IF(A119&lt;&gt;"",IF(E119=0,"Settled","Unsettled"),"")</f>
        <v/>
      </c>
      <c r="G119" s="96" t="n"/>
      <c r="H119" s="91" t="n"/>
    </row>
    <row r="120" ht="20" customHeight="1">
      <c r="A120" s="97">
        <f>IF(Roster!$A$118&lt;&gt;"",Roster!$A$118,"")</f>
        <v/>
      </c>
      <c r="B120" s="97">
        <f>IF(A120&lt;&gt;"",IFERROR(INDEX(Roster!$B$5:$B$204,MATCH(A120,Roster!$A$5:$A$204,0)),0)+IFERROR(SUMPRODUCT((INDEX(Attendance!$B$7:$AY$206,MATCH(A120,Attendance!$A$7:$A$206,0),0)=1)*Attendance!$B$4:$AY$4),0),"")</f>
        <v/>
      </c>
      <c r="C120" s="98">
        <f>IF(A120&lt;&gt;"",SUMIFS(Transactions!$F$7:$F$1000,Transactions!$D$7:$D$1000,"Income",Transactions!$E$7:$E$1000,A120),"")</f>
        <v/>
      </c>
      <c r="D120" s="98">
        <f>IF(A120&lt;&gt;"",SUMIFS(Transactions!$F$7:$F$1000,Transactions!$D$7:$D$1000,"Expense",Transactions!$E$7:$E$1000,A120),"")</f>
        <v/>
      </c>
      <c r="E120" s="99">
        <f>IF(A120&lt;&gt;"",B120-C120-D120,"")</f>
        <v/>
      </c>
      <c r="F120" s="99">
        <f>IF(A120&lt;&gt;"",IF(E120=0,"Settled","Unsettled"),"")</f>
        <v/>
      </c>
      <c r="G120" s="96" t="n"/>
      <c r="H120" s="91" t="n"/>
    </row>
    <row r="121" ht="20" customHeight="1">
      <c r="A121" s="89">
        <f>IF(Roster!$A$119&lt;&gt;"",Roster!$A$119,"")</f>
        <v/>
      </c>
      <c r="B121" s="89">
        <f>IF(A121&lt;&gt;"",IFERROR(INDEX(Roster!$B$5:$B$204,MATCH(A121,Roster!$A$5:$A$204,0)),0)+IFERROR(SUMPRODUCT((INDEX(Attendance!$B$7:$AY$206,MATCH(A121,Attendance!$A$7:$A$206,0),0)=1)*Attendance!$B$4:$AY$4),0),"")</f>
        <v/>
      </c>
      <c r="C121" s="95">
        <f>IF(A121&lt;&gt;"",SUMIFS(Transactions!$F$7:$F$1000,Transactions!$D$7:$D$1000,"Income",Transactions!$E$7:$E$1000,A121),"")</f>
        <v/>
      </c>
      <c r="D121" s="95">
        <f>IF(A121&lt;&gt;"",SUMIFS(Transactions!$F$7:$F$1000,Transactions!$D$7:$D$1000,"Expense",Transactions!$E$7:$E$1000,A121),"")</f>
        <v/>
      </c>
      <c r="E121" s="93">
        <f>IF(A121&lt;&gt;"",B121-C121-D121,"")</f>
        <v/>
      </c>
      <c r="F121" s="93">
        <f>IF(A121&lt;&gt;"",IF(E121=0,"Settled","Unsettled"),"")</f>
        <v/>
      </c>
      <c r="G121" s="96" t="n"/>
      <c r="H121" s="91" t="n"/>
    </row>
    <row r="122" ht="20" customHeight="1">
      <c r="A122" s="97">
        <f>IF(Roster!$A$120&lt;&gt;"",Roster!$A$120,"")</f>
        <v/>
      </c>
      <c r="B122" s="97">
        <f>IF(A122&lt;&gt;"",IFERROR(INDEX(Roster!$B$5:$B$204,MATCH(A122,Roster!$A$5:$A$204,0)),0)+IFERROR(SUMPRODUCT((INDEX(Attendance!$B$7:$AY$206,MATCH(A122,Attendance!$A$7:$A$206,0),0)=1)*Attendance!$B$4:$AY$4),0),"")</f>
        <v/>
      </c>
      <c r="C122" s="98">
        <f>IF(A122&lt;&gt;"",SUMIFS(Transactions!$F$7:$F$1000,Transactions!$D$7:$D$1000,"Income",Transactions!$E$7:$E$1000,A122),"")</f>
        <v/>
      </c>
      <c r="D122" s="98">
        <f>IF(A122&lt;&gt;"",SUMIFS(Transactions!$F$7:$F$1000,Transactions!$D$7:$D$1000,"Expense",Transactions!$E$7:$E$1000,A122),"")</f>
        <v/>
      </c>
      <c r="E122" s="99">
        <f>IF(A122&lt;&gt;"",B122-C122-D122,"")</f>
        <v/>
      </c>
      <c r="F122" s="99">
        <f>IF(A122&lt;&gt;"",IF(E122=0,"Settled","Unsettled"),"")</f>
        <v/>
      </c>
      <c r="G122" s="96" t="n"/>
      <c r="H122" s="91" t="n"/>
    </row>
    <row r="123" ht="20" customHeight="1">
      <c r="A123" s="89">
        <f>IF(Roster!$A$121&lt;&gt;"",Roster!$A$121,"")</f>
        <v/>
      </c>
      <c r="B123" s="89">
        <f>IF(A123&lt;&gt;"",IFERROR(INDEX(Roster!$B$5:$B$204,MATCH(A123,Roster!$A$5:$A$204,0)),0)+IFERROR(SUMPRODUCT((INDEX(Attendance!$B$7:$AY$206,MATCH(A123,Attendance!$A$7:$A$206,0),0)=1)*Attendance!$B$4:$AY$4),0),"")</f>
        <v/>
      </c>
      <c r="C123" s="95">
        <f>IF(A123&lt;&gt;"",SUMIFS(Transactions!$F$7:$F$1000,Transactions!$D$7:$D$1000,"Income",Transactions!$E$7:$E$1000,A123),"")</f>
        <v/>
      </c>
      <c r="D123" s="95">
        <f>IF(A123&lt;&gt;"",SUMIFS(Transactions!$F$7:$F$1000,Transactions!$D$7:$D$1000,"Expense",Transactions!$E$7:$E$1000,A123),"")</f>
        <v/>
      </c>
      <c r="E123" s="93">
        <f>IF(A123&lt;&gt;"",B123-C123-D123,"")</f>
        <v/>
      </c>
      <c r="F123" s="93">
        <f>IF(A123&lt;&gt;"",IF(E123=0,"Settled","Unsettled"),"")</f>
        <v/>
      </c>
      <c r="G123" s="96" t="n"/>
      <c r="H123" s="91" t="n"/>
    </row>
    <row r="124" ht="20" customHeight="1">
      <c r="A124" s="97">
        <f>IF(Roster!$A$122&lt;&gt;"",Roster!$A$122,"")</f>
        <v/>
      </c>
      <c r="B124" s="97">
        <f>IF(A124&lt;&gt;"",IFERROR(INDEX(Roster!$B$5:$B$204,MATCH(A124,Roster!$A$5:$A$204,0)),0)+IFERROR(SUMPRODUCT((INDEX(Attendance!$B$7:$AY$206,MATCH(A124,Attendance!$A$7:$A$206,0),0)=1)*Attendance!$B$4:$AY$4),0),"")</f>
        <v/>
      </c>
      <c r="C124" s="98">
        <f>IF(A124&lt;&gt;"",SUMIFS(Transactions!$F$7:$F$1000,Transactions!$D$7:$D$1000,"Income",Transactions!$E$7:$E$1000,A124),"")</f>
        <v/>
      </c>
      <c r="D124" s="98">
        <f>IF(A124&lt;&gt;"",SUMIFS(Transactions!$F$7:$F$1000,Transactions!$D$7:$D$1000,"Expense",Transactions!$E$7:$E$1000,A124),"")</f>
        <v/>
      </c>
      <c r="E124" s="99">
        <f>IF(A124&lt;&gt;"",B124-C124-D124,"")</f>
        <v/>
      </c>
      <c r="F124" s="99">
        <f>IF(A124&lt;&gt;"",IF(E124=0,"Settled","Unsettled"),"")</f>
        <v/>
      </c>
      <c r="G124" s="96" t="n"/>
      <c r="H124" s="91" t="n"/>
    </row>
    <row r="125" ht="20" customHeight="1">
      <c r="A125" s="89">
        <f>IF(Roster!$A$123&lt;&gt;"",Roster!$A$123,"")</f>
        <v/>
      </c>
      <c r="B125" s="89">
        <f>IF(A125&lt;&gt;"",IFERROR(INDEX(Roster!$B$5:$B$204,MATCH(A125,Roster!$A$5:$A$204,0)),0)+IFERROR(SUMPRODUCT((INDEX(Attendance!$B$7:$AY$206,MATCH(A125,Attendance!$A$7:$A$206,0),0)=1)*Attendance!$B$4:$AY$4),0),"")</f>
        <v/>
      </c>
      <c r="C125" s="95">
        <f>IF(A125&lt;&gt;"",SUMIFS(Transactions!$F$7:$F$1000,Transactions!$D$7:$D$1000,"Income",Transactions!$E$7:$E$1000,A125),"")</f>
        <v/>
      </c>
      <c r="D125" s="95">
        <f>IF(A125&lt;&gt;"",SUMIFS(Transactions!$F$7:$F$1000,Transactions!$D$7:$D$1000,"Expense",Transactions!$E$7:$E$1000,A125),"")</f>
        <v/>
      </c>
      <c r="E125" s="93">
        <f>IF(A125&lt;&gt;"",B125-C125-D125,"")</f>
        <v/>
      </c>
      <c r="F125" s="93">
        <f>IF(A125&lt;&gt;"",IF(E125=0,"Settled","Unsettled"),"")</f>
        <v/>
      </c>
      <c r="G125" s="96" t="n"/>
      <c r="H125" s="91" t="n"/>
    </row>
    <row r="126" ht="20" customHeight="1">
      <c r="A126" s="97">
        <f>IF(Roster!$A$124&lt;&gt;"",Roster!$A$124,"")</f>
        <v/>
      </c>
      <c r="B126" s="97">
        <f>IF(A126&lt;&gt;"",IFERROR(INDEX(Roster!$B$5:$B$204,MATCH(A126,Roster!$A$5:$A$204,0)),0)+IFERROR(SUMPRODUCT((INDEX(Attendance!$B$7:$AY$206,MATCH(A126,Attendance!$A$7:$A$206,0),0)=1)*Attendance!$B$4:$AY$4),0),"")</f>
        <v/>
      </c>
      <c r="C126" s="98">
        <f>IF(A126&lt;&gt;"",SUMIFS(Transactions!$F$7:$F$1000,Transactions!$D$7:$D$1000,"Income",Transactions!$E$7:$E$1000,A126),"")</f>
        <v/>
      </c>
      <c r="D126" s="98">
        <f>IF(A126&lt;&gt;"",SUMIFS(Transactions!$F$7:$F$1000,Transactions!$D$7:$D$1000,"Expense",Transactions!$E$7:$E$1000,A126),"")</f>
        <v/>
      </c>
      <c r="E126" s="99">
        <f>IF(A126&lt;&gt;"",B126-C126-D126,"")</f>
        <v/>
      </c>
      <c r="F126" s="99">
        <f>IF(A126&lt;&gt;"",IF(E126=0,"Settled","Unsettled"),"")</f>
        <v/>
      </c>
      <c r="G126" s="96" t="n"/>
      <c r="H126" s="91" t="n"/>
    </row>
    <row r="127" ht="20" customHeight="1">
      <c r="A127" s="89">
        <f>IF(Roster!$A$125&lt;&gt;"",Roster!$A$125,"")</f>
        <v/>
      </c>
      <c r="B127" s="89">
        <f>IF(A127&lt;&gt;"",IFERROR(INDEX(Roster!$B$5:$B$204,MATCH(A127,Roster!$A$5:$A$204,0)),0)+IFERROR(SUMPRODUCT((INDEX(Attendance!$B$7:$AY$206,MATCH(A127,Attendance!$A$7:$A$206,0),0)=1)*Attendance!$B$4:$AY$4),0),"")</f>
        <v/>
      </c>
      <c r="C127" s="95">
        <f>IF(A127&lt;&gt;"",SUMIFS(Transactions!$F$7:$F$1000,Transactions!$D$7:$D$1000,"Income",Transactions!$E$7:$E$1000,A127),"")</f>
        <v/>
      </c>
      <c r="D127" s="95">
        <f>IF(A127&lt;&gt;"",SUMIFS(Transactions!$F$7:$F$1000,Transactions!$D$7:$D$1000,"Expense",Transactions!$E$7:$E$1000,A127),"")</f>
        <v/>
      </c>
      <c r="E127" s="93">
        <f>IF(A127&lt;&gt;"",B127-C127-D127,"")</f>
        <v/>
      </c>
      <c r="F127" s="93">
        <f>IF(A127&lt;&gt;"",IF(E127=0,"Settled","Unsettled"),"")</f>
        <v/>
      </c>
      <c r="G127" s="96" t="n"/>
      <c r="H127" s="91" t="n"/>
    </row>
    <row r="128" ht="20" customHeight="1">
      <c r="A128" s="97">
        <f>IF(Roster!$A$126&lt;&gt;"",Roster!$A$126,"")</f>
        <v/>
      </c>
      <c r="B128" s="97">
        <f>IF(A128&lt;&gt;"",IFERROR(INDEX(Roster!$B$5:$B$204,MATCH(A128,Roster!$A$5:$A$204,0)),0)+IFERROR(SUMPRODUCT((INDEX(Attendance!$B$7:$AY$206,MATCH(A128,Attendance!$A$7:$A$206,0),0)=1)*Attendance!$B$4:$AY$4),0),"")</f>
        <v/>
      </c>
      <c r="C128" s="98">
        <f>IF(A128&lt;&gt;"",SUMIFS(Transactions!$F$7:$F$1000,Transactions!$D$7:$D$1000,"Income",Transactions!$E$7:$E$1000,A128),"")</f>
        <v/>
      </c>
      <c r="D128" s="98">
        <f>IF(A128&lt;&gt;"",SUMIFS(Transactions!$F$7:$F$1000,Transactions!$D$7:$D$1000,"Expense",Transactions!$E$7:$E$1000,A128),"")</f>
        <v/>
      </c>
      <c r="E128" s="99">
        <f>IF(A128&lt;&gt;"",B128-C128-D128,"")</f>
        <v/>
      </c>
      <c r="F128" s="99">
        <f>IF(A128&lt;&gt;"",IF(E128=0,"Settled","Unsettled"),"")</f>
        <v/>
      </c>
      <c r="G128" s="96" t="n"/>
      <c r="H128" s="91" t="n"/>
    </row>
    <row r="129" ht="20" customHeight="1">
      <c r="A129" s="89">
        <f>IF(Roster!$A$127&lt;&gt;"",Roster!$A$127,"")</f>
        <v/>
      </c>
      <c r="B129" s="89">
        <f>IF(A129&lt;&gt;"",IFERROR(INDEX(Roster!$B$5:$B$204,MATCH(A129,Roster!$A$5:$A$204,0)),0)+IFERROR(SUMPRODUCT((INDEX(Attendance!$B$7:$AY$206,MATCH(A129,Attendance!$A$7:$A$206,0),0)=1)*Attendance!$B$4:$AY$4),0),"")</f>
        <v/>
      </c>
      <c r="C129" s="95">
        <f>IF(A129&lt;&gt;"",SUMIFS(Transactions!$F$7:$F$1000,Transactions!$D$7:$D$1000,"Income",Transactions!$E$7:$E$1000,A129),"")</f>
        <v/>
      </c>
      <c r="D129" s="95">
        <f>IF(A129&lt;&gt;"",SUMIFS(Transactions!$F$7:$F$1000,Transactions!$D$7:$D$1000,"Expense",Transactions!$E$7:$E$1000,A129),"")</f>
        <v/>
      </c>
      <c r="E129" s="93">
        <f>IF(A129&lt;&gt;"",B129-C129-D129,"")</f>
        <v/>
      </c>
      <c r="F129" s="93">
        <f>IF(A129&lt;&gt;"",IF(E129=0,"Settled","Unsettled"),"")</f>
        <v/>
      </c>
      <c r="G129" s="96" t="n"/>
      <c r="H129" s="91" t="n"/>
    </row>
    <row r="130" ht="20" customHeight="1">
      <c r="A130" s="97">
        <f>IF(Roster!$A$128&lt;&gt;"",Roster!$A$128,"")</f>
        <v/>
      </c>
      <c r="B130" s="97">
        <f>IF(A130&lt;&gt;"",IFERROR(INDEX(Roster!$B$5:$B$204,MATCH(A130,Roster!$A$5:$A$204,0)),0)+IFERROR(SUMPRODUCT((INDEX(Attendance!$B$7:$AY$206,MATCH(A130,Attendance!$A$7:$A$206,0),0)=1)*Attendance!$B$4:$AY$4),0),"")</f>
        <v/>
      </c>
      <c r="C130" s="98">
        <f>IF(A130&lt;&gt;"",SUMIFS(Transactions!$F$7:$F$1000,Transactions!$D$7:$D$1000,"Income",Transactions!$E$7:$E$1000,A130),"")</f>
        <v/>
      </c>
      <c r="D130" s="98">
        <f>IF(A130&lt;&gt;"",SUMIFS(Transactions!$F$7:$F$1000,Transactions!$D$7:$D$1000,"Expense",Transactions!$E$7:$E$1000,A130),"")</f>
        <v/>
      </c>
      <c r="E130" s="99">
        <f>IF(A130&lt;&gt;"",B130-C130-D130,"")</f>
        <v/>
      </c>
      <c r="F130" s="99">
        <f>IF(A130&lt;&gt;"",IF(E130=0,"Settled","Unsettled"),"")</f>
        <v/>
      </c>
      <c r="G130" s="96" t="n"/>
      <c r="H130" s="91" t="n"/>
    </row>
    <row r="131" ht="20" customHeight="1">
      <c r="A131" s="89">
        <f>IF(Roster!$A$129&lt;&gt;"",Roster!$A$129,"")</f>
        <v/>
      </c>
      <c r="B131" s="89">
        <f>IF(A131&lt;&gt;"",IFERROR(INDEX(Roster!$B$5:$B$204,MATCH(A131,Roster!$A$5:$A$204,0)),0)+IFERROR(SUMPRODUCT((INDEX(Attendance!$B$7:$AY$206,MATCH(A131,Attendance!$A$7:$A$206,0),0)=1)*Attendance!$B$4:$AY$4),0),"")</f>
        <v/>
      </c>
      <c r="C131" s="95">
        <f>IF(A131&lt;&gt;"",SUMIFS(Transactions!$F$7:$F$1000,Transactions!$D$7:$D$1000,"Income",Transactions!$E$7:$E$1000,A131),"")</f>
        <v/>
      </c>
      <c r="D131" s="95">
        <f>IF(A131&lt;&gt;"",SUMIFS(Transactions!$F$7:$F$1000,Transactions!$D$7:$D$1000,"Expense",Transactions!$E$7:$E$1000,A131),"")</f>
        <v/>
      </c>
      <c r="E131" s="93">
        <f>IF(A131&lt;&gt;"",B131-C131-D131,"")</f>
        <v/>
      </c>
      <c r="F131" s="93">
        <f>IF(A131&lt;&gt;"",IF(E131=0,"Settled","Unsettled"),"")</f>
        <v/>
      </c>
      <c r="G131" s="96" t="n"/>
      <c r="H131" s="91" t="n"/>
    </row>
    <row r="132" ht="20" customHeight="1">
      <c r="A132" s="97">
        <f>IF(Roster!$A$130&lt;&gt;"",Roster!$A$130,"")</f>
        <v/>
      </c>
      <c r="B132" s="97">
        <f>IF(A132&lt;&gt;"",IFERROR(INDEX(Roster!$B$5:$B$204,MATCH(A132,Roster!$A$5:$A$204,0)),0)+IFERROR(SUMPRODUCT((INDEX(Attendance!$B$7:$AY$206,MATCH(A132,Attendance!$A$7:$A$206,0),0)=1)*Attendance!$B$4:$AY$4),0),"")</f>
        <v/>
      </c>
      <c r="C132" s="98">
        <f>IF(A132&lt;&gt;"",SUMIFS(Transactions!$F$7:$F$1000,Transactions!$D$7:$D$1000,"Income",Transactions!$E$7:$E$1000,A132),"")</f>
        <v/>
      </c>
      <c r="D132" s="98">
        <f>IF(A132&lt;&gt;"",SUMIFS(Transactions!$F$7:$F$1000,Transactions!$D$7:$D$1000,"Expense",Transactions!$E$7:$E$1000,A132),"")</f>
        <v/>
      </c>
      <c r="E132" s="99">
        <f>IF(A132&lt;&gt;"",B132-C132-D132,"")</f>
        <v/>
      </c>
      <c r="F132" s="99">
        <f>IF(A132&lt;&gt;"",IF(E132=0,"Settled","Unsettled"),"")</f>
        <v/>
      </c>
      <c r="G132" s="96" t="n"/>
      <c r="H132" s="91" t="n"/>
    </row>
    <row r="133" ht="20" customHeight="1">
      <c r="A133" s="89">
        <f>IF(Roster!$A$131&lt;&gt;"",Roster!$A$131,"")</f>
        <v/>
      </c>
      <c r="B133" s="89">
        <f>IF(A133&lt;&gt;"",IFERROR(INDEX(Roster!$B$5:$B$204,MATCH(A133,Roster!$A$5:$A$204,0)),0)+IFERROR(SUMPRODUCT((INDEX(Attendance!$B$7:$AY$206,MATCH(A133,Attendance!$A$7:$A$206,0),0)=1)*Attendance!$B$4:$AY$4),0),"")</f>
        <v/>
      </c>
      <c r="C133" s="95">
        <f>IF(A133&lt;&gt;"",SUMIFS(Transactions!$F$7:$F$1000,Transactions!$D$7:$D$1000,"Income",Transactions!$E$7:$E$1000,A133),"")</f>
        <v/>
      </c>
      <c r="D133" s="95">
        <f>IF(A133&lt;&gt;"",SUMIFS(Transactions!$F$7:$F$1000,Transactions!$D$7:$D$1000,"Expense",Transactions!$E$7:$E$1000,A133),"")</f>
        <v/>
      </c>
      <c r="E133" s="93">
        <f>IF(A133&lt;&gt;"",B133-C133-D133,"")</f>
        <v/>
      </c>
      <c r="F133" s="93">
        <f>IF(A133&lt;&gt;"",IF(E133=0,"Settled","Unsettled"),"")</f>
        <v/>
      </c>
      <c r="G133" s="96" t="n"/>
      <c r="H133" s="91" t="n"/>
    </row>
    <row r="134" ht="20" customHeight="1">
      <c r="A134" s="97">
        <f>IF(Roster!$A$132&lt;&gt;"",Roster!$A$132,"")</f>
        <v/>
      </c>
      <c r="B134" s="97">
        <f>IF(A134&lt;&gt;"",IFERROR(INDEX(Roster!$B$5:$B$204,MATCH(A134,Roster!$A$5:$A$204,0)),0)+IFERROR(SUMPRODUCT((INDEX(Attendance!$B$7:$AY$206,MATCH(A134,Attendance!$A$7:$A$206,0),0)=1)*Attendance!$B$4:$AY$4),0),"")</f>
        <v/>
      </c>
      <c r="C134" s="98">
        <f>IF(A134&lt;&gt;"",SUMIFS(Transactions!$F$7:$F$1000,Transactions!$D$7:$D$1000,"Income",Transactions!$E$7:$E$1000,A134),"")</f>
        <v/>
      </c>
      <c r="D134" s="98">
        <f>IF(A134&lt;&gt;"",SUMIFS(Transactions!$F$7:$F$1000,Transactions!$D$7:$D$1000,"Expense",Transactions!$E$7:$E$1000,A134),"")</f>
        <v/>
      </c>
      <c r="E134" s="99">
        <f>IF(A134&lt;&gt;"",B134-C134-D134,"")</f>
        <v/>
      </c>
      <c r="F134" s="99">
        <f>IF(A134&lt;&gt;"",IF(E134=0,"Settled","Unsettled"),"")</f>
        <v/>
      </c>
      <c r="G134" s="96" t="n"/>
      <c r="H134" s="91" t="n"/>
    </row>
    <row r="135" ht="20" customHeight="1">
      <c r="A135" s="89">
        <f>IF(Roster!$A$133&lt;&gt;"",Roster!$A$133,"")</f>
        <v/>
      </c>
      <c r="B135" s="89">
        <f>IF(A135&lt;&gt;"",IFERROR(INDEX(Roster!$B$5:$B$204,MATCH(A135,Roster!$A$5:$A$204,0)),0)+IFERROR(SUMPRODUCT((INDEX(Attendance!$B$7:$AY$206,MATCH(A135,Attendance!$A$7:$A$206,0),0)=1)*Attendance!$B$4:$AY$4),0),"")</f>
        <v/>
      </c>
      <c r="C135" s="95">
        <f>IF(A135&lt;&gt;"",SUMIFS(Transactions!$F$7:$F$1000,Transactions!$D$7:$D$1000,"Income",Transactions!$E$7:$E$1000,A135),"")</f>
        <v/>
      </c>
      <c r="D135" s="95">
        <f>IF(A135&lt;&gt;"",SUMIFS(Transactions!$F$7:$F$1000,Transactions!$D$7:$D$1000,"Expense",Transactions!$E$7:$E$1000,A135),"")</f>
        <v/>
      </c>
      <c r="E135" s="93">
        <f>IF(A135&lt;&gt;"",B135-C135-D135,"")</f>
        <v/>
      </c>
      <c r="F135" s="93">
        <f>IF(A135&lt;&gt;"",IF(E135=0,"Settled","Unsettled"),"")</f>
        <v/>
      </c>
      <c r="G135" s="96" t="n"/>
      <c r="H135" s="91" t="n"/>
    </row>
    <row r="136" ht="20" customHeight="1">
      <c r="A136" s="97">
        <f>IF(Roster!$A$134&lt;&gt;"",Roster!$A$134,"")</f>
        <v/>
      </c>
      <c r="B136" s="97">
        <f>IF(A136&lt;&gt;"",IFERROR(INDEX(Roster!$B$5:$B$204,MATCH(A136,Roster!$A$5:$A$204,0)),0)+IFERROR(SUMPRODUCT((INDEX(Attendance!$B$7:$AY$206,MATCH(A136,Attendance!$A$7:$A$206,0),0)=1)*Attendance!$B$4:$AY$4),0),"")</f>
        <v/>
      </c>
      <c r="C136" s="98">
        <f>IF(A136&lt;&gt;"",SUMIFS(Transactions!$F$7:$F$1000,Transactions!$D$7:$D$1000,"Income",Transactions!$E$7:$E$1000,A136),"")</f>
        <v/>
      </c>
      <c r="D136" s="98">
        <f>IF(A136&lt;&gt;"",SUMIFS(Transactions!$F$7:$F$1000,Transactions!$D$7:$D$1000,"Expense",Transactions!$E$7:$E$1000,A136),"")</f>
        <v/>
      </c>
      <c r="E136" s="99">
        <f>IF(A136&lt;&gt;"",B136-C136-D136,"")</f>
        <v/>
      </c>
      <c r="F136" s="99">
        <f>IF(A136&lt;&gt;"",IF(E136=0,"Settled","Unsettled"),"")</f>
        <v/>
      </c>
      <c r="G136" s="96" t="n"/>
      <c r="H136" s="91" t="n"/>
    </row>
    <row r="137" ht="20" customHeight="1">
      <c r="A137" s="89">
        <f>IF(Roster!$A$135&lt;&gt;"",Roster!$A$135,"")</f>
        <v/>
      </c>
      <c r="B137" s="89">
        <f>IF(A137&lt;&gt;"",IFERROR(INDEX(Roster!$B$5:$B$204,MATCH(A137,Roster!$A$5:$A$204,0)),0)+IFERROR(SUMPRODUCT((INDEX(Attendance!$B$7:$AY$206,MATCH(A137,Attendance!$A$7:$A$206,0),0)=1)*Attendance!$B$4:$AY$4),0),"")</f>
        <v/>
      </c>
      <c r="C137" s="95">
        <f>IF(A137&lt;&gt;"",SUMIFS(Transactions!$F$7:$F$1000,Transactions!$D$7:$D$1000,"Income",Transactions!$E$7:$E$1000,A137),"")</f>
        <v/>
      </c>
      <c r="D137" s="95">
        <f>IF(A137&lt;&gt;"",SUMIFS(Transactions!$F$7:$F$1000,Transactions!$D$7:$D$1000,"Expense",Transactions!$E$7:$E$1000,A137),"")</f>
        <v/>
      </c>
      <c r="E137" s="93">
        <f>IF(A137&lt;&gt;"",B137-C137-D137,"")</f>
        <v/>
      </c>
      <c r="F137" s="93">
        <f>IF(A137&lt;&gt;"",IF(E137=0,"Settled","Unsettled"),"")</f>
        <v/>
      </c>
      <c r="G137" s="96" t="n"/>
      <c r="H137" s="91" t="n"/>
    </row>
    <row r="138" ht="20" customHeight="1">
      <c r="A138" s="97">
        <f>IF(Roster!$A$136&lt;&gt;"",Roster!$A$136,"")</f>
        <v/>
      </c>
      <c r="B138" s="97">
        <f>IF(A138&lt;&gt;"",IFERROR(INDEX(Roster!$B$5:$B$204,MATCH(A138,Roster!$A$5:$A$204,0)),0)+IFERROR(SUMPRODUCT((INDEX(Attendance!$B$7:$AY$206,MATCH(A138,Attendance!$A$7:$A$206,0),0)=1)*Attendance!$B$4:$AY$4),0),"")</f>
        <v/>
      </c>
      <c r="C138" s="98">
        <f>IF(A138&lt;&gt;"",SUMIFS(Transactions!$F$7:$F$1000,Transactions!$D$7:$D$1000,"Income",Transactions!$E$7:$E$1000,A138),"")</f>
        <v/>
      </c>
      <c r="D138" s="98">
        <f>IF(A138&lt;&gt;"",SUMIFS(Transactions!$F$7:$F$1000,Transactions!$D$7:$D$1000,"Expense",Transactions!$E$7:$E$1000,A138),"")</f>
        <v/>
      </c>
      <c r="E138" s="99">
        <f>IF(A138&lt;&gt;"",B138-C138-D138,"")</f>
        <v/>
      </c>
      <c r="F138" s="99">
        <f>IF(A138&lt;&gt;"",IF(E138=0,"Settled","Unsettled"),"")</f>
        <v/>
      </c>
      <c r="G138" s="96" t="n"/>
      <c r="H138" s="91" t="n"/>
    </row>
    <row r="139" ht="20" customHeight="1">
      <c r="A139" s="89">
        <f>IF(Roster!$A$137&lt;&gt;"",Roster!$A$137,"")</f>
        <v/>
      </c>
      <c r="B139" s="89">
        <f>IF(A139&lt;&gt;"",IFERROR(INDEX(Roster!$B$5:$B$204,MATCH(A139,Roster!$A$5:$A$204,0)),0)+IFERROR(SUMPRODUCT((INDEX(Attendance!$B$7:$AY$206,MATCH(A139,Attendance!$A$7:$A$206,0),0)=1)*Attendance!$B$4:$AY$4),0),"")</f>
        <v/>
      </c>
      <c r="C139" s="95">
        <f>IF(A139&lt;&gt;"",SUMIFS(Transactions!$F$7:$F$1000,Transactions!$D$7:$D$1000,"Income",Transactions!$E$7:$E$1000,A139),"")</f>
        <v/>
      </c>
      <c r="D139" s="95">
        <f>IF(A139&lt;&gt;"",SUMIFS(Transactions!$F$7:$F$1000,Transactions!$D$7:$D$1000,"Expense",Transactions!$E$7:$E$1000,A139),"")</f>
        <v/>
      </c>
      <c r="E139" s="93">
        <f>IF(A139&lt;&gt;"",B139-C139-D139,"")</f>
        <v/>
      </c>
      <c r="F139" s="93">
        <f>IF(A139&lt;&gt;"",IF(E139=0,"Settled","Unsettled"),"")</f>
        <v/>
      </c>
      <c r="G139" s="96" t="n"/>
      <c r="H139" s="91" t="n"/>
    </row>
    <row r="140" ht="20" customHeight="1">
      <c r="A140" s="97">
        <f>IF(Roster!$A$138&lt;&gt;"",Roster!$A$138,"")</f>
        <v/>
      </c>
      <c r="B140" s="97">
        <f>IF(A140&lt;&gt;"",IFERROR(INDEX(Roster!$B$5:$B$204,MATCH(A140,Roster!$A$5:$A$204,0)),0)+IFERROR(SUMPRODUCT((INDEX(Attendance!$B$7:$AY$206,MATCH(A140,Attendance!$A$7:$A$206,0),0)=1)*Attendance!$B$4:$AY$4),0),"")</f>
        <v/>
      </c>
      <c r="C140" s="98">
        <f>IF(A140&lt;&gt;"",SUMIFS(Transactions!$F$7:$F$1000,Transactions!$D$7:$D$1000,"Income",Transactions!$E$7:$E$1000,A140),"")</f>
        <v/>
      </c>
      <c r="D140" s="98">
        <f>IF(A140&lt;&gt;"",SUMIFS(Transactions!$F$7:$F$1000,Transactions!$D$7:$D$1000,"Expense",Transactions!$E$7:$E$1000,A140),"")</f>
        <v/>
      </c>
      <c r="E140" s="99">
        <f>IF(A140&lt;&gt;"",B140-C140-D140,"")</f>
        <v/>
      </c>
      <c r="F140" s="99">
        <f>IF(A140&lt;&gt;"",IF(E140=0,"Settled","Unsettled"),"")</f>
        <v/>
      </c>
      <c r="G140" s="96" t="n"/>
      <c r="H140" s="91" t="n"/>
    </row>
    <row r="141" ht="20" customHeight="1">
      <c r="A141" s="89">
        <f>IF(Roster!$A$139&lt;&gt;"",Roster!$A$139,"")</f>
        <v/>
      </c>
      <c r="B141" s="89">
        <f>IF(A141&lt;&gt;"",IFERROR(INDEX(Roster!$B$5:$B$204,MATCH(A141,Roster!$A$5:$A$204,0)),0)+IFERROR(SUMPRODUCT((INDEX(Attendance!$B$7:$AY$206,MATCH(A141,Attendance!$A$7:$A$206,0),0)=1)*Attendance!$B$4:$AY$4),0),"")</f>
        <v/>
      </c>
      <c r="C141" s="95">
        <f>IF(A141&lt;&gt;"",SUMIFS(Transactions!$F$7:$F$1000,Transactions!$D$7:$D$1000,"Income",Transactions!$E$7:$E$1000,A141),"")</f>
        <v/>
      </c>
      <c r="D141" s="95">
        <f>IF(A141&lt;&gt;"",SUMIFS(Transactions!$F$7:$F$1000,Transactions!$D$7:$D$1000,"Expense",Transactions!$E$7:$E$1000,A141),"")</f>
        <v/>
      </c>
      <c r="E141" s="93">
        <f>IF(A141&lt;&gt;"",B141-C141-D141,"")</f>
        <v/>
      </c>
      <c r="F141" s="93">
        <f>IF(A141&lt;&gt;"",IF(E141=0,"Settled","Unsettled"),"")</f>
        <v/>
      </c>
      <c r="G141" s="96" t="n"/>
      <c r="H141" s="91" t="n"/>
    </row>
    <row r="142" ht="20" customHeight="1">
      <c r="A142" s="97">
        <f>IF(Roster!$A$140&lt;&gt;"",Roster!$A$140,"")</f>
        <v/>
      </c>
      <c r="B142" s="97">
        <f>IF(A142&lt;&gt;"",IFERROR(INDEX(Roster!$B$5:$B$204,MATCH(A142,Roster!$A$5:$A$204,0)),0)+IFERROR(SUMPRODUCT((INDEX(Attendance!$B$7:$AY$206,MATCH(A142,Attendance!$A$7:$A$206,0),0)=1)*Attendance!$B$4:$AY$4),0),"")</f>
        <v/>
      </c>
      <c r="C142" s="98">
        <f>IF(A142&lt;&gt;"",SUMIFS(Transactions!$F$7:$F$1000,Transactions!$D$7:$D$1000,"Income",Transactions!$E$7:$E$1000,A142),"")</f>
        <v/>
      </c>
      <c r="D142" s="98">
        <f>IF(A142&lt;&gt;"",SUMIFS(Transactions!$F$7:$F$1000,Transactions!$D$7:$D$1000,"Expense",Transactions!$E$7:$E$1000,A142),"")</f>
        <v/>
      </c>
      <c r="E142" s="99">
        <f>IF(A142&lt;&gt;"",B142-C142-D142,"")</f>
        <v/>
      </c>
      <c r="F142" s="99">
        <f>IF(A142&lt;&gt;"",IF(E142=0,"Settled","Unsettled"),"")</f>
        <v/>
      </c>
      <c r="G142" s="96" t="n"/>
      <c r="H142" s="91" t="n"/>
    </row>
    <row r="143" ht="20" customHeight="1">
      <c r="A143" s="89">
        <f>IF(Roster!$A$141&lt;&gt;"",Roster!$A$141,"")</f>
        <v/>
      </c>
      <c r="B143" s="89">
        <f>IF(A143&lt;&gt;"",IFERROR(INDEX(Roster!$B$5:$B$204,MATCH(A143,Roster!$A$5:$A$204,0)),0)+IFERROR(SUMPRODUCT((INDEX(Attendance!$B$7:$AY$206,MATCH(A143,Attendance!$A$7:$A$206,0),0)=1)*Attendance!$B$4:$AY$4),0),"")</f>
        <v/>
      </c>
      <c r="C143" s="95">
        <f>IF(A143&lt;&gt;"",SUMIFS(Transactions!$F$7:$F$1000,Transactions!$D$7:$D$1000,"Income",Transactions!$E$7:$E$1000,A143),"")</f>
        <v/>
      </c>
      <c r="D143" s="95">
        <f>IF(A143&lt;&gt;"",SUMIFS(Transactions!$F$7:$F$1000,Transactions!$D$7:$D$1000,"Expense",Transactions!$E$7:$E$1000,A143),"")</f>
        <v/>
      </c>
      <c r="E143" s="93">
        <f>IF(A143&lt;&gt;"",B143-C143-D143,"")</f>
        <v/>
      </c>
      <c r="F143" s="93">
        <f>IF(A143&lt;&gt;"",IF(E143=0,"Settled","Unsettled"),"")</f>
        <v/>
      </c>
      <c r="G143" s="96" t="n"/>
      <c r="H143" s="91" t="n"/>
    </row>
    <row r="144" ht="20" customHeight="1">
      <c r="A144" s="97">
        <f>IF(Roster!$A$142&lt;&gt;"",Roster!$A$142,"")</f>
        <v/>
      </c>
      <c r="B144" s="97">
        <f>IF(A144&lt;&gt;"",IFERROR(INDEX(Roster!$B$5:$B$204,MATCH(A144,Roster!$A$5:$A$204,0)),0)+IFERROR(SUMPRODUCT((INDEX(Attendance!$B$7:$AY$206,MATCH(A144,Attendance!$A$7:$A$206,0),0)=1)*Attendance!$B$4:$AY$4),0),"")</f>
        <v/>
      </c>
      <c r="C144" s="98">
        <f>IF(A144&lt;&gt;"",SUMIFS(Transactions!$F$7:$F$1000,Transactions!$D$7:$D$1000,"Income",Transactions!$E$7:$E$1000,A144),"")</f>
        <v/>
      </c>
      <c r="D144" s="98">
        <f>IF(A144&lt;&gt;"",SUMIFS(Transactions!$F$7:$F$1000,Transactions!$D$7:$D$1000,"Expense",Transactions!$E$7:$E$1000,A144),"")</f>
        <v/>
      </c>
      <c r="E144" s="99">
        <f>IF(A144&lt;&gt;"",B144-C144-D144,"")</f>
        <v/>
      </c>
      <c r="F144" s="99">
        <f>IF(A144&lt;&gt;"",IF(E144=0,"Settled","Unsettled"),"")</f>
        <v/>
      </c>
      <c r="G144" s="96" t="n"/>
      <c r="H144" s="91" t="n"/>
    </row>
    <row r="145" ht="20" customHeight="1">
      <c r="A145" s="89">
        <f>IF(Roster!$A$143&lt;&gt;"",Roster!$A$143,"")</f>
        <v/>
      </c>
      <c r="B145" s="89">
        <f>IF(A145&lt;&gt;"",IFERROR(INDEX(Roster!$B$5:$B$204,MATCH(A145,Roster!$A$5:$A$204,0)),0)+IFERROR(SUMPRODUCT((INDEX(Attendance!$B$7:$AY$206,MATCH(A145,Attendance!$A$7:$A$206,0),0)=1)*Attendance!$B$4:$AY$4),0),"")</f>
        <v/>
      </c>
      <c r="C145" s="95">
        <f>IF(A145&lt;&gt;"",SUMIFS(Transactions!$F$7:$F$1000,Transactions!$D$7:$D$1000,"Income",Transactions!$E$7:$E$1000,A145),"")</f>
        <v/>
      </c>
      <c r="D145" s="95">
        <f>IF(A145&lt;&gt;"",SUMIFS(Transactions!$F$7:$F$1000,Transactions!$D$7:$D$1000,"Expense",Transactions!$E$7:$E$1000,A145),"")</f>
        <v/>
      </c>
      <c r="E145" s="93">
        <f>IF(A145&lt;&gt;"",B145-C145-D145,"")</f>
        <v/>
      </c>
      <c r="F145" s="93">
        <f>IF(A145&lt;&gt;"",IF(E145=0,"Settled","Unsettled"),"")</f>
        <v/>
      </c>
      <c r="G145" s="96" t="n"/>
      <c r="H145" s="91" t="n"/>
    </row>
    <row r="146" ht="20" customHeight="1">
      <c r="A146" s="97">
        <f>IF(Roster!$A$144&lt;&gt;"",Roster!$A$144,"")</f>
        <v/>
      </c>
      <c r="B146" s="97">
        <f>IF(A146&lt;&gt;"",IFERROR(INDEX(Roster!$B$5:$B$204,MATCH(A146,Roster!$A$5:$A$204,0)),0)+IFERROR(SUMPRODUCT((INDEX(Attendance!$B$7:$AY$206,MATCH(A146,Attendance!$A$7:$A$206,0),0)=1)*Attendance!$B$4:$AY$4),0),"")</f>
        <v/>
      </c>
      <c r="C146" s="98">
        <f>IF(A146&lt;&gt;"",SUMIFS(Transactions!$F$7:$F$1000,Transactions!$D$7:$D$1000,"Income",Transactions!$E$7:$E$1000,A146),"")</f>
        <v/>
      </c>
      <c r="D146" s="98">
        <f>IF(A146&lt;&gt;"",SUMIFS(Transactions!$F$7:$F$1000,Transactions!$D$7:$D$1000,"Expense",Transactions!$E$7:$E$1000,A146),"")</f>
        <v/>
      </c>
      <c r="E146" s="99">
        <f>IF(A146&lt;&gt;"",B146-C146-D146,"")</f>
        <v/>
      </c>
      <c r="F146" s="99">
        <f>IF(A146&lt;&gt;"",IF(E146=0,"Settled","Unsettled"),"")</f>
        <v/>
      </c>
      <c r="G146" s="96" t="n"/>
      <c r="H146" s="91" t="n"/>
    </row>
    <row r="147" ht="20" customHeight="1">
      <c r="A147" s="89">
        <f>IF(Roster!$A$145&lt;&gt;"",Roster!$A$145,"")</f>
        <v/>
      </c>
      <c r="B147" s="89">
        <f>IF(A147&lt;&gt;"",IFERROR(INDEX(Roster!$B$5:$B$204,MATCH(A147,Roster!$A$5:$A$204,0)),0)+IFERROR(SUMPRODUCT((INDEX(Attendance!$B$7:$AY$206,MATCH(A147,Attendance!$A$7:$A$206,0),0)=1)*Attendance!$B$4:$AY$4),0),"")</f>
        <v/>
      </c>
      <c r="C147" s="95">
        <f>IF(A147&lt;&gt;"",SUMIFS(Transactions!$F$7:$F$1000,Transactions!$D$7:$D$1000,"Income",Transactions!$E$7:$E$1000,A147),"")</f>
        <v/>
      </c>
      <c r="D147" s="95">
        <f>IF(A147&lt;&gt;"",SUMIFS(Transactions!$F$7:$F$1000,Transactions!$D$7:$D$1000,"Expense",Transactions!$E$7:$E$1000,A147),"")</f>
        <v/>
      </c>
      <c r="E147" s="93">
        <f>IF(A147&lt;&gt;"",B147-C147-D147,"")</f>
        <v/>
      </c>
      <c r="F147" s="93">
        <f>IF(A147&lt;&gt;"",IF(E147=0,"Settled","Unsettled"),"")</f>
        <v/>
      </c>
      <c r="G147" s="96" t="n"/>
      <c r="H147" s="91" t="n"/>
    </row>
    <row r="148" ht="20" customHeight="1">
      <c r="A148" s="97">
        <f>IF(Roster!$A$146&lt;&gt;"",Roster!$A$146,"")</f>
        <v/>
      </c>
      <c r="B148" s="97">
        <f>IF(A148&lt;&gt;"",IFERROR(INDEX(Roster!$B$5:$B$204,MATCH(A148,Roster!$A$5:$A$204,0)),0)+IFERROR(SUMPRODUCT((INDEX(Attendance!$B$7:$AY$206,MATCH(A148,Attendance!$A$7:$A$206,0),0)=1)*Attendance!$B$4:$AY$4),0),"")</f>
        <v/>
      </c>
      <c r="C148" s="98">
        <f>IF(A148&lt;&gt;"",SUMIFS(Transactions!$F$7:$F$1000,Transactions!$D$7:$D$1000,"Income",Transactions!$E$7:$E$1000,A148),"")</f>
        <v/>
      </c>
      <c r="D148" s="98">
        <f>IF(A148&lt;&gt;"",SUMIFS(Transactions!$F$7:$F$1000,Transactions!$D$7:$D$1000,"Expense",Transactions!$E$7:$E$1000,A148),"")</f>
        <v/>
      </c>
      <c r="E148" s="99">
        <f>IF(A148&lt;&gt;"",B148-C148-D148,"")</f>
        <v/>
      </c>
      <c r="F148" s="99">
        <f>IF(A148&lt;&gt;"",IF(E148=0,"Settled","Unsettled"),"")</f>
        <v/>
      </c>
      <c r="G148" s="96" t="n"/>
      <c r="H148" s="91" t="n"/>
    </row>
    <row r="149" ht="20" customHeight="1">
      <c r="A149" s="89">
        <f>IF(Roster!$A$147&lt;&gt;"",Roster!$A$147,"")</f>
        <v/>
      </c>
      <c r="B149" s="89">
        <f>IF(A149&lt;&gt;"",IFERROR(INDEX(Roster!$B$5:$B$204,MATCH(A149,Roster!$A$5:$A$204,0)),0)+IFERROR(SUMPRODUCT((INDEX(Attendance!$B$7:$AY$206,MATCH(A149,Attendance!$A$7:$A$206,0),0)=1)*Attendance!$B$4:$AY$4),0),"")</f>
        <v/>
      </c>
      <c r="C149" s="95">
        <f>IF(A149&lt;&gt;"",SUMIFS(Transactions!$F$7:$F$1000,Transactions!$D$7:$D$1000,"Income",Transactions!$E$7:$E$1000,A149),"")</f>
        <v/>
      </c>
      <c r="D149" s="95">
        <f>IF(A149&lt;&gt;"",SUMIFS(Transactions!$F$7:$F$1000,Transactions!$D$7:$D$1000,"Expense",Transactions!$E$7:$E$1000,A149),"")</f>
        <v/>
      </c>
      <c r="E149" s="93">
        <f>IF(A149&lt;&gt;"",B149-C149-D149,"")</f>
        <v/>
      </c>
      <c r="F149" s="93">
        <f>IF(A149&lt;&gt;"",IF(E149=0,"Settled","Unsettled"),"")</f>
        <v/>
      </c>
      <c r="G149" s="96" t="n"/>
      <c r="H149" s="91" t="n"/>
    </row>
    <row r="150" ht="20" customHeight="1">
      <c r="A150" s="97">
        <f>IF(Roster!$A$148&lt;&gt;"",Roster!$A$148,"")</f>
        <v/>
      </c>
      <c r="B150" s="97">
        <f>IF(A150&lt;&gt;"",IFERROR(INDEX(Roster!$B$5:$B$204,MATCH(A150,Roster!$A$5:$A$204,0)),0)+IFERROR(SUMPRODUCT((INDEX(Attendance!$B$7:$AY$206,MATCH(A150,Attendance!$A$7:$A$206,0),0)=1)*Attendance!$B$4:$AY$4),0),"")</f>
        <v/>
      </c>
      <c r="C150" s="98">
        <f>IF(A150&lt;&gt;"",SUMIFS(Transactions!$F$7:$F$1000,Transactions!$D$7:$D$1000,"Income",Transactions!$E$7:$E$1000,A150),"")</f>
        <v/>
      </c>
      <c r="D150" s="98">
        <f>IF(A150&lt;&gt;"",SUMIFS(Transactions!$F$7:$F$1000,Transactions!$D$7:$D$1000,"Expense",Transactions!$E$7:$E$1000,A150),"")</f>
        <v/>
      </c>
      <c r="E150" s="99">
        <f>IF(A150&lt;&gt;"",B150-C150-D150,"")</f>
        <v/>
      </c>
      <c r="F150" s="99">
        <f>IF(A150&lt;&gt;"",IF(E150=0,"Settled","Unsettled"),"")</f>
        <v/>
      </c>
      <c r="G150" s="96" t="n"/>
      <c r="H150" s="91" t="n"/>
    </row>
    <row r="151" ht="20" customHeight="1">
      <c r="A151" s="89">
        <f>IF(Roster!$A$149&lt;&gt;"",Roster!$A$149,"")</f>
        <v/>
      </c>
      <c r="B151" s="89">
        <f>IF(A151&lt;&gt;"",IFERROR(INDEX(Roster!$B$5:$B$204,MATCH(A151,Roster!$A$5:$A$204,0)),0)+IFERROR(SUMPRODUCT((INDEX(Attendance!$B$7:$AY$206,MATCH(A151,Attendance!$A$7:$A$206,0),0)=1)*Attendance!$B$4:$AY$4),0),"")</f>
        <v/>
      </c>
      <c r="C151" s="95">
        <f>IF(A151&lt;&gt;"",SUMIFS(Transactions!$F$7:$F$1000,Transactions!$D$7:$D$1000,"Income",Transactions!$E$7:$E$1000,A151),"")</f>
        <v/>
      </c>
      <c r="D151" s="95">
        <f>IF(A151&lt;&gt;"",SUMIFS(Transactions!$F$7:$F$1000,Transactions!$D$7:$D$1000,"Expense",Transactions!$E$7:$E$1000,A151),"")</f>
        <v/>
      </c>
      <c r="E151" s="93">
        <f>IF(A151&lt;&gt;"",B151-C151-D151,"")</f>
        <v/>
      </c>
      <c r="F151" s="93">
        <f>IF(A151&lt;&gt;"",IF(E151=0,"Settled","Unsettled"),"")</f>
        <v/>
      </c>
      <c r="G151" s="96" t="n"/>
      <c r="H151" s="91" t="n"/>
    </row>
    <row r="152" ht="20" customHeight="1">
      <c r="A152" s="97">
        <f>IF(Roster!$A$150&lt;&gt;"",Roster!$A$150,"")</f>
        <v/>
      </c>
      <c r="B152" s="97">
        <f>IF(A152&lt;&gt;"",IFERROR(INDEX(Roster!$B$5:$B$204,MATCH(A152,Roster!$A$5:$A$204,0)),0)+IFERROR(SUMPRODUCT((INDEX(Attendance!$B$7:$AY$206,MATCH(A152,Attendance!$A$7:$A$206,0),0)=1)*Attendance!$B$4:$AY$4),0),"")</f>
        <v/>
      </c>
      <c r="C152" s="98">
        <f>IF(A152&lt;&gt;"",SUMIFS(Transactions!$F$7:$F$1000,Transactions!$D$7:$D$1000,"Income",Transactions!$E$7:$E$1000,A152),"")</f>
        <v/>
      </c>
      <c r="D152" s="98">
        <f>IF(A152&lt;&gt;"",SUMIFS(Transactions!$F$7:$F$1000,Transactions!$D$7:$D$1000,"Expense",Transactions!$E$7:$E$1000,A152),"")</f>
        <v/>
      </c>
      <c r="E152" s="99">
        <f>IF(A152&lt;&gt;"",B152-C152-D152,"")</f>
        <v/>
      </c>
      <c r="F152" s="99">
        <f>IF(A152&lt;&gt;"",IF(E152=0,"Settled","Unsettled"),"")</f>
        <v/>
      </c>
      <c r="G152" s="96" t="n"/>
      <c r="H152" s="91" t="n"/>
    </row>
    <row r="153" ht="20" customHeight="1">
      <c r="A153" s="89">
        <f>IF(Roster!$A$151&lt;&gt;"",Roster!$A$151,"")</f>
        <v/>
      </c>
      <c r="B153" s="89">
        <f>IF(A153&lt;&gt;"",IFERROR(INDEX(Roster!$B$5:$B$204,MATCH(A153,Roster!$A$5:$A$204,0)),0)+IFERROR(SUMPRODUCT((INDEX(Attendance!$B$7:$AY$206,MATCH(A153,Attendance!$A$7:$A$206,0),0)=1)*Attendance!$B$4:$AY$4),0),"")</f>
        <v/>
      </c>
      <c r="C153" s="95">
        <f>IF(A153&lt;&gt;"",SUMIFS(Transactions!$F$7:$F$1000,Transactions!$D$7:$D$1000,"Income",Transactions!$E$7:$E$1000,A153),"")</f>
        <v/>
      </c>
      <c r="D153" s="95">
        <f>IF(A153&lt;&gt;"",SUMIFS(Transactions!$F$7:$F$1000,Transactions!$D$7:$D$1000,"Expense",Transactions!$E$7:$E$1000,A153),"")</f>
        <v/>
      </c>
      <c r="E153" s="93">
        <f>IF(A153&lt;&gt;"",B153-C153-D153,"")</f>
        <v/>
      </c>
      <c r="F153" s="93">
        <f>IF(A153&lt;&gt;"",IF(E153=0,"Settled","Unsettled"),"")</f>
        <v/>
      </c>
      <c r="G153" s="96" t="n"/>
      <c r="H153" s="91" t="n"/>
    </row>
    <row r="154" ht="20" customHeight="1">
      <c r="A154" s="97">
        <f>IF(Roster!$A$152&lt;&gt;"",Roster!$A$152,"")</f>
        <v/>
      </c>
      <c r="B154" s="97">
        <f>IF(A154&lt;&gt;"",IFERROR(INDEX(Roster!$B$5:$B$204,MATCH(A154,Roster!$A$5:$A$204,0)),0)+IFERROR(SUMPRODUCT((INDEX(Attendance!$B$7:$AY$206,MATCH(A154,Attendance!$A$7:$A$206,0),0)=1)*Attendance!$B$4:$AY$4),0),"")</f>
        <v/>
      </c>
      <c r="C154" s="98">
        <f>IF(A154&lt;&gt;"",SUMIFS(Transactions!$F$7:$F$1000,Transactions!$D$7:$D$1000,"Income",Transactions!$E$7:$E$1000,A154),"")</f>
        <v/>
      </c>
      <c r="D154" s="98">
        <f>IF(A154&lt;&gt;"",SUMIFS(Transactions!$F$7:$F$1000,Transactions!$D$7:$D$1000,"Expense",Transactions!$E$7:$E$1000,A154),"")</f>
        <v/>
      </c>
      <c r="E154" s="99">
        <f>IF(A154&lt;&gt;"",B154-C154-D154,"")</f>
        <v/>
      </c>
      <c r="F154" s="99">
        <f>IF(A154&lt;&gt;"",IF(E154=0,"Settled","Unsettled"),"")</f>
        <v/>
      </c>
      <c r="G154" s="96" t="n"/>
      <c r="H154" s="91" t="n"/>
    </row>
    <row r="155" ht="20" customHeight="1">
      <c r="A155" s="89">
        <f>IF(Roster!$A$153&lt;&gt;"",Roster!$A$153,"")</f>
        <v/>
      </c>
      <c r="B155" s="89">
        <f>IF(A155&lt;&gt;"",IFERROR(INDEX(Roster!$B$5:$B$204,MATCH(A155,Roster!$A$5:$A$204,0)),0)+IFERROR(SUMPRODUCT((INDEX(Attendance!$B$7:$AY$206,MATCH(A155,Attendance!$A$7:$A$206,0),0)=1)*Attendance!$B$4:$AY$4),0),"")</f>
        <v/>
      </c>
      <c r="C155" s="95">
        <f>IF(A155&lt;&gt;"",SUMIFS(Transactions!$F$7:$F$1000,Transactions!$D$7:$D$1000,"Income",Transactions!$E$7:$E$1000,A155),"")</f>
        <v/>
      </c>
      <c r="D155" s="95">
        <f>IF(A155&lt;&gt;"",SUMIFS(Transactions!$F$7:$F$1000,Transactions!$D$7:$D$1000,"Expense",Transactions!$E$7:$E$1000,A155),"")</f>
        <v/>
      </c>
      <c r="E155" s="93">
        <f>IF(A155&lt;&gt;"",B155-C155-D155,"")</f>
        <v/>
      </c>
      <c r="F155" s="93">
        <f>IF(A155&lt;&gt;"",IF(E155=0,"Settled","Unsettled"),"")</f>
        <v/>
      </c>
      <c r="G155" s="96" t="n"/>
      <c r="H155" s="91" t="n"/>
    </row>
    <row r="156" ht="20" customHeight="1">
      <c r="A156" s="97">
        <f>IF(Roster!$A$154&lt;&gt;"",Roster!$A$154,"")</f>
        <v/>
      </c>
      <c r="B156" s="97">
        <f>IF(A156&lt;&gt;"",IFERROR(INDEX(Roster!$B$5:$B$204,MATCH(A156,Roster!$A$5:$A$204,0)),0)+IFERROR(SUMPRODUCT((INDEX(Attendance!$B$7:$AY$206,MATCH(A156,Attendance!$A$7:$A$206,0),0)=1)*Attendance!$B$4:$AY$4),0),"")</f>
        <v/>
      </c>
      <c r="C156" s="98">
        <f>IF(A156&lt;&gt;"",SUMIFS(Transactions!$F$7:$F$1000,Transactions!$D$7:$D$1000,"Income",Transactions!$E$7:$E$1000,A156),"")</f>
        <v/>
      </c>
      <c r="D156" s="98">
        <f>IF(A156&lt;&gt;"",SUMIFS(Transactions!$F$7:$F$1000,Transactions!$D$7:$D$1000,"Expense",Transactions!$E$7:$E$1000,A156),"")</f>
        <v/>
      </c>
      <c r="E156" s="99">
        <f>IF(A156&lt;&gt;"",B156-C156-D156,"")</f>
        <v/>
      </c>
      <c r="F156" s="99">
        <f>IF(A156&lt;&gt;"",IF(E156=0,"Settled","Unsettled"),"")</f>
        <v/>
      </c>
      <c r="G156" s="96" t="n"/>
      <c r="H156" s="91" t="n"/>
    </row>
    <row r="157" ht="20" customHeight="1">
      <c r="A157" s="89">
        <f>IF(Roster!$A$155&lt;&gt;"",Roster!$A$155,"")</f>
        <v/>
      </c>
      <c r="B157" s="89">
        <f>IF(A157&lt;&gt;"",IFERROR(INDEX(Roster!$B$5:$B$204,MATCH(A157,Roster!$A$5:$A$204,0)),0)+IFERROR(SUMPRODUCT((INDEX(Attendance!$B$7:$AY$206,MATCH(A157,Attendance!$A$7:$A$206,0),0)=1)*Attendance!$B$4:$AY$4),0),"")</f>
        <v/>
      </c>
      <c r="C157" s="95">
        <f>IF(A157&lt;&gt;"",SUMIFS(Transactions!$F$7:$F$1000,Transactions!$D$7:$D$1000,"Income",Transactions!$E$7:$E$1000,A157),"")</f>
        <v/>
      </c>
      <c r="D157" s="95">
        <f>IF(A157&lt;&gt;"",SUMIFS(Transactions!$F$7:$F$1000,Transactions!$D$7:$D$1000,"Expense",Transactions!$E$7:$E$1000,A157),"")</f>
        <v/>
      </c>
      <c r="E157" s="93">
        <f>IF(A157&lt;&gt;"",B157-C157-D157,"")</f>
        <v/>
      </c>
      <c r="F157" s="93">
        <f>IF(A157&lt;&gt;"",IF(E157=0,"Settled","Unsettled"),"")</f>
        <v/>
      </c>
      <c r="G157" s="96" t="n"/>
      <c r="H157" s="91" t="n"/>
    </row>
    <row r="158" ht="20" customHeight="1">
      <c r="A158" s="97">
        <f>IF(Roster!$A$156&lt;&gt;"",Roster!$A$156,"")</f>
        <v/>
      </c>
      <c r="B158" s="97">
        <f>IF(A158&lt;&gt;"",IFERROR(INDEX(Roster!$B$5:$B$204,MATCH(A158,Roster!$A$5:$A$204,0)),0)+IFERROR(SUMPRODUCT((INDEX(Attendance!$B$7:$AY$206,MATCH(A158,Attendance!$A$7:$A$206,0),0)=1)*Attendance!$B$4:$AY$4),0),"")</f>
        <v/>
      </c>
      <c r="C158" s="98">
        <f>IF(A158&lt;&gt;"",SUMIFS(Transactions!$F$7:$F$1000,Transactions!$D$7:$D$1000,"Income",Transactions!$E$7:$E$1000,A158),"")</f>
        <v/>
      </c>
      <c r="D158" s="98">
        <f>IF(A158&lt;&gt;"",SUMIFS(Transactions!$F$7:$F$1000,Transactions!$D$7:$D$1000,"Expense",Transactions!$E$7:$E$1000,A158),"")</f>
        <v/>
      </c>
      <c r="E158" s="99">
        <f>IF(A158&lt;&gt;"",B158-C158-D158,"")</f>
        <v/>
      </c>
      <c r="F158" s="99">
        <f>IF(A158&lt;&gt;"",IF(E158=0,"Settled","Unsettled"),"")</f>
        <v/>
      </c>
      <c r="G158" s="96" t="n"/>
      <c r="H158" s="91" t="n"/>
    </row>
    <row r="159" ht="20" customHeight="1">
      <c r="A159" s="89">
        <f>IF(Roster!$A$157&lt;&gt;"",Roster!$A$157,"")</f>
        <v/>
      </c>
      <c r="B159" s="89">
        <f>IF(A159&lt;&gt;"",IFERROR(INDEX(Roster!$B$5:$B$204,MATCH(A159,Roster!$A$5:$A$204,0)),0)+IFERROR(SUMPRODUCT((INDEX(Attendance!$B$7:$AY$206,MATCH(A159,Attendance!$A$7:$A$206,0),0)=1)*Attendance!$B$4:$AY$4),0),"")</f>
        <v/>
      </c>
      <c r="C159" s="95">
        <f>IF(A159&lt;&gt;"",SUMIFS(Transactions!$F$7:$F$1000,Transactions!$D$7:$D$1000,"Income",Transactions!$E$7:$E$1000,A159),"")</f>
        <v/>
      </c>
      <c r="D159" s="95">
        <f>IF(A159&lt;&gt;"",SUMIFS(Transactions!$F$7:$F$1000,Transactions!$D$7:$D$1000,"Expense",Transactions!$E$7:$E$1000,A159),"")</f>
        <v/>
      </c>
      <c r="E159" s="93">
        <f>IF(A159&lt;&gt;"",B159-C159-D159,"")</f>
        <v/>
      </c>
      <c r="F159" s="93">
        <f>IF(A159&lt;&gt;"",IF(E159=0,"Settled","Unsettled"),"")</f>
        <v/>
      </c>
      <c r="G159" s="96" t="n"/>
      <c r="H159" s="91" t="n"/>
    </row>
    <row r="160" ht="20" customHeight="1">
      <c r="A160" s="97">
        <f>IF(Roster!$A$158&lt;&gt;"",Roster!$A$158,"")</f>
        <v/>
      </c>
      <c r="B160" s="97">
        <f>IF(A160&lt;&gt;"",IFERROR(INDEX(Roster!$B$5:$B$204,MATCH(A160,Roster!$A$5:$A$204,0)),0)+IFERROR(SUMPRODUCT((INDEX(Attendance!$B$7:$AY$206,MATCH(A160,Attendance!$A$7:$A$206,0),0)=1)*Attendance!$B$4:$AY$4),0),"")</f>
        <v/>
      </c>
      <c r="C160" s="98">
        <f>IF(A160&lt;&gt;"",SUMIFS(Transactions!$F$7:$F$1000,Transactions!$D$7:$D$1000,"Income",Transactions!$E$7:$E$1000,A160),"")</f>
        <v/>
      </c>
      <c r="D160" s="98">
        <f>IF(A160&lt;&gt;"",SUMIFS(Transactions!$F$7:$F$1000,Transactions!$D$7:$D$1000,"Expense",Transactions!$E$7:$E$1000,A160),"")</f>
        <v/>
      </c>
      <c r="E160" s="99">
        <f>IF(A160&lt;&gt;"",B160-C160-D160,"")</f>
        <v/>
      </c>
      <c r="F160" s="99">
        <f>IF(A160&lt;&gt;"",IF(E160=0,"Settled","Unsettled"),"")</f>
        <v/>
      </c>
      <c r="G160" s="96" t="n"/>
      <c r="H160" s="91" t="n"/>
    </row>
    <row r="161" ht="20" customHeight="1">
      <c r="A161" s="89">
        <f>IF(Roster!$A$159&lt;&gt;"",Roster!$A$159,"")</f>
        <v/>
      </c>
      <c r="B161" s="89">
        <f>IF(A161&lt;&gt;"",IFERROR(INDEX(Roster!$B$5:$B$204,MATCH(A161,Roster!$A$5:$A$204,0)),0)+IFERROR(SUMPRODUCT((INDEX(Attendance!$B$7:$AY$206,MATCH(A161,Attendance!$A$7:$A$206,0),0)=1)*Attendance!$B$4:$AY$4),0),"")</f>
        <v/>
      </c>
      <c r="C161" s="95">
        <f>IF(A161&lt;&gt;"",SUMIFS(Transactions!$F$7:$F$1000,Transactions!$D$7:$D$1000,"Income",Transactions!$E$7:$E$1000,A161),"")</f>
        <v/>
      </c>
      <c r="D161" s="95">
        <f>IF(A161&lt;&gt;"",SUMIFS(Transactions!$F$7:$F$1000,Transactions!$D$7:$D$1000,"Expense",Transactions!$E$7:$E$1000,A161),"")</f>
        <v/>
      </c>
      <c r="E161" s="93">
        <f>IF(A161&lt;&gt;"",B161-C161-D161,"")</f>
        <v/>
      </c>
      <c r="F161" s="93">
        <f>IF(A161&lt;&gt;"",IF(E161=0,"Settled","Unsettled"),"")</f>
        <v/>
      </c>
      <c r="G161" s="96" t="n"/>
      <c r="H161" s="91" t="n"/>
    </row>
    <row r="162" ht="20" customHeight="1">
      <c r="A162" s="97">
        <f>IF(Roster!$A$160&lt;&gt;"",Roster!$A$160,"")</f>
        <v/>
      </c>
      <c r="B162" s="97">
        <f>IF(A162&lt;&gt;"",IFERROR(INDEX(Roster!$B$5:$B$204,MATCH(A162,Roster!$A$5:$A$204,0)),0)+IFERROR(SUMPRODUCT((INDEX(Attendance!$B$7:$AY$206,MATCH(A162,Attendance!$A$7:$A$206,0),0)=1)*Attendance!$B$4:$AY$4),0),"")</f>
        <v/>
      </c>
      <c r="C162" s="98">
        <f>IF(A162&lt;&gt;"",SUMIFS(Transactions!$F$7:$F$1000,Transactions!$D$7:$D$1000,"Income",Transactions!$E$7:$E$1000,A162),"")</f>
        <v/>
      </c>
      <c r="D162" s="98">
        <f>IF(A162&lt;&gt;"",SUMIFS(Transactions!$F$7:$F$1000,Transactions!$D$7:$D$1000,"Expense",Transactions!$E$7:$E$1000,A162),"")</f>
        <v/>
      </c>
      <c r="E162" s="99">
        <f>IF(A162&lt;&gt;"",B162-C162-D162,"")</f>
        <v/>
      </c>
      <c r="F162" s="99">
        <f>IF(A162&lt;&gt;"",IF(E162=0,"Settled","Unsettled"),"")</f>
        <v/>
      </c>
      <c r="G162" s="96" t="n"/>
      <c r="H162" s="91" t="n"/>
    </row>
    <row r="163" ht="20" customHeight="1">
      <c r="A163" s="89">
        <f>IF(Roster!$A$161&lt;&gt;"",Roster!$A$161,"")</f>
        <v/>
      </c>
      <c r="B163" s="89">
        <f>IF(A163&lt;&gt;"",IFERROR(INDEX(Roster!$B$5:$B$204,MATCH(A163,Roster!$A$5:$A$204,0)),0)+IFERROR(SUMPRODUCT((INDEX(Attendance!$B$7:$AY$206,MATCH(A163,Attendance!$A$7:$A$206,0),0)=1)*Attendance!$B$4:$AY$4),0),"")</f>
        <v/>
      </c>
      <c r="C163" s="95">
        <f>IF(A163&lt;&gt;"",SUMIFS(Transactions!$F$7:$F$1000,Transactions!$D$7:$D$1000,"Income",Transactions!$E$7:$E$1000,A163),"")</f>
        <v/>
      </c>
      <c r="D163" s="95">
        <f>IF(A163&lt;&gt;"",SUMIFS(Transactions!$F$7:$F$1000,Transactions!$D$7:$D$1000,"Expense",Transactions!$E$7:$E$1000,A163),"")</f>
        <v/>
      </c>
      <c r="E163" s="93">
        <f>IF(A163&lt;&gt;"",B163-C163-D163,"")</f>
        <v/>
      </c>
      <c r="F163" s="93">
        <f>IF(A163&lt;&gt;"",IF(E163=0,"Settled","Unsettled"),"")</f>
        <v/>
      </c>
      <c r="G163" s="96" t="n"/>
      <c r="H163" s="91" t="n"/>
    </row>
    <row r="164" ht="20" customHeight="1">
      <c r="A164" s="97">
        <f>IF(Roster!$A$162&lt;&gt;"",Roster!$A$162,"")</f>
        <v/>
      </c>
      <c r="B164" s="97">
        <f>IF(A164&lt;&gt;"",IFERROR(INDEX(Roster!$B$5:$B$204,MATCH(A164,Roster!$A$5:$A$204,0)),0)+IFERROR(SUMPRODUCT((INDEX(Attendance!$B$7:$AY$206,MATCH(A164,Attendance!$A$7:$A$206,0),0)=1)*Attendance!$B$4:$AY$4),0),"")</f>
        <v/>
      </c>
      <c r="C164" s="98">
        <f>IF(A164&lt;&gt;"",SUMIFS(Transactions!$F$7:$F$1000,Transactions!$D$7:$D$1000,"Income",Transactions!$E$7:$E$1000,A164),"")</f>
        <v/>
      </c>
      <c r="D164" s="98">
        <f>IF(A164&lt;&gt;"",SUMIFS(Transactions!$F$7:$F$1000,Transactions!$D$7:$D$1000,"Expense",Transactions!$E$7:$E$1000,A164),"")</f>
        <v/>
      </c>
      <c r="E164" s="99">
        <f>IF(A164&lt;&gt;"",B164-C164-D164,"")</f>
        <v/>
      </c>
      <c r="F164" s="99">
        <f>IF(A164&lt;&gt;"",IF(E164=0,"Settled","Unsettled"),"")</f>
        <v/>
      </c>
      <c r="G164" s="96" t="n"/>
      <c r="H164" s="91" t="n"/>
    </row>
    <row r="165" ht="20" customHeight="1">
      <c r="A165" s="89">
        <f>IF(Roster!$A$163&lt;&gt;"",Roster!$A$163,"")</f>
        <v/>
      </c>
      <c r="B165" s="89">
        <f>IF(A165&lt;&gt;"",IFERROR(INDEX(Roster!$B$5:$B$204,MATCH(A165,Roster!$A$5:$A$204,0)),0)+IFERROR(SUMPRODUCT((INDEX(Attendance!$B$7:$AY$206,MATCH(A165,Attendance!$A$7:$A$206,0),0)=1)*Attendance!$B$4:$AY$4),0),"")</f>
        <v/>
      </c>
      <c r="C165" s="95">
        <f>IF(A165&lt;&gt;"",SUMIFS(Transactions!$F$7:$F$1000,Transactions!$D$7:$D$1000,"Income",Transactions!$E$7:$E$1000,A165),"")</f>
        <v/>
      </c>
      <c r="D165" s="95">
        <f>IF(A165&lt;&gt;"",SUMIFS(Transactions!$F$7:$F$1000,Transactions!$D$7:$D$1000,"Expense",Transactions!$E$7:$E$1000,A165),"")</f>
        <v/>
      </c>
      <c r="E165" s="93">
        <f>IF(A165&lt;&gt;"",B165-C165-D165,"")</f>
        <v/>
      </c>
      <c r="F165" s="93">
        <f>IF(A165&lt;&gt;"",IF(E165=0,"Settled","Unsettled"),"")</f>
        <v/>
      </c>
      <c r="G165" s="96" t="n"/>
      <c r="H165" s="91" t="n"/>
    </row>
    <row r="166" ht="20" customHeight="1">
      <c r="A166" s="97">
        <f>IF(Roster!$A$164&lt;&gt;"",Roster!$A$164,"")</f>
        <v/>
      </c>
      <c r="B166" s="97">
        <f>IF(A166&lt;&gt;"",IFERROR(INDEX(Roster!$B$5:$B$204,MATCH(A166,Roster!$A$5:$A$204,0)),0)+IFERROR(SUMPRODUCT((INDEX(Attendance!$B$7:$AY$206,MATCH(A166,Attendance!$A$7:$A$206,0),0)=1)*Attendance!$B$4:$AY$4),0),"")</f>
        <v/>
      </c>
      <c r="C166" s="98">
        <f>IF(A166&lt;&gt;"",SUMIFS(Transactions!$F$7:$F$1000,Transactions!$D$7:$D$1000,"Income",Transactions!$E$7:$E$1000,A166),"")</f>
        <v/>
      </c>
      <c r="D166" s="98">
        <f>IF(A166&lt;&gt;"",SUMIFS(Transactions!$F$7:$F$1000,Transactions!$D$7:$D$1000,"Expense",Transactions!$E$7:$E$1000,A166),"")</f>
        <v/>
      </c>
      <c r="E166" s="99">
        <f>IF(A166&lt;&gt;"",B166-C166-D166,"")</f>
        <v/>
      </c>
      <c r="F166" s="99">
        <f>IF(A166&lt;&gt;"",IF(E166=0,"Settled","Unsettled"),"")</f>
        <v/>
      </c>
      <c r="G166" s="96" t="n"/>
      <c r="H166" s="91" t="n"/>
    </row>
    <row r="167" ht="20" customHeight="1">
      <c r="A167" s="89">
        <f>IF(Roster!$A$165&lt;&gt;"",Roster!$A$165,"")</f>
        <v/>
      </c>
      <c r="B167" s="89">
        <f>IF(A167&lt;&gt;"",IFERROR(INDEX(Roster!$B$5:$B$204,MATCH(A167,Roster!$A$5:$A$204,0)),0)+IFERROR(SUMPRODUCT((INDEX(Attendance!$B$7:$AY$206,MATCH(A167,Attendance!$A$7:$A$206,0),0)=1)*Attendance!$B$4:$AY$4),0),"")</f>
        <v/>
      </c>
      <c r="C167" s="95">
        <f>IF(A167&lt;&gt;"",SUMIFS(Transactions!$F$7:$F$1000,Transactions!$D$7:$D$1000,"Income",Transactions!$E$7:$E$1000,A167),"")</f>
        <v/>
      </c>
      <c r="D167" s="95">
        <f>IF(A167&lt;&gt;"",SUMIFS(Transactions!$F$7:$F$1000,Transactions!$D$7:$D$1000,"Expense",Transactions!$E$7:$E$1000,A167),"")</f>
        <v/>
      </c>
      <c r="E167" s="93">
        <f>IF(A167&lt;&gt;"",B167-C167-D167,"")</f>
        <v/>
      </c>
      <c r="F167" s="93">
        <f>IF(A167&lt;&gt;"",IF(E167=0,"Settled","Unsettled"),"")</f>
        <v/>
      </c>
      <c r="G167" s="96" t="n"/>
      <c r="H167" s="91" t="n"/>
    </row>
    <row r="168" ht="20" customHeight="1">
      <c r="A168" s="97">
        <f>IF(Roster!$A$166&lt;&gt;"",Roster!$A$166,"")</f>
        <v/>
      </c>
      <c r="B168" s="97">
        <f>IF(A168&lt;&gt;"",IFERROR(INDEX(Roster!$B$5:$B$204,MATCH(A168,Roster!$A$5:$A$204,0)),0)+IFERROR(SUMPRODUCT((INDEX(Attendance!$B$7:$AY$206,MATCH(A168,Attendance!$A$7:$A$206,0),0)=1)*Attendance!$B$4:$AY$4),0),"")</f>
        <v/>
      </c>
      <c r="C168" s="98">
        <f>IF(A168&lt;&gt;"",SUMIFS(Transactions!$F$7:$F$1000,Transactions!$D$7:$D$1000,"Income",Transactions!$E$7:$E$1000,A168),"")</f>
        <v/>
      </c>
      <c r="D168" s="98">
        <f>IF(A168&lt;&gt;"",SUMIFS(Transactions!$F$7:$F$1000,Transactions!$D$7:$D$1000,"Expense",Transactions!$E$7:$E$1000,A168),"")</f>
        <v/>
      </c>
      <c r="E168" s="99">
        <f>IF(A168&lt;&gt;"",B168-C168-D168,"")</f>
        <v/>
      </c>
      <c r="F168" s="99">
        <f>IF(A168&lt;&gt;"",IF(E168=0,"Settled","Unsettled"),"")</f>
        <v/>
      </c>
      <c r="G168" s="96" t="n"/>
      <c r="H168" s="91" t="n"/>
    </row>
    <row r="169" ht="20" customHeight="1">
      <c r="A169" s="89">
        <f>IF(Roster!$A$167&lt;&gt;"",Roster!$A$167,"")</f>
        <v/>
      </c>
      <c r="B169" s="89">
        <f>IF(A169&lt;&gt;"",IFERROR(INDEX(Roster!$B$5:$B$204,MATCH(A169,Roster!$A$5:$A$204,0)),0)+IFERROR(SUMPRODUCT((INDEX(Attendance!$B$7:$AY$206,MATCH(A169,Attendance!$A$7:$A$206,0),0)=1)*Attendance!$B$4:$AY$4),0),"")</f>
        <v/>
      </c>
      <c r="C169" s="95">
        <f>IF(A169&lt;&gt;"",SUMIFS(Transactions!$F$7:$F$1000,Transactions!$D$7:$D$1000,"Income",Transactions!$E$7:$E$1000,A169),"")</f>
        <v/>
      </c>
      <c r="D169" s="95">
        <f>IF(A169&lt;&gt;"",SUMIFS(Transactions!$F$7:$F$1000,Transactions!$D$7:$D$1000,"Expense",Transactions!$E$7:$E$1000,A169),"")</f>
        <v/>
      </c>
      <c r="E169" s="93">
        <f>IF(A169&lt;&gt;"",B169-C169-D169,"")</f>
        <v/>
      </c>
      <c r="F169" s="93">
        <f>IF(A169&lt;&gt;"",IF(E169=0,"Settled","Unsettled"),"")</f>
        <v/>
      </c>
      <c r="G169" s="96" t="n"/>
      <c r="H169" s="91" t="n"/>
    </row>
    <row r="170" ht="20" customHeight="1">
      <c r="A170" s="97">
        <f>IF(Roster!$A$168&lt;&gt;"",Roster!$A$168,"")</f>
        <v/>
      </c>
      <c r="B170" s="97">
        <f>IF(A170&lt;&gt;"",IFERROR(INDEX(Roster!$B$5:$B$204,MATCH(A170,Roster!$A$5:$A$204,0)),0)+IFERROR(SUMPRODUCT((INDEX(Attendance!$B$7:$AY$206,MATCH(A170,Attendance!$A$7:$A$206,0),0)=1)*Attendance!$B$4:$AY$4),0),"")</f>
        <v/>
      </c>
      <c r="C170" s="98">
        <f>IF(A170&lt;&gt;"",SUMIFS(Transactions!$F$7:$F$1000,Transactions!$D$7:$D$1000,"Income",Transactions!$E$7:$E$1000,A170),"")</f>
        <v/>
      </c>
      <c r="D170" s="98">
        <f>IF(A170&lt;&gt;"",SUMIFS(Transactions!$F$7:$F$1000,Transactions!$D$7:$D$1000,"Expense",Transactions!$E$7:$E$1000,A170),"")</f>
        <v/>
      </c>
      <c r="E170" s="99">
        <f>IF(A170&lt;&gt;"",B170-C170-D170,"")</f>
        <v/>
      </c>
      <c r="F170" s="99">
        <f>IF(A170&lt;&gt;"",IF(E170=0,"Settled","Unsettled"),"")</f>
        <v/>
      </c>
      <c r="G170" s="96" t="n"/>
      <c r="H170" s="91" t="n"/>
    </row>
    <row r="171" ht="20" customHeight="1">
      <c r="A171" s="89">
        <f>IF(Roster!$A$169&lt;&gt;"",Roster!$A$169,"")</f>
        <v/>
      </c>
      <c r="B171" s="89">
        <f>IF(A171&lt;&gt;"",IFERROR(INDEX(Roster!$B$5:$B$204,MATCH(A171,Roster!$A$5:$A$204,0)),0)+IFERROR(SUMPRODUCT((INDEX(Attendance!$B$7:$AY$206,MATCH(A171,Attendance!$A$7:$A$206,0),0)=1)*Attendance!$B$4:$AY$4),0),"")</f>
        <v/>
      </c>
      <c r="C171" s="95">
        <f>IF(A171&lt;&gt;"",SUMIFS(Transactions!$F$7:$F$1000,Transactions!$D$7:$D$1000,"Income",Transactions!$E$7:$E$1000,A171),"")</f>
        <v/>
      </c>
      <c r="D171" s="95">
        <f>IF(A171&lt;&gt;"",SUMIFS(Transactions!$F$7:$F$1000,Transactions!$D$7:$D$1000,"Expense",Transactions!$E$7:$E$1000,A171),"")</f>
        <v/>
      </c>
      <c r="E171" s="93">
        <f>IF(A171&lt;&gt;"",B171-C171-D171,"")</f>
        <v/>
      </c>
      <c r="F171" s="93">
        <f>IF(A171&lt;&gt;"",IF(E171=0,"Settled","Unsettled"),"")</f>
        <v/>
      </c>
      <c r="G171" s="96" t="n"/>
      <c r="H171" s="91" t="n"/>
    </row>
    <row r="172" ht="20" customHeight="1">
      <c r="A172" s="97">
        <f>IF(Roster!$A$170&lt;&gt;"",Roster!$A$170,"")</f>
        <v/>
      </c>
      <c r="B172" s="97">
        <f>IF(A172&lt;&gt;"",IFERROR(INDEX(Roster!$B$5:$B$204,MATCH(A172,Roster!$A$5:$A$204,0)),0)+IFERROR(SUMPRODUCT((INDEX(Attendance!$B$7:$AY$206,MATCH(A172,Attendance!$A$7:$A$206,0),0)=1)*Attendance!$B$4:$AY$4),0),"")</f>
        <v/>
      </c>
      <c r="C172" s="98">
        <f>IF(A172&lt;&gt;"",SUMIFS(Transactions!$F$7:$F$1000,Transactions!$D$7:$D$1000,"Income",Transactions!$E$7:$E$1000,A172),"")</f>
        <v/>
      </c>
      <c r="D172" s="98">
        <f>IF(A172&lt;&gt;"",SUMIFS(Transactions!$F$7:$F$1000,Transactions!$D$7:$D$1000,"Expense",Transactions!$E$7:$E$1000,A172),"")</f>
        <v/>
      </c>
      <c r="E172" s="99">
        <f>IF(A172&lt;&gt;"",B172-C172-D172,"")</f>
        <v/>
      </c>
      <c r="F172" s="99">
        <f>IF(A172&lt;&gt;"",IF(E172=0,"Settled","Unsettled"),"")</f>
        <v/>
      </c>
      <c r="G172" s="96" t="n"/>
      <c r="H172" s="91" t="n"/>
    </row>
    <row r="173" ht="20" customHeight="1">
      <c r="A173" s="89">
        <f>IF(Roster!$A$171&lt;&gt;"",Roster!$A$171,"")</f>
        <v/>
      </c>
      <c r="B173" s="89">
        <f>IF(A173&lt;&gt;"",IFERROR(INDEX(Roster!$B$5:$B$204,MATCH(A173,Roster!$A$5:$A$204,0)),0)+IFERROR(SUMPRODUCT((INDEX(Attendance!$B$7:$AY$206,MATCH(A173,Attendance!$A$7:$A$206,0),0)=1)*Attendance!$B$4:$AY$4),0),"")</f>
        <v/>
      </c>
      <c r="C173" s="95">
        <f>IF(A173&lt;&gt;"",SUMIFS(Transactions!$F$7:$F$1000,Transactions!$D$7:$D$1000,"Income",Transactions!$E$7:$E$1000,A173),"")</f>
        <v/>
      </c>
      <c r="D173" s="95">
        <f>IF(A173&lt;&gt;"",SUMIFS(Transactions!$F$7:$F$1000,Transactions!$D$7:$D$1000,"Expense",Transactions!$E$7:$E$1000,A173),"")</f>
        <v/>
      </c>
      <c r="E173" s="93">
        <f>IF(A173&lt;&gt;"",B173-C173-D173,"")</f>
        <v/>
      </c>
      <c r="F173" s="93">
        <f>IF(A173&lt;&gt;"",IF(E173=0,"Settled","Unsettled"),"")</f>
        <v/>
      </c>
      <c r="G173" s="96" t="n"/>
      <c r="H173" s="91" t="n"/>
    </row>
    <row r="174" ht="20" customHeight="1">
      <c r="A174" s="97">
        <f>IF(Roster!$A$172&lt;&gt;"",Roster!$A$172,"")</f>
        <v/>
      </c>
      <c r="B174" s="97">
        <f>IF(A174&lt;&gt;"",IFERROR(INDEX(Roster!$B$5:$B$204,MATCH(A174,Roster!$A$5:$A$204,0)),0)+IFERROR(SUMPRODUCT((INDEX(Attendance!$B$7:$AY$206,MATCH(A174,Attendance!$A$7:$A$206,0),0)=1)*Attendance!$B$4:$AY$4),0),"")</f>
        <v/>
      </c>
      <c r="C174" s="98">
        <f>IF(A174&lt;&gt;"",SUMIFS(Transactions!$F$7:$F$1000,Transactions!$D$7:$D$1000,"Income",Transactions!$E$7:$E$1000,A174),"")</f>
        <v/>
      </c>
      <c r="D174" s="98">
        <f>IF(A174&lt;&gt;"",SUMIFS(Transactions!$F$7:$F$1000,Transactions!$D$7:$D$1000,"Expense",Transactions!$E$7:$E$1000,A174),"")</f>
        <v/>
      </c>
      <c r="E174" s="99">
        <f>IF(A174&lt;&gt;"",B174-C174-D174,"")</f>
        <v/>
      </c>
      <c r="F174" s="99">
        <f>IF(A174&lt;&gt;"",IF(E174=0,"Settled","Unsettled"),"")</f>
        <v/>
      </c>
      <c r="G174" s="96" t="n"/>
      <c r="H174" s="91" t="n"/>
    </row>
    <row r="175" ht="20" customHeight="1">
      <c r="A175" s="89">
        <f>IF(Roster!$A$173&lt;&gt;"",Roster!$A$173,"")</f>
        <v/>
      </c>
      <c r="B175" s="89">
        <f>IF(A175&lt;&gt;"",IFERROR(INDEX(Roster!$B$5:$B$204,MATCH(A175,Roster!$A$5:$A$204,0)),0)+IFERROR(SUMPRODUCT((INDEX(Attendance!$B$7:$AY$206,MATCH(A175,Attendance!$A$7:$A$206,0),0)=1)*Attendance!$B$4:$AY$4),0),"")</f>
        <v/>
      </c>
      <c r="C175" s="95">
        <f>IF(A175&lt;&gt;"",SUMIFS(Transactions!$F$7:$F$1000,Transactions!$D$7:$D$1000,"Income",Transactions!$E$7:$E$1000,A175),"")</f>
        <v/>
      </c>
      <c r="D175" s="95">
        <f>IF(A175&lt;&gt;"",SUMIFS(Transactions!$F$7:$F$1000,Transactions!$D$7:$D$1000,"Expense",Transactions!$E$7:$E$1000,A175),"")</f>
        <v/>
      </c>
      <c r="E175" s="93">
        <f>IF(A175&lt;&gt;"",B175-C175-D175,"")</f>
        <v/>
      </c>
      <c r="F175" s="93">
        <f>IF(A175&lt;&gt;"",IF(E175=0,"Settled","Unsettled"),"")</f>
        <v/>
      </c>
      <c r="G175" s="96" t="n"/>
      <c r="H175" s="91" t="n"/>
    </row>
    <row r="176" ht="20" customHeight="1">
      <c r="A176" s="97">
        <f>IF(Roster!$A$174&lt;&gt;"",Roster!$A$174,"")</f>
        <v/>
      </c>
      <c r="B176" s="97">
        <f>IF(A176&lt;&gt;"",IFERROR(INDEX(Roster!$B$5:$B$204,MATCH(A176,Roster!$A$5:$A$204,0)),0)+IFERROR(SUMPRODUCT((INDEX(Attendance!$B$7:$AY$206,MATCH(A176,Attendance!$A$7:$A$206,0),0)=1)*Attendance!$B$4:$AY$4),0),"")</f>
        <v/>
      </c>
      <c r="C176" s="98">
        <f>IF(A176&lt;&gt;"",SUMIFS(Transactions!$F$7:$F$1000,Transactions!$D$7:$D$1000,"Income",Transactions!$E$7:$E$1000,A176),"")</f>
        <v/>
      </c>
      <c r="D176" s="98">
        <f>IF(A176&lt;&gt;"",SUMIFS(Transactions!$F$7:$F$1000,Transactions!$D$7:$D$1000,"Expense",Transactions!$E$7:$E$1000,A176),"")</f>
        <v/>
      </c>
      <c r="E176" s="99">
        <f>IF(A176&lt;&gt;"",B176-C176-D176,"")</f>
        <v/>
      </c>
      <c r="F176" s="99">
        <f>IF(A176&lt;&gt;"",IF(E176=0,"Settled","Unsettled"),"")</f>
        <v/>
      </c>
      <c r="G176" s="96" t="n"/>
      <c r="H176" s="91" t="n"/>
    </row>
    <row r="177" ht="20" customHeight="1">
      <c r="A177" s="89">
        <f>IF(Roster!$A$175&lt;&gt;"",Roster!$A$175,"")</f>
        <v/>
      </c>
      <c r="B177" s="89">
        <f>IF(A177&lt;&gt;"",IFERROR(INDEX(Roster!$B$5:$B$204,MATCH(A177,Roster!$A$5:$A$204,0)),0)+IFERROR(SUMPRODUCT((INDEX(Attendance!$B$7:$AY$206,MATCH(A177,Attendance!$A$7:$A$206,0),0)=1)*Attendance!$B$4:$AY$4),0),"")</f>
        <v/>
      </c>
      <c r="C177" s="95">
        <f>IF(A177&lt;&gt;"",SUMIFS(Transactions!$F$7:$F$1000,Transactions!$D$7:$D$1000,"Income",Transactions!$E$7:$E$1000,A177),"")</f>
        <v/>
      </c>
      <c r="D177" s="95">
        <f>IF(A177&lt;&gt;"",SUMIFS(Transactions!$F$7:$F$1000,Transactions!$D$7:$D$1000,"Expense",Transactions!$E$7:$E$1000,A177),"")</f>
        <v/>
      </c>
      <c r="E177" s="93">
        <f>IF(A177&lt;&gt;"",B177-C177-D177,"")</f>
        <v/>
      </c>
      <c r="F177" s="93">
        <f>IF(A177&lt;&gt;"",IF(E177=0,"Settled","Unsettled"),"")</f>
        <v/>
      </c>
      <c r="G177" s="96" t="n"/>
      <c r="H177" s="91" t="n"/>
    </row>
    <row r="178" ht="20" customHeight="1">
      <c r="A178" s="97">
        <f>IF(Roster!$A$176&lt;&gt;"",Roster!$A$176,"")</f>
        <v/>
      </c>
      <c r="B178" s="97">
        <f>IF(A178&lt;&gt;"",IFERROR(INDEX(Roster!$B$5:$B$204,MATCH(A178,Roster!$A$5:$A$204,0)),0)+IFERROR(SUMPRODUCT((INDEX(Attendance!$B$7:$AY$206,MATCH(A178,Attendance!$A$7:$A$206,0),0)=1)*Attendance!$B$4:$AY$4),0),"")</f>
        <v/>
      </c>
      <c r="C178" s="98">
        <f>IF(A178&lt;&gt;"",SUMIFS(Transactions!$F$7:$F$1000,Transactions!$D$7:$D$1000,"Income",Transactions!$E$7:$E$1000,A178),"")</f>
        <v/>
      </c>
      <c r="D178" s="98">
        <f>IF(A178&lt;&gt;"",SUMIFS(Transactions!$F$7:$F$1000,Transactions!$D$7:$D$1000,"Expense",Transactions!$E$7:$E$1000,A178),"")</f>
        <v/>
      </c>
      <c r="E178" s="99">
        <f>IF(A178&lt;&gt;"",B178-C178-D178,"")</f>
        <v/>
      </c>
      <c r="F178" s="99">
        <f>IF(A178&lt;&gt;"",IF(E178=0,"Settled","Unsettled"),"")</f>
        <v/>
      </c>
      <c r="G178" s="96" t="n"/>
      <c r="H178" s="91" t="n"/>
    </row>
    <row r="179" ht="20" customHeight="1">
      <c r="A179" s="89">
        <f>IF(Roster!$A$177&lt;&gt;"",Roster!$A$177,"")</f>
        <v/>
      </c>
      <c r="B179" s="89">
        <f>IF(A179&lt;&gt;"",IFERROR(INDEX(Roster!$B$5:$B$204,MATCH(A179,Roster!$A$5:$A$204,0)),0)+IFERROR(SUMPRODUCT((INDEX(Attendance!$B$7:$AY$206,MATCH(A179,Attendance!$A$7:$A$206,0),0)=1)*Attendance!$B$4:$AY$4),0),"")</f>
        <v/>
      </c>
      <c r="C179" s="95">
        <f>IF(A179&lt;&gt;"",SUMIFS(Transactions!$F$7:$F$1000,Transactions!$D$7:$D$1000,"Income",Transactions!$E$7:$E$1000,A179),"")</f>
        <v/>
      </c>
      <c r="D179" s="95">
        <f>IF(A179&lt;&gt;"",SUMIFS(Transactions!$F$7:$F$1000,Transactions!$D$7:$D$1000,"Expense",Transactions!$E$7:$E$1000,A179),"")</f>
        <v/>
      </c>
      <c r="E179" s="93">
        <f>IF(A179&lt;&gt;"",B179-C179-D179,"")</f>
        <v/>
      </c>
      <c r="F179" s="93">
        <f>IF(A179&lt;&gt;"",IF(E179=0,"Settled","Unsettled"),"")</f>
        <v/>
      </c>
      <c r="G179" s="96" t="n"/>
      <c r="H179" s="91" t="n"/>
    </row>
    <row r="180" ht="20" customHeight="1">
      <c r="A180" s="97">
        <f>IF(Roster!$A$178&lt;&gt;"",Roster!$A$178,"")</f>
        <v/>
      </c>
      <c r="B180" s="97">
        <f>IF(A180&lt;&gt;"",IFERROR(INDEX(Roster!$B$5:$B$204,MATCH(A180,Roster!$A$5:$A$204,0)),0)+IFERROR(SUMPRODUCT((INDEX(Attendance!$B$7:$AY$206,MATCH(A180,Attendance!$A$7:$A$206,0),0)=1)*Attendance!$B$4:$AY$4),0),"")</f>
        <v/>
      </c>
      <c r="C180" s="98">
        <f>IF(A180&lt;&gt;"",SUMIFS(Transactions!$F$7:$F$1000,Transactions!$D$7:$D$1000,"Income",Transactions!$E$7:$E$1000,A180),"")</f>
        <v/>
      </c>
      <c r="D180" s="98">
        <f>IF(A180&lt;&gt;"",SUMIFS(Transactions!$F$7:$F$1000,Transactions!$D$7:$D$1000,"Expense",Transactions!$E$7:$E$1000,A180),"")</f>
        <v/>
      </c>
      <c r="E180" s="99">
        <f>IF(A180&lt;&gt;"",B180-C180-D180,"")</f>
        <v/>
      </c>
      <c r="F180" s="99">
        <f>IF(A180&lt;&gt;"",IF(E180=0,"Settled","Unsettled"),"")</f>
        <v/>
      </c>
      <c r="G180" s="96" t="n"/>
      <c r="H180" s="91" t="n"/>
    </row>
    <row r="181" ht="20" customHeight="1">
      <c r="A181" s="89">
        <f>IF(Roster!$A$179&lt;&gt;"",Roster!$A$179,"")</f>
        <v/>
      </c>
      <c r="B181" s="89">
        <f>IF(A181&lt;&gt;"",IFERROR(INDEX(Roster!$B$5:$B$204,MATCH(A181,Roster!$A$5:$A$204,0)),0)+IFERROR(SUMPRODUCT((INDEX(Attendance!$B$7:$AY$206,MATCH(A181,Attendance!$A$7:$A$206,0),0)=1)*Attendance!$B$4:$AY$4),0),"")</f>
        <v/>
      </c>
      <c r="C181" s="95">
        <f>IF(A181&lt;&gt;"",SUMIFS(Transactions!$F$7:$F$1000,Transactions!$D$7:$D$1000,"Income",Transactions!$E$7:$E$1000,A181),"")</f>
        <v/>
      </c>
      <c r="D181" s="95">
        <f>IF(A181&lt;&gt;"",SUMIFS(Transactions!$F$7:$F$1000,Transactions!$D$7:$D$1000,"Expense",Transactions!$E$7:$E$1000,A181),"")</f>
        <v/>
      </c>
      <c r="E181" s="93">
        <f>IF(A181&lt;&gt;"",B181-C181-D181,"")</f>
        <v/>
      </c>
      <c r="F181" s="93">
        <f>IF(A181&lt;&gt;"",IF(E181=0,"Settled","Unsettled"),"")</f>
        <v/>
      </c>
      <c r="G181" s="96" t="n"/>
      <c r="H181" s="91" t="n"/>
    </row>
    <row r="182" ht="20" customHeight="1">
      <c r="A182" s="97">
        <f>IF(Roster!$A$180&lt;&gt;"",Roster!$A$180,"")</f>
        <v/>
      </c>
      <c r="B182" s="97">
        <f>IF(A182&lt;&gt;"",IFERROR(INDEX(Roster!$B$5:$B$204,MATCH(A182,Roster!$A$5:$A$204,0)),0)+IFERROR(SUMPRODUCT((INDEX(Attendance!$B$7:$AY$206,MATCH(A182,Attendance!$A$7:$A$206,0),0)=1)*Attendance!$B$4:$AY$4),0),"")</f>
        <v/>
      </c>
      <c r="C182" s="98">
        <f>IF(A182&lt;&gt;"",SUMIFS(Transactions!$F$7:$F$1000,Transactions!$D$7:$D$1000,"Income",Transactions!$E$7:$E$1000,A182),"")</f>
        <v/>
      </c>
      <c r="D182" s="98">
        <f>IF(A182&lt;&gt;"",SUMIFS(Transactions!$F$7:$F$1000,Transactions!$D$7:$D$1000,"Expense",Transactions!$E$7:$E$1000,A182),"")</f>
        <v/>
      </c>
      <c r="E182" s="99">
        <f>IF(A182&lt;&gt;"",B182-C182-D182,"")</f>
        <v/>
      </c>
      <c r="F182" s="99">
        <f>IF(A182&lt;&gt;"",IF(E182=0,"Settled","Unsettled"),"")</f>
        <v/>
      </c>
      <c r="G182" s="96" t="n"/>
      <c r="H182" s="91" t="n"/>
    </row>
    <row r="183" ht="20" customHeight="1">
      <c r="A183" s="89">
        <f>IF(Roster!$A$181&lt;&gt;"",Roster!$A$181,"")</f>
        <v/>
      </c>
      <c r="B183" s="89">
        <f>IF(A183&lt;&gt;"",IFERROR(INDEX(Roster!$B$5:$B$204,MATCH(A183,Roster!$A$5:$A$204,0)),0)+IFERROR(SUMPRODUCT((INDEX(Attendance!$B$7:$AY$206,MATCH(A183,Attendance!$A$7:$A$206,0),0)=1)*Attendance!$B$4:$AY$4),0),"")</f>
        <v/>
      </c>
      <c r="C183" s="95">
        <f>IF(A183&lt;&gt;"",SUMIFS(Transactions!$F$7:$F$1000,Transactions!$D$7:$D$1000,"Income",Transactions!$E$7:$E$1000,A183),"")</f>
        <v/>
      </c>
      <c r="D183" s="95">
        <f>IF(A183&lt;&gt;"",SUMIFS(Transactions!$F$7:$F$1000,Transactions!$D$7:$D$1000,"Expense",Transactions!$E$7:$E$1000,A183),"")</f>
        <v/>
      </c>
      <c r="E183" s="93">
        <f>IF(A183&lt;&gt;"",B183-C183-D183,"")</f>
        <v/>
      </c>
      <c r="F183" s="93">
        <f>IF(A183&lt;&gt;"",IF(E183=0,"Settled","Unsettled"),"")</f>
        <v/>
      </c>
      <c r="G183" s="96" t="n"/>
      <c r="H183" s="91" t="n"/>
    </row>
    <row r="184" ht="20" customHeight="1">
      <c r="A184" s="97">
        <f>IF(Roster!$A$182&lt;&gt;"",Roster!$A$182,"")</f>
        <v/>
      </c>
      <c r="B184" s="97">
        <f>IF(A184&lt;&gt;"",IFERROR(INDEX(Roster!$B$5:$B$204,MATCH(A184,Roster!$A$5:$A$204,0)),0)+IFERROR(SUMPRODUCT((INDEX(Attendance!$B$7:$AY$206,MATCH(A184,Attendance!$A$7:$A$206,0),0)=1)*Attendance!$B$4:$AY$4),0),"")</f>
        <v/>
      </c>
      <c r="C184" s="98">
        <f>IF(A184&lt;&gt;"",SUMIFS(Transactions!$F$7:$F$1000,Transactions!$D$7:$D$1000,"Income",Transactions!$E$7:$E$1000,A184),"")</f>
        <v/>
      </c>
      <c r="D184" s="98">
        <f>IF(A184&lt;&gt;"",SUMIFS(Transactions!$F$7:$F$1000,Transactions!$D$7:$D$1000,"Expense",Transactions!$E$7:$E$1000,A184),"")</f>
        <v/>
      </c>
      <c r="E184" s="99">
        <f>IF(A184&lt;&gt;"",B184-C184-D184,"")</f>
        <v/>
      </c>
      <c r="F184" s="99">
        <f>IF(A184&lt;&gt;"",IF(E184=0,"Settled","Unsettled"),"")</f>
        <v/>
      </c>
      <c r="G184" s="96" t="n"/>
      <c r="H184" s="91" t="n"/>
    </row>
    <row r="185" ht="20" customHeight="1">
      <c r="A185" s="89">
        <f>IF(Roster!$A$183&lt;&gt;"",Roster!$A$183,"")</f>
        <v/>
      </c>
      <c r="B185" s="89">
        <f>IF(A185&lt;&gt;"",IFERROR(INDEX(Roster!$B$5:$B$204,MATCH(A185,Roster!$A$5:$A$204,0)),0)+IFERROR(SUMPRODUCT((INDEX(Attendance!$B$7:$AY$206,MATCH(A185,Attendance!$A$7:$A$206,0),0)=1)*Attendance!$B$4:$AY$4),0),"")</f>
        <v/>
      </c>
      <c r="C185" s="95">
        <f>IF(A185&lt;&gt;"",SUMIFS(Transactions!$F$7:$F$1000,Transactions!$D$7:$D$1000,"Income",Transactions!$E$7:$E$1000,A185),"")</f>
        <v/>
      </c>
      <c r="D185" s="95">
        <f>IF(A185&lt;&gt;"",SUMIFS(Transactions!$F$7:$F$1000,Transactions!$D$7:$D$1000,"Expense",Transactions!$E$7:$E$1000,A185),"")</f>
        <v/>
      </c>
      <c r="E185" s="93">
        <f>IF(A185&lt;&gt;"",B185-C185-D185,"")</f>
        <v/>
      </c>
      <c r="F185" s="93">
        <f>IF(A185&lt;&gt;"",IF(E185=0,"Settled","Unsettled"),"")</f>
        <v/>
      </c>
      <c r="G185" s="96" t="n"/>
      <c r="H185" s="91" t="n"/>
    </row>
    <row r="186" ht="20" customHeight="1">
      <c r="A186" s="97">
        <f>IF(Roster!$A$184&lt;&gt;"",Roster!$A$184,"")</f>
        <v/>
      </c>
      <c r="B186" s="97">
        <f>IF(A186&lt;&gt;"",IFERROR(INDEX(Roster!$B$5:$B$204,MATCH(A186,Roster!$A$5:$A$204,0)),0)+IFERROR(SUMPRODUCT((INDEX(Attendance!$B$7:$AY$206,MATCH(A186,Attendance!$A$7:$A$206,0),0)=1)*Attendance!$B$4:$AY$4),0),"")</f>
        <v/>
      </c>
      <c r="C186" s="98">
        <f>IF(A186&lt;&gt;"",SUMIFS(Transactions!$F$7:$F$1000,Transactions!$D$7:$D$1000,"Income",Transactions!$E$7:$E$1000,A186),"")</f>
        <v/>
      </c>
      <c r="D186" s="98">
        <f>IF(A186&lt;&gt;"",SUMIFS(Transactions!$F$7:$F$1000,Transactions!$D$7:$D$1000,"Expense",Transactions!$E$7:$E$1000,A186),"")</f>
        <v/>
      </c>
      <c r="E186" s="99">
        <f>IF(A186&lt;&gt;"",B186-C186-D186,"")</f>
        <v/>
      </c>
      <c r="F186" s="99">
        <f>IF(A186&lt;&gt;"",IF(E186=0,"Settled","Unsettled"),"")</f>
        <v/>
      </c>
      <c r="G186" s="96" t="n"/>
      <c r="H186" s="91" t="n"/>
    </row>
    <row r="187" ht="20" customHeight="1">
      <c r="A187" s="89">
        <f>IF(Roster!$A$185&lt;&gt;"",Roster!$A$185,"")</f>
        <v/>
      </c>
      <c r="B187" s="89">
        <f>IF(A187&lt;&gt;"",IFERROR(INDEX(Roster!$B$5:$B$204,MATCH(A187,Roster!$A$5:$A$204,0)),0)+IFERROR(SUMPRODUCT((INDEX(Attendance!$B$7:$AY$206,MATCH(A187,Attendance!$A$7:$A$206,0),0)=1)*Attendance!$B$4:$AY$4),0),"")</f>
        <v/>
      </c>
      <c r="C187" s="95">
        <f>IF(A187&lt;&gt;"",SUMIFS(Transactions!$F$7:$F$1000,Transactions!$D$7:$D$1000,"Income",Transactions!$E$7:$E$1000,A187),"")</f>
        <v/>
      </c>
      <c r="D187" s="95">
        <f>IF(A187&lt;&gt;"",SUMIFS(Transactions!$F$7:$F$1000,Transactions!$D$7:$D$1000,"Expense",Transactions!$E$7:$E$1000,A187),"")</f>
        <v/>
      </c>
      <c r="E187" s="93">
        <f>IF(A187&lt;&gt;"",B187-C187-D187,"")</f>
        <v/>
      </c>
      <c r="F187" s="93">
        <f>IF(A187&lt;&gt;"",IF(E187=0,"Settled","Unsettled"),"")</f>
        <v/>
      </c>
      <c r="G187" s="96" t="n"/>
      <c r="H187" s="91" t="n"/>
    </row>
    <row r="188" ht="20" customHeight="1">
      <c r="A188" s="97">
        <f>IF(Roster!$A$186&lt;&gt;"",Roster!$A$186,"")</f>
        <v/>
      </c>
      <c r="B188" s="97">
        <f>IF(A188&lt;&gt;"",IFERROR(INDEX(Roster!$B$5:$B$204,MATCH(A188,Roster!$A$5:$A$204,0)),0)+IFERROR(SUMPRODUCT((INDEX(Attendance!$B$7:$AY$206,MATCH(A188,Attendance!$A$7:$A$206,0),0)=1)*Attendance!$B$4:$AY$4),0),"")</f>
        <v/>
      </c>
      <c r="C188" s="98">
        <f>IF(A188&lt;&gt;"",SUMIFS(Transactions!$F$7:$F$1000,Transactions!$D$7:$D$1000,"Income",Transactions!$E$7:$E$1000,A188),"")</f>
        <v/>
      </c>
      <c r="D188" s="98">
        <f>IF(A188&lt;&gt;"",SUMIFS(Transactions!$F$7:$F$1000,Transactions!$D$7:$D$1000,"Expense",Transactions!$E$7:$E$1000,A188),"")</f>
        <v/>
      </c>
      <c r="E188" s="99">
        <f>IF(A188&lt;&gt;"",B188-C188-D188,"")</f>
        <v/>
      </c>
      <c r="F188" s="99">
        <f>IF(A188&lt;&gt;"",IF(E188=0,"Settled","Unsettled"),"")</f>
        <v/>
      </c>
      <c r="G188" s="96" t="n"/>
      <c r="H188" s="91" t="n"/>
    </row>
    <row r="189" ht="20" customHeight="1">
      <c r="A189" s="89">
        <f>IF(Roster!$A$187&lt;&gt;"",Roster!$A$187,"")</f>
        <v/>
      </c>
      <c r="B189" s="89">
        <f>IF(A189&lt;&gt;"",IFERROR(INDEX(Roster!$B$5:$B$204,MATCH(A189,Roster!$A$5:$A$204,0)),0)+IFERROR(SUMPRODUCT((INDEX(Attendance!$B$7:$AY$206,MATCH(A189,Attendance!$A$7:$A$206,0),0)=1)*Attendance!$B$4:$AY$4),0),"")</f>
        <v/>
      </c>
      <c r="C189" s="95">
        <f>IF(A189&lt;&gt;"",SUMIFS(Transactions!$F$7:$F$1000,Transactions!$D$7:$D$1000,"Income",Transactions!$E$7:$E$1000,A189),"")</f>
        <v/>
      </c>
      <c r="D189" s="95">
        <f>IF(A189&lt;&gt;"",SUMIFS(Transactions!$F$7:$F$1000,Transactions!$D$7:$D$1000,"Expense",Transactions!$E$7:$E$1000,A189),"")</f>
        <v/>
      </c>
      <c r="E189" s="93">
        <f>IF(A189&lt;&gt;"",B189-C189-D189,"")</f>
        <v/>
      </c>
      <c r="F189" s="93">
        <f>IF(A189&lt;&gt;"",IF(E189=0,"Settled","Unsettled"),"")</f>
        <v/>
      </c>
      <c r="G189" s="96" t="n"/>
      <c r="H189" s="91" t="n"/>
    </row>
    <row r="190" ht="20" customHeight="1">
      <c r="A190" s="97">
        <f>IF(Roster!$A$188&lt;&gt;"",Roster!$A$188,"")</f>
        <v/>
      </c>
      <c r="B190" s="97">
        <f>IF(A190&lt;&gt;"",IFERROR(INDEX(Roster!$B$5:$B$204,MATCH(A190,Roster!$A$5:$A$204,0)),0)+IFERROR(SUMPRODUCT((INDEX(Attendance!$B$7:$AY$206,MATCH(A190,Attendance!$A$7:$A$206,0),0)=1)*Attendance!$B$4:$AY$4),0),"")</f>
        <v/>
      </c>
      <c r="C190" s="98">
        <f>IF(A190&lt;&gt;"",SUMIFS(Transactions!$F$7:$F$1000,Transactions!$D$7:$D$1000,"Income",Transactions!$E$7:$E$1000,A190),"")</f>
        <v/>
      </c>
      <c r="D190" s="98">
        <f>IF(A190&lt;&gt;"",SUMIFS(Transactions!$F$7:$F$1000,Transactions!$D$7:$D$1000,"Expense",Transactions!$E$7:$E$1000,A190),"")</f>
        <v/>
      </c>
      <c r="E190" s="99">
        <f>IF(A190&lt;&gt;"",B190-C190-D190,"")</f>
        <v/>
      </c>
      <c r="F190" s="99">
        <f>IF(A190&lt;&gt;"",IF(E190=0,"Settled","Unsettled"),"")</f>
        <v/>
      </c>
      <c r="G190" s="96" t="n"/>
      <c r="H190" s="91" t="n"/>
    </row>
    <row r="191" ht="20" customHeight="1">
      <c r="A191" s="89">
        <f>IF(Roster!$A$189&lt;&gt;"",Roster!$A$189,"")</f>
        <v/>
      </c>
      <c r="B191" s="89">
        <f>IF(A191&lt;&gt;"",IFERROR(INDEX(Roster!$B$5:$B$204,MATCH(A191,Roster!$A$5:$A$204,0)),0)+IFERROR(SUMPRODUCT((INDEX(Attendance!$B$7:$AY$206,MATCH(A191,Attendance!$A$7:$A$206,0),0)=1)*Attendance!$B$4:$AY$4),0),"")</f>
        <v/>
      </c>
      <c r="C191" s="95">
        <f>IF(A191&lt;&gt;"",SUMIFS(Transactions!$F$7:$F$1000,Transactions!$D$7:$D$1000,"Income",Transactions!$E$7:$E$1000,A191),"")</f>
        <v/>
      </c>
      <c r="D191" s="95">
        <f>IF(A191&lt;&gt;"",SUMIFS(Transactions!$F$7:$F$1000,Transactions!$D$7:$D$1000,"Expense",Transactions!$E$7:$E$1000,A191),"")</f>
        <v/>
      </c>
      <c r="E191" s="93">
        <f>IF(A191&lt;&gt;"",B191-C191-D191,"")</f>
        <v/>
      </c>
      <c r="F191" s="93">
        <f>IF(A191&lt;&gt;"",IF(E191=0,"Settled","Unsettled"),"")</f>
        <v/>
      </c>
      <c r="G191" s="96" t="n"/>
      <c r="H191" s="91" t="n"/>
    </row>
    <row r="192" ht="20" customHeight="1">
      <c r="A192" s="97">
        <f>IF(Roster!$A$190&lt;&gt;"",Roster!$A$190,"")</f>
        <v/>
      </c>
      <c r="B192" s="97">
        <f>IF(A192&lt;&gt;"",IFERROR(INDEX(Roster!$B$5:$B$204,MATCH(A192,Roster!$A$5:$A$204,0)),0)+IFERROR(SUMPRODUCT((INDEX(Attendance!$B$7:$AY$206,MATCH(A192,Attendance!$A$7:$A$206,0),0)=1)*Attendance!$B$4:$AY$4),0),"")</f>
        <v/>
      </c>
      <c r="C192" s="98">
        <f>IF(A192&lt;&gt;"",SUMIFS(Transactions!$F$7:$F$1000,Transactions!$D$7:$D$1000,"Income",Transactions!$E$7:$E$1000,A192),"")</f>
        <v/>
      </c>
      <c r="D192" s="98">
        <f>IF(A192&lt;&gt;"",SUMIFS(Transactions!$F$7:$F$1000,Transactions!$D$7:$D$1000,"Expense",Transactions!$E$7:$E$1000,A192),"")</f>
        <v/>
      </c>
      <c r="E192" s="99">
        <f>IF(A192&lt;&gt;"",B192-C192-D192,"")</f>
        <v/>
      </c>
      <c r="F192" s="99">
        <f>IF(A192&lt;&gt;"",IF(E192=0,"Settled","Unsettled"),"")</f>
        <v/>
      </c>
      <c r="G192" s="96" t="n"/>
      <c r="H192" s="91" t="n"/>
    </row>
    <row r="193" ht="20" customHeight="1">
      <c r="A193" s="89">
        <f>IF(Roster!$A$191&lt;&gt;"",Roster!$A$191,"")</f>
        <v/>
      </c>
      <c r="B193" s="89">
        <f>IF(A193&lt;&gt;"",IFERROR(INDEX(Roster!$B$5:$B$204,MATCH(A193,Roster!$A$5:$A$204,0)),0)+IFERROR(SUMPRODUCT((INDEX(Attendance!$B$7:$AY$206,MATCH(A193,Attendance!$A$7:$A$206,0),0)=1)*Attendance!$B$4:$AY$4),0),"")</f>
        <v/>
      </c>
      <c r="C193" s="95">
        <f>IF(A193&lt;&gt;"",SUMIFS(Transactions!$F$7:$F$1000,Transactions!$D$7:$D$1000,"Income",Transactions!$E$7:$E$1000,A193),"")</f>
        <v/>
      </c>
      <c r="D193" s="95">
        <f>IF(A193&lt;&gt;"",SUMIFS(Transactions!$F$7:$F$1000,Transactions!$D$7:$D$1000,"Expense",Transactions!$E$7:$E$1000,A193),"")</f>
        <v/>
      </c>
      <c r="E193" s="93">
        <f>IF(A193&lt;&gt;"",B193-C193-D193,"")</f>
        <v/>
      </c>
      <c r="F193" s="93">
        <f>IF(A193&lt;&gt;"",IF(E193=0,"Settled","Unsettled"),"")</f>
        <v/>
      </c>
      <c r="G193" s="96" t="n"/>
      <c r="H193" s="91" t="n"/>
    </row>
    <row r="194" ht="20" customHeight="1">
      <c r="A194" s="97">
        <f>IF(Roster!$A$192&lt;&gt;"",Roster!$A$192,"")</f>
        <v/>
      </c>
      <c r="B194" s="97">
        <f>IF(A194&lt;&gt;"",IFERROR(INDEX(Roster!$B$5:$B$204,MATCH(A194,Roster!$A$5:$A$204,0)),0)+IFERROR(SUMPRODUCT((INDEX(Attendance!$B$7:$AY$206,MATCH(A194,Attendance!$A$7:$A$206,0),0)=1)*Attendance!$B$4:$AY$4),0),"")</f>
        <v/>
      </c>
      <c r="C194" s="98">
        <f>IF(A194&lt;&gt;"",SUMIFS(Transactions!$F$7:$F$1000,Transactions!$D$7:$D$1000,"Income",Transactions!$E$7:$E$1000,A194),"")</f>
        <v/>
      </c>
      <c r="D194" s="98">
        <f>IF(A194&lt;&gt;"",SUMIFS(Transactions!$F$7:$F$1000,Transactions!$D$7:$D$1000,"Expense",Transactions!$E$7:$E$1000,A194),"")</f>
        <v/>
      </c>
      <c r="E194" s="99">
        <f>IF(A194&lt;&gt;"",B194-C194-D194,"")</f>
        <v/>
      </c>
      <c r="F194" s="99">
        <f>IF(A194&lt;&gt;"",IF(E194=0,"Settled","Unsettled"),"")</f>
        <v/>
      </c>
      <c r="G194" s="96" t="n"/>
      <c r="H194" s="91" t="n"/>
    </row>
    <row r="195" ht="20" customHeight="1">
      <c r="A195" s="89">
        <f>IF(Roster!$A$193&lt;&gt;"",Roster!$A$193,"")</f>
        <v/>
      </c>
      <c r="B195" s="89">
        <f>IF(A195&lt;&gt;"",IFERROR(INDEX(Roster!$B$5:$B$204,MATCH(A195,Roster!$A$5:$A$204,0)),0)+IFERROR(SUMPRODUCT((INDEX(Attendance!$B$7:$AY$206,MATCH(A195,Attendance!$A$7:$A$206,0),0)=1)*Attendance!$B$4:$AY$4),0),"")</f>
        <v/>
      </c>
      <c r="C195" s="95">
        <f>IF(A195&lt;&gt;"",SUMIFS(Transactions!$F$7:$F$1000,Transactions!$D$7:$D$1000,"Income",Transactions!$E$7:$E$1000,A195),"")</f>
        <v/>
      </c>
      <c r="D195" s="95">
        <f>IF(A195&lt;&gt;"",SUMIFS(Transactions!$F$7:$F$1000,Transactions!$D$7:$D$1000,"Expense",Transactions!$E$7:$E$1000,A195),"")</f>
        <v/>
      </c>
      <c r="E195" s="93">
        <f>IF(A195&lt;&gt;"",B195-C195-D195,"")</f>
        <v/>
      </c>
      <c r="F195" s="93">
        <f>IF(A195&lt;&gt;"",IF(E195=0,"Settled","Unsettled"),"")</f>
        <v/>
      </c>
      <c r="G195" s="96" t="n"/>
      <c r="H195" s="91" t="n"/>
    </row>
    <row r="196" ht="20" customHeight="1">
      <c r="A196" s="97">
        <f>IF(Roster!$A$194&lt;&gt;"",Roster!$A$194,"")</f>
        <v/>
      </c>
      <c r="B196" s="97">
        <f>IF(A196&lt;&gt;"",IFERROR(INDEX(Roster!$B$5:$B$204,MATCH(A196,Roster!$A$5:$A$204,0)),0)+IFERROR(SUMPRODUCT((INDEX(Attendance!$B$7:$AY$206,MATCH(A196,Attendance!$A$7:$A$206,0),0)=1)*Attendance!$B$4:$AY$4),0),"")</f>
        <v/>
      </c>
      <c r="C196" s="98">
        <f>IF(A196&lt;&gt;"",SUMIFS(Transactions!$F$7:$F$1000,Transactions!$D$7:$D$1000,"Income",Transactions!$E$7:$E$1000,A196),"")</f>
        <v/>
      </c>
      <c r="D196" s="98">
        <f>IF(A196&lt;&gt;"",SUMIFS(Transactions!$F$7:$F$1000,Transactions!$D$7:$D$1000,"Expense",Transactions!$E$7:$E$1000,A196),"")</f>
        <v/>
      </c>
      <c r="E196" s="99">
        <f>IF(A196&lt;&gt;"",B196-C196-D196,"")</f>
        <v/>
      </c>
      <c r="F196" s="99">
        <f>IF(A196&lt;&gt;"",IF(E196=0,"Settled","Unsettled"),"")</f>
        <v/>
      </c>
      <c r="G196" s="96" t="n"/>
      <c r="H196" s="91" t="n"/>
    </row>
    <row r="197" ht="20" customHeight="1">
      <c r="A197" s="89">
        <f>IF(Roster!$A$195&lt;&gt;"",Roster!$A$195,"")</f>
        <v/>
      </c>
      <c r="B197" s="89">
        <f>IF(A197&lt;&gt;"",IFERROR(INDEX(Roster!$B$5:$B$204,MATCH(A197,Roster!$A$5:$A$204,0)),0)+IFERROR(SUMPRODUCT((INDEX(Attendance!$B$7:$AY$206,MATCH(A197,Attendance!$A$7:$A$206,0),0)=1)*Attendance!$B$4:$AY$4),0),"")</f>
        <v/>
      </c>
      <c r="C197" s="95">
        <f>IF(A197&lt;&gt;"",SUMIFS(Transactions!$F$7:$F$1000,Transactions!$D$7:$D$1000,"Income",Transactions!$E$7:$E$1000,A197),"")</f>
        <v/>
      </c>
      <c r="D197" s="95">
        <f>IF(A197&lt;&gt;"",SUMIFS(Transactions!$F$7:$F$1000,Transactions!$D$7:$D$1000,"Expense",Transactions!$E$7:$E$1000,A197),"")</f>
        <v/>
      </c>
      <c r="E197" s="93">
        <f>IF(A197&lt;&gt;"",B197-C197-D197,"")</f>
        <v/>
      </c>
      <c r="F197" s="93">
        <f>IF(A197&lt;&gt;"",IF(E197=0,"Settled","Unsettled"),"")</f>
        <v/>
      </c>
      <c r="G197" s="96" t="n"/>
      <c r="H197" s="91" t="n"/>
    </row>
    <row r="198" ht="20" customHeight="1">
      <c r="A198" s="97">
        <f>IF(Roster!$A$196&lt;&gt;"",Roster!$A$196,"")</f>
        <v/>
      </c>
      <c r="B198" s="97">
        <f>IF(A198&lt;&gt;"",IFERROR(INDEX(Roster!$B$5:$B$204,MATCH(A198,Roster!$A$5:$A$204,0)),0)+IFERROR(SUMPRODUCT((INDEX(Attendance!$B$7:$AY$206,MATCH(A198,Attendance!$A$7:$A$206,0),0)=1)*Attendance!$B$4:$AY$4),0),"")</f>
        <v/>
      </c>
      <c r="C198" s="98">
        <f>IF(A198&lt;&gt;"",SUMIFS(Transactions!$F$7:$F$1000,Transactions!$D$7:$D$1000,"Income",Transactions!$E$7:$E$1000,A198),"")</f>
        <v/>
      </c>
      <c r="D198" s="98">
        <f>IF(A198&lt;&gt;"",SUMIFS(Transactions!$F$7:$F$1000,Transactions!$D$7:$D$1000,"Expense",Transactions!$E$7:$E$1000,A198),"")</f>
        <v/>
      </c>
      <c r="E198" s="99">
        <f>IF(A198&lt;&gt;"",B198-C198-D198,"")</f>
        <v/>
      </c>
      <c r="F198" s="99">
        <f>IF(A198&lt;&gt;"",IF(E198=0,"Settled","Unsettled"),"")</f>
        <v/>
      </c>
      <c r="G198" s="96" t="n"/>
      <c r="H198" s="91" t="n"/>
    </row>
    <row r="199" ht="20" customHeight="1">
      <c r="A199" s="89">
        <f>IF(Roster!$A$197&lt;&gt;"",Roster!$A$197,"")</f>
        <v/>
      </c>
      <c r="B199" s="89">
        <f>IF(A199&lt;&gt;"",IFERROR(INDEX(Roster!$B$5:$B$204,MATCH(A199,Roster!$A$5:$A$204,0)),0)+IFERROR(SUMPRODUCT((INDEX(Attendance!$B$7:$AY$206,MATCH(A199,Attendance!$A$7:$A$206,0),0)=1)*Attendance!$B$4:$AY$4),0),"")</f>
        <v/>
      </c>
      <c r="C199" s="95">
        <f>IF(A199&lt;&gt;"",SUMIFS(Transactions!$F$7:$F$1000,Transactions!$D$7:$D$1000,"Income",Transactions!$E$7:$E$1000,A199),"")</f>
        <v/>
      </c>
      <c r="D199" s="95">
        <f>IF(A199&lt;&gt;"",SUMIFS(Transactions!$F$7:$F$1000,Transactions!$D$7:$D$1000,"Expense",Transactions!$E$7:$E$1000,A199),"")</f>
        <v/>
      </c>
      <c r="E199" s="93">
        <f>IF(A199&lt;&gt;"",B199-C199-D199,"")</f>
        <v/>
      </c>
      <c r="F199" s="93">
        <f>IF(A199&lt;&gt;"",IF(E199=0,"Settled","Unsettled"),"")</f>
        <v/>
      </c>
      <c r="G199" s="96" t="n"/>
      <c r="H199" s="91" t="n"/>
    </row>
    <row r="200" ht="20" customHeight="1">
      <c r="A200" s="97">
        <f>IF(Roster!$A$198&lt;&gt;"",Roster!$A$198,"")</f>
        <v/>
      </c>
      <c r="B200" s="97">
        <f>IF(A200&lt;&gt;"",IFERROR(INDEX(Roster!$B$5:$B$204,MATCH(A200,Roster!$A$5:$A$204,0)),0)+IFERROR(SUMPRODUCT((INDEX(Attendance!$B$7:$AY$206,MATCH(A200,Attendance!$A$7:$A$206,0),0)=1)*Attendance!$B$4:$AY$4),0),"")</f>
        <v/>
      </c>
      <c r="C200" s="98">
        <f>IF(A200&lt;&gt;"",SUMIFS(Transactions!$F$7:$F$1000,Transactions!$D$7:$D$1000,"Income",Transactions!$E$7:$E$1000,A200),"")</f>
        <v/>
      </c>
      <c r="D200" s="98">
        <f>IF(A200&lt;&gt;"",SUMIFS(Transactions!$F$7:$F$1000,Transactions!$D$7:$D$1000,"Expense",Transactions!$E$7:$E$1000,A200),"")</f>
        <v/>
      </c>
      <c r="E200" s="99">
        <f>IF(A200&lt;&gt;"",B200-C200-D200,"")</f>
        <v/>
      </c>
      <c r="F200" s="99">
        <f>IF(A200&lt;&gt;"",IF(E200=0,"Settled","Unsettled"),"")</f>
        <v/>
      </c>
      <c r="G200" s="96" t="n"/>
      <c r="H200" s="91" t="n"/>
    </row>
    <row r="201" ht="20" customHeight="1">
      <c r="A201" s="89">
        <f>IF(Roster!$A$199&lt;&gt;"",Roster!$A$199,"")</f>
        <v/>
      </c>
      <c r="B201" s="89">
        <f>IF(A201&lt;&gt;"",IFERROR(INDEX(Roster!$B$5:$B$204,MATCH(A201,Roster!$A$5:$A$204,0)),0)+IFERROR(SUMPRODUCT((INDEX(Attendance!$B$7:$AY$206,MATCH(A201,Attendance!$A$7:$A$206,0),0)=1)*Attendance!$B$4:$AY$4),0),"")</f>
        <v/>
      </c>
      <c r="C201" s="95">
        <f>IF(A201&lt;&gt;"",SUMIFS(Transactions!$F$7:$F$1000,Transactions!$D$7:$D$1000,"Income",Transactions!$E$7:$E$1000,A201),"")</f>
        <v/>
      </c>
      <c r="D201" s="95">
        <f>IF(A201&lt;&gt;"",SUMIFS(Transactions!$F$7:$F$1000,Transactions!$D$7:$D$1000,"Expense",Transactions!$E$7:$E$1000,A201),"")</f>
        <v/>
      </c>
      <c r="E201" s="93">
        <f>IF(A201&lt;&gt;"",B201-C201-D201,"")</f>
        <v/>
      </c>
      <c r="F201" s="93">
        <f>IF(A201&lt;&gt;"",IF(E201=0,"Settled","Unsettled"),"")</f>
        <v/>
      </c>
      <c r="G201" s="96" t="n"/>
      <c r="H201" s="91" t="n"/>
    </row>
    <row r="202" ht="20" customHeight="1">
      <c r="A202" s="97">
        <f>IF(Roster!$A$200&lt;&gt;"",Roster!$A$200,"")</f>
        <v/>
      </c>
      <c r="B202" s="97">
        <f>IF(A202&lt;&gt;"",IFERROR(INDEX(Roster!$B$5:$B$204,MATCH(A202,Roster!$A$5:$A$204,0)),0)+IFERROR(SUMPRODUCT((INDEX(Attendance!$B$7:$AY$206,MATCH(A202,Attendance!$A$7:$A$206,0),0)=1)*Attendance!$B$4:$AY$4),0),"")</f>
        <v/>
      </c>
      <c r="C202" s="98">
        <f>IF(A202&lt;&gt;"",SUMIFS(Transactions!$F$7:$F$1000,Transactions!$D$7:$D$1000,"Income",Transactions!$E$7:$E$1000,A202),"")</f>
        <v/>
      </c>
      <c r="D202" s="98">
        <f>IF(A202&lt;&gt;"",SUMIFS(Transactions!$F$7:$F$1000,Transactions!$D$7:$D$1000,"Expense",Transactions!$E$7:$E$1000,A202),"")</f>
        <v/>
      </c>
      <c r="E202" s="99">
        <f>IF(A202&lt;&gt;"",B202-C202-D202,"")</f>
        <v/>
      </c>
      <c r="F202" s="99">
        <f>IF(A202&lt;&gt;"",IF(E202=0,"Settled","Unsettled"),"")</f>
        <v/>
      </c>
      <c r="G202" s="96" t="n"/>
      <c r="H202" s="91" t="n"/>
    </row>
    <row r="203" ht="20" customHeight="1">
      <c r="A203" s="89">
        <f>IF(Roster!$A$201&lt;&gt;"",Roster!$A$201,"")</f>
        <v/>
      </c>
      <c r="B203" s="89">
        <f>IF(A203&lt;&gt;"",IFERROR(INDEX(Roster!$B$5:$B$204,MATCH(A203,Roster!$A$5:$A$204,0)),0)+IFERROR(SUMPRODUCT((INDEX(Attendance!$B$7:$AY$206,MATCH(A203,Attendance!$A$7:$A$206,0),0)=1)*Attendance!$B$4:$AY$4),0),"")</f>
        <v/>
      </c>
      <c r="C203" s="95">
        <f>IF(A203&lt;&gt;"",SUMIFS(Transactions!$F$7:$F$1000,Transactions!$D$7:$D$1000,"Income",Transactions!$E$7:$E$1000,A203),"")</f>
        <v/>
      </c>
      <c r="D203" s="95">
        <f>IF(A203&lt;&gt;"",SUMIFS(Transactions!$F$7:$F$1000,Transactions!$D$7:$D$1000,"Expense",Transactions!$E$7:$E$1000,A203),"")</f>
        <v/>
      </c>
      <c r="E203" s="93">
        <f>IF(A203&lt;&gt;"",B203-C203-D203,"")</f>
        <v/>
      </c>
      <c r="F203" s="93">
        <f>IF(A203&lt;&gt;"",IF(E203=0,"Settled","Unsettled"),"")</f>
        <v/>
      </c>
      <c r="G203" s="96" t="n"/>
      <c r="H203" s="91" t="n"/>
    </row>
    <row r="204" ht="20" customHeight="1">
      <c r="A204" s="97">
        <f>IF(Roster!$A$202&lt;&gt;"",Roster!$A$202,"")</f>
        <v/>
      </c>
      <c r="B204" s="97">
        <f>IF(A204&lt;&gt;"",IFERROR(INDEX(Roster!$B$5:$B$204,MATCH(A204,Roster!$A$5:$A$204,0)),0)+IFERROR(SUMPRODUCT((INDEX(Attendance!$B$7:$AY$206,MATCH(A204,Attendance!$A$7:$A$206,0),0)=1)*Attendance!$B$4:$AY$4),0),"")</f>
        <v/>
      </c>
      <c r="C204" s="98">
        <f>IF(A204&lt;&gt;"",SUMIFS(Transactions!$F$7:$F$1000,Transactions!$D$7:$D$1000,"Income",Transactions!$E$7:$E$1000,A204),"")</f>
        <v/>
      </c>
      <c r="D204" s="98">
        <f>IF(A204&lt;&gt;"",SUMIFS(Transactions!$F$7:$F$1000,Transactions!$D$7:$D$1000,"Expense",Transactions!$E$7:$E$1000,A204),"")</f>
        <v/>
      </c>
      <c r="E204" s="99">
        <f>IF(A204&lt;&gt;"",B204-C204-D204,"")</f>
        <v/>
      </c>
      <c r="F204" s="99">
        <f>IF(A204&lt;&gt;"",IF(E204=0,"Settled","Unsettled"),"")</f>
        <v/>
      </c>
      <c r="G204" s="96" t="n"/>
      <c r="H204" s="91" t="n"/>
    </row>
    <row r="205" ht="20" customHeight="1">
      <c r="A205" s="89">
        <f>IF(Roster!$A$203&lt;&gt;"",Roster!$A$203,"")</f>
        <v/>
      </c>
      <c r="B205" s="89">
        <f>IF(A205&lt;&gt;"",IFERROR(INDEX(Roster!$B$5:$B$204,MATCH(A205,Roster!$A$5:$A$204,0)),0)+IFERROR(SUMPRODUCT((INDEX(Attendance!$B$7:$AY$206,MATCH(A205,Attendance!$A$7:$A$206,0),0)=1)*Attendance!$B$4:$AY$4),0),"")</f>
        <v/>
      </c>
      <c r="C205" s="95">
        <f>IF(A205&lt;&gt;"",SUMIFS(Transactions!$F$7:$F$1000,Transactions!$D$7:$D$1000,"Income",Transactions!$E$7:$E$1000,A205),"")</f>
        <v/>
      </c>
      <c r="D205" s="95">
        <f>IF(A205&lt;&gt;"",SUMIFS(Transactions!$F$7:$F$1000,Transactions!$D$7:$D$1000,"Expense",Transactions!$E$7:$E$1000,A205),"")</f>
        <v/>
      </c>
      <c r="E205" s="93">
        <f>IF(A205&lt;&gt;"",B205-C205-D205,"")</f>
        <v/>
      </c>
      <c r="F205" s="93">
        <f>IF(A205&lt;&gt;"",IF(E205=0,"Settled","Unsettled"),"")</f>
        <v/>
      </c>
      <c r="G205" s="96" t="n"/>
      <c r="H205" s="91" t="n"/>
    </row>
    <row r="206" ht="20" customHeight="1">
      <c r="A206" s="97">
        <f>IF(Roster!$A$204&lt;&gt;"",Roster!$A$204,"")</f>
        <v/>
      </c>
      <c r="B206" s="97">
        <f>IF(A206&lt;&gt;"",IFERROR(INDEX(Roster!$B$5:$B$204,MATCH(A206,Roster!$A$5:$A$204,0)),0)+IFERROR(SUMPRODUCT((INDEX(Attendance!$B$7:$AY$206,MATCH(A206,Attendance!$A$7:$A$206,0),0)=1)*Attendance!$B$4:$AY$4),0),"")</f>
        <v/>
      </c>
      <c r="C206" s="98">
        <f>IF(A206&lt;&gt;"",SUMIFS(Transactions!$F$7:$F$1000,Transactions!$D$7:$D$1000,"Income",Transactions!$E$7:$E$1000,A206),"")</f>
        <v/>
      </c>
      <c r="D206" s="98">
        <f>IF(A206&lt;&gt;"",SUMIFS(Transactions!$F$7:$F$1000,Transactions!$D$7:$D$1000,"Expense",Transactions!$E$7:$E$1000,A206),"")</f>
        <v/>
      </c>
      <c r="E206" s="99">
        <f>IF(A206&lt;&gt;"",B206-C206-D206,"")</f>
        <v/>
      </c>
      <c r="F206" s="99">
        <f>IF(A206&lt;&gt;"",IF(E206=0,"Settled","Unsettled"),"")</f>
        <v/>
      </c>
      <c r="G206" s="96" t="n"/>
      <c r="H206" s="91" t="n"/>
    </row>
  </sheetData>
  <mergeCells count="1">
    <mergeCell ref="A1:H1"/>
  </mergeCells>
  <dataValidations count="1">
    <dataValidation sqref="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showDropDown="0" showInputMessage="0" showErrorMessage="0" allowBlank="1" type="list">
      <formula1>"Settled,Unsettled,Partial"</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4"/>
  <sheetViews>
    <sheetView workbookViewId="0">
      <selection activeCell="A1" sqref="A1"/>
    </sheetView>
  </sheetViews>
  <sheetFormatPr baseColWidth="8" defaultRowHeight="15"/>
  <cols>
    <col width="14" customWidth="1" min="1" max="1"/>
    <col width="22" customWidth="1" min="2" max="2"/>
    <col width="30" customWidth="1" min="3" max="3"/>
    <col width="16" customWidth="1" min="4" max="4"/>
    <col width="14" customWidth="1" min="5" max="5"/>
    <col width="30" customWidth="1" min="6" max="6"/>
    <col width="14" customWidth="1" min="7" max="7"/>
  </cols>
  <sheetData>
    <row r="1">
      <c r="A1" s="76" t="inlineStr">
        <is>
          <t>PENDING TRANSACTIONS - Player Submissions</t>
        </is>
      </c>
      <c r="B1" s="77" t="n"/>
      <c r="C1" s="77" t="n"/>
      <c r="D1" s="77" t="n"/>
      <c r="E1" s="77" t="n"/>
      <c r="F1" s="77" t="n"/>
      <c r="G1" s="77" t="n"/>
    </row>
    <row r="2">
      <c r="A2" s="100" t="inlineStr">
        <is>
          <t>Players submit items here. Treasurer reviews and moves approved items to the Transactions sheet.</t>
        </is>
      </c>
    </row>
    <row r="4">
      <c r="A4" s="78" t="inlineStr">
        <is>
          <t>Date</t>
        </is>
      </c>
      <c r="B4" s="78" t="inlineStr">
        <is>
          <t>Player Name</t>
        </is>
      </c>
      <c r="C4" s="78" t="inlineStr">
        <is>
          <t>Description</t>
        </is>
      </c>
      <c r="D4" s="78" t="inlineStr">
        <is>
          <t>Category</t>
        </is>
      </c>
      <c r="E4" s="78" t="inlineStr">
        <is>
          <t>Amount ($)</t>
        </is>
      </c>
      <c r="F4" s="78" t="inlineStr">
        <is>
          <t>Receipt / Notes</t>
        </is>
      </c>
      <c r="G4" s="78" t="inlineStr">
        <is>
          <t>Status</t>
        </is>
      </c>
    </row>
    <row r="5">
      <c r="A5" s="101" t="n"/>
      <c r="B5" s="101" t="n"/>
      <c r="C5" s="101" t="n"/>
      <c r="D5" s="101" t="n"/>
      <c r="E5" s="101" t="n"/>
      <c r="F5" s="101" t="n"/>
      <c r="G5" s="102" t="inlineStr">
        <is>
          <t>Pending</t>
        </is>
      </c>
    </row>
    <row r="6">
      <c r="A6" s="101" t="n"/>
      <c r="B6" s="101" t="n"/>
      <c r="C6" s="101" t="n"/>
      <c r="D6" s="101" t="n"/>
      <c r="E6" s="101" t="n"/>
      <c r="F6" s="101" t="n"/>
      <c r="G6" s="102" t="inlineStr">
        <is>
          <t>Pending</t>
        </is>
      </c>
    </row>
    <row r="7">
      <c r="A7" s="101" t="n"/>
      <c r="B7" s="101" t="n"/>
      <c r="C7" s="101" t="n"/>
      <c r="D7" s="101" t="n"/>
      <c r="E7" s="101" t="n"/>
      <c r="F7" s="101" t="n"/>
      <c r="G7" s="102" t="inlineStr">
        <is>
          <t>Pending</t>
        </is>
      </c>
    </row>
    <row r="8">
      <c r="A8" s="101" t="n"/>
      <c r="B8" s="101" t="n"/>
      <c r="C8" s="101" t="n"/>
      <c r="D8" s="101" t="n"/>
      <c r="E8" s="101" t="n"/>
      <c r="F8" s="101" t="n"/>
      <c r="G8" s="102" t="inlineStr">
        <is>
          <t>Pending</t>
        </is>
      </c>
    </row>
    <row r="9">
      <c r="A9" s="101" t="n"/>
      <c r="B9" s="101" t="n"/>
      <c r="C9" s="101" t="n"/>
      <c r="D9" s="101" t="n"/>
      <c r="E9" s="101" t="n"/>
      <c r="F9" s="101" t="n"/>
      <c r="G9" s="102" t="inlineStr">
        <is>
          <t>Pending</t>
        </is>
      </c>
    </row>
    <row r="10">
      <c r="A10" s="101" t="n"/>
      <c r="B10" s="101" t="n"/>
      <c r="C10" s="101" t="n"/>
      <c r="D10" s="101" t="n"/>
      <c r="E10" s="101" t="n"/>
      <c r="F10" s="101" t="n"/>
      <c r="G10" s="102" t="inlineStr">
        <is>
          <t>Pending</t>
        </is>
      </c>
    </row>
    <row r="11">
      <c r="A11" s="101" t="n"/>
      <c r="B11" s="101" t="n"/>
      <c r="C11" s="101" t="n"/>
      <c r="D11" s="101" t="n"/>
      <c r="E11" s="101" t="n"/>
      <c r="F11" s="101" t="n"/>
      <c r="G11" s="102" t="inlineStr">
        <is>
          <t>Pending</t>
        </is>
      </c>
    </row>
    <row r="12">
      <c r="A12" s="101" t="n"/>
      <c r="B12" s="101" t="n"/>
      <c r="C12" s="101" t="n"/>
      <c r="D12" s="101" t="n"/>
      <c r="E12" s="101" t="n"/>
      <c r="F12" s="101" t="n"/>
      <c r="G12" s="102" t="inlineStr">
        <is>
          <t>Pending</t>
        </is>
      </c>
    </row>
    <row r="13">
      <c r="A13" s="101" t="n"/>
      <c r="B13" s="101" t="n"/>
      <c r="C13" s="101" t="n"/>
      <c r="D13" s="101" t="n"/>
      <c r="E13" s="101" t="n"/>
      <c r="F13" s="101" t="n"/>
      <c r="G13" s="102" t="inlineStr">
        <is>
          <t>Pending</t>
        </is>
      </c>
    </row>
    <row r="14">
      <c r="A14" s="101" t="n"/>
      <c r="B14" s="101" t="n"/>
      <c r="C14" s="101" t="n"/>
      <c r="D14" s="101" t="n"/>
      <c r="E14" s="101" t="n"/>
      <c r="F14" s="101" t="n"/>
      <c r="G14" s="102" t="inlineStr">
        <is>
          <t>Pending</t>
        </is>
      </c>
    </row>
    <row r="15">
      <c r="A15" s="101" t="n"/>
      <c r="B15" s="101" t="n"/>
      <c r="C15" s="101" t="n"/>
      <c r="D15" s="101" t="n"/>
      <c r="E15" s="101" t="n"/>
      <c r="F15" s="101" t="n"/>
      <c r="G15" s="102" t="inlineStr">
        <is>
          <t>Pending</t>
        </is>
      </c>
    </row>
    <row r="16">
      <c r="A16" s="101" t="n"/>
      <c r="B16" s="101" t="n"/>
      <c r="C16" s="101" t="n"/>
      <c r="D16" s="101" t="n"/>
      <c r="E16" s="101" t="n"/>
      <c r="F16" s="101" t="n"/>
      <c r="G16" s="102" t="inlineStr">
        <is>
          <t>Pending</t>
        </is>
      </c>
    </row>
    <row r="17">
      <c r="A17" s="101" t="n"/>
      <c r="B17" s="101" t="n"/>
      <c r="C17" s="101" t="n"/>
      <c r="D17" s="101" t="n"/>
      <c r="E17" s="101" t="n"/>
      <c r="F17" s="101" t="n"/>
      <c r="G17" s="102" t="inlineStr">
        <is>
          <t>Pending</t>
        </is>
      </c>
    </row>
    <row r="18">
      <c r="A18" s="101" t="n"/>
      <c r="B18" s="101" t="n"/>
      <c r="C18" s="101" t="n"/>
      <c r="D18" s="101" t="n"/>
      <c r="E18" s="101" t="n"/>
      <c r="F18" s="101" t="n"/>
      <c r="G18" s="102" t="inlineStr">
        <is>
          <t>Pending</t>
        </is>
      </c>
    </row>
    <row r="19">
      <c r="A19" s="101" t="n"/>
      <c r="B19" s="101" t="n"/>
      <c r="C19" s="101" t="n"/>
      <c r="D19" s="101" t="n"/>
      <c r="E19" s="101" t="n"/>
      <c r="F19" s="101" t="n"/>
      <c r="G19" s="102" t="inlineStr">
        <is>
          <t>Pending</t>
        </is>
      </c>
    </row>
    <row r="20">
      <c r="A20" s="101" t="n"/>
      <c r="B20" s="101" t="n"/>
      <c r="C20" s="101" t="n"/>
      <c r="D20" s="101" t="n"/>
      <c r="E20" s="101" t="n"/>
      <c r="F20" s="101" t="n"/>
      <c r="G20" s="102" t="inlineStr">
        <is>
          <t>Pending</t>
        </is>
      </c>
    </row>
    <row r="21">
      <c r="A21" s="101" t="n"/>
      <c r="B21" s="101" t="n"/>
      <c r="C21" s="101" t="n"/>
      <c r="D21" s="101" t="n"/>
      <c r="E21" s="101" t="n"/>
      <c r="F21" s="101" t="n"/>
      <c r="G21" s="102" t="inlineStr">
        <is>
          <t>Pending</t>
        </is>
      </c>
    </row>
    <row r="22">
      <c r="A22" s="101" t="n"/>
      <c r="B22" s="101" t="n"/>
      <c r="C22" s="101" t="n"/>
      <c r="D22" s="101" t="n"/>
      <c r="E22" s="101" t="n"/>
      <c r="F22" s="101" t="n"/>
      <c r="G22" s="102" t="inlineStr">
        <is>
          <t>Pending</t>
        </is>
      </c>
    </row>
    <row r="23">
      <c r="A23" s="101" t="n"/>
      <c r="B23" s="101" t="n"/>
      <c r="C23" s="101" t="n"/>
      <c r="D23" s="101" t="n"/>
      <c r="E23" s="101" t="n"/>
      <c r="F23" s="101" t="n"/>
      <c r="G23" s="102" t="inlineStr">
        <is>
          <t>Pending</t>
        </is>
      </c>
    </row>
    <row r="24">
      <c r="A24" s="101" t="n"/>
      <c r="B24" s="101" t="n"/>
      <c r="C24" s="101" t="n"/>
      <c r="D24" s="101" t="n"/>
      <c r="E24" s="101" t="n"/>
      <c r="F24" s="101" t="n"/>
      <c r="G24" s="102" t="inlineStr">
        <is>
          <t>Pending</t>
        </is>
      </c>
    </row>
    <row r="25">
      <c r="A25" s="101" t="n"/>
      <c r="B25" s="101" t="n"/>
      <c r="C25" s="101" t="n"/>
      <c r="D25" s="101" t="n"/>
      <c r="E25" s="101" t="n"/>
      <c r="F25" s="101" t="n"/>
      <c r="G25" s="102" t="inlineStr">
        <is>
          <t>Pending</t>
        </is>
      </c>
    </row>
    <row r="26">
      <c r="A26" s="101" t="n"/>
      <c r="B26" s="101" t="n"/>
      <c r="C26" s="101" t="n"/>
      <c r="D26" s="101" t="n"/>
      <c r="E26" s="101" t="n"/>
      <c r="F26" s="101" t="n"/>
      <c r="G26" s="102" t="inlineStr">
        <is>
          <t>Pending</t>
        </is>
      </c>
    </row>
    <row r="27">
      <c r="A27" s="101" t="n"/>
      <c r="B27" s="101" t="n"/>
      <c r="C27" s="101" t="n"/>
      <c r="D27" s="101" t="n"/>
      <c r="E27" s="101" t="n"/>
      <c r="F27" s="101" t="n"/>
      <c r="G27" s="102" t="inlineStr">
        <is>
          <t>Pending</t>
        </is>
      </c>
    </row>
    <row r="28">
      <c r="A28" s="101" t="n"/>
      <c r="B28" s="101" t="n"/>
      <c r="C28" s="101" t="n"/>
      <c r="D28" s="101" t="n"/>
      <c r="E28" s="101" t="n"/>
      <c r="F28" s="101" t="n"/>
      <c r="G28" s="102" t="inlineStr">
        <is>
          <t>Pending</t>
        </is>
      </c>
    </row>
    <row r="29">
      <c r="A29" s="101" t="n"/>
      <c r="B29" s="101" t="n"/>
      <c r="C29" s="101" t="n"/>
      <c r="D29" s="101" t="n"/>
      <c r="E29" s="101" t="n"/>
      <c r="F29" s="101" t="n"/>
      <c r="G29" s="102" t="inlineStr">
        <is>
          <t>Pending</t>
        </is>
      </c>
    </row>
    <row r="30">
      <c r="A30" s="101" t="n"/>
      <c r="B30" s="101" t="n"/>
      <c r="C30" s="101" t="n"/>
      <c r="D30" s="101" t="n"/>
      <c r="E30" s="101" t="n"/>
      <c r="F30" s="101" t="n"/>
      <c r="G30" s="102" t="inlineStr">
        <is>
          <t>Pending</t>
        </is>
      </c>
    </row>
    <row r="31">
      <c r="A31" s="101" t="n"/>
      <c r="B31" s="101" t="n"/>
      <c r="C31" s="101" t="n"/>
      <c r="D31" s="101" t="n"/>
      <c r="E31" s="101" t="n"/>
      <c r="F31" s="101" t="n"/>
      <c r="G31" s="102" t="inlineStr">
        <is>
          <t>Pending</t>
        </is>
      </c>
    </row>
    <row r="32">
      <c r="A32" s="101" t="n"/>
      <c r="B32" s="101" t="n"/>
      <c r="C32" s="101" t="n"/>
      <c r="D32" s="101" t="n"/>
      <c r="E32" s="101" t="n"/>
      <c r="F32" s="101" t="n"/>
      <c r="G32" s="102" t="inlineStr">
        <is>
          <t>Pending</t>
        </is>
      </c>
    </row>
    <row r="33">
      <c r="A33" s="101" t="n"/>
      <c r="B33" s="101" t="n"/>
      <c r="C33" s="101" t="n"/>
      <c r="D33" s="101" t="n"/>
      <c r="E33" s="101" t="n"/>
      <c r="F33" s="101" t="n"/>
      <c r="G33" s="102" t="inlineStr">
        <is>
          <t>Pending</t>
        </is>
      </c>
    </row>
    <row r="34">
      <c r="A34" s="101" t="n"/>
      <c r="B34" s="101" t="n"/>
      <c r="C34" s="101" t="n"/>
      <c r="D34" s="101" t="n"/>
      <c r="E34" s="101" t="n"/>
      <c r="F34" s="101" t="n"/>
      <c r="G34" s="102" t="inlineStr">
        <is>
          <t>Pending</t>
        </is>
      </c>
    </row>
    <row r="35">
      <c r="A35" s="101" t="n"/>
      <c r="B35" s="101" t="n"/>
      <c r="C35" s="101" t="n"/>
      <c r="D35" s="101" t="n"/>
      <c r="E35" s="101" t="n"/>
      <c r="F35" s="101" t="n"/>
      <c r="G35" s="102" t="inlineStr">
        <is>
          <t>Pending</t>
        </is>
      </c>
    </row>
    <row r="36">
      <c r="A36" s="101" t="n"/>
      <c r="B36" s="101" t="n"/>
      <c r="C36" s="101" t="n"/>
      <c r="D36" s="101" t="n"/>
      <c r="E36" s="101" t="n"/>
      <c r="F36" s="101" t="n"/>
      <c r="G36" s="102" t="inlineStr">
        <is>
          <t>Pending</t>
        </is>
      </c>
    </row>
    <row r="37">
      <c r="A37" s="101" t="n"/>
      <c r="B37" s="101" t="n"/>
      <c r="C37" s="101" t="n"/>
      <c r="D37" s="101" t="n"/>
      <c r="E37" s="101" t="n"/>
      <c r="F37" s="101" t="n"/>
      <c r="G37" s="102" t="inlineStr">
        <is>
          <t>Pending</t>
        </is>
      </c>
    </row>
    <row r="38">
      <c r="A38" s="101" t="n"/>
      <c r="B38" s="101" t="n"/>
      <c r="C38" s="101" t="n"/>
      <c r="D38" s="101" t="n"/>
      <c r="E38" s="101" t="n"/>
      <c r="F38" s="101" t="n"/>
      <c r="G38" s="102" t="inlineStr">
        <is>
          <t>Pending</t>
        </is>
      </c>
    </row>
    <row r="39">
      <c r="A39" s="101" t="n"/>
      <c r="B39" s="101" t="n"/>
      <c r="C39" s="101" t="n"/>
      <c r="D39" s="101" t="n"/>
      <c r="E39" s="101" t="n"/>
      <c r="F39" s="101" t="n"/>
      <c r="G39" s="102" t="inlineStr">
        <is>
          <t>Pending</t>
        </is>
      </c>
    </row>
    <row r="40">
      <c r="A40" s="101" t="n"/>
      <c r="B40" s="101" t="n"/>
      <c r="C40" s="101" t="n"/>
      <c r="D40" s="101" t="n"/>
      <c r="E40" s="101" t="n"/>
      <c r="F40" s="101" t="n"/>
      <c r="G40" s="102" t="inlineStr">
        <is>
          <t>Pending</t>
        </is>
      </c>
    </row>
    <row r="41">
      <c r="A41" s="101" t="n"/>
      <c r="B41" s="101" t="n"/>
      <c r="C41" s="101" t="n"/>
      <c r="D41" s="101" t="n"/>
      <c r="E41" s="101" t="n"/>
      <c r="F41" s="101" t="n"/>
      <c r="G41" s="102" t="inlineStr">
        <is>
          <t>Pending</t>
        </is>
      </c>
    </row>
    <row r="42">
      <c r="A42" s="101" t="n"/>
      <c r="B42" s="101" t="n"/>
      <c r="C42" s="101" t="n"/>
      <c r="D42" s="101" t="n"/>
      <c r="E42" s="101" t="n"/>
      <c r="F42" s="101" t="n"/>
      <c r="G42" s="102" t="inlineStr">
        <is>
          <t>Pending</t>
        </is>
      </c>
    </row>
    <row r="43">
      <c r="A43" s="101" t="n"/>
      <c r="B43" s="101" t="n"/>
      <c r="C43" s="101" t="n"/>
      <c r="D43" s="101" t="n"/>
      <c r="E43" s="101" t="n"/>
      <c r="F43" s="101" t="n"/>
      <c r="G43" s="102" t="inlineStr">
        <is>
          <t>Pending</t>
        </is>
      </c>
    </row>
    <row r="44">
      <c r="A44" s="101" t="n"/>
      <c r="B44" s="101" t="n"/>
      <c r="C44" s="101" t="n"/>
      <c r="D44" s="101" t="n"/>
      <c r="E44" s="101" t="n"/>
      <c r="F44" s="101" t="n"/>
      <c r="G44" s="102" t="inlineStr">
        <is>
          <t>Pending</t>
        </is>
      </c>
    </row>
    <row r="45">
      <c r="A45" s="101" t="n"/>
      <c r="B45" s="101" t="n"/>
      <c r="C45" s="101" t="n"/>
      <c r="D45" s="101" t="n"/>
      <c r="E45" s="101" t="n"/>
      <c r="F45" s="101" t="n"/>
      <c r="G45" s="102" t="inlineStr">
        <is>
          <t>Pending</t>
        </is>
      </c>
    </row>
    <row r="46">
      <c r="A46" s="101" t="n"/>
      <c r="B46" s="101" t="n"/>
      <c r="C46" s="101" t="n"/>
      <c r="D46" s="101" t="n"/>
      <c r="E46" s="101" t="n"/>
      <c r="F46" s="101" t="n"/>
      <c r="G46" s="102" t="inlineStr">
        <is>
          <t>Pending</t>
        </is>
      </c>
    </row>
    <row r="47">
      <c r="A47" s="101" t="n"/>
      <c r="B47" s="101" t="n"/>
      <c r="C47" s="101" t="n"/>
      <c r="D47" s="101" t="n"/>
      <c r="E47" s="101" t="n"/>
      <c r="F47" s="101" t="n"/>
      <c r="G47" s="102" t="inlineStr">
        <is>
          <t>Pending</t>
        </is>
      </c>
    </row>
    <row r="48">
      <c r="A48" s="101" t="n"/>
      <c r="B48" s="101" t="n"/>
      <c r="C48" s="101" t="n"/>
      <c r="D48" s="101" t="n"/>
      <c r="E48" s="101" t="n"/>
      <c r="F48" s="101" t="n"/>
      <c r="G48" s="102" t="inlineStr">
        <is>
          <t>Pending</t>
        </is>
      </c>
    </row>
    <row r="49">
      <c r="A49" s="101" t="n"/>
      <c r="B49" s="101" t="n"/>
      <c r="C49" s="101" t="n"/>
      <c r="D49" s="101" t="n"/>
      <c r="E49" s="101" t="n"/>
      <c r="F49" s="101" t="n"/>
      <c r="G49" s="102" t="inlineStr">
        <is>
          <t>Pending</t>
        </is>
      </c>
    </row>
    <row r="50">
      <c r="A50" s="101" t="n"/>
      <c r="B50" s="101" t="n"/>
      <c r="C50" s="101" t="n"/>
      <c r="D50" s="101" t="n"/>
      <c r="E50" s="101" t="n"/>
      <c r="F50" s="101" t="n"/>
      <c r="G50" s="102" t="inlineStr">
        <is>
          <t>Pending</t>
        </is>
      </c>
    </row>
    <row r="51">
      <c r="A51" s="101" t="n"/>
      <c r="B51" s="101" t="n"/>
      <c r="C51" s="101" t="n"/>
      <c r="D51" s="101" t="n"/>
      <c r="E51" s="101" t="n"/>
      <c r="F51" s="101" t="n"/>
      <c r="G51" s="102" t="inlineStr">
        <is>
          <t>Pending</t>
        </is>
      </c>
    </row>
    <row r="52">
      <c r="A52" s="101" t="n"/>
      <c r="B52" s="101" t="n"/>
      <c r="C52" s="101" t="n"/>
      <c r="D52" s="101" t="n"/>
      <c r="E52" s="101" t="n"/>
      <c r="F52" s="101" t="n"/>
      <c r="G52" s="102" t="inlineStr">
        <is>
          <t>Pending</t>
        </is>
      </c>
    </row>
    <row r="53">
      <c r="A53" s="101" t="n"/>
      <c r="B53" s="101" t="n"/>
      <c r="C53" s="101" t="n"/>
      <c r="D53" s="101" t="n"/>
      <c r="E53" s="101" t="n"/>
      <c r="F53" s="101" t="n"/>
      <c r="G53" s="102" t="inlineStr">
        <is>
          <t>Pending</t>
        </is>
      </c>
    </row>
    <row r="54">
      <c r="A54" s="101" t="n"/>
      <c r="B54" s="101" t="n"/>
      <c r="C54" s="101" t="n"/>
      <c r="D54" s="101" t="n"/>
      <c r="E54" s="101" t="n"/>
      <c r="F54" s="101" t="n"/>
      <c r="G54" s="102" t="inlineStr">
        <is>
          <t>Pending</t>
        </is>
      </c>
    </row>
    <row r="55">
      <c r="A55" s="101" t="n"/>
      <c r="B55" s="101" t="n"/>
      <c r="C55" s="101" t="n"/>
      <c r="D55" s="101" t="n"/>
      <c r="E55" s="101" t="n"/>
      <c r="F55" s="101" t="n"/>
      <c r="G55" s="102" t="inlineStr">
        <is>
          <t>Pending</t>
        </is>
      </c>
    </row>
    <row r="56">
      <c r="A56" s="101" t="n"/>
      <c r="B56" s="101" t="n"/>
      <c r="C56" s="101" t="n"/>
      <c r="D56" s="101" t="n"/>
      <c r="E56" s="101" t="n"/>
      <c r="F56" s="101" t="n"/>
      <c r="G56" s="102" t="inlineStr">
        <is>
          <t>Pending</t>
        </is>
      </c>
    </row>
    <row r="57">
      <c r="A57" s="101" t="n"/>
      <c r="B57" s="101" t="n"/>
      <c r="C57" s="101" t="n"/>
      <c r="D57" s="101" t="n"/>
      <c r="E57" s="101" t="n"/>
      <c r="F57" s="101" t="n"/>
      <c r="G57" s="102" t="inlineStr">
        <is>
          <t>Pending</t>
        </is>
      </c>
    </row>
    <row r="58">
      <c r="A58" s="101" t="n"/>
      <c r="B58" s="101" t="n"/>
      <c r="C58" s="101" t="n"/>
      <c r="D58" s="101" t="n"/>
      <c r="E58" s="101" t="n"/>
      <c r="F58" s="101" t="n"/>
      <c r="G58" s="102" t="inlineStr">
        <is>
          <t>Pending</t>
        </is>
      </c>
    </row>
    <row r="59">
      <c r="A59" s="101" t="n"/>
      <c r="B59" s="101" t="n"/>
      <c r="C59" s="101" t="n"/>
      <c r="D59" s="101" t="n"/>
      <c r="E59" s="101" t="n"/>
      <c r="F59" s="101" t="n"/>
      <c r="G59" s="102" t="inlineStr">
        <is>
          <t>Pending</t>
        </is>
      </c>
    </row>
    <row r="60">
      <c r="A60" s="101" t="n"/>
      <c r="B60" s="101" t="n"/>
      <c r="C60" s="101" t="n"/>
      <c r="D60" s="101" t="n"/>
      <c r="E60" s="101" t="n"/>
      <c r="F60" s="101" t="n"/>
      <c r="G60" s="102" t="inlineStr">
        <is>
          <t>Pending</t>
        </is>
      </c>
    </row>
    <row r="61">
      <c r="A61" s="101" t="n"/>
      <c r="B61" s="101" t="n"/>
      <c r="C61" s="101" t="n"/>
      <c r="D61" s="101" t="n"/>
      <c r="E61" s="101" t="n"/>
      <c r="F61" s="101" t="n"/>
      <c r="G61" s="102" t="inlineStr">
        <is>
          <t>Pending</t>
        </is>
      </c>
    </row>
    <row r="62">
      <c r="A62" s="101" t="n"/>
      <c r="B62" s="101" t="n"/>
      <c r="C62" s="101" t="n"/>
      <c r="D62" s="101" t="n"/>
      <c r="E62" s="101" t="n"/>
      <c r="F62" s="101" t="n"/>
      <c r="G62" s="102" t="inlineStr">
        <is>
          <t>Pending</t>
        </is>
      </c>
    </row>
    <row r="63">
      <c r="A63" s="101" t="n"/>
      <c r="B63" s="101" t="n"/>
      <c r="C63" s="101" t="n"/>
      <c r="D63" s="101" t="n"/>
      <c r="E63" s="101" t="n"/>
      <c r="F63" s="101" t="n"/>
      <c r="G63" s="102" t="inlineStr">
        <is>
          <t>Pending</t>
        </is>
      </c>
    </row>
    <row r="64">
      <c r="A64" s="101" t="n"/>
      <c r="B64" s="101" t="n"/>
      <c r="C64" s="101" t="n"/>
      <c r="D64" s="101" t="n"/>
      <c r="E64" s="101" t="n"/>
      <c r="F64" s="101" t="n"/>
      <c r="G64" s="102" t="inlineStr">
        <is>
          <t>Pending</t>
        </is>
      </c>
    </row>
    <row r="65">
      <c r="A65" s="101" t="n"/>
      <c r="B65" s="101" t="n"/>
      <c r="C65" s="101" t="n"/>
      <c r="D65" s="101" t="n"/>
      <c r="E65" s="101" t="n"/>
      <c r="F65" s="101" t="n"/>
      <c r="G65" s="102" t="inlineStr">
        <is>
          <t>Pending</t>
        </is>
      </c>
    </row>
    <row r="66">
      <c r="A66" s="101" t="n"/>
      <c r="B66" s="101" t="n"/>
      <c r="C66" s="101" t="n"/>
      <c r="D66" s="101" t="n"/>
      <c r="E66" s="101" t="n"/>
      <c r="F66" s="101" t="n"/>
      <c r="G66" s="102" t="inlineStr">
        <is>
          <t>Pending</t>
        </is>
      </c>
    </row>
    <row r="67">
      <c r="A67" s="101" t="n"/>
      <c r="B67" s="101" t="n"/>
      <c r="C67" s="101" t="n"/>
      <c r="D67" s="101" t="n"/>
      <c r="E67" s="101" t="n"/>
      <c r="F67" s="101" t="n"/>
      <c r="G67" s="102" t="inlineStr">
        <is>
          <t>Pending</t>
        </is>
      </c>
    </row>
    <row r="68">
      <c r="A68" s="101" t="n"/>
      <c r="B68" s="101" t="n"/>
      <c r="C68" s="101" t="n"/>
      <c r="D68" s="101" t="n"/>
      <c r="E68" s="101" t="n"/>
      <c r="F68" s="101" t="n"/>
      <c r="G68" s="102" t="inlineStr">
        <is>
          <t>Pending</t>
        </is>
      </c>
    </row>
    <row r="69">
      <c r="A69" s="101" t="n"/>
      <c r="B69" s="101" t="n"/>
      <c r="C69" s="101" t="n"/>
      <c r="D69" s="101" t="n"/>
      <c r="E69" s="101" t="n"/>
      <c r="F69" s="101" t="n"/>
      <c r="G69" s="102" t="inlineStr">
        <is>
          <t>Pending</t>
        </is>
      </c>
    </row>
    <row r="70">
      <c r="A70" s="101" t="n"/>
      <c r="B70" s="101" t="n"/>
      <c r="C70" s="101" t="n"/>
      <c r="D70" s="101" t="n"/>
      <c r="E70" s="101" t="n"/>
      <c r="F70" s="101" t="n"/>
      <c r="G70" s="102" t="inlineStr">
        <is>
          <t>Pending</t>
        </is>
      </c>
    </row>
    <row r="71">
      <c r="A71" s="101" t="n"/>
      <c r="B71" s="101" t="n"/>
      <c r="C71" s="101" t="n"/>
      <c r="D71" s="101" t="n"/>
      <c r="E71" s="101" t="n"/>
      <c r="F71" s="101" t="n"/>
      <c r="G71" s="102" t="inlineStr">
        <is>
          <t>Pending</t>
        </is>
      </c>
    </row>
    <row r="72">
      <c r="A72" s="101" t="n"/>
      <c r="B72" s="101" t="n"/>
      <c r="C72" s="101" t="n"/>
      <c r="D72" s="101" t="n"/>
      <c r="E72" s="101" t="n"/>
      <c r="F72" s="101" t="n"/>
      <c r="G72" s="102" t="inlineStr">
        <is>
          <t>Pending</t>
        </is>
      </c>
    </row>
    <row r="73">
      <c r="A73" s="101" t="n"/>
      <c r="B73" s="101" t="n"/>
      <c r="C73" s="101" t="n"/>
      <c r="D73" s="101" t="n"/>
      <c r="E73" s="101" t="n"/>
      <c r="F73" s="101" t="n"/>
      <c r="G73" s="102" t="inlineStr">
        <is>
          <t>Pending</t>
        </is>
      </c>
    </row>
    <row r="74">
      <c r="A74" s="101" t="n"/>
      <c r="B74" s="101" t="n"/>
      <c r="C74" s="101" t="n"/>
      <c r="D74" s="101" t="n"/>
      <c r="E74" s="101" t="n"/>
      <c r="F74" s="101" t="n"/>
      <c r="G74" s="102" t="inlineStr">
        <is>
          <t>Pending</t>
        </is>
      </c>
    </row>
    <row r="75">
      <c r="A75" s="101" t="n"/>
      <c r="B75" s="101" t="n"/>
      <c r="C75" s="101" t="n"/>
      <c r="D75" s="101" t="n"/>
      <c r="E75" s="101" t="n"/>
      <c r="F75" s="101" t="n"/>
      <c r="G75" s="102" t="inlineStr">
        <is>
          <t>Pending</t>
        </is>
      </c>
    </row>
    <row r="76">
      <c r="A76" s="101" t="n"/>
      <c r="B76" s="101" t="n"/>
      <c r="C76" s="101" t="n"/>
      <c r="D76" s="101" t="n"/>
      <c r="E76" s="101" t="n"/>
      <c r="F76" s="101" t="n"/>
      <c r="G76" s="102" t="inlineStr">
        <is>
          <t>Pending</t>
        </is>
      </c>
    </row>
    <row r="77">
      <c r="A77" s="101" t="n"/>
      <c r="B77" s="101" t="n"/>
      <c r="C77" s="101" t="n"/>
      <c r="D77" s="101" t="n"/>
      <c r="E77" s="101" t="n"/>
      <c r="F77" s="101" t="n"/>
      <c r="G77" s="102" t="inlineStr">
        <is>
          <t>Pending</t>
        </is>
      </c>
    </row>
    <row r="78">
      <c r="A78" s="101" t="n"/>
      <c r="B78" s="101" t="n"/>
      <c r="C78" s="101" t="n"/>
      <c r="D78" s="101" t="n"/>
      <c r="E78" s="101" t="n"/>
      <c r="F78" s="101" t="n"/>
      <c r="G78" s="102" t="inlineStr">
        <is>
          <t>Pending</t>
        </is>
      </c>
    </row>
    <row r="79">
      <c r="A79" s="101" t="n"/>
      <c r="B79" s="101" t="n"/>
      <c r="C79" s="101" t="n"/>
      <c r="D79" s="101" t="n"/>
      <c r="E79" s="101" t="n"/>
      <c r="F79" s="101" t="n"/>
      <c r="G79" s="102" t="inlineStr">
        <is>
          <t>Pending</t>
        </is>
      </c>
    </row>
    <row r="80">
      <c r="A80" s="101" t="n"/>
      <c r="B80" s="101" t="n"/>
      <c r="C80" s="101" t="n"/>
      <c r="D80" s="101" t="n"/>
      <c r="E80" s="101" t="n"/>
      <c r="F80" s="101" t="n"/>
      <c r="G80" s="102" t="inlineStr">
        <is>
          <t>Pending</t>
        </is>
      </c>
    </row>
    <row r="81">
      <c r="A81" s="101" t="n"/>
      <c r="B81" s="101" t="n"/>
      <c r="C81" s="101" t="n"/>
      <c r="D81" s="101" t="n"/>
      <c r="E81" s="101" t="n"/>
      <c r="F81" s="101" t="n"/>
      <c r="G81" s="102" t="inlineStr">
        <is>
          <t>Pending</t>
        </is>
      </c>
    </row>
    <row r="82">
      <c r="A82" s="101" t="n"/>
      <c r="B82" s="101" t="n"/>
      <c r="C82" s="101" t="n"/>
      <c r="D82" s="101" t="n"/>
      <c r="E82" s="101" t="n"/>
      <c r="F82" s="101" t="n"/>
      <c r="G82" s="102" t="inlineStr">
        <is>
          <t>Pending</t>
        </is>
      </c>
    </row>
    <row r="83">
      <c r="A83" s="101" t="n"/>
      <c r="B83" s="101" t="n"/>
      <c r="C83" s="101" t="n"/>
      <c r="D83" s="101" t="n"/>
      <c r="E83" s="101" t="n"/>
      <c r="F83" s="101" t="n"/>
      <c r="G83" s="102" t="inlineStr">
        <is>
          <t>Pending</t>
        </is>
      </c>
    </row>
    <row r="84">
      <c r="A84" s="101" t="n"/>
      <c r="B84" s="101" t="n"/>
      <c r="C84" s="101" t="n"/>
      <c r="D84" s="101" t="n"/>
      <c r="E84" s="101" t="n"/>
      <c r="F84" s="101" t="n"/>
      <c r="G84" s="102" t="inlineStr">
        <is>
          <t>Pending</t>
        </is>
      </c>
    </row>
    <row r="85">
      <c r="A85" s="101" t="n"/>
      <c r="B85" s="101" t="n"/>
      <c r="C85" s="101" t="n"/>
      <c r="D85" s="101" t="n"/>
      <c r="E85" s="101" t="n"/>
      <c r="F85" s="101" t="n"/>
      <c r="G85" s="102" t="inlineStr">
        <is>
          <t>Pending</t>
        </is>
      </c>
    </row>
    <row r="86">
      <c r="A86" s="101" t="n"/>
      <c r="B86" s="101" t="n"/>
      <c r="C86" s="101" t="n"/>
      <c r="D86" s="101" t="n"/>
      <c r="E86" s="101" t="n"/>
      <c r="F86" s="101" t="n"/>
      <c r="G86" s="102" t="inlineStr">
        <is>
          <t>Pending</t>
        </is>
      </c>
    </row>
    <row r="87">
      <c r="A87" s="101" t="n"/>
      <c r="B87" s="101" t="n"/>
      <c r="C87" s="101" t="n"/>
      <c r="D87" s="101" t="n"/>
      <c r="E87" s="101" t="n"/>
      <c r="F87" s="101" t="n"/>
      <c r="G87" s="102" t="inlineStr">
        <is>
          <t>Pending</t>
        </is>
      </c>
    </row>
    <row r="88">
      <c r="A88" s="101" t="n"/>
      <c r="B88" s="101" t="n"/>
      <c r="C88" s="101" t="n"/>
      <c r="D88" s="101" t="n"/>
      <c r="E88" s="101" t="n"/>
      <c r="F88" s="101" t="n"/>
      <c r="G88" s="102" t="inlineStr">
        <is>
          <t>Pending</t>
        </is>
      </c>
    </row>
    <row r="89">
      <c r="A89" s="101" t="n"/>
      <c r="B89" s="101" t="n"/>
      <c r="C89" s="101" t="n"/>
      <c r="D89" s="101" t="n"/>
      <c r="E89" s="101" t="n"/>
      <c r="F89" s="101" t="n"/>
      <c r="G89" s="102" t="inlineStr">
        <is>
          <t>Pending</t>
        </is>
      </c>
    </row>
    <row r="90">
      <c r="A90" s="101" t="n"/>
      <c r="B90" s="101" t="n"/>
      <c r="C90" s="101" t="n"/>
      <c r="D90" s="101" t="n"/>
      <c r="E90" s="101" t="n"/>
      <c r="F90" s="101" t="n"/>
      <c r="G90" s="102" t="inlineStr">
        <is>
          <t>Pending</t>
        </is>
      </c>
    </row>
    <row r="91">
      <c r="A91" s="101" t="n"/>
      <c r="B91" s="101" t="n"/>
      <c r="C91" s="101" t="n"/>
      <c r="D91" s="101" t="n"/>
      <c r="E91" s="101" t="n"/>
      <c r="F91" s="101" t="n"/>
      <c r="G91" s="102" t="inlineStr">
        <is>
          <t>Pending</t>
        </is>
      </c>
    </row>
    <row r="92">
      <c r="A92" s="101" t="n"/>
      <c r="B92" s="101" t="n"/>
      <c r="C92" s="101" t="n"/>
      <c r="D92" s="101" t="n"/>
      <c r="E92" s="101" t="n"/>
      <c r="F92" s="101" t="n"/>
      <c r="G92" s="102" t="inlineStr">
        <is>
          <t>Pending</t>
        </is>
      </c>
    </row>
    <row r="93">
      <c r="A93" s="101" t="n"/>
      <c r="B93" s="101" t="n"/>
      <c r="C93" s="101" t="n"/>
      <c r="D93" s="101" t="n"/>
      <c r="E93" s="101" t="n"/>
      <c r="F93" s="101" t="n"/>
      <c r="G93" s="102" t="inlineStr">
        <is>
          <t>Pending</t>
        </is>
      </c>
    </row>
    <row r="94">
      <c r="A94" s="101" t="n"/>
      <c r="B94" s="101" t="n"/>
      <c r="C94" s="101" t="n"/>
      <c r="D94" s="101" t="n"/>
      <c r="E94" s="101" t="n"/>
      <c r="F94" s="101" t="n"/>
      <c r="G94" s="102" t="inlineStr">
        <is>
          <t>Pending</t>
        </is>
      </c>
    </row>
    <row r="95">
      <c r="A95" s="101" t="n"/>
      <c r="B95" s="101" t="n"/>
      <c r="C95" s="101" t="n"/>
      <c r="D95" s="101" t="n"/>
      <c r="E95" s="101" t="n"/>
      <c r="F95" s="101" t="n"/>
      <c r="G95" s="102" t="inlineStr">
        <is>
          <t>Pending</t>
        </is>
      </c>
    </row>
    <row r="96">
      <c r="A96" s="101" t="n"/>
      <c r="B96" s="101" t="n"/>
      <c r="C96" s="101" t="n"/>
      <c r="D96" s="101" t="n"/>
      <c r="E96" s="101" t="n"/>
      <c r="F96" s="101" t="n"/>
      <c r="G96" s="102" t="inlineStr">
        <is>
          <t>Pending</t>
        </is>
      </c>
    </row>
    <row r="97">
      <c r="A97" s="101" t="n"/>
      <c r="B97" s="101" t="n"/>
      <c r="C97" s="101" t="n"/>
      <c r="D97" s="101" t="n"/>
      <c r="E97" s="101" t="n"/>
      <c r="F97" s="101" t="n"/>
      <c r="G97" s="102" t="inlineStr">
        <is>
          <t>Pending</t>
        </is>
      </c>
    </row>
    <row r="98">
      <c r="A98" s="101" t="n"/>
      <c r="B98" s="101" t="n"/>
      <c r="C98" s="101" t="n"/>
      <c r="D98" s="101" t="n"/>
      <c r="E98" s="101" t="n"/>
      <c r="F98" s="101" t="n"/>
      <c r="G98" s="102" t="inlineStr">
        <is>
          <t>Pending</t>
        </is>
      </c>
    </row>
    <row r="99">
      <c r="A99" s="101" t="n"/>
      <c r="B99" s="101" t="n"/>
      <c r="C99" s="101" t="n"/>
      <c r="D99" s="101" t="n"/>
      <c r="E99" s="101" t="n"/>
      <c r="F99" s="101" t="n"/>
      <c r="G99" s="102" t="inlineStr">
        <is>
          <t>Pending</t>
        </is>
      </c>
    </row>
    <row r="100">
      <c r="A100" s="101" t="n"/>
      <c r="B100" s="101" t="n"/>
      <c r="C100" s="101" t="n"/>
      <c r="D100" s="101" t="n"/>
      <c r="E100" s="101" t="n"/>
      <c r="F100" s="101" t="n"/>
      <c r="G100" s="102" t="inlineStr">
        <is>
          <t>Pending</t>
        </is>
      </c>
    </row>
    <row r="101">
      <c r="A101" s="101" t="n"/>
      <c r="B101" s="101" t="n"/>
      <c r="C101" s="101" t="n"/>
      <c r="D101" s="101" t="n"/>
      <c r="E101" s="101" t="n"/>
      <c r="F101" s="101" t="n"/>
      <c r="G101" s="102" t="inlineStr">
        <is>
          <t>Pending</t>
        </is>
      </c>
    </row>
    <row r="102">
      <c r="A102" s="101" t="n"/>
      <c r="B102" s="101" t="n"/>
      <c r="C102" s="101" t="n"/>
      <c r="D102" s="101" t="n"/>
      <c r="E102" s="101" t="n"/>
      <c r="F102" s="101" t="n"/>
      <c r="G102" s="102" t="inlineStr">
        <is>
          <t>Pending</t>
        </is>
      </c>
    </row>
    <row r="103">
      <c r="A103" s="101" t="n"/>
      <c r="B103" s="101" t="n"/>
      <c r="C103" s="101" t="n"/>
      <c r="D103" s="101" t="n"/>
      <c r="E103" s="101" t="n"/>
      <c r="F103" s="101" t="n"/>
      <c r="G103" s="102" t="inlineStr">
        <is>
          <t>Pending</t>
        </is>
      </c>
    </row>
    <row r="104">
      <c r="A104" s="101" t="n"/>
      <c r="B104" s="101" t="n"/>
      <c r="C104" s="101" t="n"/>
      <c r="D104" s="101" t="n"/>
      <c r="E104" s="101" t="n"/>
      <c r="F104" s="101" t="n"/>
      <c r="G104" s="102" t="inlineStr">
        <is>
          <t>Pending</t>
        </is>
      </c>
    </row>
    <row r="105">
      <c r="A105" s="101" t="n"/>
      <c r="B105" s="101" t="n"/>
      <c r="C105" s="101" t="n"/>
      <c r="D105" s="101" t="n"/>
      <c r="E105" s="101" t="n"/>
      <c r="F105" s="101" t="n"/>
      <c r="G105" s="102" t="inlineStr">
        <is>
          <t>Pending</t>
        </is>
      </c>
    </row>
    <row r="106">
      <c r="A106" s="101" t="n"/>
      <c r="B106" s="101" t="n"/>
      <c r="C106" s="101" t="n"/>
      <c r="D106" s="101" t="n"/>
      <c r="E106" s="101" t="n"/>
      <c r="F106" s="101" t="n"/>
      <c r="G106" s="102" t="inlineStr">
        <is>
          <t>Pending</t>
        </is>
      </c>
    </row>
    <row r="107">
      <c r="A107" s="101" t="n"/>
      <c r="B107" s="101" t="n"/>
      <c r="C107" s="101" t="n"/>
      <c r="D107" s="101" t="n"/>
      <c r="E107" s="101" t="n"/>
      <c r="F107" s="101" t="n"/>
      <c r="G107" s="102" t="inlineStr">
        <is>
          <t>Pending</t>
        </is>
      </c>
    </row>
    <row r="108">
      <c r="A108" s="101" t="n"/>
      <c r="B108" s="101" t="n"/>
      <c r="C108" s="101" t="n"/>
      <c r="D108" s="101" t="n"/>
      <c r="E108" s="101" t="n"/>
      <c r="F108" s="101" t="n"/>
      <c r="G108" s="102" t="inlineStr">
        <is>
          <t>Pending</t>
        </is>
      </c>
    </row>
    <row r="109">
      <c r="A109" s="101" t="n"/>
      <c r="B109" s="101" t="n"/>
      <c r="C109" s="101" t="n"/>
      <c r="D109" s="101" t="n"/>
      <c r="E109" s="101" t="n"/>
      <c r="F109" s="101" t="n"/>
      <c r="G109" s="102" t="inlineStr">
        <is>
          <t>Pending</t>
        </is>
      </c>
    </row>
    <row r="110">
      <c r="A110" s="101" t="n"/>
      <c r="B110" s="101" t="n"/>
      <c r="C110" s="101" t="n"/>
      <c r="D110" s="101" t="n"/>
      <c r="E110" s="101" t="n"/>
      <c r="F110" s="101" t="n"/>
      <c r="G110" s="102" t="inlineStr">
        <is>
          <t>Pending</t>
        </is>
      </c>
    </row>
    <row r="111">
      <c r="A111" s="101" t="n"/>
      <c r="B111" s="101" t="n"/>
      <c r="C111" s="101" t="n"/>
      <c r="D111" s="101" t="n"/>
      <c r="E111" s="101" t="n"/>
      <c r="F111" s="101" t="n"/>
      <c r="G111" s="102" t="inlineStr">
        <is>
          <t>Pending</t>
        </is>
      </c>
    </row>
    <row r="112">
      <c r="A112" s="101" t="n"/>
      <c r="B112" s="101" t="n"/>
      <c r="C112" s="101" t="n"/>
      <c r="D112" s="101" t="n"/>
      <c r="E112" s="101" t="n"/>
      <c r="F112" s="101" t="n"/>
      <c r="G112" s="102" t="inlineStr">
        <is>
          <t>Pending</t>
        </is>
      </c>
    </row>
    <row r="113">
      <c r="A113" s="101" t="n"/>
      <c r="B113" s="101" t="n"/>
      <c r="C113" s="101" t="n"/>
      <c r="D113" s="101" t="n"/>
      <c r="E113" s="101" t="n"/>
      <c r="F113" s="101" t="n"/>
      <c r="G113" s="102" t="inlineStr">
        <is>
          <t>Pending</t>
        </is>
      </c>
    </row>
    <row r="114">
      <c r="A114" s="101" t="n"/>
      <c r="B114" s="101" t="n"/>
      <c r="C114" s="101" t="n"/>
      <c r="D114" s="101" t="n"/>
      <c r="E114" s="101" t="n"/>
      <c r="F114" s="101" t="n"/>
      <c r="G114" s="102" t="inlineStr">
        <is>
          <t>Pending</t>
        </is>
      </c>
    </row>
    <row r="115">
      <c r="A115" s="101" t="n"/>
      <c r="B115" s="101" t="n"/>
      <c r="C115" s="101" t="n"/>
      <c r="D115" s="101" t="n"/>
      <c r="E115" s="101" t="n"/>
      <c r="F115" s="101" t="n"/>
      <c r="G115" s="102" t="inlineStr">
        <is>
          <t>Pending</t>
        </is>
      </c>
    </row>
    <row r="116">
      <c r="A116" s="101" t="n"/>
      <c r="B116" s="101" t="n"/>
      <c r="C116" s="101" t="n"/>
      <c r="D116" s="101" t="n"/>
      <c r="E116" s="101" t="n"/>
      <c r="F116" s="101" t="n"/>
      <c r="G116" s="102" t="inlineStr">
        <is>
          <t>Pending</t>
        </is>
      </c>
    </row>
    <row r="117">
      <c r="A117" s="101" t="n"/>
      <c r="B117" s="101" t="n"/>
      <c r="C117" s="101" t="n"/>
      <c r="D117" s="101" t="n"/>
      <c r="E117" s="101" t="n"/>
      <c r="F117" s="101" t="n"/>
      <c r="G117" s="102" t="inlineStr">
        <is>
          <t>Pending</t>
        </is>
      </c>
    </row>
    <row r="118">
      <c r="A118" s="101" t="n"/>
      <c r="B118" s="101" t="n"/>
      <c r="C118" s="101" t="n"/>
      <c r="D118" s="101" t="n"/>
      <c r="E118" s="101" t="n"/>
      <c r="F118" s="101" t="n"/>
      <c r="G118" s="102" t="inlineStr">
        <is>
          <t>Pending</t>
        </is>
      </c>
    </row>
    <row r="119">
      <c r="A119" s="101" t="n"/>
      <c r="B119" s="101" t="n"/>
      <c r="C119" s="101" t="n"/>
      <c r="D119" s="101" t="n"/>
      <c r="E119" s="101" t="n"/>
      <c r="F119" s="101" t="n"/>
      <c r="G119" s="102" t="inlineStr">
        <is>
          <t>Pending</t>
        </is>
      </c>
    </row>
    <row r="120">
      <c r="A120" s="101" t="n"/>
      <c r="B120" s="101" t="n"/>
      <c r="C120" s="101" t="n"/>
      <c r="D120" s="101" t="n"/>
      <c r="E120" s="101" t="n"/>
      <c r="F120" s="101" t="n"/>
      <c r="G120" s="102" t="inlineStr">
        <is>
          <t>Pending</t>
        </is>
      </c>
    </row>
    <row r="121">
      <c r="A121" s="101" t="n"/>
      <c r="B121" s="101" t="n"/>
      <c r="C121" s="101" t="n"/>
      <c r="D121" s="101" t="n"/>
      <c r="E121" s="101" t="n"/>
      <c r="F121" s="101" t="n"/>
      <c r="G121" s="102" t="inlineStr">
        <is>
          <t>Pending</t>
        </is>
      </c>
    </row>
    <row r="122">
      <c r="A122" s="101" t="n"/>
      <c r="B122" s="101" t="n"/>
      <c r="C122" s="101" t="n"/>
      <c r="D122" s="101" t="n"/>
      <c r="E122" s="101" t="n"/>
      <c r="F122" s="101" t="n"/>
      <c r="G122" s="102" t="inlineStr">
        <is>
          <t>Pending</t>
        </is>
      </c>
    </row>
    <row r="123">
      <c r="A123" s="101" t="n"/>
      <c r="B123" s="101" t="n"/>
      <c r="C123" s="101" t="n"/>
      <c r="D123" s="101" t="n"/>
      <c r="E123" s="101" t="n"/>
      <c r="F123" s="101" t="n"/>
      <c r="G123" s="102" t="inlineStr">
        <is>
          <t>Pending</t>
        </is>
      </c>
    </row>
    <row r="124">
      <c r="A124" s="101" t="n"/>
      <c r="B124" s="101" t="n"/>
      <c r="C124" s="101" t="n"/>
      <c r="D124" s="101" t="n"/>
      <c r="E124" s="101" t="n"/>
      <c r="F124" s="101" t="n"/>
      <c r="G124" s="102" t="inlineStr">
        <is>
          <t>Pending</t>
        </is>
      </c>
    </row>
    <row r="125">
      <c r="A125" s="101" t="n"/>
      <c r="B125" s="101" t="n"/>
      <c r="C125" s="101" t="n"/>
      <c r="D125" s="101" t="n"/>
      <c r="E125" s="101" t="n"/>
      <c r="F125" s="101" t="n"/>
      <c r="G125" s="102" t="inlineStr">
        <is>
          <t>Pending</t>
        </is>
      </c>
    </row>
    <row r="126">
      <c r="A126" s="101" t="n"/>
      <c r="B126" s="101" t="n"/>
      <c r="C126" s="101" t="n"/>
      <c r="D126" s="101" t="n"/>
      <c r="E126" s="101" t="n"/>
      <c r="F126" s="101" t="n"/>
      <c r="G126" s="102" t="inlineStr">
        <is>
          <t>Pending</t>
        </is>
      </c>
    </row>
    <row r="127">
      <c r="A127" s="101" t="n"/>
      <c r="B127" s="101" t="n"/>
      <c r="C127" s="101" t="n"/>
      <c r="D127" s="101" t="n"/>
      <c r="E127" s="101" t="n"/>
      <c r="F127" s="101" t="n"/>
      <c r="G127" s="102" t="inlineStr">
        <is>
          <t>Pending</t>
        </is>
      </c>
    </row>
    <row r="128">
      <c r="A128" s="101" t="n"/>
      <c r="B128" s="101" t="n"/>
      <c r="C128" s="101" t="n"/>
      <c r="D128" s="101" t="n"/>
      <c r="E128" s="101" t="n"/>
      <c r="F128" s="101" t="n"/>
      <c r="G128" s="102" t="inlineStr">
        <is>
          <t>Pending</t>
        </is>
      </c>
    </row>
    <row r="129">
      <c r="A129" s="101" t="n"/>
      <c r="B129" s="101" t="n"/>
      <c r="C129" s="101" t="n"/>
      <c r="D129" s="101" t="n"/>
      <c r="E129" s="101" t="n"/>
      <c r="F129" s="101" t="n"/>
      <c r="G129" s="102" t="inlineStr">
        <is>
          <t>Pending</t>
        </is>
      </c>
    </row>
    <row r="130">
      <c r="A130" s="101" t="n"/>
      <c r="B130" s="101" t="n"/>
      <c r="C130" s="101" t="n"/>
      <c r="D130" s="101" t="n"/>
      <c r="E130" s="101" t="n"/>
      <c r="F130" s="101" t="n"/>
      <c r="G130" s="102" t="inlineStr">
        <is>
          <t>Pending</t>
        </is>
      </c>
    </row>
    <row r="131">
      <c r="A131" s="101" t="n"/>
      <c r="B131" s="101" t="n"/>
      <c r="C131" s="101" t="n"/>
      <c r="D131" s="101" t="n"/>
      <c r="E131" s="101" t="n"/>
      <c r="F131" s="101" t="n"/>
      <c r="G131" s="102" t="inlineStr">
        <is>
          <t>Pending</t>
        </is>
      </c>
    </row>
    <row r="132">
      <c r="A132" s="101" t="n"/>
      <c r="B132" s="101" t="n"/>
      <c r="C132" s="101" t="n"/>
      <c r="D132" s="101" t="n"/>
      <c r="E132" s="101" t="n"/>
      <c r="F132" s="101" t="n"/>
      <c r="G132" s="102" t="inlineStr">
        <is>
          <t>Pending</t>
        </is>
      </c>
    </row>
    <row r="133">
      <c r="A133" s="101" t="n"/>
      <c r="B133" s="101" t="n"/>
      <c r="C133" s="101" t="n"/>
      <c r="D133" s="101" t="n"/>
      <c r="E133" s="101" t="n"/>
      <c r="F133" s="101" t="n"/>
      <c r="G133" s="102" t="inlineStr">
        <is>
          <t>Pending</t>
        </is>
      </c>
    </row>
    <row r="134">
      <c r="A134" s="101" t="n"/>
      <c r="B134" s="101" t="n"/>
      <c r="C134" s="101" t="n"/>
      <c r="D134" s="101" t="n"/>
      <c r="E134" s="101" t="n"/>
      <c r="F134" s="101" t="n"/>
      <c r="G134" s="102" t="inlineStr">
        <is>
          <t>Pending</t>
        </is>
      </c>
    </row>
    <row r="135">
      <c r="A135" s="101" t="n"/>
      <c r="B135" s="101" t="n"/>
      <c r="C135" s="101" t="n"/>
      <c r="D135" s="101" t="n"/>
      <c r="E135" s="101" t="n"/>
      <c r="F135" s="101" t="n"/>
      <c r="G135" s="102" t="inlineStr">
        <is>
          <t>Pending</t>
        </is>
      </c>
    </row>
    <row r="136">
      <c r="A136" s="101" t="n"/>
      <c r="B136" s="101" t="n"/>
      <c r="C136" s="101" t="n"/>
      <c r="D136" s="101" t="n"/>
      <c r="E136" s="101" t="n"/>
      <c r="F136" s="101" t="n"/>
      <c r="G136" s="102" t="inlineStr">
        <is>
          <t>Pending</t>
        </is>
      </c>
    </row>
    <row r="137">
      <c r="A137" s="101" t="n"/>
      <c r="B137" s="101" t="n"/>
      <c r="C137" s="101" t="n"/>
      <c r="D137" s="101" t="n"/>
      <c r="E137" s="101" t="n"/>
      <c r="F137" s="101" t="n"/>
      <c r="G137" s="102" t="inlineStr">
        <is>
          <t>Pending</t>
        </is>
      </c>
    </row>
    <row r="138">
      <c r="A138" s="101" t="n"/>
      <c r="B138" s="101" t="n"/>
      <c r="C138" s="101" t="n"/>
      <c r="D138" s="101" t="n"/>
      <c r="E138" s="101" t="n"/>
      <c r="F138" s="101" t="n"/>
      <c r="G138" s="102" t="inlineStr">
        <is>
          <t>Pending</t>
        </is>
      </c>
    </row>
    <row r="139">
      <c r="A139" s="101" t="n"/>
      <c r="B139" s="101" t="n"/>
      <c r="C139" s="101" t="n"/>
      <c r="D139" s="101" t="n"/>
      <c r="E139" s="101" t="n"/>
      <c r="F139" s="101" t="n"/>
      <c r="G139" s="102" t="inlineStr">
        <is>
          <t>Pending</t>
        </is>
      </c>
    </row>
    <row r="140">
      <c r="A140" s="101" t="n"/>
      <c r="B140" s="101" t="n"/>
      <c r="C140" s="101" t="n"/>
      <c r="D140" s="101" t="n"/>
      <c r="E140" s="101" t="n"/>
      <c r="F140" s="101" t="n"/>
      <c r="G140" s="102" t="inlineStr">
        <is>
          <t>Pending</t>
        </is>
      </c>
    </row>
    <row r="141">
      <c r="A141" s="101" t="n"/>
      <c r="B141" s="101" t="n"/>
      <c r="C141" s="101" t="n"/>
      <c r="D141" s="101" t="n"/>
      <c r="E141" s="101" t="n"/>
      <c r="F141" s="101" t="n"/>
      <c r="G141" s="102" t="inlineStr">
        <is>
          <t>Pending</t>
        </is>
      </c>
    </row>
    <row r="142">
      <c r="A142" s="101" t="n"/>
      <c r="B142" s="101" t="n"/>
      <c r="C142" s="101" t="n"/>
      <c r="D142" s="101" t="n"/>
      <c r="E142" s="101" t="n"/>
      <c r="F142" s="101" t="n"/>
      <c r="G142" s="102" t="inlineStr">
        <is>
          <t>Pending</t>
        </is>
      </c>
    </row>
    <row r="143">
      <c r="A143" s="101" t="n"/>
      <c r="B143" s="101" t="n"/>
      <c r="C143" s="101" t="n"/>
      <c r="D143" s="101" t="n"/>
      <c r="E143" s="101" t="n"/>
      <c r="F143" s="101" t="n"/>
      <c r="G143" s="102" t="inlineStr">
        <is>
          <t>Pending</t>
        </is>
      </c>
    </row>
    <row r="144">
      <c r="A144" s="101" t="n"/>
      <c r="B144" s="101" t="n"/>
      <c r="C144" s="101" t="n"/>
      <c r="D144" s="101" t="n"/>
      <c r="E144" s="101" t="n"/>
      <c r="F144" s="101" t="n"/>
      <c r="G144" s="102" t="inlineStr">
        <is>
          <t>Pending</t>
        </is>
      </c>
    </row>
    <row r="145">
      <c r="A145" s="101" t="n"/>
      <c r="B145" s="101" t="n"/>
      <c r="C145" s="101" t="n"/>
      <c r="D145" s="101" t="n"/>
      <c r="E145" s="101" t="n"/>
      <c r="F145" s="101" t="n"/>
      <c r="G145" s="102" t="inlineStr">
        <is>
          <t>Pending</t>
        </is>
      </c>
    </row>
    <row r="146">
      <c r="A146" s="101" t="n"/>
      <c r="B146" s="101" t="n"/>
      <c r="C146" s="101" t="n"/>
      <c r="D146" s="101" t="n"/>
      <c r="E146" s="101" t="n"/>
      <c r="F146" s="101" t="n"/>
      <c r="G146" s="102" t="inlineStr">
        <is>
          <t>Pending</t>
        </is>
      </c>
    </row>
    <row r="147">
      <c r="A147" s="101" t="n"/>
      <c r="B147" s="101" t="n"/>
      <c r="C147" s="101" t="n"/>
      <c r="D147" s="101" t="n"/>
      <c r="E147" s="101" t="n"/>
      <c r="F147" s="101" t="n"/>
      <c r="G147" s="102" t="inlineStr">
        <is>
          <t>Pending</t>
        </is>
      </c>
    </row>
    <row r="148">
      <c r="A148" s="101" t="n"/>
      <c r="B148" s="101" t="n"/>
      <c r="C148" s="101" t="n"/>
      <c r="D148" s="101" t="n"/>
      <c r="E148" s="101" t="n"/>
      <c r="F148" s="101" t="n"/>
      <c r="G148" s="102" t="inlineStr">
        <is>
          <t>Pending</t>
        </is>
      </c>
    </row>
    <row r="149">
      <c r="A149" s="101" t="n"/>
      <c r="B149" s="101" t="n"/>
      <c r="C149" s="101" t="n"/>
      <c r="D149" s="101" t="n"/>
      <c r="E149" s="101" t="n"/>
      <c r="F149" s="101" t="n"/>
      <c r="G149" s="102" t="inlineStr">
        <is>
          <t>Pending</t>
        </is>
      </c>
    </row>
    <row r="150">
      <c r="A150" s="101" t="n"/>
      <c r="B150" s="101" t="n"/>
      <c r="C150" s="101" t="n"/>
      <c r="D150" s="101" t="n"/>
      <c r="E150" s="101" t="n"/>
      <c r="F150" s="101" t="n"/>
      <c r="G150" s="102" t="inlineStr">
        <is>
          <t>Pending</t>
        </is>
      </c>
    </row>
    <row r="151">
      <c r="A151" s="101" t="n"/>
      <c r="B151" s="101" t="n"/>
      <c r="C151" s="101" t="n"/>
      <c r="D151" s="101" t="n"/>
      <c r="E151" s="101" t="n"/>
      <c r="F151" s="101" t="n"/>
      <c r="G151" s="102" t="inlineStr">
        <is>
          <t>Pending</t>
        </is>
      </c>
    </row>
    <row r="152">
      <c r="A152" s="101" t="n"/>
      <c r="B152" s="101" t="n"/>
      <c r="C152" s="101" t="n"/>
      <c r="D152" s="101" t="n"/>
      <c r="E152" s="101" t="n"/>
      <c r="F152" s="101" t="n"/>
      <c r="G152" s="102" t="inlineStr">
        <is>
          <t>Pending</t>
        </is>
      </c>
    </row>
    <row r="153">
      <c r="A153" s="101" t="n"/>
      <c r="B153" s="101" t="n"/>
      <c r="C153" s="101" t="n"/>
      <c r="D153" s="101" t="n"/>
      <c r="E153" s="101" t="n"/>
      <c r="F153" s="101" t="n"/>
      <c r="G153" s="102" t="inlineStr">
        <is>
          <t>Pending</t>
        </is>
      </c>
    </row>
    <row r="154">
      <c r="A154" s="101" t="n"/>
      <c r="B154" s="101" t="n"/>
      <c r="C154" s="101" t="n"/>
      <c r="D154" s="101" t="n"/>
      <c r="E154" s="101" t="n"/>
      <c r="F154" s="101" t="n"/>
      <c r="G154" s="102" t="inlineStr">
        <is>
          <t>Pending</t>
        </is>
      </c>
    </row>
    <row r="155">
      <c r="A155" s="101" t="n"/>
      <c r="B155" s="101" t="n"/>
      <c r="C155" s="101" t="n"/>
      <c r="D155" s="101" t="n"/>
      <c r="E155" s="101" t="n"/>
      <c r="F155" s="101" t="n"/>
      <c r="G155" s="102" t="inlineStr">
        <is>
          <t>Pending</t>
        </is>
      </c>
    </row>
    <row r="156">
      <c r="A156" s="101" t="n"/>
      <c r="B156" s="101" t="n"/>
      <c r="C156" s="101" t="n"/>
      <c r="D156" s="101" t="n"/>
      <c r="E156" s="101" t="n"/>
      <c r="F156" s="101" t="n"/>
      <c r="G156" s="102" t="inlineStr">
        <is>
          <t>Pending</t>
        </is>
      </c>
    </row>
    <row r="157">
      <c r="A157" s="101" t="n"/>
      <c r="B157" s="101" t="n"/>
      <c r="C157" s="101" t="n"/>
      <c r="D157" s="101" t="n"/>
      <c r="E157" s="101" t="n"/>
      <c r="F157" s="101" t="n"/>
      <c r="G157" s="102" t="inlineStr">
        <is>
          <t>Pending</t>
        </is>
      </c>
    </row>
    <row r="158">
      <c r="A158" s="101" t="n"/>
      <c r="B158" s="101" t="n"/>
      <c r="C158" s="101" t="n"/>
      <c r="D158" s="101" t="n"/>
      <c r="E158" s="101" t="n"/>
      <c r="F158" s="101" t="n"/>
      <c r="G158" s="102" t="inlineStr">
        <is>
          <t>Pending</t>
        </is>
      </c>
    </row>
    <row r="159">
      <c r="A159" s="101" t="n"/>
      <c r="B159" s="101" t="n"/>
      <c r="C159" s="101" t="n"/>
      <c r="D159" s="101" t="n"/>
      <c r="E159" s="101" t="n"/>
      <c r="F159" s="101" t="n"/>
      <c r="G159" s="102" t="inlineStr">
        <is>
          <t>Pending</t>
        </is>
      </c>
    </row>
    <row r="160">
      <c r="A160" s="101" t="n"/>
      <c r="B160" s="101" t="n"/>
      <c r="C160" s="101" t="n"/>
      <c r="D160" s="101" t="n"/>
      <c r="E160" s="101" t="n"/>
      <c r="F160" s="101" t="n"/>
      <c r="G160" s="102" t="inlineStr">
        <is>
          <t>Pending</t>
        </is>
      </c>
    </row>
    <row r="161">
      <c r="A161" s="101" t="n"/>
      <c r="B161" s="101" t="n"/>
      <c r="C161" s="101" t="n"/>
      <c r="D161" s="101" t="n"/>
      <c r="E161" s="101" t="n"/>
      <c r="F161" s="101" t="n"/>
      <c r="G161" s="102" t="inlineStr">
        <is>
          <t>Pending</t>
        </is>
      </c>
    </row>
    <row r="162">
      <c r="A162" s="101" t="n"/>
      <c r="B162" s="101" t="n"/>
      <c r="C162" s="101" t="n"/>
      <c r="D162" s="101" t="n"/>
      <c r="E162" s="101" t="n"/>
      <c r="F162" s="101" t="n"/>
      <c r="G162" s="102" t="inlineStr">
        <is>
          <t>Pending</t>
        </is>
      </c>
    </row>
    <row r="163">
      <c r="A163" s="101" t="n"/>
      <c r="B163" s="101" t="n"/>
      <c r="C163" s="101" t="n"/>
      <c r="D163" s="101" t="n"/>
      <c r="E163" s="101" t="n"/>
      <c r="F163" s="101" t="n"/>
      <c r="G163" s="102" t="inlineStr">
        <is>
          <t>Pending</t>
        </is>
      </c>
    </row>
    <row r="164">
      <c r="A164" s="101" t="n"/>
      <c r="B164" s="101" t="n"/>
      <c r="C164" s="101" t="n"/>
      <c r="D164" s="101" t="n"/>
      <c r="E164" s="101" t="n"/>
      <c r="F164" s="101" t="n"/>
      <c r="G164" s="102" t="inlineStr">
        <is>
          <t>Pending</t>
        </is>
      </c>
    </row>
    <row r="165">
      <c r="A165" s="101" t="n"/>
      <c r="B165" s="101" t="n"/>
      <c r="C165" s="101" t="n"/>
      <c r="D165" s="101" t="n"/>
      <c r="E165" s="101" t="n"/>
      <c r="F165" s="101" t="n"/>
      <c r="G165" s="102" t="inlineStr">
        <is>
          <t>Pending</t>
        </is>
      </c>
    </row>
    <row r="166">
      <c r="A166" s="101" t="n"/>
      <c r="B166" s="101" t="n"/>
      <c r="C166" s="101" t="n"/>
      <c r="D166" s="101" t="n"/>
      <c r="E166" s="101" t="n"/>
      <c r="F166" s="101" t="n"/>
      <c r="G166" s="102" t="inlineStr">
        <is>
          <t>Pending</t>
        </is>
      </c>
    </row>
    <row r="167">
      <c r="A167" s="101" t="n"/>
      <c r="B167" s="101" t="n"/>
      <c r="C167" s="101" t="n"/>
      <c r="D167" s="101" t="n"/>
      <c r="E167" s="101" t="n"/>
      <c r="F167" s="101" t="n"/>
      <c r="G167" s="102" t="inlineStr">
        <is>
          <t>Pending</t>
        </is>
      </c>
    </row>
    <row r="168">
      <c r="A168" s="101" t="n"/>
      <c r="B168" s="101" t="n"/>
      <c r="C168" s="101" t="n"/>
      <c r="D168" s="101" t="n"/>
      <c r="E168" s="101" t="n"/>
      <c r="F168" s="101" t="n"/>
      <c r="G168" s="102" t="inlineStr">
        <is>
          <t>Pending</t>
        </is>
      </c>
    </row>
    <row r="169">
      <c r="A169" s="101" t="n"/>
      <c r="B169" s="101" t="n"/>
      <c r="C169" s="101" t="n"/>
      <c r="D169" s="101" t="n"/>
      <c r="E169" s="101" t="n"/>
      <c r="F169" s="101" t="n"/>
      <c r="G169" s="102" t="inlineStr">
        <is>
          <t>Pending</t>
        </is>
      </c>
    </row>
    <row r="170">
      <c r="A170" s="101" t="n"/>
      <c r="B170" s="101" t="n"/>
      <c r="C170" s="101" t="n"/>
      <c r="D170" s="101" t="n"/>
      <c r="E170" s="101" t="n"/>
      <c r="F170" s="101" t="n"/>
      <c r="G170" s="102" t="inlineStr">
        <is>
          <t>Pending</t>
        </is>
      </c>
    </row>
    <row r="171">
      <c r="A171" s="101" t="n"/>
      <c r="B171" s="101" t="n"/>
      <c r="C171" s="101" t="n"/>
      <c r="D171" s="101" t="n"/>
      <c r="E171" s="101" t="n"/>
      <c r="F171" s="101" t="n"/>
      <c r="G171" s="102" t="inlineStr">
        <is>
          <t>Pending</t>
        </is>
      </c>
    </row>
    <row r="172">
      <c r="A172" s="101" t="n"/>
      <c r="B172" s="101" t="n"/>
      <c r="C172" s="101" t="n"/>
      <c r="D172" s="101" t="n"/>
      <c r="E172" s="101" t="n"/>
      <c r="F172" s="101" t="n"/>
      <c r="G172" s="102" t="inlineStr">
        <is>
          <t>Pending</t>
        </is>
      </c>
    </row>
    <row r="173">
      <c r="A173" s="101" t="n"/>
      <c r="B173" s="101" t="n"/>
      <c r="C173" s="101" t="n"/>
      <c r="D173" s="101" t="n"/>
      <c r="E173" s="101" t="n"/>
      <c r="F173" s="101" t="n"/>
      <c r="G173" s="102" t="inlineStr">
        <is>
          <t>Pending</t>
        </is>
      </c>
    </row>
    <row r="174">
      <c r="A174" s="101" t="n"/>
      <c r="B174" s="101" t="n"/>
      <c r="C174" s="101" t="n"/>
      <c r="D174" s="101" t="n"/>
      <c r="E174" s="101" t="n"/>
      <c r="F174" s="101" t="n"/>
      <c r="G174" s="102" t="inlineStr">
        <is>
          <t>Pending</t>
        </is>
      </c>
    </row>
    <row r="175">
      <c r="A175" s="101" t="n"/>
      <c r="B175" s="101" t="n"/>
      <c r="C175" s="101" t="n"/>
      <c r="D175" s="101" t="n"/>
      <c r="E175" s="101" t="n"/>
      <c r="F175" s="101" t="n"/>
      <c r="G175" s="102" t="inlineStr">
        <is>
          <t>Pending</t>
        </is>
      </c>
    </row>
    <row r="176">
      <c r="A176" s="101" t="n"/>
      <c r="B176" s="101" t="n"/>
      <c r="C176" s="101" t="n"/>
      <c r="D176" s="101" t="n"/>
      <c r="E176" s="101" t="n"/>
      <c r="F176" s="101" t="n"/>
      <c r="G176" s="102" t="inlineStr">
        <is>
          <t>Pending</t>
        </is>
      </c>
    </row>
    <row r="177">
      <c r="A177" s="101" t="n"/>
      <c r="B177" s="101" t="n"/>
      <c r="C177" s="101" t="n"/>
      <c r="D177" s="101" t="n"/>
      <c r="E177" s="101" t="n"/>
      <c r="F177" s="101" t="n"/>
      <c r="G177" s="102" t="inlineStr">
        <is>
          <t>Pending</t>
        </is>
      </c>
    </row>
    <row r="178">
      <c r="A178" s="101" t="n"/>
      <c r="B178" s="101" t="n"/>
      <c r="C178" s="101" t="n"/>
      <c r="D178" s="101" t="n"/>
      <c r="E178" s="101" t="n"/>
      <c r="F178" s="101" t="n"/>
      <c r="G178" s="102" t="inlineStr">
        <is>
          <t>Pending</t>
        </is>
      </c>
    </row>
    <row r="179">
      <c r="A179" s="101" t="n"/>
      <c r="B179" s="101" t="n"/>
      <c r="C179" s="101" t="n"/>
      <c r="D179" s="101" t="n"/>
      <c r="E179" s="101" t="n"/>
      <c r="F179" s="101" t="n"/>
      <c r="G179" s="102" t="inlineStr">
        <is>
          <t>Pending</t>
        </is>
      </c>
    </row>
    <row r="180">
      <c r="A180" s="101" t="n"/>
      <c r="B180" s="101" t="n"/>
      <c r="C180" s="101" t="n"/>
      <c r="D180" s="101" t="n"/>
      <c r="E180" s="101" t="n"/>
      <c r="F180" s="101" t="n"/>
      <c r="G180" s="102" t="inlineStr">
        <is>
          <t>Pending</t>
        </is>
      </c>
    </row>
    <row r="181">
      <c r="A181" s="101" t="n"/>
      <c r="B181" s="101" t="n"/>
      <c r="C181" s="101" t="n"/>
      <c r="D181" s="101" t="n"/>
      <c r="E181" s="101" t="n"/>
      <c r="F181" s="101" t="n"/>
      <c r="G181" s="102" t="inlineStr">
        <is>
          <t>Pending</t>
        </is>
      </c>
    </row>
    <row r="182">
      <c r="A182" s="101" t="n"/>
      <c r="B182" s="101" t="n"/>
      <c r="C182" s="101" t="n"/>
      <c r="D182" s="101" t="n"/>
      <c r="E182" s="101" t="n"/>
      <c r="F182" s="101" t="n"/>
      <c r="G182" s="102" t="inlineStr">
        <is>
          <t>Pending</t>
        </is>
      </c>
    </row>
    <row r="183">
      <c r="A183" s="101" t="n"/>
      <c r="B183" s="101" t="n"/>
      <c r="C183" s="101" t="n"/>
      <c r="D183" s="101" t="n"/>
      <c r="E183" s="101" t="n"/>
      <c r="F183" s="101" t="n"/>
      <c r="G183" s="102" t="inlineStr">
        <is>
          <t>Pending</t>
        </is>
      </c>
    </row>
    <row r="184">
      <c r="A184" s="101" t="n"/>
      <c r="B184" s="101" t="n"/>
      <c r="C184" s="101" t="n"/>
      <c r="D184" s="101" t="n"/>
      <c r="E184" s="101" t="n"/>
      <c r="F184" s="101" t="n"/>
      <c r="G184" s="102" t="inlineStr">
        <is>
          <t>Pending</t>
        </is>
      </c>
    </row>
    <row r="185">
      <c r="A185" s="101" t="n"/>
      <c r="B185" s="101" t="n"/>
      <c r="C185" s="101" t="n"/>
      <c r="D185" s="101" t="n"/>
      <c r="E185" s="101" t="n"/>
      <c r="F185" s="101" t="n"/>
      <c r="G185" s="102" t="inlineStr">
        <is>
          <t>Pending</t>
        </is>
      </c>
    </row>
    <row r="186">
      <c r="A186" s="101" t="n"/>
      <c r="B186" s="101" t="n"/>
      <c r="C186" s="101" t="n"/>
      <c r="D186" s="101" t="n"/>
      <c r="E186" s="101" t="n"/>
      <c r="F186" s="101" t="n"/>
      <c r="G186" s="102" t="inlineStr">
        <is>
          <t>Pending</t>
        </is>
      </c>
    </row>
    <row r="187">
      <c r="A187" s="101" t="n"/>
      <c r="B187" s="101" t="n"/>
      <c r="C187" s="101" t="n"/>
      <c r="D187" s="101" t="n"/>
      <c r="E187" s="101" t="n"/>
      <c r="F187" s="101" t="n"/>
      <c r="G187" s="102" t="inlineStr">
        <is>
          <t>Pending</t>
        </is>
      </c>
    </row>
    <row r="188">
      <c r="A188" s="101" t="n"/>
      <c r="B188" s="101" t="n"/>
      <c r="C188" s="101" t="n"/>
      <c r="D188" s="101" t="n"/>
      <c r="E188" s="101" t="n"/>
      <c r="F188" s="101" t="n"/>
      <c r="G188" s="102" t="inlineStr">
        <is>
          <t>Pending</t>
        </is>
      </c>
    </row>
    <row r="189">
      <c r="A189" s="101" t="n"/>
      <c r="B189" s="101" t="n"/>
      <c r="C189" s="101" t="n"/>
      <c r="D189" s="101" t="n"/>
      <c r="E189" s="101" t="n"/>
      <c r="F189" s="101" t="n"/>
      <c r="G189" s="102" t="inlineStr">
        <is>
          <t>Pending</t>
        </is>
      </c>
    </row>
    <row r="190">
      <c r="A190" s="101" t="n"/>
      <c r="B190" s="101" t="n"/>
      <c r="C190" s="101" t="n"/>
      <c r="D190" s="101" t="n"/>
      <c r="E190" s="101" t="n"/>
      <c r="F190" s="101" t="n"/>
      <c r="G190" s="102" t="inlineStr">
        <is>
          <t>Pending</t>
        </is>
      </c>
    </row>
    <row r="191">
      <c r="A191" s="101" t="n"/>
      <c r="B191" s="101" t="n"/>
      <c r="C191" s="101" t="n"/>
      <c r="D191" s="101" t="n"/>
      <c r="E191" s="101" t="n"/>
      <c r="F191" s="101" t="n"/>
      <c r="G191" s="102" t="inlineStr">
        <is>
          <t>Pending</t>
        </is>
      </c>
    </row>
    <row r="192">
      <c r="A192" s="101" t="n"/>
      <c r="B192" s="101" t="n"/>
      <c r="C192" s="101" t="n"/>
      <c r="D192" s="101" t="n"/>
      <c r="E192" s="101" t="n"/>
      <c r="F192" s="101" t="n"/>
      <c r="G192" s="102" t="inlineStr">
        <is>
          <t>Pending</t>
        </is>
      </c>
    </row>
    <row r="193">
      <c r="A193" s="101" t="n"/>
      <c r="B193" s="101" t="n"/>
      <c r="C193" s="101" t="n"/>
      <c r="D193" s="101" t="n"/>
      <c r="E193" s="101" t="n"/>
      <c r="F193" s="101" t="n"/>
      <c r="G193" s="102" t="inlineStr">
        <is>
          <t>Pending</t>
        </is>
      </c>
    </row>
    <row r="194">
      <c r="A194" s="101" t="n"/>
      <c r="B194" s="101" t="n"/>
      <c r="C194" s="101" t="n"/>
      <c r="D194" s="101" t="n"/>
      <c r="E194" s="101" t="n"/>
      <c r="F194" s="101" t="n"/>
      <c r="G194" s="102" t="inlineStr">
        <is>
          <t>Pending</t>
        </is>
      </c>
    </row>
    <row r="195">
      <c r="A195" s="101" t="n"/>
      <c r="B195" s="101" t="n"/>
      <c r="C195" s="101" t="n"/>
      <c r="D195" s="101" t="n"/>
      <c r="E195" s="101" t="n"/>
      <c r="F195" s="101" t="n"/>
      <c r="G195" s="102" t="inlineStr">
        <is>
          <t>Pending</t>
        </is>
      </c>
    </row>
    <row r="196">
      <c r="A196" s="101" t="n"/>
      <c r="B196" s="101" t="n"/>
      <c r="C196" s="101" t="n"/>
      <c r="D196" s="101" t="n"/>
      <c r="E196" s="101" t="n"/>
      <c r="F196" s="101" t="n"/>
      <c r="G196" s="102" t="inlineStr">
        <is>
          <t>Pending</t>
        </is>
      </c>
    </row>
    <row r="197">
      <c r="A197" s="101" t="n"/>
      <c r="B197" s="101" t="n"/>
      <c r="C197" s="101" t="n"/>
      <c r="D197" s="101" t="n"/>
      <c r="E197" s="101" t="n"/>
      <c r="F197" s="101" t="n"/>
      <c r="G197" s="102" t="inlineStr">
        <is>
          <t>Pending</t>
        </is>
      </c>
    </row>
    <row r="198">
      <c r="A198" s="101" t="n"/>
      <c r="B198" s="101" t="n"/>
      <c r="C198" s="101" t="n"/>
      <c r="D198" s="101" t="n"/>
      <c r="E198" s="101" t="n"/>
      <c r="F198" s="101" t="n"/>
      <c r="G198" s="102" t="inlineStr">
        <is>
          <t>Pending</t>
        </is>
      </c>
    </row>
    <row r="199">
      <c r="A199" s="101" t="n"/>
      <c r="B199" s="101" t="n"/>
      <c r="C199" s="101" t="n"/>
      <c r="D199" s="101" t="n"/>
      <c r="E199" s="101" t="n"/>
      <c r="F199" s="101" t="n"/>
      <c r="G199" s="102" t="inlineStr">
        <is>
          <t>Pending</t>
        </is>
      </c>
    </row>
    <row r="200">
      <c r="A200" s="101" t="n"/>
      <c r="B200" s="101" t="n"/>
      <c r="C200" s="101" t="n"/>
      <c r="D200" s="101" t="n"/>
      <c r="E200" s="101" t="n"/>
      <c r="F200" s="101" t="n"/>
      <c r="G200" s="102" t="inlineStr">
        <is>
          <t>Pending</t>
        </is>
      </c>
    </row>
    <row r="201">
      <c r="A201" s="101" t="n"/>
      <c r="B201" s="101" t="n"/>
      <c r="C201" s="101" t="n"/>
      <c r="D201" s="101" t="n"/>
      <c r="E201" s="101" t="n"/>
      <c r="F201" s="101" t="n"/>
      <c r="G201" s="102" t="inlineStr">
        <is>
          <t>Pending</t>
        </is>
      </c>
    </row>
    <row r="202">
      <c r="A202" s="101" t="n"/>
      <c r="B202" s="101" t="n"/>
      <c r="C202" s="101" t="n"/>
      <c r="D202" s="101" t="n"/>
      <c r="E202" s="101" t="n"/>
      <c r="F202" s="101" t="n"/>
      <c r="G202" s="102" t="inlineStr">
        <is>
          <t>Pending</t>
        </is>
      </c>
    </row>
    <row r="203">
      <c r="A203" s="101" t="n"/>
      <c r="B203" s="101" t="n"/>
      <c r="C203" s="101" t="n"/>
      <c r="D203" s="101" t="n"/>
      <c r="E203" s="101" t="n"/>
      <c r="F203" s="101" t="n"/>
      <c r="G203" s="102" t="inlineStr">
        <is>
          <t>Pending</t>
        </is>
      </c>
    </row>
    <row r="204">
      <c r="A204" s="101" t="n"/>
      <c r="B204" s="101" t="n"/>
      <c r="C204" s="101" t="n"/>
      <c r="D204" s="101" t="n"/>
      <c r="E204" s="101" t="n"/>
      <c r="F204" s="101" t="n"/>
      <c r="G204" s="102" t="inlineStr">
        <is>
          <t>Pending</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8" customWidth="1" min="1" max="1"/>
    <col width="22" customWidth="1" min="2" max="2"/>
  </cols>
  <sheetData>
    <row r="1" ht="38" customHeight="1">
      <c r="A1" s="41" t="inlineStr">
        <is>
          <t>DASHBOARD — Auto-calculated Summary (Website reads this)</t>
        </is>
      </c>
      <c r="B1" s="54" t="n"/>
    </row>
    <row r="3" ht="22" customHeight="1">
      <c r="A3" s="42" t="inlineStr">
        <is>
          <t>TEAM OVERVIEW</t>
        </is>
      </c>
      <c r="B3" s="54" t="n"/>
    </row>
    <row r="4" ht="22" customHeight="1">
      <c r="A4" s="6" t="inlineStr">
        <is>
          <t>Total Players</t>
        </is>
      </c>
      <c r="B4" s="43">
        <f>COUNTA(Roster!A5:A204)</f>
        <v/>
      </c>
    </row>
    <row r="5" ht="22" customHeight="1">
      <c r="A5" s="6" t="inlineStr">
        <is>
          <t>Active Players</t>
        </is>
      </c>
      <c r="B5" s="43">
        <f>COUNTIF(Roster!E5:E204,"Active")</f>
        <v/>
      </c>
    </row>
    <row r="6" ht="22" customHeight="1">
      <c r="A6" s="6" t="inlineStr">
        <is>
          <t>Coaches/Staff</t>
        </is>
      </c>
      <c r="B6" s="43">
        <f>COUNTIF(Roster!D5:D204,"Coach")+COUNTIF(Roster!D5:D204,"Treasurer")</f>
        <v/>
      </c>
    </row>
    <row r="7" ht="22" customHeight="1">
      <c r="A7" s="6" t="inlineStr">
        <is>
          <t>Captains</t>
        </is>
      </c>
      <c r="B7" s="43">
        <f>COUNTIF(Roster!D5:D204,"Captain")</f>
        <v/>
      </c>
    </row>
    <row r="8" ht="22" customHeight="1"/>
    <row r="9" ht="22" customHeight="1">
      <c r="A9" s="42" t="inlineStr">
        <is>
          <t>FINANCES</t>
        </is>
      </c>
      <c r="B9" s="54" t="n"/>
    </row>
    <row r="10" ht="22" customHeight="1">
      <c r="A10" s="6" t="inlineStr">
        <is>
          <t>Total Dues Owed</t>
        </is>
      </c>
      <c r="B10" s="44">
        <f>SUMIF(Roster!E5:E204,"Active",Roster!B5:B204)</f>
        <v/>
      </c>
    </row>
    <row r="11" ht="22" customHeight="1">
      <c r="A11" s="6" t="inlineStr">
        <is>
          <t>Total Dues Collected</t>
        </is>
      </c>
      <c r="B11" s="44">
        <f>SUMIFS(Transactions!F7:F1000,Transactions!D7:D1000,"Income",Transactions!C7:C1000,"Dues")</f>
        <v/>
      </c>
    </row>
    <row r="12" ht="22" customHeight="1">
      <c r="A12" s="6" t="inlineStr">
        <is>
          <t>Dues Outstanding</t>
        </is>
      </c>
      <c r="B12" s="44">
        <f>B10-B11</f>
        <v/>
      </c>
    </row>
    <row r="13" ht="22" customHeight="1">
      <c r="A13" s="6" t="inlineStr">
        <is>
          <t>Total Income</t>
        </is>
      </c>
      <c r="B13" s="44">
        <f>Transactions!A4</f>
        <v/>
      </c>
    </row>
    <row r="14" ht="22" customHeight="1">
      <c r="A14" s="6" t="inlineStr">
        <is>
          <t>Total Expenses</t>
        </is>
      </c>
      <c r="B14" s="44">
        <f>Transactions!B4</f>
        <v/>
      </c>
    </row>
    <row r="15" ht="22" customHeight="1">
      <c r="A15" s="6" t="inlineStr">
        <is>
          <t>Net Balance</t>
        </is>
      </c>
      <c r="B15" s="44">
        <f>Transactions!C4</f>
        <v/>
      </c>
    </row>
    <row r="16" ht="22" customHeight="1">
      <c r="A16" s="6" t="inlineStr">
        <is>
          <t>Pending Transactions</t>
        </is>
      </c>
      <c r="B16" s="44">
        <f>Transactions!E4</f>
        <v/>
      </c>
    </row>
    <row r="17" ht="22" customHeight="1"/>
    <row r="18" ht="22" customHeight="1">
      <c r="A18" s="42" t="inlineStr">
        <is>
          <t>EVENTS</t>
        </is>
      </c>
      <c r="B18" s="54" t="n"/>
    </row>
    <row r="19" ht="22" customHeight="1">
      <c r="A19" s="6" t="inlineStr">
        <is>
          <t>Total Events</t>
        </is>
      </c>
      <c r="B19" s="43">
        <f>COUNTA(Events!A5:A505)</f>
        <v/>
      </c>
    </row>
    <row r="20" ht="22" customHeight="1">
      <c r="A20" s="6" t="inlineStr">
        <is>
          <t>Practices</t>
        </is>
      </c>
      <c r="B20" s="43">
        <f>COUNTIF(Events!D5:D505,"Practice")</f>
        <v/>
      </c>
    </row>
    <row r="21" ht="22" customHeight="1">
      <c r="A21" s="6" t="inlineStr">
        <is>
          <t>Tournaments</t>
        </is>
      </c>
      <c r="B21" s="43">
        <f>Events!D4</f>
        <v/>
      </c>
    </row>
    <row r="22" ht="22" customHeight="1">
      <c r="A22" s="6" t="inlineStr">
        <is>
          <t>Fundraisers</t>
        </is>
      </c>
      <c r="B22" s="43">
        <f>Events!D4</f>
        <v/>
      </c>
    </row>
    <row r="23" ht="22" customHeight="1">
      <c r="A23" s="6" t="inlineStr">
        <is>
          <t>Total Budgeted</t>
        </is>
      </c>
      <c r="B23" s="44">
        <f>Events!H4</f>
        <v/>
      </c>
    </row>
    <row r="24" ht="22" customHeight="1">
      <c r="A24" s="6" t="inlineStr">
        <is>
          <t>Total Actual Spend</t>
        </is>
      </c>
      <c r="B24" s="44">
        <f>Events!I4</f>
        <v/>
      </c>
    </row>
    <row r="25" ht="22" customHeight="1">
      <c r="A25" s="6" t="inlineStr">
        <is>
          <t>Budget Variance</t>
        </is>
      </c>
      <c r="B25" s="44">
        <f>Events!J4</f>
        <v/>
      </c>
    </row>
  </sheetData>
  <mergeCells count="4">
    <mergeCell ref="A9:B9"/>
    <mergeCell ref="A3:B3"/>
    <mergeCell ref="A1:B1"/>
    <mergeCell ref="A18:B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34"/>
  <sheetViews>
    <sheetView showGridLines="0" workbookViewId="0">
      <selection activeCell="A1" sqref="A1"/>
    </sheetView>
  </sheetViews>
  <sheetFormatPr baseColWidth="8" defaultRowHeight="15"/>
  <cols>
    <col width="28" customWidth="1" min="1" max="1"/>
    <col width="60" customWidth="1" min="2" max="2"/>
  </cols>
  <sheetData>
    <row r="1" ht="38" customHeight="1">
      <c r="A1" s="1" t="inlineStr">
        <is>
          <t>KEY &amp; INSTRUCTIONS</t>
        </is>
      </c>
      <c r="B1" s="54" t="n"/>
    </row>
    <row r="3" ht="22" customHeight="1">
      <c r="A3" s="45" t="inlineStr">
        <is>
          <t>COLOR CODING</t>
        </is>
      </c>
      <c r="B3" s="46" t="inlineStr"/>
    </row>
    <row r="4" ht="22" customHeight="1">
      <c r="A4" s="47" t="inlineStr">
        <is>
          <t>Blue text</t>
        </is>
      </c>
      <c r="B4" s="48" t="inlineStr">
        <is>
          <t>Enter data here — these are your inputs</t>
        </is>
      </c>
    </row>
    <row r="5" ht="22" customHeight="1">
      <c r="A5" s="49" t="inlineStr">
        <is>
          <t>Black text (formula)</t>
        </is>
      </c>
      <c r="B5" s="48" t="inlineStr">
        <is>
          <t>Auto-calculated — do not edit</t>
        </is>
      </c>
    </row>
    <row r="6" ht="22" customHeight="1">
      <c r="A6" s="50" t="inlineStr">
        <is>
          <t>Green text</t>
        </is>
      </c>
      <c r="B6" s="48" t="inlineStr">
        <is>
          <t>Pulls from another sheet — do not edit</t>
        </is>
      </c>
    </row>
    <row r="7" ht="22" customHeight="1">
      <c r="A7" s="51" t="n"/>
      <c r="B7" s="48" t="n"/>
    </row>
    <row r="8" ht="22" customHeight="1">
      <c r="A8" s="45" t="inlineStr">
        <is>
          <t>ACCESS CODES</t>
        </is>
      </c>
      <c r="B8" s="46" t="inlineStr"/>
    </row>
    <row r="9" ht="22" customHeight="1">
      <c r="A9" s="52" t="inlineStr">
        <is>
          <t>Access codes</t>
        </is>
      </c>
      <c r="B9" s="48" t="inlineStr">
        <is>
          <t>Set unique codes in the 'Access Codes' tab. Share each player's code only with them.</t>
        </is>
      </c>
    </row>
    <row r="10" ht="22" customHeight="1">
      <c r="A10" s="52" t="inlineStr">
        <is>
          <t>Player view</t>
        </is>
      </c>
      <c r="B10" s="48" t="inlineStr">
        <is>
          <t>Players enter their code → see only their own dues, balance, attendance</t>
        </is>
      </c>
    </row>
    <row r="11" ht="22" customHeight="1">
      <c r="A11" s="52" t="inlineStr">
        <is>
          <t>Captain view</t>
        </is>
      </c>
      <c r="B11" s="48" t="inlineStr">
        <is>
          <t>Captains enter their code → see full roster balances, event attendance summary</t>
        </is>
      </c>
    </row>
    <row r="12" ht="22" customHeight="1">
      <c r="A12" s="52" t="inlineStr">
        <is>
          <t>Coach/Treasurer</t>
        </is>
      </c>
      <c r="B12" s="48" t="inlineStr">
        <is>
          <t>Full dashboard: all finances, all player balances, all transactions</t>
        </is>
      </c>
    </row>
    <row r="13" ht="22" customHeight="1">
      <c r="A13" s="51" t="n"/>
      <c r="B13" s="48" t="n"/>
    </row>
    <row r="14" ht="22" customHeight="1">
      <c r="A14" s="45" t="inlineStr">
        <is>
          <t>ATTENDANCE</t>
        </is>
      </c>
      <c r="B14" s="46" t="inlineStr"/>
    </row>
    <row r="15" ht="22" customHeight="1">
      <c r="A15" s="52" t="inlineStr">
        <is>
          <t>1 = Attended | 0 = Absent | X = Exempt</t>
        </is>
      </c>
      <c r="B15" s="48" t="inlineStr">
        <is>
          <t>Player was present</t>
        </is>
      </c>
    </row>
    <row r="16" ht="22" customHeight="1">
      <c r="A16" s="52" t="inlineStr">
        <is>
          <t>N = Absent</t>
        </is>
      </c>
      <c r="B16" s="48" t="inlineStr">
        <is>
          <t>Player did not attend</t>
        </is>
      </c>
    </row>
    <row r="17" ht="22" customHeight="1">
      <c r="A17" s="52" t="inlineStr">
        <is>
          <t>X = Exempt — absent but excused/exempt from cost</t>
        </is>
      </c>
      <c r="B17" s="48" t="inlineStr">
        <is>
          <t>Absent but excused — may waive cost</t>
        </is>
      </c>
    </row>
    <row r="18" ht="22" customHeight="1">
      <c r="A18" s="52" t="inlineStr">
        <is>
          <t>Row 4 in Attendance is auto-calculated from Events (Actual Cost ÷ attendees for "Attendance" events; ÷ roster size for "Equal Split" events)</t>
        </is>
      </c>
      <c r="B18" s="48" t="inlineStr">
        <is>
          <t>Row 6 in Attendance sheet — enter per-event cost, auto-calculates totals</t>
        </is>
      </c>
    </row>
    <row r="19" ht="22" customHeight="1">
      <c r="A19" s="51" t="n"/>
      <c r="B19" s="48" t="n"/>
    </row>
    <row r="20" ht="22" customHeight="1">
      <c r="A20" s="45" t="inlineStr">
        <is>
          <t>WORKFLOW</t>
        </is>
      </c>
      <c r="B20" s="46" t="inlineStr"/>
    </row>
    <row r="21" ht="22" customHeight="1">
      <c r="A21" s="52" t="inlineStr">
        <is>
          <t>1. Roster</t>
        </is>
      </c>
      <c r="B21" s="48" t="inlineStr">
        <is>
          <t>Add all players/coaches, set unique access codes, set dues amounts</t>
        </is>
      </c>
    </row>
    <row r="22" ht="22" customHeight="1">
      <c r="A22" s="52" t="inlineStr">
        <is>
          <t>2. Events</t>
        </is>
      </c>
      <c r="B22" s="48" t="inlineStr">
        <is>
          <t>Log every event with budget and actual cost</t>
        </is>
      </c>
    </row>
    <row r="23" ht="22" customHeight="1">
      <c r="A23" s="52" t="inlineStr">
        <is>
          <t>3. Attendance</t>
        </is>
      </c>
      <c r="B23" s="48" t="inlineStr">
        <is>
          <t>Mark Y/N/E for each player per event; set cost per person in row 6</t>
        </is>
      </c>
    </row>
    <row r="24" ht="22" customHeight="1">
      <c r="A24" s="52" t="inlineStr">
        <is>
          <t>4. Transactions</t>
        </is>
      </c>
      <c r="B24" s="48" t="inlineStr">
        <is>
          <t>Log all money in/out; link to events where possible</t>
        </is>
      </c>
    </row>
    <row r="25" ht="22" customHeight="1">
      <c r="A25" s="52" t="inlineStr">
        <is>
          <t>5. Player Balances</t>
        </is>
      </c>
      <c r="B25" s="48" t="inlineStr">
        <is>
          <t>Update dues paid, event costs owed, upfront payments — net auto-calculates</t>
        </is>
      </c>
    </row>
    <row r="26" ht="22" customHeight="1">
      <c r="A26" s="52" t="inlineStr">
        <is>
          <t>6. Dashboard</t>
        </is>
      </c>
      <c r="B26" s="48" t="inlineStr">
        <is>
          <t>Auto-updates — this is what the website displays</t>
        </is>
      </c>
    </row>
    <row r="27" ht="22" customHeight="1">
      <c r="A27" s="52" t="inlineStr">
        <is>
          <t>7. Commit to GitHub</t>
        </is>
      </c>
      <c r="B27" s="48" t="inlineStr">
        <is>
          <t>Save file → git add → git commit → git push → website updates!</t>
        </is>
      </c>
    </row>
    <row r="28" ht="22" customHeight="1">
      <c r="A28" s="51" t="n"/>
      <c r="B28" s="48" t="n"/>
    </row>
    <row r="29" ht="22" customHeight="1">
      <c r="A29" s="45" t="inlineStr">
        <is>
          <t>SPLIT METHODS</t>
        </is>
      </c>
      <c r="B29" s="46" t="inlineStr"/>
    </row>
    <row r="30" ht="22" customHeight="1">
      <c r="A30" s="52" t="inlineStr">
        <is>
          <t>Equal Split</t>
        </is>
      </c>
      <c r="B30" s="48" t="inlineStr">
        <is>
          <t>Total cost ÷ all active players</t>
        </is>
      </c>
    </row>
    <row r="31" ht="22" customHeight="1">
      <c r="A31" s="52" t="inlineStr">
        <is>
          <t>Attendance</t>
        </is>
      </c>
      <c r="B31" s="48" t="inlineStr">
        <is>
          <t>Total cost ÷ attendees only</t>
        </is>
      </c>
    </row>
    <row r="32" ht="22" customHeight="1">
      <c r="A32" s="52" t="inlineStr">
        <is>
          <t>Custom</t>
        </is>
      </c>
      <c r="B32" s="48" t="inlineStr">
        <is>
          <t>Manual — enter individual amounts in Player Balances</t>
        </is>
      </c>
    </row>
    <row r="33" ht="22" customHeight="1">
      <c r="A33" s="52" t="inlineStr">
        <is>
          <t>Team Pays</t>
        </is>
      </c>
      <c r="B33" s="48" t="inlineStr">
        <is>
          <t>Covered by team funds, no individual charge</t>
        </is>
      </c>
    </row>
    <row r="34" ht="22" customHeight="1">
      <c r="A34" s="52" t="inlineStr">
        <is>
          <t>Individual Pays</t>
        </is>
      </c>
      <c r="B34" s="48" t="inlineStr">
        <is>
          <t>Person pays their own way, no reimbursement</t>
        </is>
      </c>
    </row>
  </sheetData>
  <mergeCells count="1">
    <mergeCell ref="A1:B1"/>
  </mergeCells>
  <pageMargins left="0.75" right="0.75" top="1" bottom="1" header="0.5" footer="0.5"/>
</worksheet>
</file>

<file path=xl/worksheets/sheet9.xml><?xml version="1.0" encoding="utf-8"?>
<worksheet xmlns="http://schemas.openxmlformats.org/spreadsheetml/2006/main">
  <sheetPr>
    <tabColor rgb="00C00000"/>
    <outlinePr summaryBelow="1" summaryRight="1"/>
    <pageSetUpPr/>
  </sheetPr>
  <dimension ref="A1:E107"/>
  <sheetViews>
    <sheetView showGridLines="0" workbookViewId="0">
      <pane ySplit="5" topLeftCell="A6" activePane="bottomLeft" state="frozen"/>
      <selection pane="bottomLeft" activeCell="A1" sqref="A1"/>
    </sheetView>
  </sheetViews>
  <sheetFormatPr baseColWidth="8" defaultRowHeight="15"/>
  <cols>
    <col width="24" customWidth="1" min="1" max="1"/>
    <col width="16" customWidth="1" min="2" max="2"/>
    <col width="16" customWidth="1" min="3" max="3"/>
    <col width="20" customWidth="1" min="4" max="4"/>
    <col width="28" customWidth="1" min="5" max="5"/>
  </cols>
  <sheetData>
    <row r="1" ht="38" customHeight="1">
      <c r="A1" s="58" t="inlineStr">
        <is>
          <t>🔒  ACCESS CODES — TREASURER ONLY  🔒</t>
        </is>
      </c>
      <c r="B1" s="53" t="n"/>
      <c r="C1" s="53" t="n"/>
      <c r="D1" s="53" t="n"/>
      <c r="E1" s="54" t="n"/>
    </row>
    <row r="2" ht="30" customHeight="1">
      <c r="A2" s="59" t="inlineStr">
        <is>
          <t>⚠️  HIDE THIS SHEET BEFORE SHARING THE FILE WITH PLAYERS  ⚠️</t>
        </is>
      </c>
      <c r="B2" s="53" t="n"/>
      <c r="C2" s="53" t="n"/>
      <c r="D2" s="53" t="n"/>
      <c r="E2" s="54" t="n"/>
    </row>
    <row r="3" ht="20" customHeight="1">
      <c r="A3" s="60" t="inlineStr">
        <is>
          <t>To hide: right-click this sheet tab → 'Hide'.  To unhide: right-click any tab → 'Unhide'.</t>
        </is>
      </c>
      <c r="B3" s="53" t="n"/>
      <c r="C3" s="53" t="n"/>
      <c r="D3" s="53" t="n"/>
      <c r="E3" s="54" t="n"/>
    </row>
    <row r="4" ht="8" customHeight="1"/>
    <row r="5" ht="22" customHeight="1">
      <c r="A5" s="61" t="inlineStr">
        <is>
          <t>Player Name</t>
        </is>
      </c>
      <c r="B5" s="61" t="inlineStr">
        <is>
          <t>Access Code</t>
        </is>
      </c>
      <c r="C5" s="61" t="inlineStr">
        <is>
          <t>Role</t>
        </is>
      </c>
      <c r="D5" s="61" t="inlineStr">
        <is>
          <t>Status</t>
        </is>
      </c>
      <c r="E5" s="61" t="inlineStr">
        <is>
          <t>Notes / Share Method</t>
        </is>
      </c>
    </row>
    <row r="6" ht="22" customHeight="1">
      <c r="A6" s="33" t="inlineStr">
        <is>
          <t>Alex Johnson</t>
        </is>
      </c>
      <c r="B6" s="62" t="inlineStr">
        <is>
          <t>AJ2024</t>
        </is>
      </c>
      <c r="C6" s="63" t="inlineStr">
        <is>
          <t>Player</t>
        </is>
      </c>
      <c r="D6" s="63" t="inlineStr">
        <is>
          <t>Active</t>
        </is>
      </c>
      <c r="E6" s="33" t="inlineStr">
        <is>
          <t>Texted 3/1</t>
        </is>
      </c>
    </row>
    <row r="7" ht="22" customHeight="1">
      <c r="A7" s="33" t="inlineStr">
        <is>
          <t>Sam Rivera</t>
        </is>
      </c>
      <c r="B7" s="62" t="inlineStr">
        <is>
          <t>SR2024</t>
        </is>
      </c>
      <c r="C7" s="63" t="inlineStr">
        <is>
          <t>Player</t>
        </is>
      </c>
      <c r="D7" s="63" t="inlineStr">
        <is>
          <t>Active</t>
        </is>
      </c>
      <c r="E7" s="33" t="inlineStr">
        <is>
          <t>Emailed 3/1</t>
        </is>
      </c>
    </row>
    <row r="8" ht="22" customHeight="1">
      <c r="A8" s="29" t="inlineStr">
        <is>
          <t>Jordan Lee</t>
        </is>
      </c>
      <c r="B8" s="64" t="inlineStr">
        <is>
          <t>JL2024</t>
        </is>
      </c>
      <c r="C8" s="65" t="inlineStr">
        <is>
          <t>Captain</t>
        </is>
      </c>
      <c r="D8" s="65" t="inlineStr">
        <is>
          <t>Active</t>
        </is>
      </c>
      <c r="E8" s="29" t="inlineStr">
        <is>
          <t>Texted 3/1</t>
        </is>
      </c>
    </row>
    <row r="9" ht="22" customHeight="1">
      <c r="A9" s="66" t="inlineStr">
        <is>
          <t>Coach Kim</t>
        </is>
      </c>
      <c r="B9" s="67" t="inlineStr">
        <is>
          <t>CK2024</t>
        </is>
      </c>
      <c r="C9" s="68" t="inlineStr">
        <is>
          <t>Coach</t>
        </is>
      </c>
      <c r="D9" s="68" t="inlineStr">
        <is>
          <t>Active</t>
        </is>
      </c>
      <c r="E9" s="66" t="inlineStr">
        <is>
          <t>Hand delivered</t>
        </is>
      </c>
    </row>
    <row r="10" ht="22" customHeight="1">
      <c r="A10" s="33" t="inlineStr">
        <is>
          <t>Taylor Smith</t>
        </is>
      </c>
      <c r="B10" s="62" t="inlineStr">
        <is>
          <t>TS2024</t>
        </is>
      </c>
      <c r="C10" s="63" t="inlineStr">
        <is>
          <t>Player</t>
        </is>
      </c>
      <c r="D10" s="63" t="inlineStr">
        <is>
          <t>Active</t>
        </is>
      </c>
      <c r="E10" s="33" t="inlineStr">
        <is>
          <t>Texted 3/1</t>
        </is>
      </c>
    </row>
    <row r="11" ht="22" customHeight="1">
      <c r="A11" s="69" t="n"/>
      <c r="B11" s="70" t="n"/>
      <c r="C11" s="71" t="n"/>
      <c r="D11" s="71" t="n"/>
      <c r="E11" s="69" t="n"/>
    </row>
    <row r="12" ht="22" customHeight="1">
      <c r="A12" s="72" t="n"/>
      <c r="B12" s="73" t="n"/>
      <c r="C12" s="74" t="n"/>
      <c r="D12" s="74" t="n"/>
      <c r="E12" s="72" t="n"/>
    </row>
    <row r="13" ht="22" customHeight="1">
      <c r="A13" s="69" t="n"/>
      <c r="B13" s="70" t="n"/>
      <c r="C13" s="71" t="n"/>
      <c r="D13" s="71" t="n"/>
      <c r="E13" s="69" t="n"/>
    </row>
    <row r="14" ht="22" customHeight="1">
      <c r="A14" s="72" t="n"/>
      <c r="B14" s="73" t="n"/>
      <c r="C14" s="74" t="n"/>
      <c r="D14" s="74" t="n"/>
      <c r="E14" s="72" t="n"/>
    </row>
    <row r="15" ht="22" customHeight="1">
      <c r="A15" s="69" t="n"/>
      <c r="B15" s="70" t="n"/>
      <c r="C15" s="71" t="n"/>
      <c r="D15" s="71" t="n"/>
      <c r="E15" s="69" t="n"/>
    </row>
    <row r="16" ht="22" customHeight="1">
      <c r="A16" s="72" t="n"/>
      <c r="B16" s="73" t="n"/>
      <c r="C16" s="74" t="n"/>
      <c r="D16" s="74" t="n"/>
      <c r="E16" s="72" t="n"/>
    </row>
    <row r="17" ht="22" customHeight="1">
      <c r="A17" s="69" t="n"/>
      <c r="B17" s="70" t="n"/>
      <c r="C17" s="71" t="n"/>
      <c r="D17" s="71" t="n"/>
      <c r="E17" s="69" t="n"/>
    </row>
    <row r="18" ht="22" customHeight="1">
      <c r="A18" s="72" t="n"/>
      <c r="B18" s="73" t="n"/>
      <c r="C18" s="74" t="n"/>
      <c r="D18" s="74" t="n"/>
      <c r="E18" s="72" t="n"/>
    </row>
    <row r="19" ht="22" customHeight="1">
      <c r="A19" s="69" t="n"/>
      <c r="B19" s="70" t="n"/>
      <c r="C19" s="71" t="n"/>
      <c r="D19" s="71" t="n"/>
      <c r="E19" s="69" t="n"/>
    </row>
    <row r="20" ht="22" customHeight="1">
      <c r="A20" s="72" t="n"/>
      <c r="B20" s="73" t="n"/>
      <c r="C20" s="74" t="n"/>
      <c r="D20" s="74" t="n"/>
      <c r="E20" s="72" t="n"/>
    </row>
    <row r="21" ht="22" customHeight="1">
      <c r="A21" s="69" t="n"/>
      <c r="B21" s="70" t="n"/>
      <c r="C21" s="71" t="n"/>
      <c r="D21" s="71" t="n"/>
      <c r="E21" s="69" t="n"/>
    </row>
    <row r="22" ht="22" customHeight="1">
      <c r="A22" s="72" t="n"/>
      <c r="B22" s="73" t="n"/>
      <c r="C22" s="74" t="n"/>
      <c r="D22" s="74" t="n"/>
      <c r="E22" s="72" t="n"/>
    </row>
    <row r="23" ht="22" customHeight="1">
      <c r="A23" s="69" t="n"/>
      <c r="B23" s="70" t="n"/>
      <c r="C23" s="71" t="n"/>
      <c r="D23" s="71" t="n"/>
      <c r="E23" s="69" t="n"/>
    </row>
    <row r="24" ht="22" customHeight="1">
      <c r="A24" s="72" t="n"/>
      <c r="B24" s="73" t="n"/>
      <c r="C24" s="74" t="n"/>
      <c r="D24" s="74" t="n"/>
      <c r="E24" s="72" t="n"/>
    </row>
    <row r="25" ht="22" customHeight="1">
      <c r="A25" s="69" t="n"/>
      <c r="B25" s="70" t="n"/>
      <c r="C25" s="71" t="n"/>
      <c r="D25" s="71" t="n"/>
      <c r="E25" s="69" t="n"/>
    </row>
    <row r="26" ht="22" customHeight="1">
      <c r="A26" s="72" t="n"/>
      <c r="B26" s="73" t="n"/>
      <c r="C26" s="74" t="n"/>
      <c r="D26" s="74" t="n"/>
      <c r="E26" s="72" t="n"/>
    </row>
    <row r="27" ht="22" customHeight="1">
      <c r="A27" s="69" t="n"/>
      <c r="B27" s="70" t="n"/>
      <c r="C27" s="71" t="n"/>
      <c r="D27" s="71" t="n"/>
      <c r="E27" s="69" t="n"/>
    </row>
    <row r="28" ht="22" customHeight="1">
      <c r="A28" s="72" t="n"/>
      <c r="B28" s="73" t="n"/>
      <c r="C28" s="74" t="n"/>
      <c r="D28" s="74" t="n"/>
      <c r="E28" s="72" t="n"/>
    </row>
    <row r="29" ht="22" customHeight="1">
      <c r="A29" s="69" t="n"/>
      <c r="B29" s="70" t="n"/>
      <c r="C29" s="71" t="n"/>
      <c r="D29" s="71" t="n"/>
      <c r="E29" s="69" t="n"/>
    </row>
    <row r="30" ht="22" customHeight="1">
      <c r="A30" s="72" t="n"/>
      <c r="B30" s="73" t="n"/>
      <c r="C30" s="74" t="n"/>
      <c r="D30" s="74" t="n"/>
      <c r="E30" s="72" t="n"/>
    </row>
    <row r="31" ht="22" customHeight="1">
      <c r="A31" s="69" t="n"/>
      <c r="B31" s="70" t="n"/>
      <c r="C31" s="71" t="n"/>
      <c r="D31" s="71" t="n"/>
      <c r="E31" s="69" t="n"/>
    </row>
    <row r="32" ht="22" customHeight="1">
      <c r="A32" s="72" t="n"/>
      <c r="B32" s="73" t="n"/>
      <c r="C32" s="74" t="n"/>
      <c r="D32" s="74" t="n"/>
      <c r="E32" s="72" t="n"/>
    </row>
    <row r="33" ht="22" customHeight="1">
      <c r="A33" s="69" t="n"/>
      <c r="B33" s="70" t="n"/>
      <c r="C33" s="71" t="n"/>
      <c r="D33" s="71" t="n"/>
      <c r="E33" s="69" t="n"/>
    </row>
    <row r="34" ht="22" customHeight="1">
      <c r="A34" s="72" t="n"/>
      <c r="B34" s="73" t="n"/>
      <c r="C34" s="74" t="n"/>
      <c r="D34" s="74" t="n"/>
      <c r="E34" s="72" t="n"/>
    </row>
    <row r="35" ht="22" customHeight="1">
      <c r="A35" s="69" t="n"/>
      <c r="B35" s="70" t="n"/>
      <c r="C35" s="71" t="n"/>
      <c r="D35" s="71" t="n"/>
      <c r="E35" s="69" t="n"/>
    </row>
    <row r="36" ht="22" customHeight="1">
      <c r="A36" s="72" t="n"/>
      <c r="B36" s="73" t="n"/>
      <c r="C36" s="74" t="n"/>
      <c r="D36" s="74" t="n"/>
      <c r="E36" s="72" t="n"/>
    </row>
    <row r="37" ht="22" customHeight="1">
      <c r="A37" s="69" t="n"/>
      <c r="B37" s="70" t="n"/>
      <c r="C37" s="71" t="n"/>
      <c r="D37" s="71" t="n"/>
      <c r="E37" s="69" t="n"/>
    </row>
    <row r="38" ht="22" customHeight="1">
      <c r="A38" s="72" t="n"/>
      <c r="B38" s="73" t="n"/>
      <c r="C38" s="74" t="n"/>
      <c r="D38" s="74" t="n"/>
      <c r="E38" s="72" t="n"/>
    </row>
    <row r="39" ht="22" customHeight="1">
      <c r="A39" s="69" t="n"/>
      <c r="B39" s="70" t="n"/>
      <c r="C39" s="71" t="n"/>
      <c r="D39" s="71" t="n"/>
      <c r="E39" s="69" t="n"/>
    </row>
    <row r="40" ht="22" customHeight="1">
      <c r="A40" s="72" t="n"/>
      <c r="B40" s="73" t="n"/>
      <c r="C40" s="74" t="n"/>
      <c r="D40" s="74" t="n"/>
      <c r="E40" s="72" t="n"/>
    </row>
    <row r="41" ht="22" customHeight="1">
      <c r="A41" s="69" t="n"/>
      <c r="B41" s="70" t="n"/>
      <c r="C41" s="71" t="n"/>
      <c r="D41" s="71" t="n"/>
      <c r="E41" s="69" t="n"/>
    </row>
    <row r="42" ht="22" customHeight="1">
      <c r="A42" s="72" t="n"/>
      <c r="B42" s="73" t="n"/>
      <c r="C42" s="74" t="n"/>
      <c r="D42" s="74" t="n"/>
      <c r="E42" s="72" t="n"/>
    </row>
    <row r="43" ht="22" customHeight="1">
      <c r="A43" s="69" t="n"/>
      <c r="B43" s="70" t="n"/>
      <c r="C43" s="71" t="n"/>
      <c r="D43" s="71" t="n"/>
      <c r="E43" s="69" t="n"/>
    </row>
    <row r="44" ht="22" customHeight="1">
      <c r="A44" s="72" t="n"/>
      <c r="B44" s="73" t="n"/>
      <c r="C44" s="74" t="n"/>
      <c r="D44" s="74" t="n"/>
      <c r="E44" s="72" t="n"/>
    </row>
    <row r="45" ht="22" customHeight="1">
      <c r="A45" s="69" t="n"/>
      <c r="B45" s="70" t="n"/>
      <c r="C45" s="71" t="n"/>
      <c r="D45" s="71" t="n"/>
      <c r="E45" s="69" t="n"/>
    </row>
    <row r="46" ht="22" customHeight="1">
      <c r="A46" s="72" t="n"/>
      <c r="B46" s="73" t="n"/>
      <c r="C46" s="74" t="n"/>
      <c r="D46" s="74" t="n"/>
      <c r="E46" s="72" t="n"/>
    </row>
    <row r="47" ht="22" customHeight="1">
      <c r="A47" s="69" t="n"/>
      <c r="B47" s="70" t="n"/>
      <c r="C47" s="71" t="n"/>
      <c r="D47" s="71" t="n"/>
      <c r="E47" s="69" t="n"/>
    </row>
    <row r="48" ht="22" customHeight="1">
      <c r="A48" s="72" t="n"/>
      <c r="B48" s="73" t="n"/>
      <c r="C48" s="74" t="n"/>
      <c r="D48" s="74" t="n"/>
      <c r="E48" s="72" t="n"/>
    </row>
    <row r="49" ht="22" customHeight="1">
      <c r="A49" s="69" t="n"/>
      <c r="B49" s="70" t="n"/>
      <c r="C49" s="71" t="n"/>
      <c r="D49" s="71" t="n"/>
      <c r="E49" s="69" t="n"/>
    </row>
    <row r="50" ht="22" customHeight="1">
      <c r="A50" s="72" t="n"/>
      <c r="B50" s="73" t="n"/>
      <c r="C50" s="74" t="n"/>
      <c r="D50" s="74" t="n"/>
      <c r="E50" s="72" t="n"/>
    </row>
    <row r="51" ht="22" customHeight="1">
      <c r="A51" s="69" t="n"/>
      <c r="B51" s="70" t="n"/>
      <c r="C51" s="71" t="n"/>
      <c r="D51" s="71" t="n"/>
      <c r="E51" s="69" t="n"/>
    </row>
    <row r="52" ht="22" customHeight="1">
      <c r="A52" s="72" t="n"/>
      <c r="B52" s="73" t="n"/>
      <c r="C52" s="74" t="n"/>
      <c r="D52" s="74" t="n"/>
      <c r="E52" s="72" t="n"/>
    </row>
    <row r="53" ht="22" customHeight="1">
      <c r="A53" s="69" t="n"/>
      <c r="B53" s="70" t="n"/>
      <c r="C53" s="71" t="n"/>
      <c r="D53" s="71" t="n"/>
      <c r="E53" s="69" t="n"/>
    </row>
    <row r="54" ht="22" customHeight="1">
      <c r="A54" s="72" t="n"/>
      <c r="B54" s="73" t="n"/>
      <c r="C54" s="74" t="n"/>
      <c r="D54" s="74" t="n"/>
      <c r="E54" s="72" t="n"/>
    </row>
    <row r="55" ht="22" customHeight="1">
      <c r="A55" s="69" t="n"/>
      <c r="B55" s="70" t="n"/>
      <c r="C55" s="71" t="n"/>
      <c r="D55" s="71" t="n"/>
      <c r="E55" s="69" t="n"/>
    </row>
    <row r="56" ht="22" customHeight="1">
      <c r="A56" s="72" t="n"/>
      <c r="B56" s="73" t="n"/>
      <c r="C56" s="74" t="n"/>
      <c r="D56" s="74" t="n"/>
      <c r="E56" s="72" t="n"/>
    </row>
    <row r="57" ht="22" customHeight="1">
      <c r="A57" s="69" t="n"/>
      <c r="B57" s="70" t="n"/>
      <c r="C57" s="71" t="n"/>
      <c r="D57" s="71" t="n"/>
      <c r="E57" s="69" t="n"/>
    </row>
    <row r="58" ht="22" customHeight="1">
      <c r="A58" s="72" t="n"/>
      <c r="B58" s="73" t="n"/>
      <c r="C58" s="74" t="n"/>
      <c r="D58" s="74" t="n"/>
      <c r="E58" s="72" t="n"/>
    </row>
    <row r="59" ht="22" customHeight="1">
      <c r="A59" s="69" t="n"/>
      <c r="B59" s="70" t="n"/>
      <c r="C59" s="71" t="n"/>
      <c r="D59" s="71" t="n"/>
      <c r="E59" s="69" t="n"/>
    </row>
    <row r="60" ht="22" customHeight="1">
      <c r="A60" s="72" t="n"/>
      <c r="B60" s="73" t="n"/>
      <c r="C60" s="74" t="n"/>
      <c r="D60" s="74" t="n"/>
      <c r="E60" s="72" t="n"/>
    </row>
    <row r="61" ht="22" customHeight="1">
      <c r="A61" s="69" t="n"/>
      <c r="B61" s="70" t="n"/>
      <c r="C61" s="71" t="n"/>
      <c r="D61" s="71" t="n"/>
      <c r="E61" s="69" t="n"/>
    </row>
    <row r="62" ht="22" customHeight="1">
      <c r="A62" s="72" t="n"/>
      <c r="B62" s="73" t="n"/>
      <c r="C62" s="74" t="n"/>
      <c r="D62" s="74" t="n"/>
      <c r="E62" s="72" t="n"/>
    </row>
    <row r="63" ht="22" customHeight="1">
      <c r="A63" s="69" t="n"/>
      <c r="B63" s="70" t="n"/>
      <c r="C63" s="71" t="n"/>
      <c r="D63" s="71" t="n"/>
      <c r="E63" s="69" t="n"/>
    </row>
    <row r="64" ht="22" customHeight="1">
      <c r="A64" s="72" t="n"/>
      <c r="B64" s="73" t="n"/>
      <c r="C64" s="74" t="n"/>
      <c r="D64" s="74" t="n"/>
      <c r="E64" s="72" t="n"/>
    </row>
    <row r="65" ht="22" customHeight="1">
      <c r="A65" s="69" t="n"/>
      <c r="B65" s="70" t="n"/>
      <c r="C65" s="71" t="n"/>
      <c r="D65" s="71" t="n"/>
      <c r="E65" s="69" t="n"/>
    </row>
    <row r="66" ht="22" customHeight="1">
      <c r="A66" s="72" t="n"/>
      <c r="B66" s="73" t="n"/>
      <c r="C66" s="74" t="n"/>
      <c r="D66" s="74" t="n"/>
      <c r="E66" s="72" t="n"/>
    </row>
    <row r="67" ht="22" customHeight="1">
      <c r="A67" s="69" t="n"/>
      <c r="B67" s="70" t="n"/>
      <c r="C67" s="71" t="n"/>
      <c r="D67" s="71" t="n"/>
      <c r="E67" s="69" t="n"/>
    </row>
    <row r="68" ht="22" customHeight="1">
      <c r="A68" s="72" t="n"/>
      <c r="B68" s="73" t="n"/>
      <c r="C68" s="74" t="n"/>
      <c r="D68" s="74" t="n"/>
      <c r="E68" s="72" t="n"/>
    </row>
    <row r="69" ht="22" customHeight="1">
      <c r="A69" s="69" t="n"/>
      <c r="B69" s="70" t="n"/>
      <c r="C69" s="71" t="n"/>
      <c r="D69" s="71" t="n"/>
      <c r="E69" s="69" t="n"/>
    </row>
    <row r="70" ht="22" customHeight="1">
      <c r="A70" s="72" t="n"/>
      <c r="B70" s="73" t="n"/>
      <c r="C70" s="74" t="n"/>
      <c r="D70" s="74" t="n"/>
      <c r="E70" s="72" t="n"/>
    </row>
    <row r="71" ht="22" customHeight="1">
      <c r="A71" s="69" t="n"/>
      <c r="B71" s="70" t="n"/>
      <c r="C71" s="71" t="n"/>
      <c r="D71" s="71" t="n"/>
      <c r="E71" s="69" t="n"/>
    </row>
    <row r="72" ht="22" customHeight="1">
      <c r="A72" s="72" t="n"/>
      <c r="B72" s="73" t="n"/>
      <c r="C72" s="74" t="n"/>
      <c r="D72" s="74" t="n"/>
      <c r="E72" s="72" t="n"/>
    </row>
    <row r="73" ht="22" customHeight="1">
      <c r="A73" s="69" t="n"/>
      <c r="B73" s="70" t="n"/>
      <c r="C73" s="71" t="n"/>
      <c r="D73" s="71" t="n"/>
      <c r="E73" s="69" t="n"/>
    </row>
    <row r="74" ht="22" customHeight="1">
      <c r="A74" s="72" t="n"/>
      <c r="B74" s="73" t="n"/>
      <c r="C74" s="74" t="n"/>
      <c r="D74" s="74" t="n"/>
      <c r="E74" s="72" t="n"/>
    </row>
    <row r="75" ht="22" customHeight="1">
      <c r="A75" s="69" t="n"/>
      <c r="B75" s="70" t="n"/>
      <c r="C75" s="71" t="n"/>
      <c r="D75" s="71" t="n"/>
      <c r="E75" s="69" t="n"/>
    </row>
    <row r="76" ht="22" customHeight="1">
      <c r="A76" s="72" t="n"/>
      <c r="B76" s="73" t="n"/>
      <c r="C76" s="74" t="n"/>
      <c r="D76" s="74" t="n"/>
      <c r="E76" s="72" t="n"/>
    </row>
    <row r="77" ht="22" customHeight="1">
      <c r="A77" s="69" t="n"/>
      <c r="B77" s="70" t="n"/>
      <c r="C77" s="71" t="n"/>
      <c r="D77" s="71" t="n"/>
      <c r="E77" s="69" t="n"/>
    </row>
    <row r="78" ht="22" customHeight="1">
      <c r="A78" s="72" t="n"/>
      <c r="B78" s="73" t="n"/>
      <c r="C78" s="74" t="n"/>
      <c r="D78" s="74" t="n"/>
      <c r="E78" s="72" t="n"/>
    </row>
    <row r="79" ht="22" customHeight="1">
      <c r="A79" s="69" t="n"/>
      <c r="B79" s="70" t="n"/>
      <c r="C79" s="71" t="n"/>
      <c r="D79" s="71" t="n"/>
      <c r="E79" s="69" t="n"/>
    </row>
    <row r="80" ht="22" customHeight="1">
      <c r="A80" s="72" t="n"/>
      <c r="B80" s="73" t="n"/>
      <c r="C80" s="74" t="n"/>
      <c r="D80" s="74" t="n"/>
      <c r="E80" s="72" t="n"/>
    </row>
    <row r="81" ht="22" customHeight="1">
      <c r="A81" s="69" t="n"/>
      <c r="B81" s="70" t="n"/>
      <c r="C81" s="71" t="n"/>
      <c r="D81" s="71" t="n"/>
      <c r="E81" s="69" t="n"/>
    </row>
    <row r="82" ht="22" customHeight="1">
      <c r="A82" s="72" t="n"/>
      <c r="B82" s="73" t="n"/>
      <c r="C82" s="74" t="n"/>
      <c r="D82" s="74" t="n"/>
      <c r="E82" s="72" t="n"/>
    </row>
    <row r="83" ht="22" customHeight="1">
      <c r="A83" s="69" t="n"/>
      <c r="B83" s="70" t="n"/>
      <c r="C83" s="71" t="n"/>
      <c r="D83" s="71" t="n"/>
      <c r="E83" s="69" t="n"/>
    </row>
    <row r="84" ht="22" customHeight="1">
      <c r="A84" s="72" t="n"/>
      <c r="B84" s="73" t="n"/>
      <c r="C84" s="74" t="n"/>
      <c r="D84" s="74" t="n"/>
      <c r="E84" s="72" t="n"/>
    </row>
    <row r="85" ht="22" customHeight="1">
      <c r="A85" s="69" t="n"/>
      <c r="B85" s="70" t="n"/>
      <c r="C85" s="71" t="n"/>
      <c r="D85" s="71" t="n"/>
      <c r="E85" s="69" t="n"/>
    </row>
    <row r="86" ht="22" customHeight="1">
      <c r="A86" s="72" t="n"/>
      <c r="B86" s="73" t="n"/>
      <c r="C86" s="74" t="n"/>
      <c r="D86" s="74" t="n"/>
      <c r="E86" s="72" t="n"/>
    </row>
    <row r="87" ht="22" customHeight="1">
      <c r="A87" s="69" t="n"/>
      <c r="B87" s="70" t="n"/>
      <c r="C87" s="71" t="n"/>
      <c r="D87" s="71" t="n"/>
      <c r="E87" s="69" t="n"/>
    </row>
    <row r="88" ht="22" customHeight="1">
      <c r="A88" s="72" t="n"/>
      <c r="B88" s="73" t="n"/>
      <c r="C88" s="74" t="n"/>
      <c r="D88" s="74" t="n"/>
      <c r="E88" s="72" t="n"/>
    </row>
    <row r="89" ht="22" customHeight="1">
      <c r="A89" s="69" t="n"/>
      <c r="B89" s="70" t="n"/>
      <c r="C89" s="71" t="n"/>
      <c r="D89" s="71" t="n"/>
      <c r="E89" s="69" t="n"/>
    </row>
    <row r="90" ht="22" customHeight="1">
      <c r="A90" s="72" t="n"/>
      <c r="B90" s="73" t="n"/>
      <c r="C90" s="74" t="n"/>
      <c r="D90" s="74" t="n"/>
      <c r="E90" s="72" t="n"/>
    </row>
    <row r="91" ht="22" customHeight="1">
      <c r="A91" s="69" t="n"/>
      <c r="B91" s="70" t="n"/>
      <c r="C91" s="71" t="n"/>
      <c r="D91" s="71" t="n"/>
      <c r="E91" s="69" t="n"/>
    </row>
    <row r="92" ht="22" customHeight="1">
      <c r="A92" s="72" t="n"/>
      <c r="B92" s="73" t="n"/>
      <c r="C92" s="74" t="n"/>
      <c r="D92" s="74" t="n"/>
      <c r="E92" s="72" t="n"/>
    </row>
    <row r="93" ht="22" customHeight="1">
      <c r="A93" s="69" t="n"/>
      <c r="B93" s="70" t="n"/>
      <c r="C93" s="71" t="n"/>
      <c r="D93" s="71" t="n"/>
      <c r="E93" s="69" t="n"/>
    </row>
    <row r="94" ht="22" customHeight="1">
      <c r="A94" s="72" t="n"/>
      <c r="B94" s="73" t="n"/>
      <c r="C94" s="74" t="n"/>
      <c r="D94" s="74" t="n"/>
      <c r="E94" s="72" t="n"/>
    </row>
    <row r="95" ht="22" customHeight="1">
      <c r="A95" s="69" t="n"/>
      <c r="B95" s="70" t="n"/>
      <c r="C95" s="71" t="n"/>
      <c r="D95" s="71" t="n"/>
      <c r="E95" s="69" t="n"/>
    </row>
    <row r="96" ht="22" customHeight="1">
      <c r="A96" s="72" t="n"/>
      <c r="B96" s="73" t="n"/>
      <c r="C96" s="74" t="n"/>
      <c r="D96" s="74" t="n"/>
      <c r="E96" s="72" t="n"/>
    </row>
    <row r="97" ht="22" customHeight="1">
      <c r="A97" s="69" t="n"/>
      <c r="B97" s="70" t="n"/>
      <c r="C97" s="71" t="n"/>
      <c r="D97" s="71" t="n"/>
      <c r="E97" s="69" t="n"/>
    </row>
    <row r="98" ht="22" customHeight="1">
      <c r="A98" s="72" t="n"/>
      <c r="B98" s="73" t="n"/>
      <c r="C98" s="74" t="n"/>
      <c r="D98" s="74" t="n"/>
      <c r="E98" s="72" t="n"/>
    </row>
    <row r="99" ht="22" customHeight="1">
      <c r="A99" s="69" t="n"/>
      <c r="B99" s="70" t="n"/>
      <c r="C99" s="71" t="n"/>
      <c r="D99" s="71" t="n"/>
      <c r="E99" s="69" t="n"/>
    </row>
    <row r="100" ht="22" customHeight="1">
      <c r="A100" s="72" t="n"/>
      <c r="B100" s="73" t="n"/>
      <c r="C100" s="74" t="n"/>
      <c r="D100" s="74" t="n"/>
      <c r="E100" s="72" t="n"/>
    </row>
    <row r="101" ht="22" customHeight="1">
      <c r="A101" s="69" t="n"/>
      <c r="B101" s="70" t="n"/>
      <c r="C101" s="71" t="n"/>
      <c r="D101" s="71" t="n"/>
      <c r="E101" s="69" t="n"/>
    </row>
    <row r="102" ht="22" customHeight="1">
      <c r="A102" s="72" t="n"/>
      <c r="B102" s="73" t="n"/>
      <c r="C102" s="74" t="n"/>
      <c r="D102" s="74" t="n"/>
      <c r="E102" s="72" t="n"/>
    </row>
    <row r="103" ht="22" customHeight="1">
      <c r="A103" s="69" t="n"/>
      <c r="B103" s="70" t="n"/>
      <c r="C103" s="71" t="n"/>
      <c r="D103" s="71" t="n"/>
      <c r="E103" s="69" t="n"/>
    </row>
    <row r="104" ht="22" customHeight="1">
      <c r="A104" s="72" t="n"/>
      <c r="B104" s="73" t="n"/>
      <c r="C104" s="74" t="n"/>
      <c r="D104" s="74" t="n"/>
      <c r="E104" s="72" t="n"/>
    </row>
    <row r="105" ht="22" customHeight="1">
      <c r="A105" s="69" t="n"/>
      <c r="B105" s="70" t="n"/>
      <c r="C105" s="71" t="n"/>
      <c r="D105" s="71" t="n"/>
      <c r="E105" s="69" t="n"/>
    </row>
    <row r="107" ht="20" customHeight="1">
      <c r="A107" s="75" t="inlineStr">
        <is>
          <t>💡 Tip: Codes can be anything — e.g. initials + jersey # + year.  Make them easy to remember but hard to guess.</t>
        </is>
      </c>
    </row>
  </sheetData>
  <mergeCells count="4">
    <mergeCell ref="A2:E2"/>
    <mergeCell ref="A107:E107"/>
    <mergeCell ref="A1:E1"/>
    <mergeCell ref="A3:E3"/>
  </mergeCells>
  <dataValidations count="2">
    <dataValidation sqref="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showDropDown="0" showInputMessage="0" showErrorMessage="0" allowBlank="1" type="list">
      <formula1>"Active,Inactive,Alumni"</formula1>
    </dataValidation>
    <dataValidation sqref="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"Player,Captain,Coach,Treasurer,Manager"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2026-06-05T05:22:21Z</dcterms:created>
  <dcterms:modified xsi:type="dcterms:W3CDTF">2026-06-16T01:23:41Z</dcterms:modified>
</cp:coreProperties>
</file>