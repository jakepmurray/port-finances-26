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drU6e3T+ZBdNJ8sIvP2WeSXoOe3d4RMYfmmeIKQW374="/>
    </ext>
  </extLst>
</workbook>
</file>

<file path=xl/sharedStrings.xml><?xml version="1.0" encoding="utf-8"?>
<sst xmlns="http://schemas.openxmlformats.org/spreadsheetml/2006/main" count="434" uniqueCount="250">
  <si>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</si>
  <si>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</si>
  <si>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</si>
  <si>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</si>
  <si>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</si>
  <si>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</si>
  <si>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</si>
  <si>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Paid $75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</si>
  <si>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</si>
  <si>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</si>
  <si>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</si>
  <si>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</si>
  <si>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</si>
  <si>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</si>
  <si>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</si>
  <si>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</si>
  <si>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</si>
  <si>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</si>
  <si>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</si>
  <si>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</si>
  <si>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</si>
  <si>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</si>
  <si>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</si>
  <si>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</si>
  <si>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</si>
  <si>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</si>
  <si>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</si>
  <si>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</si>
  <si>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</si>
  <si>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</si>
  <si>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</si>
  <si>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</si>
  <si>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</si>
  <si>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</si>
  <si>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</si>
  <si>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</si>
  <si>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</si>
  <si>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</si>
  <si>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</si>
  <si>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</si>
  <si>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</si>
  <si>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</si>
  <si>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</si>
  <si>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</si>
  <si>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</si>
  <si>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</si>
  <si>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</si>
  <si>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</si>
  <si>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</si>
  <si>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</si>
  <si>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</si>
  <si>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</si>
  <si>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</si>
  <si>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</si>
  <si>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</si>
  <si>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</si>
  <si>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</si>
  <si>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</si>
  <si>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</si>
  <si>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</si>
  <si>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</si>
  <si>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</si>
  <si>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</si>
  <si>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</si>
  <si>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</si>
  <si>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</si>
  <si>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</si>
  <si>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</si>
  <si>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</si>
  <si>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</si>
  <si>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</si>
  <si>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</t>
  </si>
  <si>
    <t>pec minivan</t>
  </si>
  <si>
    <t>Travel</t>
  </si>
  <si>
    <t>jake murray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</si>
  <si>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</si>
  <si>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</si>
  <si>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</si>
  <si>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</si>
  <si>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</si>
  <si>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</si>
  <si>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</si>
  <si>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</si>
  <si>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</si>
  <si>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</si>
  <si>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</si>
  <si>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</si>
  <si>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</si>
  <si>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</si>
  <si>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divided evenly b/w everyone except Dick!</t>
  </si>
  <si>
    <t>Yes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</si>
  <si>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</si>
  <si>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</si>
  <si>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</si>
  <si>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</si>
  <si>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</si>
  <si>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</si>
  <si>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</si>
  <si>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</si>
  <si>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</si>
  <si>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</si>
  <si>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</si>
  <si>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</si>
  <si>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</si>
  <si>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</si>
  <si>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</si>
  <si>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</si>
  <si>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</si>
  <si>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</si>
  <si>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</si>
  <si>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</si>
  <si>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</si>
  <si>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</si>
  <si>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</si>
  <si>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</si>
  <si>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</si>
  <si>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</si>
  <si>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</si>
  <si>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</si>
  <si>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</si>
  <si>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</si>
  <si>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</si>
  <si>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</si>
  <si>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</si>
  <si>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</si>
  <si>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</si>
  <si>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</si>
  <si>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</si>
  <si>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</si>
  <si>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</si>
  <si>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</si>
  <si>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</si>
  <si>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</si>
  <si>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</si>
  <si>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</si>
  <si>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</si>
  <si>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</si>
  <si>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</si>
  <si>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</si>
  <si>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</si>
  <si>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</si>
  <si>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</si>
  <si>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</si>
  <si>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</si>
  <si>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</si>
  <si>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</si>
  <si>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</si>
  <si>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</si>
  <si>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</si>
  <si>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</si>
  <si>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</si>
  <si>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</si>
  <si>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</si>
  <si>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</si>
  <si>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</si>
  <si>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</si>
  <si>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</si>
  <si>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</si>
  <si>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</si>
  <si>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</si>
  <si>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</si>
  <si>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</si>
  <si>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</si>
  <si>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</si>
  <si>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</si>
  <si>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</si>
  <si>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</si>
  <si>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</si>
  <si>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</si>
  <si>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</si>
  <si>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AT</t>
  </si>
  <si>
    <t>Captain</t>
  </si>
  <si>
    <t>Active</t>
  </si>
  <si>
    <t>Alex Warrington</t>
  </si>
  <si>
    <t>AW</t>
  </si>
  <si>
    <t>Player</t>
  </si>
  <si>
    <t>Chris Wohl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</si>
  <si>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</si>
  <si>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</si>
  <si>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</si>
  <si>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</si>
  <si>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</si>
  <si>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</si>
  <si>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</si>
  <si>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</si>
  <si>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</si>
  <si>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Harry Park</t>
  </si>
  <si>
    <t>HP</t>
  </si>
  <si>
    <t>Ian Piper</t>
  </si>
  <si>
    <t>IP</t>
  </si>
  <si>
    <t>Treasurer</t>
  </si>
  <si>
    <t>Jenna Nold</t>
  </si>
  <si>
    <t>JN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</si>
  <si>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</si>
  <si>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</si>
  <si>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</si>
  <si>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</si>
  <si>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</si>
  <si>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</si>
  <si>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</si>
  <si>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</si>
  <si>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</si>
  <si>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KA</t>
  </si>
  <si>
    <t>Kristin Dudley</t>
  </si>
  <si>
    <t>KD</t>
  </si>
  <si>
    <t>Lexie Thomas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</si>
  <si>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</si>
  <si>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</si>
  <si>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</si>
  <si>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</si>
  <si>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</si>
  <si>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</si>
  <si>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</si>
  <si>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</si>
  <si>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</si>
  <si>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</si>
  <si>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</si>
  <si>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Ryan Kindell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</si>
  <si>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</si>
  <si>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</si>
  <si>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</si>
  <si>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</si>
  <si>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</si>
  <si>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</si>
  <si>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</si>
  <si>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</si>
  <si>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</si>
  <si>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Shani Rosenthal</t>
  </si>
  <si>
    <t>SR</t>
  </si>
  <si>
    <t>Vivian Shen</t>
  </si>
  <si>
    <t>VS</t>
  </si>
  <si>
    <t>Zach Esakof</t>
  </si>
  <si>
    <t>ZE</t>
  </si>
  <si>
    <t>Annette Kukunas-Piper</t>
  </si>
  <si>
    <t>AKP</t>
  </si>
  <si>
    <t>Coach</t>
  </si>
  <si>
    <t>Matt Duffy</t>
  </si>
  <si>
    <t>MD</t>
  </si>
  <si>
    <t>Ryan Birchard</t>
  </si>
  <si>
    <t>RB</t>
  </si>
  <si>
    <t>Nick Blair</t>
  </si>
  <si>
    <t>NB</t>
  </si>
  <si>
    <t>Support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</si>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</sst>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.00;($#,##0.00);&quot;-&quot;"/>
    <numFmt numFmtId="165" formatCode="MM/DD/YYYY"/>
    <numFmt numFmtId="166" formatCode="m/d"/>
    <numFmt numFmtId="167" formatCode="&quot;$&quot;#,##0.00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5" fillId="2" fontId="1" numFmtId="0" xfId="0" applyAlignment="1" applyBorder="1" applyFont="1">
      <alignment horizontal="center" readingOrder="0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readingOrder="0" vertical="center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5" fillId="2" fontId="1" numFmtId="0" xfId="0" applyAlignment="1" applyBorder="1" applyFont="1">
      <alignment horizontal="center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3" fontId="5" numFmtId="0" xfId="0" applyAlignment="1" applyBorder="1" applyFont="1">
      <alignment readingOrder="0"/>
    </xf>
    <xf borderId="13" fillId="0" fontId="5" numFmtId="166" xfId="0" applyBorder="1" applyFont="1" applyNumberFormat="1"/>
    <xf borderId="13" fillId="0" fontId="5" numFmtId="0" xfId="0" applyAlignment="1" applyBorder="1" applyFont="1">
      <alignment readingOrder="0"/>
    </xf>
    <xf borderId="13" fillId="0" fontId="6" numFmtId="167" xfId="0" applyAlignment="1" applyBorder="1" applyFont="1" applyNumberFormat="1">
      <alignment horizontal="right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0" fontId="5" numFmtId="165" xfId="0" applyAlignment="1" applyBorder="1" applyFont="1" applyNumberFormat="1">
      <alignment readingOrder="0"/>
    </xf>
    <xf borderId="13" fillId="0" fontId="6" numFmtId="164" xfId="0" applyAlignment="1" applyBorder="1" applyFont="1" applyNumberFormat="1">
      <alignment horizontal="right"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5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6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7" numFmtId="166" xfId="0" applyAlignment="1" applyBorder="1" applyFont="1" applyNumberFormat="1">
      <alignment shrinkToFit="0" wrapText="1"/>
    </xf>
    <xf borderId="9" fillId="6" fontId="17" numFmtId="0" xfId="0" applyAlignment="1" applyBorder="1" applyFont="1">
      <alignment shrinkToFit="0" wrapText="1"/>
    </xf>
    <xf borderId="9" fillId="6" fontId="3" numFmtId="0" xfId="0" applyBorder="1" applyFont="1"/>
    <xf borderId="9" fillId="13" fontId="18" numFmtId="0" xfId="0" applyAlignment="1" applyBorder="1" applyFill="1" applyFont="1">
      <alignment horizontal="center" readingOrder="0" shrinkToFit="0" wrapText="1"/>
    </xf>
    <xf borderId="9" fillId="5" fontId="17" numFmtId="166" xfId="0" applyAlignment="1" applyBorder="1" applyFont="1" applyNumberFormat="1">
      <alignment shrinkToFit="0" wrapText="1"/>
    </xf>
    <xf borderId="9" fillId="5" fontId="17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0" fillId="0" fontId="3" numFmtId="0" xfId="0" applyAlignment="1" applyFont="1">
      <alignment vertical="bottom"/>
    </xf>
    <xf borderId="10" fillId="2" fontId="19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0" numFmtId="1" xfId="0" applyAlignment="1" applyBorder="1" applyFont="1" applyNumberFormat="1">
      <alignment horizontal="right" vertical="center"/>
    </xf>
    <xf borderId="13" fillId="0" fontId="20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5" numFmtId="0" xfId="0" applyAlignment="1" applyBorder="1" applyFont="1">
      <alignment horizontal="left" shrinkToFit="0" vertical="center" wrapText="1"/>
    </xf>
    <xf borderId="13" fillId="0" fontId="21" numFmtId="0" xfId="0" applyBorder="1" applyFont="1"/>
    <xf borderId="13" fillId="0" fontId="15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0" numFmtId="0" xfId="0" applyBorder="1" applyFont="1"/>
    <xf borderId="13" fillId="0" fontId="3" numFmtId="0" xfId="0" applyBorder="1" applyFont="1"/>
    <xf borderId="13" fillId="0" fontId="22" numFmtId="0" xfId="0" applyBorder="1" applyFont="1"/>
    <xf borderId="10" fillId="14" fontId="23" numFmtId="0" xfId="0" applyAlignment="1" applyBorder="1" applyFill="1" applyFont="1">
      <alignment horizontal="center" shrinkToFit="0" vertical="center" wrapText="1"/>
    </xf>
    <xf borderId="10" fillId="15" fontId="24" numFmtId="0" xfId="0" applyAlignment="1" applyBorder="1" applyFill="1" applyFont="1">
      <alignment horizontal="center" vertical="center"/>
    </xf>
    <xf borderId="10" fillId="16" fontId="25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1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1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1" numFmtId="0" xfId="0" applyAlignment="1" applyBorder="1" applyFont="1">
      <alignment horizontal="center" vertical="center"/>
    </xf>
    <xf borderId="13" fillId="17" fontId="21" numFmtId="0" xfId="0" applyAlignment="1" applyBorder="1" applyFont="1">
      <alignment horizontal="center" readingOrder="0" vertical="center"/>
    </xf>
    <xf borderId="13" fillId="3" fontId="5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center" vertical="center"/>
    </xf>
    <xf borderId="0" fillId="0" fontId="26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7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8" numFmtId="0" xfId="0" applyAlignment="1" applyFont="1">
      <alignment horizontal="left" shrinkToFit="0" vertical="center" wrapText="1"/>
    </xf>
    <xf borderId="0" fillId="18" fontId="29" numFmtId="0" xfId="0" applyAlignment="1" applyFill="1" applyFont="1">
      <alignment horizontal="center" shrinkToFit="0" vertical="center" wrapText="1"/>
    </xf>
    <xf borderId="0" fillId="5" fontId="30" numFmtId="0" xfId="0" applyAlignment="1" applyFont="1">
      <alignment horizontal="left" shrinkToFit="0" vertical="center" wrapText="1"/>
    </xf>
    <xf borderId="0" fillId="6" fontId="28" numFmtId="0" xfId="0" applyAlignment="1" applyFont="1">
      <alignment horizontal="left" shrinkToFit="0" vertical="center" wrapText="1"/>
    </xf>
    <xf borderId="0" fillId="13" fontId="18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6" t="str">
        <f>'Access Codes'!A6</f>
        <v>At</v>
      </c>
      <c r="B5" s="7">
        <f t="array" ref="B5">IFERROR(INDEX('Player Balances'!$B$7:$B$206,MATCH(A5,'Player Balances'!$A$7:$A$206,0)),"")</f>
        <v>81.18375517</v>
      </c>
      <c r="C5" s="6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8" t="str">
        <f>'Access Codes'!C6</f>
        <v>Captain</v>
      </c>
      <c r="E5" s="6" t="str">
        <f>'Access Codes'!D6</f>
        <v>Active</v>
      </c>
      <c r="F5" s="6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tr">
        <f>'Access Codes'!A7</f>
        <v>Alex Warrington</v>
      </c>
      <c r="B6" s="7">
        <f t="array" ref="B6">IFERROR(INDEX('Player Balances'!$B$7:$B$206,MATCH(A6,'Player Balances'!$A$7:$A$206,0)),"")</f>
        <v>43.11042184</v>
      </c>
      <c r="C6" s="6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8" t="str">
        <f>'Access Codes'!C7</f>
        <v>Player</v>
      </c>
      <c r="E6" s="6" t="str">
        <f>'Access Codes'!D7</f>
        <v>Active</v>
      </c>
      <c r="F6" s="6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tr">
        <f>'Access Codes'!A8</f>
        <v>Chris Wohl</v>
      </c>
      <c r="B7" s="7">
        <f t="array" ref="B7">IFERROR(INDEX('Player Balances'!$B$7:$B$206,MATCH(A7,'Player Balances'!$A$7:$A$206,0)),"")</f>
        <v>43.11042184</v>
      </c>
      <c r="C7" s="6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Unpaid</v>
      </c>
      <c r="D7" s="9" t="str">
        <f>'Access Codes'!C8</f>
        <v>Player</v>
      </c>
      <c r="E7" s="6" t="str">
        <f>'Access Codes'!D8</f>
        <v>Active</v>
      </c>
      <c r="F7" s="6" t="s">
        <v>7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tr">
        <f>'Access Codes'!A9</f>
        <v>Darra Reppermund</v>
      </c>
      <c r="B8" s="7">
        <f t="array" ref="B8">IFERROR(INDEX('Player Balances'!$B$7:$B$206,MATCH(A8,'Player Balances'!$A$7:$A$206,0)),"")</f>
        <v>43.11042184</v>
      </c>
      <c r="C8" s="6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9" t="str">
        <f>'Access Codes'!C9</f>
        <v>Player</v>
      </c>
      <c r="E8" s="6" t="str">
        <f>'Access Codes'!D9</f>
        <v>Active</v>
      </c>
      <c r="F8" s="6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tr">
        <f>'Access Codes'!A10</f>
        <v>Dylan Best</v>
      </c>
      <c r="B9" s="7">
        <f t="array" ref="B9">IFERROR(INDEX('Player Balances'!$B$7:$B$206,MATCH(A9,'Player Balances'!$A$7:$A$206,0)),"")</f>
        <v>81.18375517</v>
      </c>
      <c r="C9" s="6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8" t="str">
        <f>'Access Codes'!C10</f>
        <v>Player</v>
      </c>
      <c r="E9" s="6" t="str">
        <f>'Access Codes'!D10</f>
        <v>Active</v>
      </c>
      <c r="F9" s="6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0" t="str">
        <f>'Access Codes'!A11</f>
        <v>Griffin O'Neal-Freeman</v>
      </c>
      <c r="B10" s="11">
        <f t="array" ref="B10">IFERROR(INDEX('Player Balances'!$B$7:$B$206,MATCH(A10,'Player Balances'!$A$7:$A$206,0)),"")</f>
        <v>43.11042184</v>
      </c>
      <c r="C10" s="10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8" t="str">
        <f>'Access Codes'!C11</f>
        <v>Player</v>
      </c>
      <c r="E10" s="10" t="str">
        <f>'Access Codes'!D11</f>
        <v>Active</v>
      </c>
      <c r="F10" s="10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0" t="str">
        <f>'Access Codes'!A12</f>
        <v>Haley Young</v>
      </c>
      <c r="B11" s="11">
        <f t="array" ref="B11">IFERROR(INDEX('Player Balances'!$B$7:$B$206,MATCH(A11,'Player Balances'!$A$7:$A$206,0)),"")</f>
        <v>43.11042184</v>
      </c>
      <c r="C11" s="10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8" t="str">
        <f>'Access Codes'!C12</f>
        <v>Player</v>
      </c>
      <c r="E11" s="10" t="str">
        <f>'Access Codes'!D12</f>
        <v>Active</v>
      </c>
      <c r="F11" s="10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 t="str">
        <f>'Access Codes'!A13</f>
        <v>Harry Park</v>
      </c>
      <c r="B12" s="11">
        <f t="array" ref="B12">IFERROR(INDEX('Player Balances'!$B$7:$B$206,MATCH(A12,'Player Balances'!$A$7:$A$206,0)),"")</f>
        <v>43.11042184</v>
      </c>
      <c r="C12" s="10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8" t="str">
        <f>'Access Codes'!C13</f>
        <v>Player</v>
      </c>
      <c r="E12" s="10" t="str">
        <f>'Access Codes'!D13</f>
        <v>Active</v>
      </c>
      <c r="F12" s="10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 t="str">
        <f>'Access Codes'!A14</f>
        <v>Ian Piper</v>
      </c>
      <c r="B13" s="11">
        <f t="array" ref="B13">IFERROR(INDEX('Player Balances'!$B$7:$B$206,MATCH(A13,'Player Balances'!$A$7:$A$206,0)),"")</f>
        <v>43.11042184</v>
      </c>
      <c r="C13" s="10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8" t="str">
        <f>'Access Codes'!C14</f>
        <v>Player</v>
      </c>
      <c r="E13" s="10" t="str">
        <f>'Access Codes'!D14</f>
        <v>Active</v>
      </c>
      <c r="F13" s="10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 t="str">
        <f>'Access Codes'!A15</f>
        <v>Jake Murray</v>
      </c>
      <c r="B14" s="11">
        <f t="array" ref="B14">IFERROR(INDEX('Player Balances'!$B$7:$B$206,MATCH(A14,'Player Balances'!$A$7:$A$206,0)),"")</f>
        <v>81.18375517</v>
      </c>
      <c r="C14" s="10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8" t="str">
        <f>'Access Codes'!C15</f>
        <v>Treasurer</v>
      </c>
      <c r="E14" s="10" t="str">
        <f>'Access Codes'!D15</f>
        <v>Active</v>
      </c>
      <c r="F14" s="10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 t="str">
        <f>'Access Codes'!A16</f>
        <v>Jenna Nold</v>
      </c>
      <c r="B15" s="11">
        <f t="array" ref="B15">IFERROR(INDEX('Player Balances'!$B$7:$B$206,MATCH(A15,'Player Balances'!$A$7:$A$206,0)),"")</f>
        <v>43.11042184</v>
      </c>
      <c r="C15" s="10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8" t="str">
        <f>'Access Codes'!C16</f>
        <v>Captain</v>
      </c>
      <c r="E15" s="10" t="str">
        <f>'Access Codes'!D16</f>
        <v>Active</v>
      </c>
      <c r="F15" s="10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 t="str">
        <f>'Access Codes'!A17</f>
        <v>Jimmy Towle</v>
      </c>
      <c r="B16" s="11">
        <f t="array" ref="B16">IFERROR(INDEX('Player Balances'!$B$7:$B$206,MATCH(A16,'Player Balances'!$A$7:$A$206,0)),"")</f>
        <v>2.225806452</v>
      </c>
      <c r="C16" s="10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8" t="str">
        <f>'Access Codes'!C17</f>
        <v>Player</v>
      </c>
      <c r="E16" s="10" t="str">
        <f>'Access Codes'!D17</f>
        <v>Active</v>
      </c>
      <c r="F16" s="10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 t="str">
        <f>'Access Codes'!A18</f>
        <v>Kailey Rugani</v>
      </c>
      <c r="B17" s="11">
        <f t="array" ref="B17">IFERROR(INDEX('Player Balances'!$B$7:$B$206,MATCH(A17,'Player Balances'!$A$7:$A$206,0)),"")</f>
        <v>43.11042184</v>
      </c>
      <c r="C17" s="10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8" t="str">
        <f>'Access Codes'!C18</f>
        <v>Player</v>
      </c>
      <c r="E17" s="10" t="str">
        <f>'Access Codes'!D18</f>
        <v>Active</v>
      </c>
      <c r="F17" s="10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 t="str">
        <f>'Access Codes'!A19</f>
        <v>Kasey Schock</v>
      </c>
      <c r="B18" s="11">
        <f t="array" ref="B18">IFERROR(INDEX('Player Balances'!$B$7:$B$206,MATCH(A18,'Player Balances'!$A$7:$A$206,0)),"")</f>
        <v>43.11042184</v>
      </c>
      <c r="C18" s="10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8" t="str">
        <f>'Access Codes'!C19</f>
        <v>Player</v>
      </c>
      <c r="E18" s="10" t="str">
        <f>'Access Codes'!D19</f>
        <v>Active</v>
      </c>
      <c r="F18" s="10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 t="str">
        <f>'Access Codes'!A20</f>
        <v>Kevin Nicholl</v>
      </c>
      <c r="B19" s="11">
        <f t="array" ref="B19">IFERROR(INDEX('Player Balances'!$B$7:$B$206,MATCH(A19,'Player Balances'!$A$7:$A$206,0)),"")</f>
        <v>43.11042184</v>
      </c>
      <c r="C19" s="10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8" t="str">
        <f>'Access Codes'!C20</f>
        <v>Player</v>
      </c>
      <c r="E19" s="10" t="str">
        <f>'Access Codes'!D20</f>
        <v>Active</v>
      </c>
      <c r="F19" s="10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 t="str">
        <f>'Access Codes'!A21</f>
        <v>Kit Asterin</v>
      </c>
      <c r="B20" s="11">
        <f t="array" ref="B20">IFERROR(INDEX('Player Balances'!$B$7:$B$206,MATCH(A20,'Player Balances'!$A$7:$A$206,0)),"")</f>
        <v>43.11042184</v>
      </c>
      <c r="C20" s="10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8" t="str">
        <f>'Access Codes'!C21</f>
        <v>Captain</v>
      </c>
      <c r="E20" s="10" t="str">
        <f>'Access Codes'!D21</f>
        <v>Active</v>
      </c>
      <c r="F20" s="10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 t="str">
        <f>'Access Codes'!A22</f>
        <v>Kristin Dudley</v>
      </c>
      <c r="B21" s="11">
        <f t="array" ref="B21">IFERROR(INDEX('Player Balances'!$B$7:$B$206,MATCH(A21,'Player Balances'!$A$7:$A$206,0)),"")</f>
        <v>81.18375517</v>
      </c>
      <c r="C21" s="10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8" t="str">
        <f>'Access Codes'!C22</f>
        <v>Player</v>
      </c>
      <c r="E21" s="10" t="str">
        <f>'Access Codes'!D22</f>
        <v>Active</v>
      </c>
      <c r="F21" s="10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 t="str">
        <f>'Access Codes'!A23</f>
        <v>Lexie Thomas</v>
      </c>
      <c r="B22" s="11">
        <f t="array" ref="B22">IFERROR(INDEX('Player Balances'!$B$7:$B$206,MATCH(A22,'Player Balances'!$A$7:$A$206,0)),"")</f>
        <v>43.11042184</v>
      </c>
      <c r="C22" s="10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Unpaid</v>
      </c>
      <c r="D22" s="8" t="str">
        <f>'Access Codes'!C23</f>
        <v>Player</v>
      </c>
      <c r="E22" s="10" t="str">
        <f>'Access Codes'!D23</f>
        <v>Active</v>
      </c>
      <c r="F22" s="10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 t="str">
        <f>'Access Codes'!A24</f>
        <v>Lucas Jones</v>
      </c>
      <c r="B23" s="11">
        <f t="array" ref="B23">IFERROR(INDEX('Player Balances'!$B$7:$B$206,MATCH(A23,'Player Balances'!$A$7:$A$206,0)),"")</f>
        <v>2.225806452</v>
      </c>
      <c r="C23" s="10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8" t="str">
        <f>'Access Codes'!C24</f>
        <v>Player</v>
      </c>
      <c r="E23" s="10" t="str">
        <f>'Access Codes'!D24</f>
        <v>Active</v>
      </c>
      <c r="F23" s="10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 t="str">
        <f>'Access Codes'!A25</f>
        <v>Max Sheppard</v>
      </c>
      <c r="B24" s="11">
        <f t="array" ref="B24">IFERROR(INDEX('Player Balances'!$B$7:$B$206,MATCH(A24,'Player Balances'!$A$7:$A$206,0)),"")</f>
        <v>43.11042184</v>
      </c>
      <c r="C24" s="10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8" t="str">
        <f>'Access Codes'!C25</f>
        <v>Player</v>
      </c>
      <c r="E24" s="10" t="str">
        <f>'Access Codes'!D25</f>
        <v>Active</v>
      </c>
      <c r="F24" s="10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 t="str">
        <f>'Access Codes'!A26</f>
        <v>Lucius Christie</v>
      </c>
      <c r="B25" s="11">
        <f t="array" ref="B25">IFERROR(INDEX('Player Balances'!$B$7:$B$206,MATCH(A25,'Player Balances'!$A$7:$A$206,0)),"")</f>
        <v>43.11042184</v>
      </c>
      <c r="C25" s="10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8" t="str">
        <f>'Access Codes'!C26</f>
        <v>Player</v>
      </c>
      <c r="E25" s="10" t="str">
        <f>'Access Codes'!D26</f>
        <v>Active</v>
      </c>
      <c r="F25" s="10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 t="str">
        <f>'Access Codes'!A27</f>
        <v>Patrick McMullen</v>
      </c>
      <c r="B26" s="11">
        <f t="array" ref="B26">IFERROR(INDEX('Player Balances'!$B$7:$B$206,MATCH(A26,'Player Balances'!$A$7:$A$206,0)),"")</f>
        <v>43.11042184</v>
      </c>
      <c r="C26" s="10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8" t="str">
        <f>'Access Codes'!C27</f>
        <v>Player</v>
      </c>
      <c r="E26" s="10" t="str">
        <f>'Access Codes'!D27</f>
        <v>Active</v>
      </c>
      <c r="F26" s="10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 t="str">
        <f>'Access Codes'!A28</f>
        <v>Rachel Graber</v>
      </c>
      <c r="B27" s="11">
        <f t="array" ref="B27">IFERROR(INDEX('Player Balances'!$B$7:$B$206,MATCH(A27,'Player Balances'!$A$7:$A$206,0)),"")</f>
        <v>43.11042184</v>
      </c>
      <c r="C27" s="10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8" t="str">
        <f>'Access Codes'!C28</f>
        <v>Player</v>
      </c>
      <c r="E27" s="10" t="str">
        <f>'Access Codes'!D28</f>
        <v>Active</v>
      </c>
      <c r="F27" s="10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 t="str">
        <f>'Access Codes'!A29</f>
        <v>Ryan Kindell</v>
      </c>
      <c r="B28" s="11">
        <f t="array" ref="B28">IFERROR(INDEX('Player Balances'!$B$7:$B$206,MATCH(A28,'Player Balances'!$A$7:$A$206,0)),"")</f>
        <v>43.11042184</v>
      </c>
      <c r="C28" s="10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8" t="str">
        <f>'Access Codes'!C29</f>
        <v>Player</v>
      </c>
      <c r="E28" s="10" t="str">
        <f>'Access Codes'!D29</f>
        <v>Active</v>
      </c>
      <c r="F28" s="10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 t="str">
        <f>'Access Codes'!A30</f>
        <v>Ryan Ward</v>
      </c>
      <c r="B29" s="11">
        <f t="array" ref="B29">IFERROR(INDEX('Player Balances'!$B$7:$B$206,MATCH(A29,'Player Balances'!$A$7:$A$206,0)),"")</f>
        <v>43.11042184</v>
      </c>
      <c r="C29" s="10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8" t="str">
        <f>'Access Codes'!C30</f>
        <v>Player</v>
      </c>
      <c r="E29" s="10" t="str">
        <f>'Access Codes'!D30</f>
        <v>Active</v>
      </c>
      <c r="F29" s="10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 t="str">
        <f>'Access Codes'!A31</f>
        <v>Sam Gombiner</v>
      </c>
      <c r="B30" s="11">
        <f t="array" ref="B30">IFERROR(INDEX('Player Balances'!$B$7:$B$206,MATCH(A30,'Player Balances'!$A$7:$A$206,0)),"")</f>
        <v>2.225806452</v>
      </c>
      <c r="C30" s="10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8" t="str">
        <f>'Access Codes'!C31</f>
        <v>Player</v>
      </c>
      <c r="E30" s="10" t="str">
        <f>'Access Codes'!D31</f>
        <v>Active</v>
      </c>
      <c r="F30" s="10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 t="str">
        <f>'Access Codes'!A32</f>
        <v>Sarah Kingsley-Hart</v>
      </c>
      <c r="B31" s="11">
        <f t="array" ref="B31">IFERROR(INDEX('Player Balances'!$B$7:$B$206,MATCH(A31,'Player Balances'!$A$7:$A$206,0)),"")</f>
        <v>43.11042184</v>
      </c>
      <c r="C31" s="10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8" t="str">
        <f>'Access Codes'!C32</f>
        <v>Player</v>
      </c>
      <c r="E31" s="10" t="str">
        <f>'Access Codes'!D32</f>
        <v>Active</v>
      </c>
      <c r="F31" s="10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 t="str">
        <f>'Access Codes'!A33</f>
        <v>Sarah Lynch</v>
      </c>
      <c r="B32" s="11">
        <f t="array" ref="B32">IFERROR(INDEX('Player Balances'!$B$7:$B$206,MATCH(A32,'Player Balances'!$A$7:$A$206,0)),"")</f>
        <v>2.225806452</v>
      </c>
      <c r="C32" s="10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8" t="str">
        <f>'Access Codes'!C33</f>
        <v>Player</v>
      </c>
      <c r="E32" s="10" t="str">
        <f>'Access Codes'!D33</f>
        <v>Active</v>
      </c>
      <c r="F32" s="10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 t="str">
        <f>'Access Codes'!A34</f>
        <v>Shani Rosenthal</v>
      </c>
      <c r="B33" s="11">
        <f t="array" ref="B33">IFERROR(INDEX('Player Balances'!$B$7:$B$206,MATCH(A33,'Player Balances'!$A$7:$A$206,0)),"")</f>
        <v>81.18375517</v>
      </c>
      <c r="C33" s="10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8" t="str">
        <f>'Access Codes'!C34</f>
        <v>Player</v>
      </c>
      <c r="E33" s="10" t="str">
        <f>'Access Codes'!D34</f>
        <v>Active</v>
      </c>
      <c r="F33" s="10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 t="str">
        <f>'Access Codes'!A35</f>
        <v>Vivian Shen</v>
      </c>
      <c r="B34" s="11">
        <f t="array" ref="B34">IFERROR(INDEX('Player Balances'!$B$7:$B$206,MATCH(A34,'Player Balances'!$A$7:$A$206,0)),"")</f>
        <v>81.18375517</v>
      </c>
      <c r="C34" s="10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Unpaid</v>
      </c>
      <c r="D34" s="8" t="str">
        <f>'Access Codes'!C35</f>
        <v>Player</v>
      </c>
      <c r="E34" s="10" t="str">
        <f>'Access Codes'!D35</f>
        <v>Active</v>
      </c>
      <c r="F34" s="10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 t="str">
        <f>'Access Codes'!A36</f>
        <v>Zach Esakof</v>
      </c>
      <c r="B35" s="11">
        <f t="array" ref="B35">IFERROR(INDEX('Player Balances'!$B$7:$B$206,MATCH(A35,'Player Balances'!$A$7:$A$206,0)),"")</f>
        <v>2.225806452</v>
      </c>
      <c r="C35" s="10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8" t="str">
        <f>'Access Codes'!C36</f>
        <v>Player</v>
      </c>
      <c r="E35" s="10" t="str">
        <f>'Access Codes'!D36</f>
        <v>Active</v>
      </c>
      <c r="F35" s="10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 t="str">
        <f>'Access Codes'!A37</f>
        <v>Annette Kukunas-Piper</v>
      </c>
      <c r="B36" s="11">
        <f t="array" ref="B36">IFERROR(INDEX('Player Balances'!$B$7:$B$206,MATCH(A36,'Player Balances'!$A$7:$A$206,0)),"")</f>
        <v>0</v>
      </c>
      <c r="C36" s="10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8" t="str">
        <f>'Access Codes'!C37</f>
        <v>Coach</v>
      </c>
      <c r="E36" s="10" t="str">
        <f>'Access Codes'!D37</f>
        <v>Active</v>
      </c>
      <c r="F36" s="10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 t="str">
        <f>'Access Codes'!A38</f>
        <v>Matt Duffy</v>
      </c>
      <c r="B37" s="11">
        <f t="array" ref="B37">IFERROR(INDEX('Player Balances'!$B$7:$B$206,MATCH(A37,'Player Balances'!$A$7:$A$206,0)),"")</f>
        <v>0</v>
      </c>
      <c r="C37" s="10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8" t="str">
        <f>'Access Codes'!C38</f>
        <v>Coach</v>
      </c>
      <c r="E37" s="10" t="str">
        <f>'Access Codes'!D38</f>
        <v>Active</v>
      </c>
      <c r="F37" s="10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 t="str">
        <f>'Access Codes'!A39</f>
        <v>Ryan Birchard</v>
      </c>
      <c r="B38" s="11">
        <f t="array" ref="B38">IFERROR(INDEX('Player Balances'!$B$7:$B$206,MATCH(A38,'Player Balances'!$A$7:$A$206,0)),"")</f>
        <v>0</v>
      </c>
      <c r="C38" s="10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8" t="str">
        <f>'Access Codes'!C39</f>
        <v>Coach</v>
      </c>
      <c r="E38" s="10" t="str">
        <f>'Access Codes'!D39</f>
        <v>Active</v>
      </c>
      <c r="F38" s="10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 t="str">
        <f>'Access Codes'!A40</f>
        <v>Nick Blair</v>
      </c>
      <c r="B39" s="11"/>
      <c r="C39" s="10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8" t="str">
        <f>'Access Codes'!C40</f>
        <v>Support</v>
      </c>
      <c r="E39" s="10" t="str">
        <f>'Access Codes'!D40</f>
        <v>Active</v>
      </c>
      <c r="F39" s="10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 t="str">
        <f>'Access Codes'!A41</f>
        <v/>
      </c>
      <c r="B40" s="11"/>
      <c r="C40" s="10"/>
      <c r="D40" s="10"/>
      <c r="E40" s="10" t="str">
        <f>'Access Codes'!D41</f>
        <v/>
      </c>
      <c r="F40" s="10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11"/>
      <c r="C41" s="10"/>
      <c r="D41" s="10"/>
      <c r="E41" s="10"/>
      <c r="F41" s="10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11"/>
      <c r="C42" s="10"/>
      <c r="D42" s="10"/>
      <c r="E42" s="10"/>
      <c r="F42" s="10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11"/>
      <c r="C43" s="10"/>
      <c r="D43" s="10"/>
      <c r="E43" s="10"/>
      <c r="F43" s="10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11"/>
      <c r="C44" s="10"/>
      <c r="D44" s="10"/>
      <c r="E44" s="10"/>
      <c r="F44" s="10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11"/>
      <c r="C45" s="10"/>
      <c r="D45" s="10"/>
      <c r="E45" s="10"/>
      <c r="F45" s="10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11"/>
      <c r="C46" s="10"/>
      <c r="D46" s="10"/>
      <c r="E46" s="10"/>
      <c r="F46" s="10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11"/>
      <c r="C47" s="10"/>
      <c r="D47" s="10"/>
      <c r="E47" s="10"/>
      <c r="F47" s="10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11"/>
      <c r="C48" s="10"/>
      <c r="D48" s="10"/>
      <c r="E48" s="10"/>
      <c r="F48" s="10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11"/>
      <c r="C49" s="10"/>
      <c r="D49" s="10"/>
      <c r="E49" s="10"/>
      <c r="F49" s="10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11"/>
      <c r="C50" s="10"/>
      <c r="D50" s="10"/>
      <c r="E50" s="10"/>
      <c r="F50" s="10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11"/>
      <c r="C51" s="10"/>
      <c r="D51" s="10"/>
      <c r="E51" s="10"/>
      <c r="F51" s="10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11"/>
      <c r="C52" s="10"/>
      <c r="D52" s="10"/>
      <c r="E52" s="10"/>
      <c r="F52" s="10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11"/>
      <c r="C53" s="10"/>
      <c r="D53" s="10"/>
      <c r="E53" s="10"/>
      <c r="F53" s="10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11"/>
      <c r="C54" s="10"/>
      <c r="D54" s="10"/>
      <c r="E54" s="10"/>
      <c r="F54" s="10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11"/>
      <c r="C55" s="10"/>
      <c r="D55" s="10"/>
      <c r="E55" s="10"/>
      <c r="F55" s="10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11"/>
      <c r="C56" s="10"/>
      <c r="D56" s="10"/>
      <c r="E56" s="10"/>
      <c r="F56" s="10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11"/>
      <c r="C57" s="10"/>
      <c r="D57" s="10"/>
      <c r="E57" s="10"/>
      <c r="F57" s="10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11"/>
      <c r="C58" s="10"/>
      <c r="D58" s="10"/>
      <c r="E58" s="10"/>
      <c r="F58" s="10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11"/>
      <c r="C59" s="10"/>
      <c r="D59" s="10"/>
      <c r="E59" s="10"/>
      <c r="F59" s="10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11"/>
      <c r="C60" s="10"/>
      <c r="D60" s="10"/>
      <c r="E60" s="10"/>
      <c r="F60" s="10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11"/>
      <c r="C61" s="10"/>
      <c r="D61" s="10"/>
      <c r="E61" s="10"/>
      <c r="F61" s="10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11"/>
      <c r="C62" s="10"/>
      <c r="D62" s="10"/>
      <c r="E62" s="10"/>
      <c r="F62" s="10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11"/>
      <c r="C63" s="10"/>
      <c r="D63" s="10"/>
      <c r="E63" s="10"/>
      <c r="F63" s="10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11"/>
      <c r="C64" s="10"/>
      <c r="D64" s="10"/>
      <c r="E64" s="10"/>
      <c r="F64" s="10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11"/>
      <c r="C65" s="10"/>
      <c r="D65" s="10"/>
      <c r="E65" s="10"/>
      <c r="F65" s="10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11"/>
      <c r="C66" s="10"/>
      <c r="D66" s="10"/>
      <c r="E66" s="10"/>
      <c r="F66" s="10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11"/>
      <c r="C67" s="10"/>
      <c r="D67" s="10"/>
      <c r="E67" s="10"/>
      <c r="F67" s="10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11"/>
      <c r="C68" s="10"/>
      <c r="D68" s="10"/>
      <c r="E68" s="10"/>
      <c r="F68" s="10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11"/>
      <c r="C69" s="10"/>
      <c r="D69" s="10"/>
      <c r="E69" s="10"/>
      <c r="F69" s="10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11"/>
      <c r="C70" s="10"/>
      <c r="D70" s="10"/>
      <c r="E70" s="10"/>
      <c r="F70" s="10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11"/>
      <c r="C71" s="10"/>
      <c r="D71" s="10"/>
      <c r="E71" s="10"/>
      <c r="F71" s="10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11"/>
      <c r="C72" s="10"/>
      <c r="D72" s="10"/>
      <c r="E72" s="10"/>
      <c r="F72" s="10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11"/>
      <c r="C73" s="10"/>
      <c r="D73" s="10"/>
      <c r="E73" s="10"/>
      <c r="F73" s="10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11"/>
      <c r="C74" s="10"/>
      <c r="D74" s="10"/>
      <c r="E74" s="10"/>
      <c r="F74" s="10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11"/>
      <c r="C75" s="10"/>
      <c r="D75" s="10"/>
      <c r="E75" s="10"/>
      <c r="F75" s="10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11"/>
      <c r="C76" s="10"/>
      <c r="D76" s="10"/>
      <c r="E76" s="10"/>
      <c r="F76" s="10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11"/>
      <c r="C77" s="10"/>
      <c r="D77" s="10"/>
      <c r="E77" s="10"/>
      <c r="F77" s="10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11"/>
      <c r="C78" s="10"/>
      <c r="D78" s="10"/>
      <c r="E78" s="10"/>
      <c r="F78" s="10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11"/>
      <c r="C79" s="10"/>
      <c r="D79" s="10"/>
      <c r="E79" s="10"/>
      <c r="F79" s="10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11"/>
      <c r="C80" s="10"/>
      <c r="D80" s="10"/>
      <c r="E80" s="10"/>
      <c r="F80" s="10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11"/>
      <c r="C81" s="10"/>
      <c r="D81" s="10"/>
      <c r="E81" s="10"/>
      <c r="F81" s="10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11"/>
      <c r="C82" s="10"/>
      <c r="D82" s="10"/>
      <c r="E82" s="10"/>
      <c r="F82" s="10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11"/>
      <c r="C83" s="10"/>
      <c r="D83" s="10"/>
      <c r="E83" s="10"/>
      <c r="F83" s="10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11"/>
      <c r="C84" s="10"/>
      <c r="D84" s="10"/>
      <c r="E84" s="10"/>
      <c r="F84" s="10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11"/>
      <c r="C85" s="10"/>
      <c r="D85" s="10"/>
      <c r="E85" s="10"/>
      <c r="F85" s="10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11"/>
      <c r="C86" s="10"/>
      <c r="D86" s="10"/>
      <c r="E86" s="10"/>
      <c r="F86" s="10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11"/>
      <c r="C87" s="10"/>
      <c r="D87" s="10"/>
      <c r="E87" s="10"/>
      <c r="F87" s="10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11"/>
      <c r="C88" s="10"/>
      <c r="D88" s="10"/>
      <c r="E88" s="10"/>
      <c r="F88" s="10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11"/>
      <c r="C89" s="10"/>
      <c r="D89" s="10"/>
      <c r="E89" s="10"/>
      <c r="F89" s="10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11"/>
      <c r="C90" s="10"/>
      <c r="D90" s="10"/>
      <c r="E90" s="10"/>
      <c r="F90" s="10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11"/>
      <c r="C91" s="10"/>
      <c r="D91" s="10"/>
      <c r="E91" s="10"/>
      <c r="F91" s="10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11"/>
      <c r="C92" s="10"/>
      <c r="D92" s="10"/>
      <c r="E92" s="10"/>
      <c r="F92" s="10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11"/>
      <c r="C93" s="10"/>
      <c r="D93" s="10"/>
      <c r="E93" s="10"/>
      <c r="F93" s="10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11"/>
      <c r="C94" s="10"/>
      <c r="D94" s="10"/>
      <c r="E94" s="10"/>
      <c r="F94" s="10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11"/>
      <c r="C95" s="10"/>
      <c r="D95" s="10"/>
      <c r="E95" s="10"/>
      <c r="F95" s="10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11"/>
      <c r="C96" s="10"/>
      <c r="D96" s="10"/>
      <c r="E96" s="10"/>
      <c r="F96" s="10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11"/>
      <c r="C97" s="10"/>
      <c r="D97" s="10"/>
      <c r="E97" s="10"/>
      <c r="F97" s="10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11"/>
      <c r="C98" s="10"/>
      <c r="D98" s="10"/>
      <c r="E98" s="10"/>
      <c r="F98" s="10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11"/>
      <c r="C99" s="10"/>
      <c r="D99" s="10"/>
      <c r="E99" s="10"/>
      <c r="F99" s="10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11"/>
      <c r="C100" s="10"/>
      <c r="D100" s="10"/>
      <c r="E100" s="10"/>
      <c r="F100" s="10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11"/>
      <c r="C101" s="10"/>
      <c r="D101" s="10"/>
      <c r="E101" s="10"/>
      <c r="F101" s="10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11"/>
      <c r="C102" s="10"/>
      <c r="D102" s="10"/>
      <c r="E102" s="10"/>
      <c r="F102" s="10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11"/>
      <c r="C103" s="10"/>
      <c r="D103" s="10"/>
      <c r="E103" s="10"/>
      <c r="F103" s="10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11"/>
      <c r="C104" s="10"/>
      <c r="D104" s="10"/>
      <c r="E104" s="10"/>
      <c r="F104" s="10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11"/>
      <c r="C105" s="10"/>
      <c r="D105" s="10"/>
      <c r="E105" s="10"/>
      <c r="F105" s="10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11"/>
      <c r="C106" s="10"/>
      <c r="D106" s="10"/>
      <c r="E106" s="10"/>
      <c r="F106" s="10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11"/>
      <c r="C107" s="10"/>
      <c r="D107" s="10"/>
      <c r="E107" s="10"/>
      <c r="F107" s="10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11"/>
      <c r="C108" s="10"/>
      <c r="D108" s="10"/>
      <c r="E108" s="10"/>
      <c r="F108" s="10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11"/>
      <c r="C109" s="10"/>
      <c r="D109" s="10"/>
      <c r="E109" s="10"/>
      <c r="F109" s="10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11"/>
      <c r="C110" s="10"/>
      <c r="D110" s="10"/>
      <c r="E110" s="10"/>
      <c r="F110" s="10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11"/>
      <c r="C111" s="10"/>
      <c r="D111" s="10"/>
      <c r="E111" s="10"/>
      <c r="F111" s="10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11"/>
      <c r="C112" s="10"/>
      <c r="D112" s="10"/>
      <c r="E112" s="10"/>
      <c r="F112" s="10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11"/>
      <c r="C113" s="10"/>
      <c r="D113" s="10"/>
      <c r="E113" s="10"/>
      <c r="F113" s="10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11"/>
      <c r="C114" s="10"/>
      <c r="D114" s="10"/>
      <c r="E114" s="10"/>
      <c r="F114" s="10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11"/>
      <c r="C115" s="10"/>
      <c r="D115" s="10"/>
      <c r="E115" s="10"/>
      <c r="F115" s="10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11"/>
      <c r="C116" s="10"/>
      <c r="D116" s="10"/>
      <c r="E116" s="10"/>
      <c r="F116" s="10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11"/>
      <c r="C117" s="10"/>
      <c r="D117" s="10"/>
      <c r="E117" s="10"/>
      <c r="F117" s="10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11"/>
      <c r="C118" s="10"/>
      <c r="D118" s="10"/>
      <c r="E118" s="10"/>
      <c r="F118" s="10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11"/>
      <c r="C119" s="10"/>
      <c r="D119" s="10"/>
      <c r="E119" s="10"/>
      <c r="F119" s="10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11"/>
      <c r="C120" s="10"/>
      <c r="D120" s="10"/>
      <c r="E120" s="10"/>
      <c r="F120" s="10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11"/>
      <c r="C121" s="10"/>
      <c r="D121" s="10"/>
      <c r="E121" s="10"/>
      <c r="F121" s="10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11"/>
      <c r="C122" s="10"/>
      <c r="D122" s="10"/>
      <c r="E122" s="10"/>
      <c r="F122" s="10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11"/>
      <c r="C123" s="10"/>
      <c r="D123" s="10"/>
      <c r="E123" s="10"/>
      <c r="F123" s="10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11"/>
      <c r="C124" s="10"/>
      <c r="D124" s="10"/>
      <c r="E124" s="10"/>
      <c r="F124" s="10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11"/>
      <c r="C125" s="10"/>
      <c r="D125" s="10"/>
      <c r="E125" s="10"/>
      <c r="F125" s="10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11"/>
      <c r="C126" s="10"/>
      <c r="D126" s="10"/>
      <c r="E126" s="10"/>
      <c r="F126" s="10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11"/>
      <c r="C127" s="10"/>
      <c r="D127" s="10"/>
      <c r="E127" s="10"/>
      <c r="F127" s="10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11"/>
      <c r="C128" s="10"/>
      <c r="D128" s="10"/>
      <c r="E128" s="10"/>
      <c r="F128" s="10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11"/>
      <c r="C129" s="10"/>
      <c r="D129" s="10"/>
      <c r="E129" s="10"/>
      <c r="F129" s="10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11"/>
      <c r="C130" s="10"/>
      <c r="D130" s="10"/>
      <c r="E130" s="10"/>
      <c r="F130" s="10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11"/>
      <c r="C131" s="10"/>
      <c r="D131" s="10"/>
      <c r="E131" s="10"/>
      <c r="F131" s="10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11"/>
      <c r="C132" s="10"/>
      <c r="D132" s="10"/>
      <c r="E132" s="10"/>
      <c r="F132" s="10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11"/>
      <c r="C133" s="10"/>
      <c r="D133" s="10"/>
      <c r="E133" s="10"/>
      <c r="F133" s="10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11"/>
      <c r="C134" s="10"/>
      <c r="D134" s="10"/>
      <c r="E134" s="10"/>
      <c r="F134" s="10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11"/>
      <c r="C135" s="10"/>
      <c r="D135" s="10"/>
      <c r="E135" s="10"/>
      <c r="F135" s="10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11"/>
      <c r="C136" s="10"/>
      <c r="D136" s="10"/>
      <c r="E136" s="10"/>
      <c r="F136" s="10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11"/>
      <c r="C137" s="10"/>
      <c r="D137" s="10"/>
      <c r="E137" s="10"/>
      <c r="F137" s="10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11"/>
      <c r="C138" s="10"/>
      <c r="D138" s="10"/>
      <c r="E138" s="10"/>
      <c r="F138" s="10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11"/>
      <c r="C139" s="10"/>
      <c r="D139" s="10"/>
      <c r="E139" s="10"/>
      <c r="F139" s="10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11"/>
      <c r="C140" s="10"/>
      <c r="D140" s="10"/>
      <c r="E140" s="10"/>
      <c r="F140" s="10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11"/>
      <c r="C141" s="10"/>
      <c r="D141" s="10"/>
      <c r="E141" s="10"/>
      <c r="F141" s="10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11"/>
      <c r="C142" s="10"/>
      <c r="D142" s="10"/>
      <c r="E142" s="10"/>
      <c r="F142" s="10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11"/>
      <c r="C143" s="10"/>
      <c r="D143" s="10"/>
      <c r="E143" s="10"/>
      <c r="F143" s="10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11"/>
      <c r="C144" s="10"/>
      <c r="D144" s="10"/>
      <c r="E144" s="10"/>
      <c r="F144" s="10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11"/>
      <c r="C145" s="10"/>
      <c r="D145" s="10"/>
      <c r="E145" s="10"/>
      <c r="F145" s="10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11"/>
      <c r="C146" s="10"/>
      <c r="D146" s="10"/>
      <c r="E146" s="10"/>
      <c r="F146" s="10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11"/>
      <c r="C147" s="10"/>
      <c r="D147" s="10"/>
      <c r="E147" s="10"/>
      <c r="F147" s="10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11"/>
      <c r="C148" s="10"/>
      <c r="D148" s="10"/>
      <c r="E148" s="10"/>
      <c r="F148" s="10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11"/>
      <c r="C149" s="10"/>
      <c r="D149" s="10"/>
      <c r="E149" s="10"/>
      <c r="F149" s="10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11"/>
      <c r="C150" s="10"/>
      <c r="D150" s="10"/>
      <c r="E150" s="10"/>
      <c r="F150" s="10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11"/>
      <c r="C151" s="10"/>
      <c r="D151" s="10"/>
      <c r="E151" s="10"/>
      <c r="F151" s="10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11"/>
      <c r="C152" s="10"/>
      <c r="D152" s="10"/>
      <c r="E152" s="10"/>
      <c r="F152" s="10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11"/>
      <c r="C153" s="10"/>
      <c r="D153" s="10"/>
      <c r="E153" s="10"/>
      <c r="F153" s="10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11"/>
      <c r="C154" s="10"/>
      <c r="D154" s="10"/>
      <c r="E154" s="10"/>
      <c r="F154" s="10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11"/>
      <c r="C155" s="10"/>
      <c r="D155" s="10"/>
      <c r="E155" s="10"/>
      <c r="F155" s="10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11"/>
      <c r="C156" s="10"/>
      <c r="D156" s="10"/>
      <c r="E156" s="10"/>
      <c r="F156" s="10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11"/>
      <c r="C157" s="10"/>
      <c r="D157" s="10"/>
      <c r="E157" s="10"/>
      <c r="F157" s="10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11"/>
      <c r="C158" s="10"/>
      <c r="D158" s="10"/>
      <c r="E158" s="10"/>
      <c r="F158" s="1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11"/>
      <c r="C159" s="10"/>
      <c r="D159" s="10"/>
      <c r="E159" s="10"/>
      <c r="F159" s="1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11"/>
      <c r="C160" s="10"/>
      <c r="D160" s="10"/>
      <c r="E160" s="10"/>
      <c r="F160" s="1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11"/>
      <c r="C161" s="10"/>
      <c r="D161" s="10"/>
      <c r="E161" s="10"/>
      <c r="F161" s="1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11"/>
      <c r="C162" s="10"/>
      <c r="D162" s="10"/>
      <c r="E162" s="10"/>
      <c r="F162" s="1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11"/>
      <c r="C163" s="10"/>
      <c r="D163" s="10"/>
      <c r="E163" s="10"/>
      <c r="F163" s="1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11"/>
      <c r="C164" s="10"/>
      <c r="D164" s="10"/>
      <c r="E164" s="10"/>
      <c r="F164" s="10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11"/>
      <c r="C165" s="10"/>
      <c r="D165" s="10"/>
      <c r="E165" s="10"/>
      <c r="F165" s="10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11"/>
      <c r="C166" s="10"/>
      <c r="D166" s="10"/>
      <c r="E166" s="10"/>
      <c r="F166" s="10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11"/>
      <c r="C167" s="10"/>
      <c r="D167" s="10"/>
      <c r="E167" s="10"/>
      <c r="F167" s="10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11"/>
      <c r="C168" s="10"/>
      <c r="D168" s="10"/>
      <c r="E168" s="10"/>
      <c r="F168" s="10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11"/>
      <c r="C169" s="10"/>
      <c r="D169" s="10"/>
      <c r="E169" s="10"/>
      <c r="F169" s="10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11"/>
      <c r="C170" s="10"/>
      <c r="D170" s="10"/>
      <c r="E170" s="10"/>
      <c r="F170" s="10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11"/>
      <c r="C171" s="10"/>
      <c r="D171" s="10"/>
      <c r="E171" s="10"/>
      <c r="F171" s="10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11"/>
      <c r="C172" s="10"/>
      <c r="D172" s="10"/>
      <c r="E172" s="10"/>
      <c r="F172" s="10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11"/>
      <c r="C173" s="10"/>
      <c r="D173" s="10"/>
      <c r="E173" s="10"/>
      <c r="F173" s="10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11"/>
      <c r="C174" s="10"/>
      <c r="D174" s="10"/>
      <c r="E174" s="10"/>
      <c r="F174" s="10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11"/>
      <c r="C175" s="10"/>
      <c r="D175" s="10"/>
      <c r="E175" s="10"/>
      <c r="F175" s="10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11"/>
      <c r="C176" s="10"/>
      <c r="D176" s="10"/>
      <c r="E176" s="10"/>
      <c r="F176" s="10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11"/>
      <c r="C177" s="10"/>
      <c r="D177" s="10"/>
      <c r="E177" s="10"/>
      <c r="F177" s="10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11"/>
      <c r="C178" s="10"/>
      <c r="D178" s="10"/>
      <c r="E178" s="10"/>
      <c r="F178" s="10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11"/>
      <c r="C179" s="10"/>
      <c r="D179" s="10"/>
      <c r="E179" s="10"/>
      <c r="F179" s="10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11"/>
      <c r="C180" s="10"/>
      <c r="D180" s="10"/>
      <c r="E180" s="10"/>
      <c r="F180" s="10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11"/>
      <c r="C181" s="10"/>
      <c r="D181" s="10"/>
      <c r="E181" s="10"/>
      <c r="F181" s="10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11"/>
      <c r="C182" s="10"/>
      <c r="D182" s="10"/>
      <c r="E182" s="10"/>
      <c r="F182" s="10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11"/>
      <c r="C183" s="10"/>
      <c r="D183" s="10"/>
      <c r="E183" s="10"/>
      <c r="F183" s="10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11"/>
      <c r="C184" s="10"/>
      <c r="D184" s="10"/>
      <c r="E184" s="10"/>
      <c r="F184" s="10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11"/>
      <c r="C185" s="10"/>
      <c r="D185" s="10"/>
      <c r="E185" s="10"/>
      <c r="F185" s="10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11"/>
      <c r="C186" s="10"/>
      <c r="D186" s="10"/>
      <c r="E186" s="10"/>
      <c r="F186" s="10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11"/>
      <c r="C187" s="10"/>
      <c r="D187" s="10"/>
      <c r="E187" s="10"/>
      <c r="F187" s="10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11"/>
      <c r="C188" s="10"/>
      <c r="D188" s="10"/>
      <c r="E188" s="10"/>
      <c r="F188" s="10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11"/>
      <c r="C189" s="10"/>
      <c r="D189" s="10"/>
      <c r="E189" s="10"/>
      <c r="F189" s="10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11"/>
      <c r="C190" s="10"/>
      <c r="D190" s="10"/>
      <c r="E190" s="10"/>
      <c r="F190" s="10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11"/>
      <c r="C191" s="10"/>
      <c r="D191" s="10"/>
      <c r="E191" s="10"/>
      <c r="F191" s="10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11"/>
      <c r="C192" s="10"/>
      <c r="D192" s="10"/>
      <c r="E192" s="10"/>
      <c r="F192" s="10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11"/>
      <c r="C193" s="10"/>
      <c r="D193" s="10"/>
      <c r="E193" s="10"/>
      <c r="F193" s="10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11"/>
      <c r="C194" s="10"/>
      <c r="D194" s="10"/>
      <c r="E194" s="10"/>
      <c r="F194" s="10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11"/>
      <c r="C195" s="10"/>
      <c r="D195" s="10"/>
      <c r="E195" s="10"/>
      <c r="F195" s="10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11"/>
      <c r="C196" s="10"/>
      <c r="D196" s="10"/>
      <c r="E196" s="10"/>
      <c r="F196" s="10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11"/>
      <c r="C197" s="10"/>
      <c r="D197" s="10"/>
      <c r="E197" s="10"/>
      <c r="F197" s="10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11"/>
      <c r="C198" s="10"/>
      <c r="D198" s="10"/>
      <c r="E198" s="10"/>
      <c r="F198" s="10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11"/>
      <c r="C199" s="10"/>
      <c r="D199" s="10"/>
      <c r="E199" s="10"/>
      <c r="F199" s="10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11"/>
      <c r="C200" s="10"/>
      <c r="D200" s="10"/>
      <c r="E200" s="10"/>
      <c r="F200" s="10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11"/>
      <c r="C201" s="10"/>
      <c r="D201" s="10"/>
      <c r="E201" s="10"/>
      <c r="F201" s="10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11"/>
      <c r="C202" s="10"/>
      <c r="D202" s="10"/>
      <c r="E202" s="10"/>
      <c r="F202" s="10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11"/>
      <c r="C203" s="10"/>
      <c r="D203" s="10"/>
      <c r="E203" s="10"/>
      <c r="F203" s="10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11"/>
      <c r="C204" s="10"/>
      <c r="D204" s="10"/>
      <c r="E204" s="10"/>
      <c r="F204" s="10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2" t="s">
        <v>8</v>
      </c>
      <c r="B1" s="13"/>
      <c r="C1" s="13"/>
      <c r="D1" s="13"/>
      <c r="E1" s="13"/>
      <c r="F1" s="13"/>
      <c r="G1" s="13"/>
      <c r="H1" s="13"/>
      <c r="I1" s="13"/>
      <c r="J1" s="1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/>
      <c r="I4" s="5" t="s">
        <v>16</v>
      </c>
      <c r="J4" s="15" t="s">
        <v>17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6" t="s">
        <v>18</v>
      </c>
      <c r="B5" s="16" t="s">
        <v>19</v>
      </c>
      <c r="C5" s="6"/>
      <c r="D5" s="6" t="s">
        <v>20</v>
      </c>
      <c r="E5" s="6" t="s">
        <v>21</v>
      </c>
      <c r="F5" s="7">
        <v>850.0</v>
      </c>
      <c r="G5" s="17">
        <f>IFERROR(SUMIFS(Transactions!$F$7:$F$996,Transactions!$G$7:$G$996,A5,Transactions!$D$7:$D$996,"Expense"),0)</f>
        <v>69</v>
      </c>
      <c r="H5" s="6"/>
      <c r="I5" s="6" t="s">
        <v>22</v>
      </c>
      <c r="J5" s="18" t="s">
        <v>23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6" t="s">
        <v>24</v>
      </c>
      <c r="B6" s="19">
        <v>46199.0</v>
      </c>
      <c r="C6" s="6"/>
      <c r="D6" s="6" t="s">
        <v>25</v>
      </c>
      <c r="E6" s="6" t="s">
        <v>26</v>
      </c>
      <c r="F6" s="7">
        <v>1310.0</v>
      </c>
      <c r="G6" s="17">
        <v>1310.0</v>
      </c>
      <c r="H6" s="6"/>
      <c r="I6" s="6" t="s">
        <v>22</v>
      </c>
      <c r="J6" s="18" t="s">
        <v>23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6" t="s">
        <v>27</v>
      </c>
      <c r="B7" s="19">
        <v>46227.0</v>
      </c>
      <c r="C7" s="6"/>
      <c r="D7" s="6" t="s">
        <v>25</v>
      </c>
      <c r="E7" s="6" t="s">
        <v>28</v>
      </c>
      <c r="F7" s="7">
        <v>1050.0</v>
      </c>
      <c r="G7" s="17">
        <v>1050.0</v>
      </c>
      <c r="H7" s="6"/>
      <c r="I7" s="6" t="s">
        <v>22</v>
      </c>
      <c r="J7" s="20" t="s">
        <v>23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6" t="s">
        <v>29</v>
      </c>
      <c r="B8" s="16"/>
      <c r="C8" s="6"/>
      <c r="D8" s="6" t="s">
        <v>30</v>
      </c>
      <c r="E8" s="6" t="s">
        <v>31</v>
      </c>
      <c r="F8" s="7">
        <v>0.0</v>
      </c>
      <c r="G8" s="17">
        <v>-123.0</v>
      </c>
      <c r="H8" s="6"/>
      <c r="I8" s="6"/>
      <c r="J8" s="18" t="s">
        <v>32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6" t="s">
        <v>33</v>
      </c>
      <c r="B9" s="16">
        <v>45706.0</v>
      </c>
      <c r="C9" s="6"/>
      <c r="D9" s="6" t="s">
        <v>30</v>
      </c>
      <c r="E9" s="6" t="s">
        <v>31</v>
      </c>
      <c r="F9" s="7">
        <v>0.0</v>
      </c>
      <c r="G9" s="17">
        <v>-956.0</v>
      </c>
      <c r="H9" s="6"/>
      <c r="I9" s="6"/>
      <c r="J9" s="20" t="s">
        <v>32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6" t="s">
        <v>34</v>
      </c>
      <c r="B10" s="16">
        <v>45706.0</v>
      </c>
      <c r="C10" s="6"/>
      <c r="D10" s="6" t="s">
        <v>30</v>
      </c>
      <c r="E10" s="6" t="s">
        <v>35</v>
      </c>
      <c r="F10" s="7">
        <v>0.0</v>
      </c>
      <c r="G10" s="17">
        <v>1030.0</v>
      </c>
      <c r="H10" s="6"/>
      <c r="I10" s="6"/>
      <c r="J10" s="18" t="s">
        <v>32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6" t="s">
        <v>36</v>
      </c>
      <c r="B11" s="16"/>
      <c r="C11" s="6"/>
      <c r="D11" s="6" t="s">
        <v>37</v>
      </c>
      <c r="E11" s="6" t="s">
        <v>38</v>
      </c>
      <c r="F11" s="7">
        <v>600.0</v>
      </c>
      <c r="G11" s="17">
        <f>IFERROR(SUMIFS(Transactions!$F$7:$F$996,Transactions!$G$7:$G$996,A11,Transactions!$D$7:$D$996,"Expense"),0)</f>
        <v>0</v>
      </c>
      <c r="H11" s="6"/>
      <c r="I11" s="6" t="s">
        <v>22</v>
      </c>
      <c r="J11" s="20" t="s">
        <v>32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0"/>
      <c r="B12" s="21"/>
      <c r="C12" s="10"/>
      <c r="D12" s="10"/>
      <c r="E12" s="10"/>
      <c r="F12" s="11"/>
      <c r="G12" s="22">
        <f>IFERROR(SUMIFS(Transactions!$F$7:$F$996,Transactions!$G$7:$G$996,A12,Transactions!$D$7:$D$996,"Expense"),0)</f>
        <v>0</v>
      </c>
      <c r="H12" s="10"/>
      <c r="I12" s="10"/>
      <c r="J12" s="18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0"/>
      <c r="B13" s="21"/>
      <c r="C13" s="10"/>
      <c r="D13" s="10"/>
      <c r="E13" s="10"/>
      <c r="F13" s="11"/>
      <c r="G13" s="22">
        <f>IFERROR(SUMIFS(Transactions!$F$7:$F$996,Transactions!$G$7:$G$996,A13,Transactions!$D$7:$D$996,"Expense"),0)</f>
        <v>0</v>
      </c>
      <c r="H13" s="10"/>
      <c r="I13" s="10"/>
      <c r="J13" s="20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0"/>
      <c r="B14" s="21"/>
      <c r="C14" s="10"/>
      <c r="D14" s="10"/>
      <c r="E14" s="10"/>
      <c r="F14" s="11"/>
      <c r="G14" s="22">
        <f>IFERROR(SUMIFS(Transactions!$F$7:$F$996,Transactions!$G$7:$G$996,A14,Transactions!$D$7:$D$996,"Expense"),0)</f>
        <v>0</v>
      </c>
      <c r="H14" s="10"/>
      <c r="I14" s="10"/>
      <c r="J14" s="18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0"/>
      <c r="B15" s="21"/>
      <c r="C15" s="10"/>
      <c r="D15" s="10"/>
      <c r="E15" s="10"/>
      <c r="F15" s="11"/>
      <c r="G15" s="22">
        <f>IFERROR(SUMIFS(Transactions!$F$7:$F$996,Transactions!$G$7:$G$996,A15,Transactions!$D$7:$D$996,"Expense"),0)</f>
        <v>0</v>
      </c>
      <c r="H15" s="10"/>
      <c r="I15" s="10"/>
      <c r="J15" s="20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0"/>
      <c r="B16" s="21"/>
      <c r="C16" s="10"/>
      <c r="D16" s="10"/>
      <c r="E16" s="10"/>
      <c r="F16" s="11"/>
      <c r="G16" s="22">
        <f>IFERROR(SUMIFS(Transactions!$F$7:$F$996,Transactions!$G$7:$G$996,A16,Transactions!$D$7:$D$996,"Expense"),0)</f>
        <v>0</v>
      </c>
      <c r="H16" s="10"/>
      <c r="I16" s="10"/>
      <c r="J16" s="18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0"/>
      <c r="B17" s="21"/>
      <c r="C17" s="10"/>
      <c r="D17" s="10"/>
      <c r="E17" s="10"/>
      <c r="F17" s="11"/>
      <c r="G17" s="22">
        <f>IFERROR(SUMIFS(Transactions!$F$7:$F$996,Transactions!$G$7:$G$996,A17,Transactions!$D$7:$D$996,"Expense"),0)</f>
        <v>0</v>
      </c>
      <c r="H17" s="10"/>
      <c r="I17" s="10"/>
      <c r="J17" s="20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0"/>
      <c r="B18" s="21"/>
      <c r="C18" s="10"/>
      <c r="D18" s="10"/>
      <c r="E18" s="10"/>
      <c r="F18" s="11"/>
      <c r="G18" s="22">
        <f>IFERROR(SUMIFS(Transactions!$F$7:$F$996,Transactions!$G$7:$G$996,A18,Transactions!$D$7:$D$996,"Expense"),0)</f>
        <v>0</v>
      </c>
      <c r="H18" s="10"/>
      <c r="I18" s="10"/>
      <c r="J18" s="18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0"/>
      <c r="B19" s="21"/>
      <c r="C19" s="10"/>
      <c r="D19" s="10"/>
      <c r="E19" s="10"/>
      <c r="F19" s="11"/>
      <c r="G19" s="22">
        <f>IFERROR(SUMIFS(Transactions!$F$7:$F$996,Transactions!$G$7:$G$996,A19,Transactions!$D$7:$D$996,"Expense"),0)</f>
        <v>0</v>
      </c>
      <c r="H19" s="10"/>
      <c r="I19" s="10"/>
      <c r="J19" s="20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0"/>
      <c r="B20" s="21"/>
      <c r="C20" s="10"/>
      <c r="D20" s="10"/>
      <c r="E20" s="10"/>
      <c r="F20" s="11"/>
      <c r="G20" s="22">
        <f>IFERROR(SUMIFS(Transactions!$F$7:$F$996,Transactions!$G$7:$G$996,A20,Transactions!$D$7:$D$996,"Expense"),0)</f>
        <v>0</v>
      </c>
      <c r="H20" s="10"/>
      <c r="I20" s="10"/>
      <c r="J20" s="18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0"/>
      <c r="B21" s="21"/>
      <c r="C21" s="10"/>
      <c r="D21" s="10"/>
      <c r="E21" s="10"/>
      <c r="F21" s="11"/>
      <c r="G21" s="22">
        <f>IFERROR(SUMIFS(Transactions!$F$7:$F$996,Transactions!$G$7:$G$996,A21,Transactions!$D$7:$D$996,"Expense"),0)</f>
        <v>0</v>
      </c>
      <c r="H21" s="10"/>
      <c r="I21" s="10"/>
      <c r="J21" s="20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0"/>
      <c r="B22" s="21"/>
      <c r="C22" s="10"/>
      <c r="D22" s="10"/>
      <c r="E22" s="10"/>
      <c r="F22" s="11"/>
      <c r="G22" s="22">
        <f>IFERROR(SUMIFS(Transactions!$F$7:$F$996,Transactions!$G$7:$G$996,A22,Transactions!$D$7:$D$996,"Expense"),0)</f>
        <v>0</v>
      </c>
      <c r="H22" s="10"/>
      <c r="I22" s="10"/>
      <c r="J22" s="18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0"/>
      <c r="B23" s="21"/>
      <c r="C23" s="10"/>
      <c r="D23" s="10"/>
      <c r="E23" s="10"/>
      <c r="F23" s="11"/>
      <c r="G23" s="22">
        <f>IFERROR(SUMIFS(Transactions!$F$7:$F$996,Transactions!$G$7:$G$996,A23,Transactions!$D$7:$D$996,"Expense"),0)</f>
        <v>0</v>
      </c>
      <c r="H23" s="10"/>
      <c r="I23" s="10"/>
      <c r="J23" s="20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0"/>
      <c r="B24" s="21"/>
      <c r="C24" s="10"/>
      <c r="D24" s="10"/>
      <c r="E24" s="10"/>
      <c r="F24" s="11"/>
      <c r="G24" s="22">
        <f>IFERROR(SUMIFS(Transactions!$F$7:$F$996,Transactions!$G$7:$G$996,A24,Transactions!$D$7:$D$996,"Expense"),0)</f>
        <v>0</v>
      </c>
      <c r="H24" s="10"/>
      <c r="I24" s="10"/>
      <c r="J24" s="18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0"/>
      <c r="B25" s="21"/>
      <c r="C25" s="10"/>
      <c r="D25" s="10"/>
      <c r="E25" s="10"/>
      <c r="F25" s="11"/>
      <c r="G25" s="22">
        <f>IFERROR(SUMIFS(Transactions!$F$7:$F$996,Transactions!$G$7:$G$996,A25,Transactions!$D$7:$D$996,"Expense"),0)</f>
        <v>0</v>
      </c>
      <c r="H25" s="10"/>
      <c r="I25" s="10"/>
      <c r="J25" s="20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0"/>
      <c r="B26" s="21"/>
      <c r="C26" s="10"/>
      <c r="D26" s="10"/>
      <c r="E26" s="10"/>
      <c r="F26" s="11"/>
      <c r="G26" s="22">
        <f>IFERROR(SUMIFS(Transactions!$F$7:$F$996,Transactions!$G$7:$G$996,A26,Transactions!$D$7:$D$996,"Expense"),0)</f>
        <v>0</v>
      </c>
      <c r="H26" s="10"/>
      <c r="I26" s="10"/>
      <c r="J26" s="18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0"/>
      <c r="B27" s="21"/>
      <c r="C27" s="10"/>
      <c r="D27" s="10"/>
      <c r="E27" s="10"/>
      <c r="F27" s="11"/>
      <c r="G27" s="22">
        <f>IFERROR(SUMIFS(Transactions!$F$7:$F$996,Transactions!$G$7:$G$996,A27,Transactions!$D$7:$D$996,"Expense"),0)</f>
        <v>0</v>
      </c>
      <c r="H27" s="10"/>
      <c r="I27" s="10"/>
      <c r="J27" s="20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0"/>
      <c r="B28" s="21"/>
      <c r="C28" s="10"/>
      <c r="D28" s="10"/>
      <c r="E28" s="10"/>
      <c r="F28" s="11"/>
      <c r="G28" s="22">
        <f>IFERROR(SUMIFS(Transactions!$F$7:$F$996,Transactions!$G$7:$G$996,A28,Transactions!$D$7:$D$996,"Expense"),0)</f>
        <v>0</v>
      </c>
      <c r="H28" s="10"/>
      <c r="I28" s="10"/>
      <c r="J28" s="18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0"/>
      <c r="B29" s="21"/>
      <c r="C29" s="10"/>
      <c r="D29" s="10"/>
      <c r="E29" s="10"/>
      <c r="F29" s="11"/>
      <c r="G29" s="22">
        <f>IFERROR(SUMIFS(Transactions!$F$7:$F$996,Transactions!$G$7:$G$996,A29,Transactions!$D$7:$D$996,"Expense"),0)</f>
        <v>0</v>
      </c>
      <c r="H29" s="10"/>
      <c r="I29" s="10"/>
      <c r="J29" s="20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0"/>
      <c r="B30" s="21"/>
      <c r="C30" s="10"/>
      <c r="D30" s="10"/>
      <c r="E30" s="10"/>
      <c r="F30" s="11"/>
      <c r="G30" s="22">
        <f>IFERROR(SUMIFS(Transactions!$F$7:$F$996,Transactions!$G$7:$G$996,A30,Transactions!$D$7:$D$996,"Expense"),0)</f>
        <v>0</v>
      </c>
      <c r="H30" s="10"/>
      <c r="I30" s="10"/>
      <c r="J30" s="18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0"/>
      <c r="B31" s="21"/>
      <c r="C31" s="10"/>
      <c r="D31" s="10"/>
      <c r="E31" s="10"/>
      <c r="F31" s="11"/>
      <c r="G31" s="22">
        <f>IFERROR(SUMIFS(Transactions!$F$7:$F$996,Transactions!$G$7:$G$996,A31,Transactions!$D$7:$D$996,"Expense"),0)</f>
        <v>0</v>
      </c>
      <c r="H31" s="10"/>
      <c r="I31" s="10"/>
      <c r="J31" s="20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0"/>
      <c r="B32" s="21"/>
      <c r="C32" s="10"/>
      <c r="D32" s="10"/>
      <c r="E32" s="10"/>
      <c r="F32" s="11"/>
      <c r="G32" s="22">
        <f>IFERROR(SUMIFS(Transactions!$F$7:$F$996,Transactions!$G$7:$G$996,A32,Transactions!$D$7:$D$996,"Expense"),0)</f>
        <v>0</v>
      </c>
      <c r="H32" s="10"/>
      <c r="I32" s="10"/>
      <c r="J32" s="18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0"/>
      <c r="B33" s="21"/>
      <c r="C33" s="10"/>
      <c r="D33" s="10"/>
      <c r="E33" s="10"/>
      <c r="F33" s="11"/>
      <c r="G33" s="22">
        <f>IFERROR(SUMIFS(Transactions!$F$7:$F$996,Transactions!$G$7:$G$996,A33,Transactions!$D$7:$D$996,"Expense"),0)</f>
        <v>0</v>
      </c>
      <c r="H33" s="10"/>
      <c r="I33" s="10"/>
      <c r="J33" s="20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0"/>
      <c r="B34" s="21"/>
      <c r="C34" s="10"/>
      <c r="D34" s="10"/>
      <c r="E34" s="10"/>
      <c r="F34" s="11"/>
      <c r="G34" s="22">
        <f>IFERROR(SUMIFS(Transactions!$F$7:$F$996,Transactions!$G$7:$G$996,A34,Transactions!$D$7:$D$996,"Expense"),0)</f>
        <v>0</v>
      </c>
      <c r="H34" s="10"/>
      <c r="I34" s="10"/>
      <c r="J34" s="18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0"/>
      <c r="B35" s="21"/>
      <c r="C35" s="10"/>
      <c r="D35" s="10"/>
      <c r="E35" s="10"/>
      <c r="F35" s="11"/>
      <c r="G35" s="22">
        <f>IFERROR(SUMIFS(Transactions!$F$7:$F$996,Transactions!$G$7:$G$996,A35,Transactions!$D$7:$D$996,"Expense"),0)</f>
        <v>0</v>
      </c>
      <c r="H35" s="10"/>
      <c r="I35" s="10"/>
      <c r="J35" s="20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0"/>
      <c r="B36" s="21"/>
      <c r="C36" s="10"/>
      <c r="D36" s="10"/>
      <c r="E36" s="10"/>
      <c r="F36" s="11"/>
      <c r="G36" s="22">
        <f>IFERROR(SUMIFS(Transactions!$F$7:$F$996,Transactions!$G$7:$G$996,A36,Transactions!$D$7:$D$996,"Expense"),0)</f>
        <v>0</v>
      </c>
      <c r="H36" s="10"/>
      <c r="I36" s="10"/>
      <c r="J36" s="18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0"/>
      <c r="B37" s="21"/>
      <c r="C37" s="10"/>
      <c r="D37" s="10"/>
      <c r="E37" s="10"/>
      <c r="F37" s="11"/>
      <c r="G37" s="22">
        <f>IFERROR(SUMIFS(Transactions!$F$7:$F$996,Transactions!$G$7:$G$996,A37,Transactions!$D$7:$D$996,"Expense"),0)</f>
        <v>0</v>
      </c>
      <c r="H37" s="10"/>
      <c r="I37" s="10"/>
      <c r="J37" s="20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0"/>
      <c r="B38" s="21"/>
      <c r="C38" s="10"/>
      <c r="D38" s="10"/>
      <c r="E38" s="10"/>
      <c r="F38" s="11"/>
      <c r="G38" s="22">
        <f>IFERROR(SUMIFS(Transactions!$F$7:$F$996,Transactions!$G$7:$G$996,A38,Transactions!$D$7:$D$996,"Expense"),0)</f>
        <v>0</v>
      </c>
      <c r="H38" s="10"/>
      <c r="I38" s="10"/>
      <c r="J38" s="18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0"/>
      <c r="B39" s="21"/>
      <c r="C39" s="10"/>
      <c r="D39" s="10"/>
      <c r="E39" s="10"/>
      <c r="F39" s="11"/>
      <c r="G39" s="22">
        <f>IFERROR(SUMIFS(Transactions!$F$7:$F$996,Transactions!$G$7:$G$996,A39,Transactions!$D$7:$D$996,"Expense"),0)</f>
        <v>0</v>
      </c>
      <c r="H39" s="10"/>
      <c r="I39" s="10"/>
      <c r="J39" s="20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0"/>
      <c r="B40" s="21"/>
      <c r="C40" s="10"/>
      <c r="D40" s="10"/>
      <c r="E40" s="10"/>
      <c r="F40" s="11"/>
      <c r="G40" s="22">
        <f>IFERROR(SUMIFS(Transactions!$F$7:$F$996,Transactions!$G$7:$G$996,A40,Transactions!$D$7:$D$996,"Expense"),0)</f>
        <v>0</v>
      </c>
      <c r="H40" s="10"/>
      <c r="I40" s="10"/>
      <c r="J40" s="18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0"/>
      <c r="B41" s="21"/>
      <c r="C41" s="10"/>
      <c r="D41" s="10"/>
      <c r="E41" s="10"/>
      <c r="F41" s="11"/>
      <c r="G41" s="22">
        <f>IFERROR(SUMIFS(Transactions!$F$7:$F$996,Transactions!$G$7:$G$996,A41,Transactions!$D$7:$D$996,"Expense"),0)</f>
        <v>0</v>
      </c>
      <c r="H41" s="10"/>
      <c r="I41" s="10"/>
      <c r="J41" s="20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0"/>
      <c r="B42" s="21"/>
      <c r="C42" s="10"/>
      <c r="D42" s="10"/>
      <c r="E42" s="10"/>
      <c r="F42" s="11"/>
      <c r="G42" s="22">
        <f>IFERROR(SUMIFS(Transactions!$F$7:$F$996,Transactions!$G$7:$G$996,A42,Transactions!$D$7:$D$996,"Expense"),0)</f>
        <v>0</v>
      </c>
      <c r="H42" s="10"/>
      <c r="I42" s="10"/>
      <c r="J42" s="18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0"/>
      <c r="B43" s="21"/>
      <c r="C43" s="10"/>
      <c r="D43" s="10"/>
      <c r="E43" s="10"/>
      <c r="F43" s="11"/>
      <c r="G43" s="22">
        <f>IFERROR(SUMIFS(Transactions!$F$7:$F$996,Transactions!$G$7:$G$996,A43,Transactions!$D$7:$D$996,"Expense"),0)</f>
        <v>0</v>
      </c>
      <c r="H43" s="10"/>
      <c r="I43" s="10"/>
      <c r="J43" s="20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0"/>
      <c r="B44" s="21"/>
      <c r="C44" s="10"/>
      <c r="D44" s="10"/>
      <c r="E44" s="10"/>
      <c r="F44" s="11"/>
      <c r="G44" s="22">
        <f>IFERROR(SUMIFS(Transactions!$F$7:$F$996,Transactions!$G$7:$G$996,A44,Transactions!$D$7:$D$996,"Expense"),0)</f>
        <v>0</v>
      </c>
      <c r="H44" s="10"/>
      <c r="I44" s="10"/>
      <c r="J44" s="18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0"/>
      <c r="B45" s="21"/>
      <c r="C45" s="10"/>
      <c r="D45" s="10"/>
      <c r="E45" s="10"/>
      <c r="F45" s="11"/>
      <c r="G45" s="22">
        <f>IFERROR(SUMIFS(Transactions!$F$7:$F$996,Transactions!$G$7:$G$996,A45,Transactions!$D$7:$D$996,"Expense"),0)</f>
        <v>0</v>
      </c>
      <c r="H45" s="10"/>
      <c r="I45" s="10"/>
      <c r="J45" s="20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0"/>
      <c r="B46" s="21"/>
      <c r="C46" s="10"/>
      <c r="D46" s="10"/>
      <c r="E46" s="10"/>
      <c r="F46" s="11"/>
      <c r="G46" s="22">
        <f>IFERROR(SUMIFS(Transactions!$F$7:$F$996,Transactions!$G$7:$G$996,A46,Transactions!$D$7:$D$996,"Expense"),0)</f>
        <v>0</v>
      </c>
      <c r="H46" s="10"/>
      <c r="I46" s="10"/>
      <c r="J46" s="18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0"/>
      <c r="B47" s="21"/>
      <c r="C47" s="10"/>
      <c r="D47" s="10"/>
      <c r="E47" s="10"/>
      <c r="F47" s="11"/>
      <c r="G47" s="22">
        <f>IFERROR(SUMIFS(Transactions!$F$7:$F$996,Transactions!$G$7:$G$996,A47,Transactions!$D$7:$D$996,"Expense"),0)</f>
        <v>0</v>
      </c>
      <c r="H47" s="10"/>
      <c r="I47" s="10"/>
      <c r="J47" s="20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0"/>
      <c r="B48" s="21"/>
      <c r="C48" s="10"/>
      <c r="D48" s="10"/>
      <c r="E48" s="10"/>
      <c r="F48" s="11"/>
      <c r="G48" s="22">
        <f>IFERROR(SUMIFS(Transactions!$F$7:$F$996,Transactions!$G$7:$G$996,A48,Transactions!$D$7:$D$996,"Expense"),0)</f>
        <v>0</v>
      </c>
      <c r="H48" s="10"/>
      <c r="I48" s="10"/>
      <c r="J48" s="18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0"/>
      <c r="B49" s="21"/>
      <c r="C49" s="10"/>
      <c r="D49" s="10"/>
      <c r="E49" s="10"/>
      <c r="F49" s="11"/>
      <c r="G49" s="22">
        <f>IFERROR(SUMIFS(Transactions!$F$7:$F$996,Transactions!$G$7:$G$996,A49,Transactions!$D$7:$D$996,"Expense"),0)</f>
        <v>0</v>
      </c>
      <c r="H49" s="10"/>
      <c r="I49" s="10"/>
      <c r="J49" s="20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0"/>
      <c r="B50" s="21"/>
      <c r="C50" s="10"/>
      <c r="D50" s="10"/>
      <c r="E50" s="10"/>
      <c r="F50" s="11"/>
      <c r="G50" s="22">
        <f>IFERROR(SUMIFS(Transactions!$F$7:$F$996,Transactions!$G$7:$G$996,A50,Transactions!$D$7:$D$996,"Expense"),0)</f>
        <v>0</v>
      </c>
      <c r="H50" s="10"/>
      <c r="I50" s="10"/>
      <c r="J50" s="1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0"/>
      <c r="B51" s="21"/>
      <c r="C51" s="10"/>
      <c r="D51" s="10"/>
      <c r="E51" s="10"/>
      <c r="F51" s="11"/>
      <c r="G51" s="22">
        <f>IFERROR(SUMIFS(Transactions!$F$7:$F$996,Transactions!$G$7:$G$996,A51,Transactions!$D$7:$D$996,"Expense"),0)</f>
        <v>0</v>
      </c>
      <c r="H51" s="10"/>
      <c r="I51" s="10"/>
      <c r="J51" s="20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0"/>
      <c r="B52" s="21"/>
      <c r="C52" s="10"/>
      <c r="D52" s="10"/>
      <c r="E52" s="10"/>
      <c r="F52" s="11"/>
      <c r="G52" s="22">
        <f>IFERROR(SUMIFS(Transactions!$F$7:$F$996,Transactions!$G$7:$G$996,A52,Transactions!$D$7:$D$996,"Expense"),0)</f>
        <v>0</v>
      </c>
      <c r="H52" s="10"/>
      <c r="I52" s="10"/>
      <c r="J52" s="18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0"/>
      <c r="B53" s="21"/>
      <c r="C53" s="10"/>
      <c r="D53" s="10"/>
      <c r="E53" s="10"/>
      <c r="F53" s="11"/>
      <c r="G53" s="22">
        <f>IFERROR(SUMIFS(Transactions!$F$7:$F$996,Transactions!$G$7:$G$996,A53,Transactions!$D$7:$D$996,"Expense"),0)</f>
        <v>0</v>
      </c>
      <c r="H53" s="10"/>
      <c r="I53" s="10"/>
      <c r="J53" s="20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0"/>
      <c r="B54" s="21"/>
      <c r="C54" s="10"/>
      <c r="D54" s="10"/>
      <c r="E54" s="10"/>
      <c r="F54" s="11"/>
      <c r="G54" s="22">
        <f>IFERROR(SUMIFS(Transactions!$F$7:$F$996,Transactions!$G$7:$G$996,A54,Transactions!$D$7:$D$996,"Expense"),0)</f>
        <v>0</v>
      </c>
      <c r="H54" s="10"/>
      <c r="I54" s="10"/>
      <c r="J54" s="18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0"/>
      <c r="B55" s="21"/>
      <c r="C55" s="10"/>
      <c r="D55" s="10"/>
      <c r="E55" s="10"/>
      <c r="F55" s="11"/>
      <c r="G55" s="22">
        <f>IFERROR(SUMIFS(Transactions!$F$7:$F$996,Transactions!$G$7:$G$996,A55,Transactions!$D$7:$D$996,"Expense"),0)</f>
        <v>0</v>
      </c>
      <c r="H55" s="10"/>
      <c r="I55" s="10"/>
      <c r="J55" s="20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0"/>
      <c r="B56" s="21"/>
      <c r="C56" s="10"/>
      <c r="D56" s="10"/>
      <c r="E56" s="10"/>
      <c r="F56" s="11"/>
      <c r="G56" s="22">
        <f>IFERROR(SUMIFS(Transactions!$F$7:$F$996,Transactions!$G$7:$G$996,A56,Transactions!$D$7:$D$996,"Expense"),0)</f>
        <v>0</v>
      </c>
      <c r="H56" s="10"/>
      <c r="I56" s="10"/>
      <c r="J56" s="18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0"/>
      <c r="B57" s="21"/>
      <c r="C57" s="10"/>
      <c r="D57" s="10"/>
      <c r="E57" s="10"/>
      <c r="F57" s="11"/>
      <c r="G57" s="22">
        <f>IFERROR(SUMIFS(Transactions!$F$7:$F$996,Transactions!$G$7:$G$996,A57,Transactions!$D$7:$D$996,"Expense"),0)</f>
        <v>0</v>
      </c>
      <c r="H57" s="10"/>
      <c r="I57" s="10"/>
      <c r="J57" s="20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0"/>
      <c r="B58" s="21"/>
      <c r="C58" s="10"/>
      <c r="D58" s="10"/>
      <c r="E58" s="10"/>
      <c r="F58" s="11"/>
      <c r="G58" s="22">
        <f>IFERROR(SUMIFS(Transactions!$F$7:$F$996,Transactions!$G$7:$G$996,A58,Transactions!$D$7:$D$996,"Expense"),0)</f>
        <v>0</v>
      </c>
      <c r="H58" s="10"/>
      <c r="I58" s="10"/>
      <c r="J58" s="18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0"/>
      <c r="B59" s="21"/>
      <c r="C59" s="10"/>
      <c r="D59" s="10"/>
      <c r="E59" s="10"/>
      <c r="F59" s="11"/>
      <c r="G59" s="22">
        <f>IFERROR(SUMIFS(Transactions!$F$7:$F$996,Transactions!$G$7:$G$996,A59,Transactions!$D$7:$D$996,"Expense"),0)</f>
        <v>0</v>
      </c>
      <c r="H59" s="10"/>
      <c r="I59" s="10"/>
      <c r="J59" s="20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0"/>
      <c r="B60" s="21"/>
      <c r="C60" s="10"/>
      <c r="D60" s="10"/>
      <c r="E60" s="10"/>
      <c r="F60" s="11"/>
      <c r="G60" s="22">
        <f>IFERROR(SUMIFS(Transactions!$F$7:$F$996,Transactions!$G$7:$G$996,A60,Transactions!$D$7:$D$996,"Expense"),0)</f>
        <v>0</v>
      </c>
      <c r="H60" s="10"/>
      <c r="I60" s="10"/>
      <c r="J60" s="18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0"/>
      <c r="B61" s="21"/>
      <c r="C61" s="10"/>
      <c r="D61" s="10"/>
      <c r="E61" s="10"/>
      <c r="F61" s="11"/>
      <c r="G61" s="22">
        <f>IFERROR(SUMIFS(Transactions!$F$7:$F$996,Transactions!$G$7:$G$996,A61,Transactions!$D$7:$D$996,"Expense"),0)</f>
        <v>0</v>
      </c>
      <c r="H61" s="10"/>
      <c r="I61" s="10"/>
      <c r="J61" s="20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0"/>
      <c r="B62" s="21"/>
      <c r="C62" s="10"/>
      <c r="D62" s="10"/>
      <c r="E62" s="10"/>
      <c r="F62" s="11"/>
      <c r="G62" s="22">
        <f>IFERROR(SUMIFS(Transactions!$F$7:$F$996,Transactions!$G$7:$G$996,A62,Transactions!$D$7:$D$996,"Expense"),0)</f>
        <v>0</v>
      </c>
      <c r="H62" s="10"/>
      <c r="I62" s="10"/>
      <c r="J62" s="18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0"/>
      <c r="B63" s="21"/>
      <c r="C63" s="10"/>
      <c r="D63" s="10"/>
      <c r="E63" s="10"/>
      <c r="F63" s="11"/>
      <c r="G63" s="22">
        <f>IFERROR(SUMIFS(Transactions!$F$7:$F$996,Transactions!$G$7:$G$996,A63,Transactions!$D$7:$D$996,"Expense"),0)</f>
        <v>0</v>
      </c>
      <c r="H63" s="10"/>
      <c r="I63" s="10"/>
      <c r="J63" s="20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0"/>
      <c r="B64" s="21"/>
      <c r="C64" s="10"/>
      <c r="D64" s="10"/>
      <c r="E64" s="10"/>
      <c r="F64" s="11"/>
      <c r="G64" s="22">
        <f>IFERROR(SUMIFS(Transactions!$F$7:$F$996,Transactions!$G$7:$G$996,A64,Transactions!$D$7:$D$996,"Expense"),0)</f>
        <v>0</v>
      </c>
      <c r="H64" s="10"/>
      <c r="I64" s="10"/>
      <c r="J64" s="18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0"/>
      <c r="B65" s="21"/>
      <c r="C65" s="10"/>
      <c r="D65" s="10"/>
      <c r="E65" s="10"/>
      <c r="F65" s="11"/>
      <c r="G65" s="22">
        <f>IFERROR(SUMIFS(Transactions!$F$7:$F$996,Transactions!$G$7:$G$996,A65,Transactions!$D$7:$D$996,"Expense"),0)</f>
        <v>0</v>
      </c>
      <c r="H65" s="10"/>
      <c r="I65" s="10"/>
      <c r="J65" s="20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0"/>
      <c r="B66" s="21"/>
      <c r="C66" s="10"/>
      <c r="D66" s="10"/>
      <c r="E66" s="10"/>
      <c r="F66" s="11"/>
      <c r="G66" s="22">
        <f>IFERROR(SUMIFS(Transactions!$F$7:$F$996,Transactions!$G$7:$G$996,A66,Transactions!$D$7:$D$996,"Expense"),0)</f>
        <v>0</v>
      </c>
      <c r="H66" s="10"/>
      <c r="I66" s="10"/>
      <c r="J66" s="18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0"/>
      <c r="B67" s="21"/>
      <c r="C67" s="10"/>
      <c r="D67" s="10"/>
      <c r="E67" s="10"/>
      <c r="F67" s="11"/>
      <c r="G67" s="22">
        <f>IFERROR(SUMIFS(Transactions!$F$7:$F$996,Transactions!$G$7:$G$996,A67,Transactions!$D$7:$D$996,"Expense"),0)</f>
        <v>0</v>
      </c>
      <c r="H67" s="10"/>
      <c r="I67" s="10"/>
      <c r="J67" s="20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0"/>
      <c r="B68" s="21"/>
      <c r="C68" s="10"/>
      <c r="D68" s="10"/>
      <c r="E68" s="10"/>
      <c r="F68" s="11"/>
      <c r="G68" s="22">
        <f>IFERROR(SUMIFS(Transactions!$F$7:$F$996,Transactions!$G$7:$G$996,A68,Transactions!$D$7:$D$996,"Expense"),0)</f>
        <v>0</v>
      </c>
      <c r="H68" s="10"/>
      <c r="I68" s="10"/>
      <c r="J68" s="18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0"/>
      <c r="B69" s="21"/>
      <c r="C69" s="10"/>
      <c r="D69" s="10"/>
      <c r="E69" s="10"/>
      <c r="F69" s="11"/>
      <c r="G69" s="22">
        <f>IFERROR(SUMIFS(Transactions!$F$7:$F$996,Transactions!$G$7:$G$996,A69,Transactions!$D$7:$D$996,"Expense"),0)</f>
        <v>0</v>
      </c>
      <c r="H69" s="10"/>
      <c r="I69" s="10"/>
      <c r="J69" s="20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0"/>
      <c r="B70" s="21"/>
      <c r="C70" s="10"/>
      <c r="D70" s="10"/>
      <c r="E70" s="10"/>
      <c r="F70" s="11"/>
      <c r="G70" s="22">
        <f>IFERROR(SUMIFS(Transactions!$F$7:$F$996,Transactions!$G$7:$G$996,A70,Transactions!$D$7:$D$996,"Expense"),0)</f>
        <v>0</v>
      </c>
      <c r="H70" s="10"/>
      <c r="I70" s="10"/>
      <c r="J70" s="18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0"/>
      <c r="B71" s="21"/>
      <c r="C71" s="10"/>
      <c r="D71" s="10"/>
      <c r="E71" s="10"/>
      <c r="F71" s="11"/>
      <c r="G71" s="22">
        <f>IFERROR(SUMIFS(Transactions!$F$7:$F$996,Transactions!$G$7:$G$996,A71,Transactions!$D$7:$D$996,"Expense"),0)</f>
        <v>0</v>
      </c>
      <c r="H71" s="10"/>
      <c r="I71" s="10"/>
      <c r="J71" s="20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0"/>
      <c r="B72" s="21"/>
      <c r="C72" s="10"/>
      <c r="D72" s="10"/>
      <c r="E72" s="10"/>
      <c r="F72" s="11"/>
      <c r="G72" s="22">
        <f>IFERROR(SUMIFS(Transactions!$F$7:$F$996,Transactions!$G$7:$G$996,A72,Transactions!$D$7:$D$996,"Expense"),0)</f>
        <v>0</v>
      </c>
      <c r="H72" s="10"/>
      <c r="I72" s="10"/>
      <c r="J72" s="18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0"/>
      <c r="B73" s="21"/>
      <c r="C73" s="10"/>
      <c r="D73" s="10"/>
      <c r="E73" s="10"/>
      <c r="F73" s="11"/>
      <c r="G73" s="22">
        <f>IFERROR(SUMIFS(Transactions!$F$7:$F$996,Transactions!$G$7:$G$996,A73,Transactions!$D$7:$D$996,"Expense"),0)</f>
        <v>0</v>
      </c>
      <c r="H73" s="10"/>
      <c r="I73" s="10"/>
      <c r="J73" s="20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0"/>
      <c r="B74" s="21"/>
      <c r="C74" s="10"/>
      <c r="D74" s="10"/>
      <c r="E74" s="10"/>
      <c r="F74" s="11"/>
      <c r="G74" s="22">
        <f>IFERROR(SUMIFS(Transactions!$F$7:$F$996,Transactions!$G$7:$G$996,A74,Transactions!$D$7:$D$996,"Expense"),0)</f>
        <v>0</v>
      </c>
      <c r="H74" s="10"/>
      <c r="I74" s="10"/>
      <c r="J74" s="1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0"/>
      <c r="B75" s="21"/>
      <c r="C75" s="10"/>
      <c r="D75" s="10"/>
      <c r="E75" s="10"/>
      <c r="F75" s="11"/>
      <c r="G75" s="22">
        <f>IFERROR(SUMIFS(Transactions!$F$7:$F$996,Transactions!$G$7:$G$996,A75,Transactions!$D$7:$D$996,"Expense"),0)</f>
        <v>0</v>
      </c>
      <c r="H75" s="10"/>
      <c r="I75" s="10"/>
      <c r="J75" s="20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0"/>
      <c r="B76" s="21"/>
      <c r="C76" s="10"/>
      <c r="D76" s="10"/>
      <c r="E76" s="10"/>
      <c r="F76" s="11"/>
      <c r="G76" s="22">
        <f>IFERROR(SUMIFS(Transactions!$F$7:$F$996,Transactions!$G$7:$G$996,A76,Transactions!$D$7:$D$996,"Expense"),0)</f>
        <v>0</v>
      </c>
      <c r="H76" s="10"/>
      <c r="I76" s="10"/>
      <c r="J76" s="1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0"/>
      <c r="B77" s="21"/>
      <c r="C77" s="10"/>
      <c r="D77" s="10"/>
      <c r="E77" s="10"/>
      <c r="F77" s="11"/>
      <c r="G77" s="22">
        <f>IFERROR(SUMIFS(Transactions!$F$7:$F$996,Transactions!$G$7:$G$996,A77,Transactions!$D$7:$D$996,"Expense"),0)</f>
        <v>0</v>
      </c>
      <c r="H77" s="10"/>
      <c r="I77" s="10"/>
      <c r="J77" s="20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0"/>
      <c r="B78" s="21"/>
      <c r="C78" s="10"/>
      <c r="D78" s="10"/>
      <c r="E78" s="10"/>
      <c r="F78" s="11"/>
      <c r="G78" s="22">
        <f>IFERROR(SUMIFS(Transactions!$F$7:$F$996,Transactions!$G$7:$G$996,A78,Transactions!$D$7:$D$996,"Expense"),0)</f>
        <v>0</v>
      </c>
      <c r="H78" s="10"/>
      <c r="I78" s="10"/>
      <c r="J78" s="1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0"/>
      <c r="B79" s="21"/>
      <c r="C79" s="10"/>
      <c r="D79" s="10"/>
      <c r="E79" s="10"/>
      <c r="F79" s="11"/>
      <c r="G79" s="22">
        <f>IFERROR(SUMIFS(Transactions!$F$7:$F$996,Transactions!$G$7:$G$996,A79,Transactions!$D$7:$D$996,"Expense"),0)</f>
        <v>0</v>
      </c>
      <c r="H79" s="10"/>
      <c r="I79" s="10"/>
      <c r="J79" s="20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0"/>
      <c r="B80" s="21"/>
      <c r="C80" s="10"/>
      <c r="D80" s="10"/>
      <c r="E80" s="10"/>
      <c r="F80" s="11"/>
      <c r="G80" s="22">
        <f>IFERROR(SUMIFS(Transactions!$F$7:$F$996,Transactions!$G$7:$G$996,A80,Transactions!$D$7:$D$996,"Expense"),0)</f>
        <v>0</v>
      </c>
      <c r="H80" s="10"/>
      <c r="I80" s="10"/>
      <c r="J80" s="18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0"/>
      <c r="B81" s="21"/>
      <c r="C81" s="10"/>
      <c r="D81" s="10"/>
      <c r="E81" s="10"/>
      <c r="F81" s="11"/>
      <c r="G81" s="22">
        <f>IFERROR(SUMIFS(Transactions!$F$7:$F$996,Transactions!$G$7:$G$996,A81,Transactions!$D$7:$D$996,"Expense"),0)</f>
        <v>0</v>
      </c>
      <c r="H81" s="10"/>
      <c r="I81" s="10"/>
      <c r="J81" s="20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0"/>
      <c r="B82" s="21"/>
      <c r="C82" s="10"/>
      <c r="D82" s="10"/>
      <c r="E82" s="10"/>
      <c r="F82" s="11"/>
      <c r="G82" s="22">
        <f>IFERROR(SUMIFS(Transactions!$F$7:$F$996,Transactions!$G$7:$G$996,A82,Transactions!$D$7:$D$996,"Expense"),0)</f>
        <v>0</v>
      </c>
      <c r="H82" s="10"/>
      <c r="I82" s="10"/>
      <c r="J82" s="18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0"/>
      <c r="B83" s="21"/>
      <c r="C83" s="10"/>
      <c r="D83" s="10"/>
      <c r="E83" s="10"/>
      <c r="F83" s="11"/>
      <c r="G83" s="22">
        <f>IFERROR(SUMIFS(Transactions!$F$7:$F$996,Transactions!$G$7:$G$996,A83,Transactions!$D$7:$D$996,"Expense"),0)</f>
        <v>0</v>
      </c>
      <c r="H83" s="10"/>
      <c r="I83" s="10"/>
      <c r="J83" s="20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0"/>
      <c r="B84" s="21"/>
      <c r="C84" s="10"/>
      <c r="D84" s="10"/>
      <c r="E84" s="10"/>
      <c r="F84" s="11"/>
      <c r="G84" s="22">
        <f>IFERROR(SUMIFS(Transactions!$F$7:$F$996,Transactions!$G$7:$G$996,A84,Transactions!$D$7:$D$996,"Expense"),0)</f>
        <v>0</v>
      </c>
      <c r="H84" s="10"/>
      <c r="I84" s="10"/>
      <c r="J84" s="18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0"/>
      <c r="B85" s="21"/>
      <c r="C85" s="10"/>
      <c r="D85" s="10"/>
      <c r="E85" s="10"/>
      <c r="F85" s="11"/>
      <c r="G85" s="22">
        <f>IFERROR(SUMIFS(Transactions!$F$7:$F$996,Transactions!$G$7:$G$996,A85,Transactions!$D$7:$D$996,"Expense"),0)</f>
        <v>0</v>
      </c>
      <c r="H85" s="10"/>
      <c r="I85" s="10"/>
      <c r="J85" s="20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0"/>
      <c r="B86" s="21"/>
      <c r="C86" s="10"/>
      <c r="D86" s="10"/>
      <c r="E86" s="10"/>
      <c r="F86" s="11"/>
      <c r="G86" s="22">
        <f>IFERROR(SUMIFS(Transactions!$F$7:$F$996,Transactions!$G$7:$G$996,A86,Transactions!$D$7:$D$996,"Expense"),0)</f>
        <v>0</v>
      </c>
      <c r="H86" s="10"/>
      <c r="I86" s="10"/>
      <c r="J86" s="18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0"/>
      <c r="B87" s="21"/>
      <c r="C87" s="10"/>
      <c r="D87" s="10"/>
      <c r="E87" s="10"/>
      <c r="F87" s="11"/>
      <c r="G87" s="22">
        <f>IFERROR(SUMIFS(Transactions!$F$7:$F$996,Transactions!$G$7:$G$996,A87,Transactions!$D$7:$D$996,"Expense"),0)</f>
        <v>0</v>
      </c>
      <c r="H87" s="10"/>
      <c r="I87" s="10"/>
      <c r="J87" s="20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0"/>
      <c r="B88" s="21"/>
      <c r="C88" s="10"/>
      <c r="D88" s="10"/>
      <c r="E88" s="10"/>
      <c r="F88" s="11"/>
      <c r="G88" s="22">
        <f>IFERROR(SUMIFS(Transactions!$F$7:$F$996,Transactions!$G$7:$G$996,A88,Transactions!$D$7:$D$996,"Expense"),0)</f>
        <v>0</v>
      </c>
      <c r="H88" s="10"/>
      <c r="I88" s="10"/>
      <c r="J88" s="18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0"/>
      <c r="B89" s="21"/>
      <c r="C89" s="10"/>
      <c r="D89" s="10"/>
      <c r="E89" s="10"/>
      <c r="F89" s="11"/>
      <c r="G89" s="22">
        <f>IFERROR(SUMIFS(Transactions!$F$7:$F$996,Transactions!$G$7:$G$996,A89,Transactions!$D$7:$D$996,"Expense"),0)</f>
        <v>0</v>
      </c>
      <c r="H89" s="10"/>
      <c r="I89" s="10"/>
      <c r="J89" s="20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0"/>
      <c r="B90" s="21"/>
      <c r="C90" s="10"/>
      <c r="D90" s="10"/>
      <c r="E90" s="10"/>
      <c r="F90" s="11"/>
      <c r="G90" s="22">
        <f>IFERROR(SUMIFS(Transactions!$F$7:$F$996,Transactions!$G$7:$G$996,A90,Transactions!$D$7:$D$996,"Expense"),0)</f>
        <v>0</v>
      </c>
      <c r="H90" s="10"/>
      <c r="I90" s="10"/>
      <c r="J90" s="18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0"/>
      <c r="B91" s="21"/>
      <c r="C91" s="10"/>
      <c r="D91" s="10"/>
      <c r="E91" s="10"/>
      <c r="F91" s="11"/>
      <c r="G91" s="22">
        <f>IFERROR(SUMIFS(Transactions!$F$7:$F$996,Transactions!$G$7:$G$996,A91,Transactions!$D$7:$D$996,"Expense"),0)</f>
        <v>0</v>
      </c>
      <c r="H91" s="10"/>
      <c r="I91" s="10"/>
      <c r="J91" s="20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0"/>
      <c r="B92" s="21"/>
      <c r="C92" s="10"/>
      <c r="D92" s="10"/>
      <c r="E92" s="10"/>
      <c r="F92" s="11"/>
      <c r="G92" s="22">
        <f>IFERROR(SUMIFS(Transactions!$F$7:$F$996,Transactions!$G$7:$G$996,A92,Transactions!$D$7:$D$996,"Expense"),0)</f>
        <v>0</v>
      </c>
      <c r="H92" s="10"/>
      <c r="I92" s="10"/>
      <c r="J92" s="18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0"/>
      <c r="B93" s="21"/>
      <c r="C93" s="10"/>
      <c r="D93" s="10"/>
      <c r="E93" s="10"/>
      <c r="F93" s="11"/>
      <c r="G93" s="22">
        <f>IFERROR(SUMIFS(Transactions!$F$7:$F$996,Transactions!$G$7:$G$996,A93,Transactions!$D$7:$D$996,"Expense"),0)</f>
        <v>0</v>
      </c>
      <c r="H93" s="10"/>
      <c r="I93" s="10"/>
      <c r="J93" s="20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0"/>
      <c r="B94" s="21"/>
      <c r="C94" s="10"/>
      <c r="D94" s="10"/>
      <c r="E94" s="10"/>
      <c r="F94" s="11"/>
      <c r="G94" s="22">
        <f>IFERROR(SUMIFS(Transactions!$F$7:$F$996,Transactions!$G$7:$G$996,A94,Transactions!$D$7:$D$996,"Expense"),0)</f>
        <v>0</v>
      </c>
      <c r="H94" s="10"/>
      <c r="I94" s="10"/>
      <c r="J94" s="18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0"/>
      <c r="B95" s="21"/>
      <c r="C95" s="10"/>
      <c r="D95" s="10"/>
      <c r="E95" s="10"/>
      <c r="F95" s="11"/>
      <c r="G95" s="22">
        <f>IFERROR(SUMIFS(Transactions!$F$7:$F$996,Transactions!$G$7:$G$996,A95,Transactions!$D$7:$D$996,"Expense"),0)</f>
        <v>0</v>
      </c>
      <c r="H95" s="10"/>
      <c r="I95" s="10"/>
      <c r="J95" s="20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0"/>
      <c r="B96" s="21"/>
      <c r="C96" s="10"/>
      <c r="D96" s="10"/>
      <c r="E96" s="10"/>
      <c r="F96" s="11"/>
      <c r="G96" s="22">
        <f>IFERROR(SUMIFS(Transactions!$F$7:$F$996,Transactions!$G$7:$G$996,A96,Transactions!$D$7:$D$996,"Expense"),0)</f>
        <v>0</v>
      </c>
      <c r="H96" s="10"/>
      <c r="I96" s="10"/>
      <c r="J96" s="18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0"/>
      <c r="B97" s="21"/>
      <c r="C97" s="10"/>
      <c r="D97" s="10"/>
      <c r="E97" s="10"/>
      <c r="F97" s="11"/>
      <c r="G97" s="22">
        <f>IFERROR(SUMIFS(Transactions!$F$7:$F$996,Transactions!$G$7:$G$996,A97,Transactions!$D$7:$D$996,"Expense"),0)</f>
        <v>0</v>
      </c>
      <c r="H97" s="10"/>
      <c r="I97" s="10"/>
      <c r="J97" s="20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0"/>
      <c r="B98" s="21"/>
      <c r="C98" s="10"/>
      <c r="D98" s="10"/>
      <c r="E98" s="10"/>
      <c r="F98" s="11"/>
      <c r="G98" s="22">
        <f>IFERROR(SUMIFS(Transactions!$F$7:$F$996,Transactions!$G$7:$G$996,A98,Transactions!$D$7:$D$996,"Expense"),0)</f>
        <v>0</v>
      </c>
      <c r="H98" s="10"/>
      <c r="I98" s="10"/>
      <c r="J98" s="18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0"/>
      <c r="B99" s="21"/>
      <c r="C99" s="10"/>
      <c r="D99" s="10"/>
      <c r="E99" s="10"/>
      <c r="F99" s="11"/>
      <c r="G99" s="22">
        <f>IFERROR(SUMIFS(Transactions!$F$7:$F$996,Transactions!$G$7:$G$996,A99,Transactions!$D$7:$D$996,"Expense"),0)</f>
        <v>0</v>
      </c>
      <c r="H99" s="10"/>
      <c r="I99" s="10"/>
      <c r="J99" s="20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0"/>
      <c r="B100" s="21"/>
      <c r="C100" s="10"/>
      <c r="D100" s="10"/>
      <c r="E100" s="10"/>
      <c r="F100" s="11"/>
      <c r="G100" s="22">
        <f>IFERROR(SUMIFS(Transactions!$F$7:$F$996,Transactions!$G$7:$G$996,A100,Transactions!$D$7:$D$996,"Expense"),0)</f>
        <v>0</v>
      </c>
      <c r="H100" s="10"/>
      <c r="I100" s="10"/>
      <c r="J100" s="18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0"/>
      <c r="B101" s="21"/>
      <c r="C101" s="10"/>
      <c r="D101" s="10"/>
      <c r="E101" s="10"/>
      <c r="F101" s="11"/>
      <c r="G101" s="22">
        <f>IFERROR(SUMIFS(Transactions!$F$7:$F$996,Transactions!$G$7:$G$996,A101,Transactions!$D$7:$D$996,"Expense"),0)</f>
        <v>0</v>
      </c>
      <c r="H101" s="10"/>
      <c r="I101" s="10"/>
      <c r="J101" s="20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0"/>
      <c r="B102" s="21"/>
      <c r="C102" s="10"/>
      <c r="D102" s="10"/>
      <c r="E102" s="10"/>
      <c r="F102" s="11"/>
      <c r="G102" s="22">
        <f>IFERROR(SUMIFS(Transactions!$F$7:$F$996,Transactions!$G$7:$G$996,A102,Transactions!$D$7:$D$996,"Expense"),0)</f>
        <v>0</v>
      </c>
      <c r="H102" s="10"/>
      <c r="I102" s="10"/>
      <c r="J102" s="18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0"/>
      <c r="B103" s="21"/>
      <c r="C103" s="10"/>
      <c r="D103" s="10"/>
      <c r="E103" s="10"/>
      <c r="F103" s="11"/>
      <c r="G103" s="22">
        <f>IFERROR(SUMIFS(Transactions!$F$7:$F$996,Transactions!$G$7:$G$996,A103,Transactions!$D$7:$D$996,"Expense"),0)</f>
        <v>0</v>
      </c>
      <c r="H103" s="10"/>
      <c r="I103" s="10"/>
      <c r="J103" s="20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0"/>
      <c r="B104" s="21"/>
      <c r="C104" s="10"/>
      <c r="D104" s="10"/>
      <c r="E104" s="10"/>
      <c r="F104" s="11"/>
      <c r="G104" s="22">
        <f>IFERROR(SUMIFS(Transactions!$F$7:$F$996,Transactions!$G$7:$G$996,A104,Transactions!$D$7:$D$996,"Expense"),0)</f>
        <v>0</v>
      </c>
      <c r="H104" s="10"/>
      <c r="I104" s="10"/>
      <c r="J104" s="10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0"/>
      <c r="B105" s="21"/>
      <c r="C105" s="10"/>
      <c r="D105" s="10"/>
      <c r="E105" s="10"/>
      <c r="F105" s="11"/>
      <c r="G105" s="22">
        <f>IFERROR(SUMIFS(Transactions!$F$7:$F$996,Transactions!$G$7:$G$996,A105,Transactions!$D$7:$D$996,"Expense"),0)</f>
        <v>0</v>
      </c>
      <c r="H105" s="10"/>
      <c r="I105" s="10"/>
      <c r="J105" s="10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0"/>
      <c r="B106" s="21"/>
      <c r="C106" s="10"/>
      <c r="D106" s="10"/>
      <c r="E106" s="10"/>
      <c r="F106" s="11"/>
      <c r="G106" s="22">
        <f>IFERROR(SUMIFS(Transactions!$F$7:$F$996,Transactions!$G$7:$G$996,A106,Transactions!$D$7:$D$996,"Expense"),0)</f>
        <v>0</v>
      </c>
      <c r="H106" s="10"/>
      <c r="I106" s="10"/>
      <c r="J106" s="10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0"/>
      <c r="B107" s="21"/>
      <c r="C107" s="10"/>
      <c r="D107" s="10"/>
      <c r="E107" s="10"/>
      <c r="F107" s="11"/>
      <c r="G107" s="22">
        <f>IFERROR(SUMIFS(Transactions!$F$7:$F$996,Transactions!$G$7:$G$996,A107,Transactions!$D$7:$D$996,"Expense"),0)</f>
        <v>0</v>
      </c>
      <c r="H107" s="10"/>
      <c r="I107" s="10"/>
      <c r="J107" s="10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0"/>
      <c r="B108" s="21"/>
      <c r="C108" s="10"/>
      <c r="D108" s="10"/>
      <c r="E108" s="10"/>
      <c r="F108" s="11"/>
      <c r="G108" s="22">
        <f>IFERROR(SUMIFS(Transactions!$F$7:$F$996,Transactions!$G$7:$G$996,A108,Transactions!$D$7:$D$996,"Expense"),0)</f>
        <v>0</v>
      </c>
      <c r="H108" s="10"/>
      <c r="I108" s="10"/>
      <c r="J108" s="10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0"/>
      <c r="B109" s="21"/>
      <c r="C109" s="10"/>
      <c r="D109" s="10"/>
      <c r="E109" s="10"/>
      <c r="F109" s="11"/>
      <c r="G109" s="22">
        <f>IFERROR(SUMIFS(Transactions!$F$7:$F$996,Transactions!$G$7:$G$996,A109,Transactions!$D$7:$D$996,"Expense"),0)</f>
        <v>0</v>
      </c>
      <c r="H109" s="10"/>
      <c r="I109" s="10"/>
      <c r="J109" s="10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0"/>
      <c r="B110" s="21"/>
      <c r="C110" s="10"/>
      <c r="D110" s="10"/>
      <c r="E110" s="10"/>
      <c r="F110" s="11"/>
      <c r="G110" s="22">
        <f>IFERROR(SUMIFS(Transactions!$F$7:$F$996,Transactions!$G$7:$G$996,A110,Transactions!$D$7:$D$996,"Expense"),0)</f>
        <v>0</v>
      </c>
      <c r="H110" s="10"/>
      <c r="I110" s="10"/>
      <c r="J110" s="10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0"/>
      <c r="B111" s="21"/>
      <c r="C111" s="10"/>
      <c r="D111" s="10"/>
      <c r="E111" s="10"/>
      <c r="F111" s="11"/>
      <c r="G111" s="22">
        <f>IFERROR(SUMIFS(Transactions!$F$7:$F$996,Transactions!$G$7:$G$996,A111,Transactions!$D$7:$D$996,"Expense"),0)</f>
        <v>0</v>
      </c>
      <c r="H111" s="10"/>
      <c r="I111" s="10"/>
      <c r="J111" s="10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0"/>
      <c r="B112" s="21"/>
      <c r="C112" s="10"/>
      <c r="D112" s="10"/>
      <c r="E112" s="10"/>
      <c r="F112" s="11"/>
      <c r="G112" s="22">
        <f>IFERROR(SUMIFS(Transactions!$F$7:$F$996,Transactions!$G$7:$G$996,A112,Transactions!$D$7:$D$996,"Expense"),0)</f>
        <v>0</v>
      </c>
      <c r="H112" s="10"/>
      <c r="I112" s="10"/>
      <c r="J112" s="10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0"/>
      <c r="B113" s="21"/>
      <c r="C113" s="10"/>
      <c r="D113" s="10"/>
      <c r="E113" s="10"/>
      <c r="F113" s="11"/>
      <c r="G113" s="22">
        <f>IFERROR(SUMIFS(Transactions!$F$7:$F$996,Transactions!$G$7:$G$996,A113,Transactions!$D$7:$D$996,"Expense"),0)</f>
        <v>0</v>
      </c>
      <c r="H113" s="10"/>
      <c r="I113" s="10"/>
      <c r="J113" s="10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0"/>
      <c r="B114" s="21"/>
      <c r="C114" s="10"/>
      <c r="D114" s="10"/>
      <c r="E114" s="10"/>
      <c r="F114" s="11"/>
      <c r="G114" s="22">
        <f>IFERROR(SUMIFS(Transactions!$F$7:$F$996,Transactions!$G$7:$G$996,A114,Transactions!$D$7:$D$996,"Expense"),0)</f>
        <v>0</v>
      </c>
      <c r="H114" s="10"/>
      <c r="I114" s="10"/>
      <c r="J114" s="10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0"/>
      <c r="B115" s="21"/>
      <c r="C115" s="10"/>
      <c r="D115" s="10"/>
      <c r="E115" s="10"/>
      <c r="F115" s="11"/>
      <c r="G115" s="22">
        <f>IFERROR(SUMIFS(Transactions!$F$7:$F$996,Transactions!$G$7:$G$996,A115,Transactions!$D$7:$D$996,"Expense"),0)</f>
        <v>0</v>
      </c>
      <c r="H115" s="10"/>
      <c r="I115" s="10"/>
      <c r="J115" s="10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0"/>
      <c r="B116" s="21"/>
      <c r="C116" s="10"/>
      <c r="D116" s="10"/>
      <c r="E116" s="10"/>
      <c r="F116" s="11"/>
      <c r="G116" s="22">
        <f>IFERROR(SUMIFS(Transactions!$F$7:$F$996,Transactions!$G$7:$G$996,A116,Transactions!$D$7:$D$996,"Expense"),0)</f>
        <v>0</v>
      </c>
      <c r="H116" s="10"/>
      <c r="I116" s="10"/>
      <c r="J116" s="10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0"/>
      <c r="B117" s="21"/>
      <c r="C117" s="10"/>
      <c r="D117" s="10"/>
      <c r="E117" s="10"/>
      <c r="F117" s="11"/>
      <c r="G117" s="22">
        <f>IFERROR(SUMIFS(Transactions!$F$7:$F$996,Transactions!$G$7:$G$996,A117,Transactions!$D$7:$D$996,"Expense"),0)</f>
        <v>0</v>
      </c>
      <c r="H117" s="10"/>
      <c r="I117" s="10"/>
      <c r="J117" s="10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0"/>
      <c r="B118" s="21"/>
      <c r="C118" s="10"/>
      <c r="D118" s="10"/>
      <c r="E118" s="10"/>
      <c r="F118" s="11"/>
      <c r="G118" s="22">
        <f>IFERROR(SUMIFS(Transactions!$F$7:$F$996,Transactions!$G$7:$G$996,A118,Transactions!$D$7:$D$996,"Expense"),0)</f>
        <v>0</v>
      </c>
      <c r="H118" s="10"/>
      <c r="I118" s="10"/>
      <c r="J118" s="10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0"/>
      <c r="B119" s="21"/>
      <c r="C119" s="10"/>
      <c r="D119" s="10"/>
      <c r="E119" s="10"/>
      <c r="F119" s="11"/>
      <c r="G119" s="22">
        <f>IFERROR(SUMIFS(Transactions!$F$7:$F$996,Transactions!$G$7:$G$996,A119,Transactions!$D$7:$D$996,"Expense"),0)</f>
        <v>0</v>
      </c>
      <c r="H119" s="10"/>
      <c r="I119" s="10"/>
      <c r="J119" s="10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0"/>
      <c r="B120" s="21"/>
      <c r="C120" s="10"/>
      <c r="D120" s="10"/>
      <c r="E120" s="10"/>
      <c r="F120" s="11"/>
      <c r="G120" s="22">
        <f>IFERROR(SUMIFS(Transactions!$F$7:$F$996,Transactions!$G$7:$G$996,A120,Transactions!$D$7:$D$996,"Expense"),0)</f>
        <v>0</v>
      </c>
      <c r="H120" s="10"/>
      <c r="I120" s="10"/>
      <c r="J120" s="10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0"/>
      <c r="B121" s="21"/>
      <c r="C121" s="10"/>
      <c r="D121" s="10"/>
      <c r="E121" s="10"/>
      <c r="F121" s="11"/>
      <c r="G121" s="22">
        <f>IFERROR(SUMIFS(Transactions!$F$7:$F$996,Transactions!$G$7:$G$996,A121,Transactions!$D$7:$D$996,"Expense"),0)</f>
        <v>0</v>
      </c>
      <c r="H121" s="10"/>
      <c r="I121" s="10"/>
      <c r="J121" s="10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0"/>
      <c r="B122" s="21"/>
      <c r="C122" s="10"/>
      <c r="D122" s="10"/>
      <c r="E122" s="10"/>
      <c r="F122" s="11"/>
      <c r="G122" s="22">
        <f>IFERROR(SUMIFS(Transactions!$F$7:$F$996,Transactions!$G$7:$G$996,A122,Transactions!$D$7:$D$996,"Expense"),0)</f>
        <v>0</v>
      </c>
      <c r="H122" s="10"/>
      <c r="I122" s="10"/>
      <c r="J122" s="10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0"/>
      <c r="B123" s="21"/>
      <c r="C123" s="10"/>
      <c r="D123" s="10"/>
      <c r="E123" s="10"/>
      <c r="F123" s="11"/>
      <c r="G123" s="22">
        <f>IFERROR(SUMIFS(Transactions!$F$7:$F$996,Transactions!$G$7:$G$996,A123,Transactions!$D$7:$D$996,"Expense"),0)</f>
        <v>0</v>
      </c>
      <c r="H123" s="10"/>
      <c r="I123" s="10"/>
      <c r="J123" s="10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0"/>
      <c r="B124" s="21"/>
      <c r="C124" s="10"/>
      <c r="D124" s="10"/>
      <c r="E124" s="10"/>
      <c r="F124" s="11"/>
      <c r="G124" s="22">
        <f>IFERROR(SUMIFS(Transactions!$F$7:$F$996,Transactions!$G$7:$G$996,A124,Transactions!$D$7:$D$996,"Expense"),0)</f>
        <v>0</v>
      </c>
      <c r="H124" s="10"/>
      <c r="I124" s="10"/>
      <c r="J124" s="10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0"/>
      <c r="B125" s="21"/>
      <c r="C125" s="10"/>
      <c r="D125" s="10"/>
      <c r="E125" s="10"/>
      <c r="F125" s="11"/>
      <c r="G125" s="22">
        <f>IFERROR(SUMIFS(Transactions!$F$7:$F$996,Transactions!$G$7:$G$996,A125,Transactions!$D$7:$D$996,"Expense"),0)</f>
        <v>0</v>
      </c>
      <c r="H125" s="10"/>
      <c r="I125" s="10"/>
      <c r="J125" s="10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0"/>
      <c r="B126" s="21"/>
      <c r="C126" s="10"/>
      <c r="D126" s="10"/>
      <c r="E126" s="10"/>
      <c r="F126" s="11"/>
      <c r="G126" s="22">
        <f>IFERROR(SUMIFS(Transactions!$F$7:$F$996,Transactions!$G$7:$G$996,A126,Transactions!$D$7:$D$996,"Expense"),0)</f>
        <v>0</v>
      </c>
      <c r="H126" s="10"/>
      <c r="I126" s="10"/>
      <c r="J126" s="10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0"/>
      <c r="B127" s="21"/>
      <c r="C127" s="10"/>
      <c r="D127" s="10"/>
      <c r="E127" s="10"/>
      <c r="F127" s="11"/>
      <c r="G127" s="22">
        <f>IFERROR(SUMIFS(Transactions!$F$7:$F$996,Transactions!$G$7:$G$996,A127,Transactions!$D$7:$D$996,"Expense"),0)</f>
        <v>0</v>
      </c>
      <c r="H127" s="10"/>
      <c r="I127" s="10"/>
      <c r="J127" s="10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0"/>
      <c r="B128" s="21"/>
      <c r="C128" s="10"/>
      <c r="D128" s="10"/>
      <c r="E128" s="10"/>
      <c r="F128" s="11"/>
      <c r="G128" s="22">
        <f>IFERROR(SUMIFS(Transactions!$F$7:$F$996,Transactions!$G$7:$G$996,A128,Transactions!$D$7:$D$996,"Expense"),0)</f>
        <v>0</v>
      </c>
      <c r="H128" s="10"/>
      <c r="I128" s="10"/>
      <c r="J128" s="10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0"/>
      <c r="B129" s="21"/>
      <c r="C129" s="10"/>
      <c r="D129" s="10"/>
      <c r="E129" s="10"/>
      <c r="F129" s="11"/>
      <c r="G129" s="22">
        <f>IFERROR(SUMIFS(Transactions!$F$7:$F$996,Transactions!$G$7:$G$996,A129,Transactions!$D$7:$D$996,"Expense"),0)</f>
        <v>0</v>
      </c>
      <c r="H129" s="10"/>
      <c r="I129" s="10"/>
      <c r="J129" s="10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0"/>
      <c r="B130" s="21"/>
      <c r="C130" s="10"/>
      <c r="D130" s="10"/>
      <c r="E130" s="10"/>
      <c r="F130" s="11"/>
      <c r="G130" s="22">
        <f>IFERROR(SUMIFS(Transactions!$F$7:$F$996,Transactions!$G$7:$G$996,A130,Transactions!$D$7:$D$996,"Expense"),0)</f>
        <v>0</v>
      </c>
      <c r="H130" s="10"/>
      <c r="I130" s="10"/>
      <c r="J130" s="10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0"/>
      <c r="B131" s="21"/>
      <c r="C131" s="10"/>
      <c r="D131" s="10"/>
      <c r="E131" s="10"/>
      <c r="F131" s="11"/>
      <c r="G131" s="22">
        <f>IFERROR(SUMIFS(Transactions!$F$7:$F$996,Transactions!$G$7:$G$996,A131,Transactions!$D$7:$D$996,"Expense"),0)</f>
        <v>0</v>
      </c>
      <c r="H131" s="10"/>
      <c r="I131" s="10"/>
      <c r="J131" s="10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0"/>
      <c r="B132" s="21"/>
      <c r="C132" s="10"/>
      <c r="D132" s="10"/>
      <c r="E132" s="10"/>
      <c r="F132" s="11"/>
      <c r="G132" s="22">
        <f>IFERROR(SUMIFS(Transactions!$F$7:$F$996,Transactions!$G$7:$G$996,A132,Transactions!$D$7:$D$996,"Expense"),0)</f>
        <v>0</v>
      </c>
      <c r="H132" s="10"/>
      <c r="I132" s="10"/>
      <c r="J132" s="10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0"/>
      <c r="B133" s="21"/>
      <c r="C133" s="10"/>
      <c r="D133" s="10"/>
      <c r="E133" s="10"/>
      <c r="F133" s="11"/>
      <c r="G133" s="22">
        <f>IFERROR(SUMIFS(Transactions!$F$7:$F$996,Transactions!$G$7:$G$996,A133,Transactions!$D$7:$D$996,"Expense"),0)</f>
        <v>0</v>
      </c>
      <c r="H133" s="10"/>
      <c r="I133" s="10"/>
      <c r="J133" s="10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0"/>
      <c r="B134" s="21"/>
      <c r="C134" s="10"/>
      <c r="D134" s="10"/>
      <c r="E134" s="10"/>
      <c r="F134" s="11"/>
      <c r="G134" s="22">
        <f>IFERROR(SUMIFS(Transactions!$F$7:$F$996,Transactions!$G$7:$G$996,A134,Transactions!$D$7:$D$996,"Expense"),0)</f>
        <v>0</v>
      </c>
      <c r="H134" s="10"/>
      <c r="I134" s="10"/>
      <c r="J134" s="10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0"/>
      <c r="B135" s="21"/>
      <c r="C135" s="10"/>
      <c r="D135" s="10"/>
      <c r="E135" s="10"/>
      <c r="F135" s="11"/>
      <c r="G135" s="22">
        <f>IFERROR(SUMIFS(Transactions!$F$7:$F$996,Transactions!$G$7:$G$996,A135,Transactions!$D$7:$D$996,"Expense"),0)</f>
        <v>0</v>
      </c>
      <c r="H135" s="10"/>
      <c r="I135" s="10"/>
      <c r="J135" s="10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0"/>
      <c r="B136" s="21"/>
      <c r="C136" s="10"/>
      <c r="D136" s="10"/>
      <c r="E136" s="10"/>
      <c r="F136" s="11"/>
      <c r="G136" s="22">
        <f>IFERROR(SUMIFS(Transactions!$F$7:$F$996,Transactions!$G$7:$G$996,A136,Transactions!$D$7:$D$996,"Expense"),0)</f>
        <v>0</v>
      </c>
      <c r="H136" s="10"/>
      <c r="I136" s="10"/>
      <c r="J136" s="10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0"/>
      <c r="B137" s="21"/>
      <c r="C137" s="10"/>
      <c r="D137" s="10"/>
      <c r="E137" s="10"/>
      <c r="F137" s="11"/>
      <c r="G137" s="22">
        <f>IFERROR(SUMIFS(Transactions!$F$7:$F$996,Transactions!$G$7:$G$996,A137,Transactions!$D$7:$D$996,"Expense"),0)</f>
        <v>0</v>
      </c>
      <c r="H137" s="10"/>
      <c r="I137" s="10"/>
      <c r="J137" s="10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0"/>
      <c r="B138" s="21"/>
      <c r="C138" s="10"/>
      <c r="D138" s="10"/>
      <c r="E138" s="10"/>
      <c r="F138" s="11"/>
      <c r="G138" s="22">
        <f>IFERROR(SUMIFS(Transactions!$F$7:$F$996,Transactions!$G$7:$G$996,A138,Transactions!$D$7:$D$996,"Expense"),0)</f>
        <v>0</v>
      </c>
      <c r="H138" s="10"/>
      <c r="I138" s="10"/>
      <c r="J138" s="10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0"/>
      <c r="B139" s="21"/>
      <c r="C139" s="10"/>
      <c r="D139" s="10"/>
      <c r="E139" s="10"/>
      <c r="F139" s="11"/>
      <c r="G139" s="22">
        <f>IFERROR(SUMIFS(Transactions!$F$7:$F$996,Transactions!$G$7:$G$996,A139,Transactions!$D$7:$D$996,"Expense"),0)</f>
        <v>0</v>
      </c>
      <c r="H139" s="10"/>
      <c r="I139" s="10"/>
      <c r="J139" s="10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0"/>
      <c r="B140" s="21"/>
      <c r="C140" s="10"/>
      <c r="D140" s="10"/>
      <c r="E140" s="10"/>
      <c r="F140" s="11"/>
      <c r="G140" s="22">
        <f>IFERROR(SUMIFS(Transactions!$F$7:$F$996,Transactions!$G$7:$G$996,A140,Transactions!$D$7:$D$996,"Expense"),0)</f>
        <v>0</v>
      </c>
      <c r="H140" s="10"/>
      <c r="I140" s="10"/>
      <c r="J140" s="10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0"/>
      <c r="B141" s="21"/>
      <c r="C141" s="10"/>
      <c r="D141" s="10"/>
      <c r="E141" s="10"/>
      <c r="F141" s="11"/>
      <c r="G141" s="22">
        <f>IFERROR(SUMIFS(Transactions!$F$7:$F$996,Transactions!$G$7:$G$996,A141,Transactions!$D$7:$D$996,"Expense"),0)</f>
        <v>0</v>
      </c>
      <c r="H141" s="10"/>
      <c r="I141" s="10"/>
      <c r="J141" s="10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0"/>
      <c r="B142" s="21"/>
      <c r="C142" s="10"/>
      <c r="D142" s="10"/>
      <c r="E142" s="10"/>
      <c r="F142" s="11"/>
      <c r="G142" s="22">
        <f>IFERROR(SUMIFS(Transactions!$F$7:$F$996,Transactions!$G$7:$G$996,A142,Transactions!$D$7:$D$996,"Expense"),0)</f>
        <v>0</v>
      </c>
      <c r="H142" s="10"/>
      <c r="I142" s="10"/>
      <c r="J142" s="10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0"/>
      <c r="B143" s="21"/>
      <c r="C143" s="10"/>
      <c r="D143" s="10"/>
      <c r="E143" s="10"/>
      <c r="F143" s="11"/>
      <c r="G143" s="22">
        <f>IFERROR(SUMIFS(Transactions!$F$7:$F$996,Transactions!$G$7:$G$996,A143,Transactions!$D$7:$D$996,"Expense"),0)</f>
        <v>0</v>
      </c>
      <c r="H143" s="10"/>
      <c r="I143" s="10"/>
      <c r="J143" s="10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0"/>
      <c r="B144" s="21"/>
      <c r="C144" s="10"/>
      <c r="D144" s="10"/>
      <c r="E144" s="10"/>
      <c r="F144" s="11"/>
      <c r="G144" s="22">
        <f>IFERROR(SUMIFS(Transactions!$F$7:$F$996,Transactions!$G$7:$G$996,A144,Transactions!$D$7:$D$996,"Expense"),0)</f>
        <v>0</v>
      </c>
      <c r="H144" s="10"/>
      <c r="I144" s="10"/>
      <c r="J144" s="10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0"/>
      <c r="B145" s="21"/>
      <c r="C145" s="10"/>
      <c r="D145" s="10"/>
      <c r="E145" s="10"/>
      <c r="F145" s="11"/>
      <c r="G145" s="22">
        <f>IFERROR(SUMIFS(Transactions!$F$7:$F$996,Transactions!$G$7:$G$996,A145,Transactions!$D$7:$D$996,"Expense"),0)</f>
        <v>0</v>
      </c>
      <c r="H145" s="10"/>
      <c r="I145" s="10"/>
      <c r="J145" s="10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0"/>
      <c r="B146" s="21"/>
      <c r="C146" s="10"/>
      <c r="D146" s="10"/>
      <c r="E146" s="10"/>
      <c r="F146" s="11"/>
      <c r="G146" s="22">
        <f>IFERROR(SUMIFS(Transactions!$F$7:$F$996,Transactions!$G$7:$G$996,A146,Transactions!$D$7:$D$996,"Expense"),0)</f>
        <v>0</v>
      </c>
      <c r="H146" s="10"/>
      <c r="I146" s="10"/>
      <c r="J146" s="10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0"/>
      <c r="B147" s="21"/>
      <c r="C147" s="10"/>
      <c r="D147" s="10"/>
      <c r="E147" s="10"/>
      <c r="F147" s="11"/>
      <c r="G147" s="22">
        <f>IFERROR(SUMIFS(Transactions!$F$7:$F$996,Transactions!$G$7:$G$996,A147,Transactions!$D$7:$D$996,"Expense"),0)</f>
        <v>0</v>
      </c>
      <c r="H147" s="10"/>
      <c r="I147" s="10"/>
      <c r="J147" s="10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0"/>
      <c r="B148" s="21"/>
      <c r="C148" s="10"/>
      <c r="D148" s="10"/>
      <c r="E148" s="10"/>
      <c r="F148" s="11"/>
      <c r="G148" s="22">
        <f>IFERROR(SUMIFS(Transactions!$F$7:$F$996,Transactions!$G$7:$G$996,A148,Transactions!$D$7:$D$996,"Expense"),0)</f>
        <v>0</v>
      </c>
      <c r="H148" s="10"/>
      <c r="I148" s="10"/>
      <c r="J148" s="10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0"/>
      <c r="B149" s="21"/>
      <c r="C149" s="10"/>
      <c r="D149" s="10"/>
      <c r="E149" s="10"/>
      <c r="F149" s="11"/>
      <c r="G149" s="22">
        <f>IFERROR(SUMIFS(Transactions!$F$7:$F$996,Transactions!$G$7:$G$996,A149,Transactions!$D$7:$D$996,"Expense"),0)</f>
        <v>0</v>
      </c>
      <c r="H149" s="10"/>
      <c r="I149" s="10"/>
      <c r="J149" s="10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0"/>
      <c r="B150" s="21"/>
      <c r="C150" s="10"/>
      <c r="D150" s="10"/>
      <c r="E150" s="10"/>
      <c r="F150" s="11"/>
      <c r="G150" s="22">
        <f>IFERROR(SUMIFS(Transactions!$F$7:$F$996,Transactions!$G$7:$G$996,A150,Transactions!$D$7:$D$996,"Expense"),0)</f>
        <v>0</v>
      </c>
      <c r="H150" s="10"/>
      <c r="I150" s="10"/>
      <c r="J150" s="10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0"/>
      <c r="B151" s="21"/>
      <c r="C151" s="10"/>
      <c r="D151" s="10"/>
      <c r="E151" s="10"/>
      <c r="F151" s="11"/>
      <c r="G151" s="22">
        <f>IFERROR(SUMIFS(Transactions!$F$7:$F$996,Transactions!$G$7:$G$996,A151,Transactions!$D$7:$D$996,"Expense"),0)</f>
        <v>0</v>
      </c>
      <c r="H151" s="10"/>
      <c r="I151" s="10"/>
      <c r="J151" s="10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0"/>
      <c r="B152" s="21"/>
      <c r="C152" s="10"/>
      <c r="D152" s="10"/>
      <c r="E152" s="10"/>
      <c r="F152" s="11"/>
      <c r="G152" s="22">
        <f>IFERROR(SUMIFS(Transactions!$F$7:$F$996,Transactions!$G$7:$G$996,A152,Transactions!$D$7:$D$996,"Expense"),0)</f>
        <v>0</v>
      </c>
      <c r="H152" s="10"/>
      <c r="I152" s="10"/>
      <c r="J152" s="10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0"/>
      <c r="B153" s="21"/>
      <c r="C153" s="10"/>
      <c r="D153" s="10"/>
      <c r="E153" s="10"/>
      <c r="F153" s="11"/>
      <c r="G153" s="22">
        <f>IFERROR(SUMIFS(Transactions!$F$7:$F$996,Transactions!$G$7:$G$996,A153,Transactions!$D$7:$D$996,"Expense"),0)</f>
        <v>0</v>
      </c>
      <c r="H153" s="10"/>
      <c r="I153" s="10"/>
      <c r="J153" s="10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0"/>
      <c r="B154" s="21"/>
      <c r="C154" s="10"/>
      <c r="D154" s="10"/>
      <c r="E154" s="10"/>
      <c r="F154" s="11"/>
      <c r="G154" s="22">
        <f>IFERROR(SUMIFS(Transactions!$F$7:$F$996,Transactions!$G$7:$G$996,A154,Transactions!$D$7:$D$996,"Expense"),0)</f>
        <v>0</v>
      </c>
      <c r="H154" s="10"/>
      <c r="I154" s="10"/>
      <c r="J154" s="10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0"/>
      <c r="B155" s="21"/>
      <c r="C155" s="10"/>
      <c r="D155" s="10"/>
      <c r="E155" s="10"/>
      <c r="F155" s="11"/>
      <c r="G155" s="22">
        <f>IFERROR(SUMIFS(Transactions!$F$7:$F$996,Transactions!$G$7:$G$996,A155,Transactions!$D$7:$D$996,"Expense"),0)</f>
        <v>0</v>
      </c>
      <c r="H155" s="10"/>
      <c r="I155" s="10"/>
      <c r="J155" s="10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0"/>
      <c r="B156" s="21"/>
      <c r="C156" s="10"/>
      <c r="D156" s="10"/>
      <c r="E156" s="10"/>
      <c r="F156" s="11"/>
      <c r="G156" s="22">
        <f>IFERROR(SUMIFS(Transactions!$F$7:$F$996,Transactions!$G$7:$G$996,A156,Transactions!$D$7:$D$996,"Expense"),0)</f>
        <v>0</v>
      </c>
      <c r="H156" s="10"/>
      <c r="I156" s="10"/>
      <c r="J156" s="10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0"/>
      <c r="B157" s="21"/>
      <c r="C157" s="10"/>
      <c r="D157" s="10"/>
      <c r="E157" s="10"/>
      <c r="F157" s="11"/>
      <c r="G157" s="22">
        <f>IFERROR(SUMIFS(Transactions!$F$7:$F$996,Transactions!$G$7:$G$996,A157,Transactions!$D$7:$D$996,"Expense"),0)</f>
        <v>0</v>
      </c>
      <c r="H157" s="10"/>
      <c r="I157" s="10"/>
      <c r="J157" s="10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0"/>
      <c r="B158" s="21"/>
      <c r="C158" s="10"/>
      <c r="D158" s="10"/>
      <c r="E158" s="10"/>
      <c r="F158" s="11"/>
      <c r="G158" s="22">
        <f>IFERROR(SUMIFS(Transactions!$F$7:$F$996,Transactions!$G$7:$G$996,A158,Transactions!$D$7:$D$996,"Expense"),0)</f>
        <v>0</v>
      </c>
      <c r="H158" s="10"/>
      <c r="I158" s="10"/>
      <c r="J158" s="10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0"/>
      <c r="B159" s="21"/>
      <c r="C159" s="10"/>
      <c r="D159" s="10"/>
      <c r="E159" s="10"/>
      <c r="F159" s="11"/>
      <c r="G159" s="22">
        <f>IFERROR(SUMIFS(Transactions!$F$7:$F$996,Transactions!$G$7:$G$996,A159,Transactions!$D$7:$D$996,"Expense"),0)</f>
        <v>0</v>
      </c>
      <c r="H159" s="10"/>
      <c r="I159" s="10"/>
      <c r="J159" s="10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0"/>
      <c r="B160" s="21"/>
      <c r="C160" s="10"/>
      <c r="D160" s="10"/>
      <c r="E160" s="10"/>
      <c r="F160" s="11"/>
      <c r="G160" s="22">
        <f>IFERROR(SUMIFS(Transactions!$F$7:$F$996,Transactions!$G$7:$G$996,A160,Transactions!$D$7:$D$996,"Expense"),0)</f>
        <v>0</v>
      </c>
      <c r="H160" s="10"/>
      <c r="I160" s="10"/>
      <c r="J160" s="10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0"/>
      <c r="B161" s="21"/>
      <c r="C161" s="10"/>
      <c r="D161" s="10"/>
      <c r="E161" s="10"/>
      <c r="F161" s="11"/>
      <c r="G161" s="22">
        <f>IFERROR(SUMIFS(Transactions!$F$7:$F$996,Transactions!$G$7:$G$996,A161,Transactions!$D$7:$D$996,"Expense"),0)</f>
        <v>0</v>
      </c>
      <c r="H161" s="10"/>
      <c r="I161" s="10"/>
      <c r="J161" s="10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0"/>
      <c r="B162" s="21"/>
      <c r="C162" s="10"/>
      <c r="D162" s="10"/>
      <c r="E162" s="10"/>
      <c r="F162" s="11"/>
      <c r="G162" s="22">
        <f>IFERROR(SUMIFS(Transactions!$F$7:$F$996,Transactions!$G$7:$G$996,A162,Transactions!$D$7:$D$996,"Expense"),0)</f>
        <v>0</v>
      </c>
      <c r="H162" s="10"/>
      <c r="I162" s="10"/>
      <c r="J162" s="10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0"/>
      <c r="B163" s="21"/>
      <c r="C163" s="10"/>
      <c r="D163" s="10"/>
      <c r="E163" s="10"/>
      <c r="F163" s="11"/>
      <c r="G163" s="22">
        <f>IFERROR(SUMIFS(Transactions!$F$7:$F$996,Transactions!$G$7:$G$996,A163,Transactions!$D$7:$D$996,"Expense"),0)</f>
        <v>0</v>
      </c>
      <c r="H163" s="10"/>
      <c r="I163" s="10"/>
      <c r="J163" s="10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0"/>
      <c r="B164" s="21"/>
      <c r="C164" s="10"/>
      <c r="D164" s="10"/>
      <c r="E164" s="10"/>
      <c r="F164" s="11"/>
      <c r="G164" s="22">
        <f>IFERROR(SUMIFS(Transactions!$F$7:$F$996,Transactions!$G$7:$G$996,A164,Transactions!$D$7:$D$996,"Expense"),0)</f>
        <v>0</v>
      </c>
      <c r="H164" s="10"/>
      <c r="I164" s="10"/>
      <c r="J164" s="10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0"/>
      <c r="B165" s="21"/>
      <c r="C165" s="10"/>
      <c r="D165" s="10"/>
      <c r="E165" s="10"/>
      <c r="F165" s="11"/>
      <c r="G165" s="22">
        <f>IFERROR(SUMIFS(Transactions!$F$7:$F$996,Transactions!$G$7:$G$996,A165,Transactions!$D$7:$D$996,"Expense"),0)</f>
        <v>0</v>
      </c>
      <c r="H165" s="10"/>
      <c r="I165" s="10"/>
      <c r="J165" s="10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0"/>
      <c r="B166" s="21"/>
      <c r="C166" s="10"/>
      <c r="D166" s="10"/>
      <c r="E166" s="10"/>
      <c r="F166" s="11"/>
      <c r="G166" s="22">
        <f>IFERROR(SUMIFS(Transactions!$F$7:$F$996,Transactions!$G$7:$G$996,A166,Transactions!$D$7:$D$996,"Expense"),0)</f>
        <v>0</v>
      </c>
      <c r="H166" s="10"/>
      <c r="I166" s="10"/>
      <c r="J166" s="10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0"/>
      <c r="B167" s="21"/>
      <c r="C167" s="10"/>
      <c r="D167" s="10"/>
      <c r="E167" s="10"/>
      <c r="F167" s="11"/>
      <c r="G167" s="22">
        <f>IFERROR(SUMIFS(Transactions!$F$7:$F$996,Transactions!$G$7:$G$996,A167,Transactions!$D$7:$D$996,"Expense"),0)</f>
        <v>0</v>
      </c>
      <c r="H167" s="10"/>
      <c r="I167" s="10"/>
      <c r="J167" s="10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0"/>
      <c r="B168" s="21"/>
      <c r="C168" s="10"/>
      <c r="D168" s="10"/>
      <c r="E168" s="10"/>
      <c r="F168" s="11"/>
      <c r="G168" s="22">
        <f>IFERROR(SUMIFS(Transactions!$F$7:$F$996,Transactions!$G$7:$G$996,A168,Transactions!$D$7:$D$996,"Expense"),0)</f>
        <v>0</v>
      </c>
      <c r="H168" s="10"/>
      <c r="I168" s="10"/>
      <c r="J168" s="10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0"/>
      <c r="B169" s="21"/>
      <c r="C169" s="10"/>
      <c r="D169" s="10"/>
      <c r="E169" s="10"/>
      <c r="F169" s="11"/>
      <c r="G169" s="22">
        <f>IFERROR(SUMIFS(Transactions!$F$7:$F$996,Transactions!$G$7:$G$996,A169,Transactions!$D$7:$D$996,"Expense"),0)</f>
        <v>0</v>
      </c>
      <c r="H169" s="10"/>
      <c r="I169" s="10"/>
      <c r="J169" s="10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0"/>
      <c r="B170" s="21"/>
      <c r="C170" s="10"/>
      <c r="D170" s="10"/>
      <c r="E170" s="10"/>
      <c r="F170" s="11"/>
      <c r="G170" s="22">
        <f>IFERROR(SUMIFS(Transactions!$F$7:$F$996,Transactions!$G$7:$G$996,A170,Transactions!$D$7:$D$996,"Expense"),0)</f>
        <v>0</v>
      </c>
      <c r="H170" s="10"/>
      <c r="I170" s="10"/>
      <c r="J170" s="10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0"/>
      <c r="B171" s="21"/>
      <c r="C171" s="10"/>
      <c r="D171" s="10"/>
      <c r="E171" s="10"/>
      <c r="F171" s="11"/>
      <c r="G171" s="22">
        <f>IFERROR(SUMIFS(Transactions!$F$7:$F$996,Transactions!$G$7:$G$996,A171,Transactions!$D$7:$D$996,"Expense"),0)</f>
        <v>0</v>
      </c>
      <c r="H171" s="10"/>
      <c r="I171" s="10"/>
      <c r="J171" s="10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0"/>
      <c r="B172" s="21"/>
      <c r="C172" s="10"/>
      <c r="D172" s="10"/>
      <c r="E172" s="10"/>
      <c r="F172" s="11"/>
      <c r="G172" s="22">
        <f>IFERROR(SUMIFS(Transactions!$F$7:$F$996,Transactions!$G$7:$G$996,A172,Transactions!$D$7:$D$996,"Expense"),0)</f>
        <v>0</v>
      </c>
      <c r="H172" s="10"/>
      <c r="I172" s="10"/>
      <c r="J172" s="10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0"/>
      <c r="B173" s="21"/>
      <c r="C173" s="10"/>
      <c r="D173" s="10"/>
      <c r="E173" s="10"/>
      <c r="F173" s="11"/>
      <c r="G173" s="22">
        <f>IFERROR(SUMIFS(Transactions!$F$7:$F$996,Transactions!$G$7:$G$996,A173,Transactions!$D$7:$D$996,"Expense"),0)</f>
        <v>0</v>
      </c>
      <c r="H173" s="10"/>
      <c r="I173" s="10"/>
      <c r="J173" s="10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0"/>
      <c r="B174" s="21"/>
      <c r="C174" s="10"/>
      <c r="D174" s="10"/>
      <c r="E174" s="10"/>
      <c r="F174" s="11"/>
      <c r="G174" s="22">
        <f>IFERROR(SUMIFS(Transactions!$F$7:$F$996,Transactions!$G$7:$G$996,A174,Transactions!$D$7:$D$996,"Expense"),0)</f>
        <v>0</v>
      </c>
      <c r="H174" s="10"/>
      <c r="I174" s="10"/>
      <c r="J174" s="10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0"/>
      <c r="B175" s="21"/>
      <c r="C175" s="10"/>
      <c r="D175" s="10"/>
      <c r="E175" s="10"/>
      <c r="F175" s="11"/>
      <c r="G175" s="22">
        <f>IFERROR(SUMIFS(Transactions!$F$7:$F$996,Transactions!$G$7:$G$996,A175,Transactions!$D$7:$D$996,"Expense"),0)</f>
        <v>0</v>
      </c>
      <c r="H175" s="10"/>
      <c r="I175" s="10"/>
      <c r="J175" s="10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0"/>
      <c r="B176" s="21"/>
      <c r="C176" s="10"/>
      <c r="D176" s="10"/>
      <c r="E176" s="10"/>
      <c r="F176" s="11"/>
      <c r="G176" s="22">
        <f>IFERROR(SUMIFS(Transactions!$F$7:$F$996,Transactions!$G$7:$G$996,A176,Transactions!$D$7:$D$996,"Expense"),0)</f>
        <v>0</v>
      </c>
      <c r="H176" s="10"/>
      <c r="I176" s="10"/>
      <c r="J176" s="10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0"/>
      <c r="B177" s="21"/>
      <c r="C177" s="10"/>
      <c r="D177" s="10"/>
      <c r="E177" s="10"/>
      <c r="F177" s="11"/>
      <c r="G177" s="22">
        <f>IFERROR(SUMIFS(Transactions!$F$7:$F$996,Transactions!$G$7:$G$996,A177,Transactions!$D$7:$D$996,"Expense"),0)</f>
        <v>0</v>
      </c>
      <c r="H177" s="10"/>
      <c r="I177" s="10"/>
      <c r="J177" s="10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0"/>
      <c r="B178" s="21"/>
      <c r="C178" s="10"/>
      <c r="D178" s="10"/>
      <c r="E178" s="10"/>
      <c r="F178" s="11"/>
      <c r="G178" s="22">
        <f>IFERROR(SUMIFS(Transactions!$F$7:$F$996,Transactions!$G$7:$G$996,A178,Transactions!$D$7:$D$996,"Expense"),0)</f>
        <v>0</v>
      </c>
      <c r="H178" s="10"/>
      <c r="I178" s="10"/>
      <c r="J178" s="10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0"/>
      <c r="B179" s="21"/>
      <c r="C179" s="10"/>
      <c r="D179" s="10"/>
      <c r="E179" s="10"/>
      <c r="F179" s="11"/>
      <c r="G179" s="22">
        <f>IFERROR(SUMIFS(Transactions!$F$7:$F$996,Transactions!$G$7:$G$996,A179,Transactions!$D$7:$D$996,"Expense"),0)</f>
        <v>0</v>
      </c>
      <c r="H179" s="10"/>
      <c r="I179" s="10"/>
      <c r="J179" s="10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0"/>
      <c r="B180" s="21"/>
      <c r="C180" s="10"/>
      <c r="D180" s="10"/>
      <c r="E180" s="10"/>
      <c r="F180" s="11"/>
      <c r="G180" s="22">
        <f>IFERROR(SUMIFS(Transactions!$F$7:$F$996,Transactions!$G$7:$G$996,A180,Transactions!$D$7:$D$996,"Expense"),0)</f>
        <v>0</v>
      </c>
      <c r="H180" s="10"/>
      <c r="I180" s="10"/>
      <c r="J180" s="10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0"/>
      <c r="B181" s="21"/>
      <c r="C181" s="10"/>
      <c r="D181" s="10"/>
      <c r="E181" s="10"/>
      <c r="F181" s="11"/>
      <c r="G181" s="22">
        <f>IFERROR(SUMIFS(Transactions!$F$7:$F$996,Transactions!$G$7:$G$996,A181,Transactions!$D$7:$D$996,"Expense"),0)</f>
        <v>0</v>
      </c>
      <c r="H181" s="10"/>
      <c r="I181" s="10"/>
      <c r="J181" s="10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0"/>
      <c r="B182" s="21"/>
      <c r="C182" s="10"/>
      <c r="D182" s="10"/>
      <c r="E182" s="10"/>
      <c r="F182" s="11"/>
      <c r="G182" s="22">
        <f>IFERROR(SUMIFS(Transactions!$F$7:$F$996,Transactions!$G$7:$G$996,A182,Transactions!$D$7:$D$996,"Expense"),0)</f>
        <v>0</v>
      </c>
      <c r="H182" s="10"/>
      <c r="I182" s="10"/>
      <c r="J182" s="10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0"/>
      <c r="B183" s="21"/>
      <c r="C183" s="10"/>
      <c r="D183" s="10"/>
      <c r="E183" s="10"/>
      <c r="F183" s="11"/>
      <c r="G183" s="22">
        <f>IFERROR(SUMIFS(Transactions!$F$7:$F$996,Transactions!$G$7:$G$996,A183,Transactions!$D$7:$D$996,"Expense"),0)</f>
        <v>0</v>
      </c>
      <c r="H183" s="10"/>
      <c r="I183" s="10"/>
      <c r="J183" s="10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0"/>
      <c r="B184" s="21"/>
      <c r="C184" s="10"/>
      <c r="D184" s="10"/>
      <c r="E184" s="10"/>
      <c r="F184" s="11"/>
      <c r="G184" s="22">
        <f>IFERROR(SUMIFS(Transactions!$F$7:$F$996,Transactions!$G$7:$G$996,A184,Transactions!$D$7:$D$996,"Expense"),0)</f>
        <v>0</v>
      </c>
      <c r="H184" s="10"/>
      <c r="I184" s="10"/>
      <c r="J184" s="10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0"/>
      <c r="B185" s="21"/>
      <c r="C185" s="10"/>
      <c r="D185" s="10"/>
      <c r="E185" s="10"/>
      <c r="F185" s="11"/>
      <c r="G185" s="22">
        <f>IFERROR(SUMIFS(Transactions!$F$7:$F$996,Transactions!$G$7:$G$996,A185,Transactions!$D$7:$D$996,"Expense"),0)</f>
        <v>0</v>
      </c>
      <c r="H185" s="10"/>
      <c r="I185" s="10"/>
      <c r="J185" s="10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0"/>
      <c r="B186" s="21"/>
      <c r="C186" s="10"/>
      <c r="D186" s="10"/>
      <c r="E186" s="10"/>
      <c r="F186" s="11"/>
      <c r="G186" s="22">
        <f>IFERROR(SUMIFS(Transactions!$F$7:$F$996,Transactions!$G$7:$G$996,A186,Transactions!$D$7:$D$996,"Expense"),0)</f>
        <v>0</v>
      </c>
      <c r="H186" s="10"/>
      <c r="I186" s="10"/>
      <c r="J186" s="10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0"/>
      <c r="B187" s="21"/>
      <c r="C187" s="10"/>
      <c r="D187" s="10"/>
      <c r="E187" s="10"/>
      <c r="F187" s="11"/>
      <c r="G187" s="22">
        <f>IFERROR(SUMIFS(Transactions!$F$7:$F$996,Transactions!$G$7:$G$996,A187,Transactions!$D$7:$D$996,"Expense"),0)</f>
        <v>0</v>
      </c>
      <c r="H187" s="10"/>
      <c r="I187" s="10"/>
      <c r="J187" s="10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0"/>
      <c r="B188" s="21"/>
      <c r="C188" s="10"/>
      <c r="D188" s="10"/>
      <c r="E188" s="10"/>
      <c r="F188" s="11"/>
      <c r="G188" s="22">
        <f>IFERROR(SUMIFS(Transactions!$F$7:$F$996,Transactions!$G$7:$G$996,A188,Transactions!$D$7:$D$996,"Expense"),0)</f>
        <v>0</v>
      </c>
      <c r="H188" s="10"/>
      <c r="I188" s="10"/>
      <c r="J188" s="10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0"/>
      <c r="B189" s="21"/>
      <c r="C189" s="10"/>
      <c r="D189" s="10"/>
      <c r="E189" s="10"/>
      <c r="F189" s="11"/>
      <c r="G189" s="22">
        <f>IFERROR(SUMIFS(Transactions!$F$7:$F$996,Transactions!$G$7:$G$996,A189,Transactions!$D$7:$D$996,"Expense"),0)</f>
        <v>0</v>
      </c>
      <c r="H189" s="10"/>
      <c r="I189" s="10"/>
      <c r="J189" s="10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0"/>
      <c r="B190" s="21"/>
      <c r="C190" s="10"/>
      <c r="D190" s="10"/>
      <c r="E190" s="10"/>
      <c r="F190" s="11"/>
      <c r="G190" s="22">
        <f>IFERROR(SUMIFS(Transactions!$F$7:$F$996,Transactions!$G$7:$G$996,A190,Transactions!$D$7:$D$996,"Expense"),0)</f>
        <v>0</v>
      </c>
      <c r="H190" s="10"/>
      <c r="I190" s="10"/>
      <c r="J190" s="10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0"/>
      <c r="B191" s="21"/>
      <c r="C191" s="10"/>
      <c r="D191" s="10"/>
      <c r="E191" s="10"/>
      <c r="F191" s="11"/>
      <c r="G191" s="22">
        <f>IFERROR(SUMIFS(Transactions!$F$7:$F$996,Transactions!$G$7:$G$996,A191,Transactions!$D$7:$D$996,"Expense"),0)</f>
        <v>0</v>
      </c>
      <c r="H191" s="10"/>
      <c r="I191" s="10"/>
      <c r="J191" s="10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0"/>
      <c r="B192" s="21"/>
      <c r="C192" s="10"/>
      <c r="D192" s="10"/>
      <c r="E192" s="10"/>
      <c r="F192" s="11"/>
      <c r="G192" s="22">
        <f>IFERROR(SUMIFS(Transactions!$F$7:$F$996,Transactions!$G$7:$G$996,A192,Transactions!$D$7:$D$996,"Expense"),0)</f>
        <v>0</v>
      </c>
      <c r="H192" s="10"/>
      <c r="I192" s="10"/>
      <c r="J192" s="10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0"/>
      <c r="B193" s="21"/>
      <c r="C193" s="10"/>
      <c r="D193" s="10"/>
      <c r="E193" s="10"/>
      <c r="F193" s="11"/>
      <c r="G193" s="22">
        <f>IFERROR(SUMIFS(Transactions!$F$7:$F$996,Transactions!$G$7:$G$996,A193,Transactions!$D$7:$D$996,"Expense"),0)</f>
        <v>0</v>
      </c>
      <c r="H193" s="10"/>
      <c r="I193" s="10"/>
      <c r="J193" s="10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0"/>
      <c r="B194" s="21"/>
      <c r="C194" s="10"/>
      <c r="D194" s="10"/>
      <c r="E194" s="10"/>
      <c r="F194" s="11"/>
      <c r="G194" s="22">
        <f>IFERROR(SUMIFS(Transactions!$F$7:$F$996,Transactions!$G$7:$G$996,A194,Transactions!$D$7:$D$996,"Expense"),0)</f>
        <v>0</v>
      </c>
      <c r="H194" s="10"/>
      <c r="I194" s="10"/>
      <c r="J194" s="10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0"/>
      <c r="B195" s="21"/>
      <c r="C195" s="10"/>
      <c r="D195" s="10"/>
      <c r="E195" s="10"/>
      <c r="F195" s="11"/>
      <c r="G195" s="22">
        <f>IFERROR(SUMIFS(Transactions!$F$7:$F$996,Transactions!$G$7:$G$996,A195,Transactions!$D$7:$D$996,"Expense"),0)</f>
        <v>0</v>
      </c>
      <c r="H195" s="10"/>
      <c r="I195" s="10"/>
      <c r="J195" s="10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0"/>
      <c r="B196" s="21"/>
      <c r="C196" s="10"/>
      <c r="D196" s="10"/>
      <c r="E196" s="10"/>
      <c r="F196" s="11"/>
      <c r="G196" s="22">
        <f>IFERROR(SUMIFS(Transactions!$F$7:$F$996,Transactions!$G$7:$G$996,A196,Transactions!$D$7:$D$996,"Expense"),0)</f>
        <v>0</v>
      </c>
      <c r="H196" s="10"/>
      <c r="I196" s="10"/>
      <c r="J196" s="10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0"/>
      <c r="B197" s="21"/>
      <c r="C197" s="10"/>
      <c r="D197" s="10"/>
      <c r="E197" s="10"/>
      <c r="F197" s="11"/>
      <c r="G197" s="22">
        <f>IFERROR(SUMIFS(Transactions!$F$7:$F$996,Transactions!$G$7:$G$996,A197,Transactions!$D$7:$D$996,"Expense"),0)</f>
        <v>0</v>
      </c>
      <c r="H197" s="10"/>
      <c r="I197" s="10"/>
      <c r="J197" s="10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0"/>
      <c r="B198" s="21"/>
      <c r="C198" s="10"/>
      <c r="D198" s="10"/>
      <c r="E198" s="10"/>
      <c r="F198" s="11"/>
      <c r="G198" s="22">
        <f>IFERROR(SUMIFS(Transactions!$F$7:$F$996,Transactions!$G$7:$G$996,A198,Transactions!$D$7:$D$996,"Expense"),0)</f>
        <v>0</v>
      </c>
      <c r="H198" s="10"/>
      <c r="I198" s="10"/>
      <c r="J198" s="10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0"/>
      <c r="B199" s="21"/>
      <c r="C199" s="10"/>
      <c r="D199" s="10"/>
      <c r="E199" s="10"/>
      <c r="F199" s="11"/>
      <c r="G199" s="22">
        <f>IFERROR(SUMIFS(Transactions!$F$7:$F$996,Transactions!$G$7:$G$996,A199,Transactions!$D$7:$D$996,"Expense"),0)</f>
        <v>0</v>
      </c>
      <c r="H199" s="10"/>
      <c r="I199" s="10"/>
      <c r="J199" s="10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0"/>
      <c r="B200" s="21"/>
      <c r="C200" s="10"/>
      <c r="D200" s="10"/>
      <c r="E200" s="10"/>
      <c r="F200" s="11"/>
      <c r="G200" s="22">
        <f>IFERROR(SUMIFS(Transactions!$F$7:$F$996,Transactions!$G$7:$G$996,A200,Transactions!$D$7:$D$996,"Expense"),0)</f>
        <v>0</v>
      </c>
      <c r="H200" s="10"/>
      <c r="I200" s="10"/>
      <c r="J200" s="10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0"/>
      <c r="B201" s="21"/>
      <c r="C201" s="10"/>
      <c r="D201" s="10"/>
      <c r="E201" s="10"/>
      <c r="F201" s="11"/>
      <c r="G201" s="22">
        <f>IFERROR(SUMIFS(Transactions!$F$7:$F$996,Transactions!$G$7:$G$996,A201,Transactions!$D$7:$D$996,"Expense"),0)</f>
        <v>0</v>
      </c>
      <c r="H201" s="10"/>
      <c r="I201" s="10"/>
      <c r="J201" s="10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0"/>
      <c r="B202" s="21"/>
      <c r="C202" s="10"/>
      <c r="D202" s="10"/>
      <c r="E202" s="10"/>
      <c r="F202" s="11"/>
      <c r="G202" s="22">
        <f>IFERROR(SUMIFS(Transactions!$F$7:$F$996,Transactions!$G$7:$G$996,A202,Transactions!$D$7:$D$996,"Expense"),0)</f>
        <v>0</v>
      </c>
      <c r="H202" s="10"/>
      <c r="I202" s="10"/>
      <c r="J202" s="10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0"/>
      <c r="B203" s="21"/>
      <c r="C203" s="10"/>
      <c r="D203" s="10"/>
      <c r="E203" s="10"/>
      <c r="F203" s="11"/>
      <c r="G203" s="22">
        <f>IFERROR(SUMIFS(Transactions!$F$7:$F$996,Transactions!$G$7:$G$996,A203,Transactions!$D$7:$D$996,"Expense"),0)</f>
        <v>0</v>
      </c>
      <c r="H203" s="10"/>
      <c r="I203" s="10"/>
      <c r="J203" s="10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0"/>
      <c r="B204" s="21"/>
      <c r="C204" s="10"/>
      <c r="D204" s="10"/>
      <c r="E204" s="10"/>
      <c r="F204" s="11"/>
      <c r="G204" s="22">
        <f>IFERROR(SUMIFS(Transactions!$F$7:$F$996,Transactions!$G$7:$G$996,A204,Transactions!$D$7:$D$996,"Expense"),0)</f>
        <v>0</v>
      </c>
      <c r="H204" s="10"/>
      <c r="I204" s="10"/>
      <c r="J204" s="10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0"/>
      <c r="B205" s="21"/>
      <c r="C205" s="10"/>
      <c r="D205" s="10"/>
      <c r="E205" s="10"/>
      <c r="F205" s="11"/>
      <c r="G205" s="22">
        <f>IFERROR(SUMIFS(Transactions!$F$7:$F$996,Transactions!$G$7:$G$996,A205,Transactions!$D$7:$D$996,"Expense"),0)</f>
        <v>0</v>
      </c>
      <c r="H205" s="10"/>
      <c r="I205" s="10"/>
      <c r="J205" s="10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0"/>
      <c r="B206" s="21"/>
      <c r="C206" s="10"/>
      <c r="D206" s="10"/>
      <c r="E206" s="10"/>
      <c r="F206" s="11"/>
      <c r="G206" s="22">
        <f>IFERROR(SUMIFS(Transactions!$F$7:$F$996,Transactions!$G$7:$G$996,A206,Transactions!$D$7:$D$996,"Expense"),0)</f>
        <v>0</v>
      </c>
      <c r="H206" s="10"/>
      <c r="I206" s="10"/>
      <c r="J206" s="10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0"/>
      <c r="B207" s="21"/>
      <c r="C207" s="10"/>
      <c r="D207" s="10"/>
      <c r="E207" s="10"/>
      <c r="F207" s="11"/>
      <c r="G207" s="22">
        <f>IFERROR(SUMIFS(Transactions!$F$7:$F$996,Transactions!$G$7:$G$996,A207,Transactions!$D$7:$D$996,"Expense"),0)</f>
        <v>0</v>
      </c>
      <c r="H207" s="10"/>
      <c r="I207" s="10"/>
      <c r="J207" s="10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0"/>
      <c r="B208" s="21"/>
      <c r="C208" s="10"/>
      <c r="D208" s="10"/>
      <c r="E208" s="10"/>
      <c r="F208" s="11"/>
      <c r="G208" s="22">
        <f>IFERROR(SUMIFS(Transactions!$F$7:$F$996,Transactions!$G$7:$G$996,A208,Transactions!$D$7:$D$996,"Expense"),0)</f>
        <v>0</v>
      </c>
      <c r="H208" s="10"/>
      <c r="I208" s="10"/>
      <c r="J208" s="10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0"/>
      <c r="B209" s="21"/>
      <c r="C209" s="10"/>
      <c r="D209" s="10"/>
      <c r="E209" s="10"/>
      <c r="F209" s="11"/>
      <c r="G209" s="22">
        <f>IFERROR(SUMIFS(Transactions!$F$7:$F$996,Transactions!$G$7:$G$996,A209,Transactions!$D$7:$D$996,"Expense"),0)</f>
        <v>0</v>
      </c>
      <c r="H209" s="10"/>
      <c r="I209" s="10"/>
      <c r="J209" s="10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0"/>
      <c r="B210" s="21"/>
      <c r="C210" s="10"/>
      <c r="D210" s="10"/>
      <c r="E210" s="10"/>
      <c r="F210" s="11"/>
      <c r="G210" s="22">
        <f>IFERROR(SUMIFS(Transactions!$F$7:$F$996,Transactions!$G$7:$G$996,A210,Transactions!$D$7:$D$996,"Expense"),0)</f>
        <v>0</v>
      </c>
      <c r="H210" s="10"/>
      <c r="I210" s="10"/>
      <c r="J210" s="10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0"/>
      <c r="B211" s="21"/>
      <c r="C211" s="10"/>
      <c r="D211" s="10"/>
      <c r="E211" s="10"/>
      <c r="F211" s="11"/>
      <c r="G211" s="22">
        <f>IFERROR(SUMIFS(Transactions!$F$7:$F$996,Transactions!$G$7:$G$996,A211,Transactions!$D$7:$D$996,"Expense"),0)</f>
        <v>0</v>
      </c>
      <c r="H211" s="10"/>
      <c r="I211" s="10"/>
      <c r="J211" s="10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0"/>
      <c r="B212" s="21"/>
      <c r="C212" s="10"/>
      <c r="D212" s="10"/>
      <c r="E212" s="10"/>
      <c r="F212" s="11"/>
      <c r="G212" s="22">
        <f>IFERROR(SUMIFS(Transactions!$F$7:$F$996,Transactions!$G$7:$G$996,A212,Transactions!$D$7:$D$996,"Expense"),0)</f>
        <v>0</v>
      </c>
      <c r="H212" s="10"/>
      <c r="I212" s="10"/>
      <c r="J212" s="10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0"/>
      <c r="B213" s="21"/>
      <c r="C213" s="10"/>
      <c r="D213" s="10"/>
      <c r="E213" s="10"/>
      <c r="F213" s="11"/>
      <c r="G213" s="22">
        <f>IFERROR(SUMIFS(Transactions!$F$7:$F$996,Transactions!$G$7:$G$996,A213,Transactions!$D$7:$D$996,"Expense"),0)</f>
        <v>0</v>
      </c>
      <c r="H213" s="10"/>
      <c r="I213" s="10"/>
      <c r="J213" s="10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0"/>
      <c r="B214" s="21"/>
      <c r="C214" s="10"/>
      <c r="D214" s="10"/>
      <c r="E214" s="10"/>
      <c r="F214" s="11"/>
      <c r="G214" s="22">
        <f>IFERROR(SUMIFS(Transactions!$F$7:$F$996,Transactions!$G$7:$G$996,A214,Transactions!$D$7:$D$996,"Expense"),0)</f>
        <v>0</v>
      </c>
      <c r="H214" s="10"/>
      <c r="I214" s="10"/>
      <c r="J214" s="10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0"/>
      <c r="B215" s="21"/>
      <c r="C215" s="10"/>
      <c r="D215" s="10"/>
      <c r="E215" s="10"/>
      <c r="F215" s="11"/>
      <c r="G215" s="22">
        <f>IFERROR(SUMIFS(Transactions!$F$7:$F$996,Transactions!$G$7:$G$996,A215,Transactions!$D$7:$D$996,"Expense"),0)</f>
        <v>0</v>
      </c>
      <c r="H215" s="10"/>
      <c r="I215" s="10"/>
      <c r="J215" s="10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0"/>
      <c r="B216" s="21"/>
      <c r="C216" s="10"/>
      <c r="D216" s="10"/>
      <c r="E216" s="10"/>
      <c r="F216" s="11"/>
      <c r="G216" s="22">
        <f>IFERROR(SUMIFS(Transactions!$F$7:$F$996,Transactions!$G$7:$G$996,A216,Transactions!$D$7:$D$996,"Expense"),0)</f>
        <v>0</v>
      </c>
      <c r="H216" s="10"/>
      <c r="I216" s="10"/>
      <c r="J216" s="10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0"/>
      <c r="B217" s="21"/>
      <c r="C217" s="10"/>
      <c r="D217" s="10"/>
      <c r="E217" s="10"/>
      <c r="F217" s="11"/>
      <c r="G217" s="22">
        <f>IFERROR(SUMIFS(Transactions!$F$7:$F$996,Transactions!$G$7:$G$996,A217,Transactions!$D$7:$D$996,"Expense"),0)</f>
        <v>0</v>
      </c>
      <c r="H217" s="10"/>
      <c r="I217" s="10"/>
      <c r="J217" s="10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0"/>
      <c r="B218" s="21"/>
      <c r="C218" s="10"/>
      <c r="D218" s="10"/>
      <c r="E218" s="10"/>
      <c r="F218" s="11"/>
      <c r="G218" s="22">
        <f>IFERROR(SUMIFS(Transactions!$F$7:$F$996,Transactions!$G$7:$G$996,A218,Transactions!$D$7:$D$996,"Expense"),0)</f>
        <v>0</v>
      </c>
      <c r="H218" s="10"/>
      <c r="I218" s="10"/>
      <c r="J218" s="10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0"/>
      <c r="B219" s="21"/>
      <c r="C219" s="10"/>
      <c r="D219" s="10"/>
      <c r="E219" s="10"/>
      <c r="F219" s="11"/>
      <c r="G219" s="22">
        <f>IFERROR(SUMIFS(Transactions!$F$7:$F$996,Transactions!$G$7:$G$996,A219,Transactions!$D$7:$D$996,"Expense"),0)</f>
        <v>0</v>
      </c>
      <c r="H219" s="10"/>
      <c r="I219" s="10"/>
      <c r="J219" s="10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0"/>
      <c r="B220" s="21"/>
      <c r="C220" s="10"/>
      <c r="D220" s="10"/>
      <c r="E220" s="10"/>
      <c r="F220" s="11"/>
      <c r="G220" s="22">
        <f>IFERROR(SUMIFS(Transactions!$F$7:$F$996,Transactions!$G$7:$G$996,A220,Transactions!$D$7:$D$996,"Expense"),0)</f>
        <v>0</v>
      </c>
      <c r="H220" s="10"/>
      <c r="I220" s="10"/>
      <c r="J220" s="10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0"/>
      <c r="B221" s="21"/>
      <c r="C221" s="10"/>
      <c r="D221" s="10"/>
      <c r="E221" s="10"/>
      <c r="F221" s="11"/>
      <c r="G221" s="22">
        <f>IFERROR(SUMIFS(Transactions!$F$7:$F$996,Transactions!$G$7:$G$996,A221,Transactions!$D$7:$D$996,"Expense"),0)</f>
        <v>0</v>
      </c>
      <c r="H221" s="10"/>
      <c r="I221" s="10"/>
      <c r="J221" s="10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0"/>
      <c r="B222" s="21"/>
      <c r="C222" s="10"/>
      <c r="D222" s="10"/>
      <c r="E222" s="10"/>
      <c r="F222" s="11"/>
      <c r="G222" s="22">
        <f>IFERROR(SUMIFS(Transactions!$F$7:$F$996,Transactions!$G$7:$G$996,A222,Transactions!$D$7:$D$996,"Expense"),0)</f>
        <v>0</v>
      </c>
      <c r="H222" s="10"/>
      <c r="I222" s="10"/>
      <c r="J222" s="10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0"/>
      <c r="B223" s="21"/>
      <c r="C223" s="10"/>
      <c r="D223" s="10"/>
      <c r="E223" s="10"/>
      <c r="F223" s="11"/>
      <c r="G223" s="22">
        <f>IFERROR(SUMIFS(Transactions!$F$7:$F$996,Transactions!$G$7:$G$996,A223,Transactions!$D$7:$D$996,"Expense"),0)</f>
        <v>0</v>
      </c>
      <c r="H223" s="10"/>
      <c r="I223" s="10"/>
      <c r="J223" s="10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0"/>
      <c r="B224" s="21"/>
      <c r="C224" s="10"/>
      <c r="D224" s="10"/>
      <c r="E224" s="10"/>
      <c r="F224" s="11"/>
      <c r="G224" s="22">
        <f>IFERROR(SUMIFS(Transactions!$F$7:$F$996,Transactions!$G$7:$G$996,A224,Transactions!$D$7:$D$996,"Expense"),0)</f>
        <v>0</v>
      </c>
      <c r="H224" s="10"/>
      <c r="I224" s="10"/>
      <c r="J224" s="10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0"/>
      <c r="B225" s="21"/>
      <c r="C225" s="10"/>
      <c r="D225" s="10"/>
      <c r="E225" s="10"/>
      <c r="F225" s="11"/>
      <c r="G225" s="22">
        <f>IFERROR(SUMIFS(Transactions!$F$7:$F$996,Transactions!$G$7:$G$996,A225,Transactions!$D$7:$D$996,"Expense"),0)</f>
        <v>0</v>
      </c>
      <c r="H225" s="10"/>
      <c r="I225" s="10"/>
      <c r="J225" s="10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0"/>
      <c r="B226" s="21"/>
      <c r="C226" s="10"/>
      <c r="D226" s="10"/>
      <c r="E226" s="10"/>
      <c r="F226" s="11"/>
      <c r="G226" s="22">
        <f>IFERROR(SUMIFS(Transactions!$F$7:$F$996,Transactions!$G$7:$G$996,A226,Transactions!$D$7:$D$996,"Expense"),0)</f>
        <v>0</v>
      </c>
      <c r="H226" s="10"/>
      <c r="I226" s="10"/>
      <c r="J226" s="10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0"/>
      <c r="B227" s="21"/>
      <c r="C227" s="10"/>
      <c r="D227" s="10"/>
      <c r="E227" s="10"/>
      <c r="F227" s="11"/>
      <c r="G227" s="22">
        <f>IFERROR(SUMIFS(Transactions!$F$7:$F$996,Transactions!$G$7:$G$996,A227,Transactions!$D$7:$D$996,"Expense"),0)</f>
        <v>0</v>
      </c>
      <c r="H227" s="10"/>
      <c r="I227" s="10"/>
      <c r="J227" s="10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0"/>
      <c r="B228" s="21"/>
      <c r="C228" s="10"/>
      <c r="D228" s="10"/>
      <c r="E228" s="10"/>
      <c r="F228" s="11"/>
      <c r="G228" s="22">
        <f>IFERROR(SUMIFS(Transactions!$F$7:$F$996,Transactions!$G$7:$G$996,A228,Transactions!$D$7:$D$996,"Expense"),0)</f>
        <v>0</v>
      </c>
      <c r="H228" s="10"/>
      <c r="I228" s="10"/>
      <c r="J228" s="10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0"/>
      <c r="B229" s="21"/>
      <c r="C229" s="10"/>
      <c r="D229" s="10"/>
      <c r="E229" s="10"/>
      <c r="F229" s="11"/>
      <c r="G229" s="22">
        <f>IFERROR(SUMIFS(Transactions!$F$7:$F$996,Transactions!$G$7:$G$996,A229,Transactions!$D$7:$D$996,"Expense"),0)</f>
        <v>0</v>
      </c>
      <c r="H229" s="10"/>
      <c r="I229" s="10"/>
      <c r="J229" s="10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0"/>
      <c r="B230" s="21"/>
      <c r="C230" s="10"/>
      <c r="D230" s="10"/>
      <c r="E230" s="10"/>
      <c r="F230" s="11"/>
      <c r="G230" s="22">
        <f>IFERROR(SUMIFS(Transactions!$F$7:$F$996,Transactions!$G$7:$G$996,A230,Transactions!$D$7:$D$996,"Expense"),0)</f>
        <v>0</v>
      </c>
      <c r="H230" s="10"/>
      <c r="I230" s="10"/>
      <c r="J230" s="10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0"/>
      <c r="B231" s="21"/>
      <c r="C231" s="10"/>
      <c r="D231" s="10"/>
      <c r="E231" s="10"/>
      <c r="F231" s="11"/>
      <c r="G231" s="22">
        <f>IFERROR(SUMIFS(Transactions!$F$7:$F$996,Transactions!$G$7:$G$996,A231,Transactions!$D$7:$D$996,"Expense"),0)</f>
        <v>0</v>
      </c>
      <c r="H231" s="10"/>
      <c r="I231" s="10"/>
      <c r="J231" s="10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0"/>
      <c r="B232" s="21"/>
      <c r="C232" s="10"/>
      <c r="D232" s="10"/>
      <c r="E232" s="10"/>
      <c r="F232" s="11"/>
      <c r="G232" s="22">
        <f>IFERROR(SUMIFS(Transactions!$F$7:$F$996,Transactions!$G$7:$G$996,A232,Transactions!$D$7:$D$996,"Expense"),0)</f>
        <v>0</v>
      </c>
      <c r="H232" s="10"/>
      <c r="I232" s="10"/>
      <c r="J232" s="10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0"/>
      <c r="B233" s="21"/>
      <c r="C233" s="10"/>
      <c r="D233" s="10"/>
      <c r="E233" s="10"/>
      <c r="F233" s="11"/>
      <c r="G233" s="22">
        <f>IFERROR(SUMIFS(Transactions!$F$7:$F$996,Transactions!$G$7:$G$996,A233,Transactions!$D$7:$D$996,"Expense"),0)</f>
        <v>0</v>
      </c>
      <c r="H233" s="10"/>
      <c r="I233" s="10"/>
      <c r="J233" s="10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0"/>
      <c r="B234" s="21"/>
      <c r="C234" s="10"/>
      <c r="D234" s="10"/>
      <c r="E234" s="10"/>
      <c r="F234" s="11"/>
      <c r="G234" s="22">
        <f>IFERROR(SUMIFS(Transactions!$F$7:$F$996,Transactions!$G$7:$G$996,A234,Transactions!$D$7:$D$996,"Expense"),0)</f>
        <v>0</v>
      </c>
      <c r="H234" s="10"/>
      <c r="I234" s="10"/>
      <c r="J234" s="10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0"/>
      <c r="B235" s="21"/>
      <c r="C235" s="10"/>
      <c r="D235" s="10"/>
      <c r="E235" s="10"/>
      <c r="F235" s="11"/>
      <c r="G235" s="22">
        <f>IFERROR(SUMIFS(Transactions!$F$7:$F$996,Transactions!$G$7:$G$996,A235,Transactions!$D$7:$D$996,"Expense"),0)</f>
        <v>0</v>
      </c>
      <c r="H235" s="10"/>
      <c r="I235" s="10"/>
      <c r="J235" s="10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0"/>
      <c r="B236" s="21"/>
      <c r="C236" s="10"/>
      <c r="D236" s="10"/>
      <c r="E236" s="10"/>
      <c r="F236" s="11"/>
      <c r="G236" s="22">
        <f>IFERROR(SUMIFS(Transactions!$F$7:$F$996,Transactions!$G$7:$G$996,A236,Transactions!$D$7:$D$996,"Expense"),0)</f>
        <v>0</v>
      </c>
      <c r="H236" s="10"/>
      <c r="I236" s="10"/>
      <c r="J236" s="10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0"/>
      <c r="B237" s="21"/>
      <c r="C237" s="10"/>
      <c r="D237" s="10"/>
      <c r="E237" s="10"/>
      <c r="F237" s="11"/>
      <c r="G237" s="22">
        <f>IFERROR(SUMIFS(Transactions!$F$7:$F$996,Transactions!$G$7:$G$996,A237,Transactions!$D$7:$D$996,"Expense"),0)</f>
        <v>0</v>
      </c>
      <c r="H237" s="10"/>
      <c r="I237" s="10"/>
      <c r="J237" s="10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0"/>
      <c r="B238" s="21"/>
      <c r="C238" s="10"/>
      <c r="D238" s="10"/>
      <c r="E238" s="10"/>
      <c r="F238" s="11"/>
      <c r="G238" s="22">
        <f>IFERROR(SUMIFS(Transactions!$F$7:$F$996,Transactions!$G$7:$G$996,A238,Transactions!$D$7:$D$996,"Expense"),0)</f>
        <v>0</v>
      </c>
      <c r="H238" s="10"/>
      <c r="I238" s="10"/>
      <c r="J238" s="10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0"/>
      <c r="B239" s="21"/>
      <c r="C239" s="10"/>
      <c r="D239" s="10"/>
      <c r="E239" s="10"/>
      <c r="F239" s="11"/>
      <c r="G239" s="22">
        <f>IFERROR(SUMIFS(Transactions!$F$7:$F$996,Transactions!$G$7:$G$996,A239,Transactions!$D$7:$D$996,"Expense"),0)</f>
        <v>0</v>
      </c>
      <c r="H239" s="10"/>
      <c r="I239" s="10"/>
      <c r="J239" s="10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0"/>
      <c r="B240" s="21"/>
      <c r="C240" s="10"/>
      <c r="D240" s="10"/>
      <c r="E240" s="10"/>
      <c r="F240" s="11"/>
      <c r="G240" s="22">
        <f>IFERROR(SUMIFS(Transactions!$F$7:$F$996,Transactions!$G$7:$G$996,A240,Transactions!$D$7:$D$996,"Expense"),0)</f>
        <v>0</v>
      </c>
      <c r="H240" s="10"/>
      <c r="I240" s="10"/>
      <c r="J240" s="10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0"/>
      <c r="B241" s="21"/>
      <c r="C241" s="10"/>
      <c r="D241" s="10"/>
      <c r="E241" s="10"/>
      <c r="F241" s="11"/>
      <c r="G241" s="22">
        <f>IFERROR(SUMIFS(Transactions!$F$7:$F$996,Transactions!$G$7:$G$996,A241,Transactions!$D$7:$D$996,"Expense"),0)</f>
        <v>0</v>
      </c>
      <c r="H241" s="10"/>
      <c r="I241" s="10"/>
      <c r="J241" s="10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0"/>
      <c r="B242" s="21"/>
      <c r="C242" s="10"/>
      <c r="D242" s="10"/>
      <c r="E242" s="10"/>
      <c r="F242" s="11"/>
      <c r="G242" s="22">
        <f>IFERROR(SUMIFS(Transactions!$F$7:$F$996,Transactions!$G$7:$G$996,A242,Transactions!$D$7:$D$996,"Expense"),0)</f>
        <v>0</v>
      </c>
      <c r="H242" s="10"/>
      <c r="I242" s="10"/>
      <c r="J242" s="10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0"/>
      <c r="B243" s="21"/>
      <c r="C243" s="10"/>
      <c r="D243" s="10"/>
      <c r="E243" s="10"/>
      <c r="F243" s="11"/>
      <c r="G243" s="22">
        <f>IFERROR(SUMIFS(Transactions!$F$7:$F$996,Transactions!$G$7:$G$996,A243,Transactions!$D$7:$D$996,"Expense"),0)</f>
        <v>0</v>
      </c>
      <c r="H243" s="10"/>
      <c r="I243" s="10"/>
      <c r="J243" s="10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0"/>
      <c r="B244" s="21"/>
      <c r="C244" s="10"/>
      <c r="D244" s="10"/>
      <c r="E244" s="10"/>
      <c r="F244" s="11"/>
      <c r="G244" s="22">
        <f>IFERROR(SUMIFS(Transactions!$F$7:$F$996,Transactions!$G$7:$G$996,A244,Transactions!$D$7:$D$996,"Expense"),0)</f>
        <v>0</v>
      </c>
      <c r="H244" s="10"/>
      <c r="I244" s="10"/>
      <c r="J244" s="10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0"/>
      <c r="B245" s="21"/>
      <c r="C245" s="10"/>
      <c r="D245" s="10"/>
      <c r="E245" s="10"/>
      <c r="F245" s="11"/>
      <c r="G245" s="22">
        <f>IFERROR(SUMIFS(Transactions!$F$7:$F$996,Transactions!$G$7:$G$996,A245,Transactions!$D$7:$D$996,"Expense"),0)</f>
        <v>0</v>
      </c>
      <c r="H245" s="10"/>
      <c r="I245" s="10"/>
      <c r="J245" s="10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0"/>
      <c r="B246" s="21"/>
      <c r="C246" s="10"/>
      <c r="D246" s="10"/>
      <c r="E246" s="10"/>
      <c r="F246" s="11"/>
      <c r="G246" s="22">
        <f>IFERROR(SUMIFS(Transactions!$F$7:$F$996,Transactions!$G$7:$G$996,A246,Transactions!$D$7:$D$996,"Expense"),0)</f>
        <v>0</v>
      </c>
      <c r="H246" s="10"/>
      <c r="I246" s="10"/>
      <c r="J246" s="10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0"/>
      <c r="B247" s="21"/>
      <c r="C247" s="10"/>
      <c r="D247" s="10"/>
      <c r="E247" s="10"/>
      <c r="F247" s="11"/>
      <c r="G247" s="22">
        <f>IFERROR(SUMIFS(Transactions!$F$7:$F$996,Transactions!$G$7:$G$996,A247,Transactions!$D$7:$D$996,"Expense"),0)</f>
        <v>0</v>
      </c>
      <c r="H247" s="10"/>
      <c r="I247" s="10"/>
      <c r="J247" s="10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0"/>
      <c r="B248" s="21"/>
      <c r="C248" s="10"/>
      <c r="D248" s="10"/>
      <c r="E248" s="10"/>
      <c r="F248" s="11"/>
      <c r="G248" s="22">
        <f>IFERROR(SUMIFS(Transactions!$F$7:$F$996,Transactions!$G$7:$G$996,A248,Transactions!$D$7:$D$996,"Expense"),0)</f>
        <v>0</v>
      </c>
      <c r="H248" s="10"/>
      <c r="I248" s="10"/>
      <c r="J248" s="10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0"/>
      <c r="B249" s="21"/>
      <c r="C249" s="10"/>
      <c r="D249" s="10"/>
      <c r="E249" s="10"/>
      <c r="F249" s="11"/>
      <c r="G249" s="22">
        <f>IFERROR(SUMIFS(Transactions!$F$7:$F$996,Transactions!$G$7:$G$996,A249,Transactions!$D$7:$D$996,"Expense"),0)</f>
        <v>0</v>
      </c>
      <c r="H249" s="10"/>
      <c r="I249" s="10"/>
      <c r="J249" s="10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0"/>
      <c r="B250" s="21"/>
      <c r="C250" s="10"/>
      <c r="D250" s="10"/>
      <c r="E250" s="10"/>
      <c r="F250" s="11"/>
      <c r="G250" s="22">
        <f>IFERROR(SUMIFS(Transactions!$F$7:$F$996,Transactions!$G$7:$G$996,A250,Transactions!$D$7:$D$996,"Expense"),0)</f>
        <v>0</v>
      </c>
      <c r="H250" s="10"/>
      <c r="I250" s="10"/>
      <c r="J250" s="10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0"/>
      <c r="B251" s="21"/>
      <c r="C251" s="10"/>
      <c r="D251" s="10"/>
      <c r="E251" s="10"/>
      <c r="F251" s="11"/>
      <c r="G251" s="22">
        <f>IFERROR(SUMIFS(Transactions!$F$7:$F$996,Transactions!$G$7:$G$996,A251,Transactions!$D$7:$D$996,"Expense"),0)</f>
        <v>0</v>
      </c>
      <c r="H251" s="10"/>
      <c r="I251" s="10"/>
      <c r="J251" s="10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0"/>
      <c r="B252" s="21"/>
      <c r="C252" s="10"/>
      <c r="D252" s="10"/>
      <c r="E252" s="10"/>
      <c r="F252" s="11"/>
      <c r="G252" s="22">
        <f>IFERROR(SUMIFS(Transactions!$F$7:$F$996,Transactions!$G$7:$G$996,A252,Transactions!$D$7:$D$996,"Expense"),0)</f>
        <v>0</v>
      </c>
      <c r="H252" s="10"/>
      <c r="I252" s="10"/>
      <c r="J252" s="10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0"/>
      <c r="B253" s="21"/>
      <c r="C253" s="10"/>
      <c r="D253" s="10"/>
      <c r="E253" s="10"/>
      <c r="F253" s="11"/>
      <c r="G253" s="22">
        <f>IFERROR(SUMIFS(Transactions!$F$7:$F$996,Transactions!$G$7:$G$996,A253,Transactions!$D$7:$D$996,"Expense"),0)</f>
        <v>0</v>
      </c>
      <c r="H253" s="10"/>
      <c r="I253" s="10"/>
      <c r="J253" s="10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0"/>
      <c r="B254" s="21"/>
      <c r="C254" s="10"/>
      <c r="D254" s="10"/>
      <c r="E254" s="10"/>
      <c r="F254" s="11"/>
      <c r="G254" s="22">
        <f>IFERROR(SUMIFS(Transactions!$F$7:$F$996,Transactions!$G$7:$G$996,A254,Transactions!$D$7:$D$996,"Expense"),0)</f>
        <v>0</v>
      </c>
      <c r="H254" s="10"/>
      <c r="I254" s="10"/>
      <c r="J254" s="10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0"/>
      <c r="B255" s="21"/>
      <c r="C255" s="10"/>
      <c r="D255" s="10"/>
      <c r="E255" s="10"/>
      <c r="F255" s="11"/>
      <c r="G255" s="22">
        <f>IFERROR(SUMIFS(Transactions!$F$7:$F$996,Transactions!$G$7:$G$996,A255,Transactions!$D$7:$D$996,"Expense"),0)</f>
        <v>0</v>
      </c>
      <c r="H255" s="10"/>
      <c r="I255" s="10"/>
      <c r="J255" s="10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0"/>
      <c r="B256" s="21"/>
      <c r="C256" s="10"/>
      <c r="D256" s="10"/>
      <c r="E256" s="10"/>
      <c r="F256" s="11"/>
      <c r="G256" s="22">
        <f>IFERROR(SUMIFS(Transactions!$F$7:$F$996,Transactions!$G$7:$G$996,A256,Transactions!$D$7:$D$996,"Expense"),0)</f>
        <v>0</v>
      </c>
      <c r="H256" s="10"/>
      <c r="I256" s="10"/>
      <c r="J256" s="10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0"/>
      <c r="B257" s="21"/>
      <c r="C257" s="10"/>
      <c r="D257" s="10"/>
      <c r="E257" s="10"/>
      <c r="F257" s="11"/>
      <c r="G257" s="22">
        <f>IFERROR(SUMIFS(Transactions!$F$7:$F$996,Transactions!$G$7:$G$996,A257,Transactions!$D$7:$D$996,"Expense"),0)</f>
        <v>0</v>
      </c>
      <c r="H257" s="10"/>
      <c r="I257" s="10"/>
      <c r="J257" s="10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0"/>
      <c r="B258" s="21"/>
      <c r="C258" s="10"/>
      <c r="D258" s="10"/>
      <c r="E258" s="10"/>
      <c r="F258" s="11"/>
      <c r="G258" s="22">
        <f>IFERROR(SUMIFS(Transactions!$F$7:$F$996,Transactions!$G$7:$G$996,A258,Transactions!$D$7:$D$996,"Expense"),0)</f>
        <v>0</v>
      </c>
      <c r="H258" s="10"/>
      <c r="I258" s="10"/>
      <c r="J258" s="10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0"/>
      <c r="B259" s="21"/>
      <c r="C259" s="10"/>
      <c r="D259" s="10"/>
      <c r="E259" s="10"/>
      <c r="F259" s="11"/>
      <c r="G259" s="22">
        <f>IFERROR(SUMIFS(Transactions!$F$7:$F$996,Transactions!$G$7:$G$996,A259,Transactions!$D$7:$D$996,"Expense"),0)</f>
        <v>0</v>
      </c>
      <c r="H259" s="10"/>
      <c r="I259" s="10"/>
      <c r="J259" s="10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0"/>
      <c r="B260" s="21"/>
      <c r="C260" s="10"/>
      <c r="D260" s="10"/>
      <c r="E260" s="10"/>
      <c r="F260" s="11"/>
      <c r="G260" s="22">
        <f>IFERROR(SUMIFS(Transactions!$F$7:$F$996,Transactions!$G$7:$G$996,A260,Transactions!$D$7:$D$996,"Expense"),0)</f>
        <v>0</v>
      </c>
      <c r="H260" s="10"/>
      <c r="I260" s="10"/>
      <c r="J260" s="10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0"/>
      <c r="B261" s="21"/>
      <c r="C261" s="10"/>
      <c r="D261" s="10"/>
      <c r="E261" s="10"/>
      <c r="F261" s="11"/>
      <c r="G261" s="22">
        <f>IFERROR(SUMIFS(Transactions!$F$7:$F$996,Transactions!$G$7:$G$996,A261,Transactions!$D$7:$D$996,"Expense"),0)</f>
        <v>0</v>
      </c>
      <c r="H261" s="10"/>
      <c r="I261" s="10"/>
      <c r="J261" s="10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0"/>
      <c r="B262" s="21"/>
      <c r="C262" s="10"/>
      <c r="D262" s="10"/>
      <c r="E262" s="10"/>
      <c r="F262" s="11"/>
      <c r="G262" s="22">
        <f>IFERROR(SUMIFS(Transactions!$F$7:$F$996,Transactions!$G$7:$G$996,A262,Transactions!$D$7:$D$996,"Expense"),0)</f>
        <v>0</v>
      </c>
      <c r="H262" s="10"/>
      <c r="I262" s="10"/>
      <c r="J262" s="10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0"/>
      <c r="B263" s="21"/>
      <c r="C263" s="10"/>
      <c r="D263" s="10"/>
      <c r="E263" s="10"/>
      <c r="F263" s="11"/>
      <c r="G263" s="22">
        <f>IFERROR(SUMIFS(Transactions!$F$7:$F$996,Transactions!$G$7:$G$996,A263,Transactions!$D$7:$D$996,"Expense"),0)</f>
        <v>0</v>
      </c>
      <c r="H263" s="10"/>
      <c r="I263" s="10"/>
      <c r="J263" s="10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0"/>
      <c r="B264" s="21"/>
      <c r="C264" s="10"/>
      <c r="D264" s="10"/>
      <c r="E264" s="10"/>
      <c r="F264" s="11"/>
      <c r="G264" s="22">
        <f>IFERROR(SUMIFS(Transactions!$F$7:$F$996,Transactions!$G$7:$G$996,A264,Transactions!$D$7:$D$996,"Expense"),0)</f>
        <v>0</v>
      </c>
      <c r="H264" s="10"/>
      <c r="I264" s="10"/>
      <c r="J264" s="10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0"/>
      <c r="B265" s="21"/>
      <c r="C265" s="10"/>
      <c r="D265" s="10"/>
      <c r="E265" s="10"/>
      <c r="F265" s="11"/>
      <c r="G265" s="22">
        <f>IFERROR(SUMIFS(Transactions!$F$7:$F$996,Transactions!$G$7:$G$996,A265,Transactions!$D$7:$D$996,"Expense"),0)</f>
        <v>0</v>
      </c>
      <c r="H265" s="10"/>
      <c r="I265" s="10"/>
      <c r="J265" s="10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0"/>
      <c r="B266" s="21"/>
      <c r="C266" s="10"/>
      <c r="D266" s="10"/>
      <c r="E266" s="10"/>
      <c r="F266" s="11"/>
      <c r="G266" s="22">
        <f>IFERROR(SUMIFS(Transactions!$F$7:$F$996,Transactions!$G$7:$G$996,A266,Transactions!$D$7:$D$996,"Expense"),0)</f>
        <v>0</v>
      </c>
      <c r="H266" s="10"/>
      <c r="I266" s="10"/>
      <c r="J266" s="10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0"/>
      <c r="B267" s="21"/>
      <c r="C267" s="10"/>
      <c r="D267" s="10"/>
      <c r="E267" s="10"/>
      <c r="F267" s="11"/>
      <c r="G267" s="22">
        <f>IFERROR(SUMIFS(Transactions!$F$7:$F$996,Transactions!$G$7:$G$996,A267,Transactions!$D$7:$D$996,"Expense"),0)</f>
        <v>0</v>
      </c>
      <c r="H267" s="10"/>
      <c r="I267" s="10"/>
      <c r="J267" s="10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0"/>
      <c r="B268" s="21"/>
      <c r="C268" s="10"/>
      <c r="D268" s="10"/>
      <c r="E268" s="10"/>
      <c r="F268" s="11"/>
      <c r="G268" s="22">
        <f>IFERROR(SUMIFS(Transactions!$F$7:$F$996,Transactions!$G$7:$G$996,A268,Transactions!$D$7:$D$996,"Expense"),0)</f>
        <v>0</v>
      </c>
      <c r="H268" s="10"/>
      <c r="I268" s="10"/>
      <c r="J268" s="10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0"/>
      <c r="B269" s="21"/>
      <c r="C269" s="10"/>
      <c r="D269" s="10"/>
      <c r="E269" s="10"/>
      <c r="F269" s="11"/>
      <c r="G269" s="22">
        <f>IFERROR(SUMIFS(Transactions!$F$7:$F$996,Transactions!$G$7:$G$996,A269,Transactions!$D$7:$D$996,"Expense"),0)</f>
        <v>0</v>
      </c>
      <c r="H269" s="10"/>
      <c r="I269" s="10"/>
      <c r="J269" s="10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0"/>
      <c r="B270" s="21"/>
      <c r="C270" s="10"/>
      <c r="D270" s="10"/>
      <c r="E270" s="10"/>
      <c r="F270" s="11"/>
      <c r="G270" s="22">
        <f>IFERROR(SUMIFS(Transactions!$F$7:$F$996,Transactions!$G$7:$G$996,A270,Transactions!$D$7:$D$996,"Expense"),0)</f>
        <v>0</v>
      </c>
      <c r="H270" s="10"/>
      <c r="I270" s="10"/>
      <c r="J270" s="10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0"/>
      <c r="B271" s="21"/>
      <c r="C271" s="10"/>
      <c r="D271" s="10"/>
      <c r="E271" s="10"/>
      <c r="F271" s="11"/>
      <c r="G271" s="22">
        <f>IFERROR(SUMIFS(Transactions!$F$7:$F$996,Transactions!$G$7:$G$996,A271,Transactions!$D$7:$D$996,"Expense"),0)</f>
        <v>0</v>
      </c>
      <c r="H271" s="10"/>
      <c r="I271" s="10"/>
      <c r="J271" s="10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0"/>
      <c r="B272" s="21"/>
      <c r="C272" s="10"/>
      <c r="D272" s="10"/>
      <c r="E272" s="10"/>
      <c r="F272" s="11"/>
      <c r="G272" s="22">
        <f>IFERROR(SUMIFS(Transactions!$F$7:$F$996,Transactions!$G$7:$G$996,A272,Transactions!$D$7:$D$996,"Expense"),0)</f>
        <v>0</v>
      </c>
      <c r="H272" s="10"/>
      <c r="I272" s="10"/>
      <c r="J272" s="10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0"/>
      <c r="B273" s="21"/>
      <c r="C273" s="10"/>
      <c r="D273" s="10"/>
      <c r="E273" s="10"/>
      <c r="F273" s="11"/>
      <c r="G273" s="22">
        <f>IFERROR(SUMIFS(Transactions!$F$7:$F$996,Transactions!$G$7:$G$996,A273,Transactions!$D$7:$D$996,"Expense"),0)</f>
        <v>0</v>
      </c>
      <c r="H273" s="10"/>
      <c r="I273" s="10"/>
      <c r="J273" s="10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0"/>
      <c r="B274" s="21"/>
      <c r="C274" s="10"/>
      <c r="D274" s="10"/>
      <c r="E274" s="10"/>
      <c r="F274" s="11"/>
      <c r="G274" s="22">
        <f>IFERROR(SUMIFS(Transactions!$F$7:$F$996,Transactions!$G$7:$G$996,A274,Transactions!$D$7:$D$996,"Expense"),0)</f>
        <v>0</v>
      </c>
      <c r="H274" s="10"/>
      <c r="I274" s="10"/>
      <c r="J274" s="10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0"/>
      <c r="B275" s="21"/>
      <c r="C275" s="10"/>
      <c r="D275" s="10"/>
      <c r="E275" s="10"/>
      <c r="F275" s="11"/>
      <c r="G275" s="22">
        <f>IFERROR(SUMIFS(Transactions!$F$7:$F$996,Transactions!$G$7:$G$996,A275,Transactions!$D$7:$D$996,"Expense"),0)</f>
        <v>0</v>
      </c>
      <c r="H275" s="10"/>
      <c r="I275" s="10"/>
      <c r="J275" s="10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0"/>
      <c r="B276" s="21"/>
      <c r="C276" s="10"/>
      <c r="D276" s="10"/>
      <c r="E276" s="10"/>
      <c r="F276" s="11"/>
      <c r="G276" s="22">
        <f>IFERROR(SUMIFS(Transactions!$F$7:$F$996,Transactions!$G$7:$G$996,A276,Transactions!$D$7:$D$996,"Expense"),0)</f>
        <v>0</v>
      </c>
      <c r="H276" s="10"/>
      <c r="I276" s="10"/>
      <c r="J276" s="10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0"/>
      <c r="B277" s="21"/>
      <c r="C277" s="10"/>
      <c r="D277" s="10"/>
      <c r="E277" s="10"/>
      <c r="F277" s="11"/>
      <c r="G277" s="22">
        <f>IFERROR(SUMIFS(Transactions!$F$7:$F$996,Transactions!$G$7:$G$996,A277,Transactions!$D$7:$D$996,"Expense"),0)</f>
        <v>0</v>
      </c>
      <c r="H277" s="10"/>
      <c r="I277" s="10"/>
      <c r="J277" s="10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0"/>
      <c r="B278" s="21"/>
      <c r="C278" s="10"/>
      <c r="D278" s="10"/>
      <c r="E278" s="10"/>
      <c r="F278" s="11"/>
      <c r="G278" s="22">
        <f>IFERROR(SUMIFS(Transactions!$F$7:$F$996,Transactions!$G$7:$G$996,A278,Transactions!$D$7:$D$996,"Expense"),0)</f>
        <v>0</v>
      </c>
      <c r="H278" s="10"/>
      <c r="I278" s="10"/>
      <c r="J278" s="10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0"/>
      <c r="B279" s="21"/>
      <c r="C279" s="10"/>
      <c r="D279" s="10"/>
      <c r="E279" s="10"/>
      <c r="F279" s="11"/>
      <c r="G279" s="22">
        <f>IFERROR(SUMIFS(Transactions!$F$7:$F$996,Transactions!$G$7:$G$996,A279,Transactions!$D$7:$D$996,"Expense"),0)</f>
        <v>0</v>
      </c>
      <c r="H279" s="10"/>
      <c r="I279" s="10"/>
      <c r="J279" s="10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0"/>
      <c r="B280" s="21"/>
      <c r="C280" s="10"/>
      <c r="D280" s="10"/>
      <c r="E280" s="10"/>
      <c r="F280" s="11"/>
      <c r="G280" s="22">
        <f>IFERROR(SUMIFS(Transactions!$F$7:$F$996,Transactions!$G$7:$G$996,A280,Transactions!$D$7:$D$996,"Expense"),0)</f>
        <v>0</v>
      </c>
      <c r="H280" s="10"/>
      <c r="I280" s="10"/>
      <c r="J280" s="10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0"/>
      <c r="B281" s="21"/>
      <c r="C281" s="10"/>
      <c r="D281" s="10"/>
      <c r="E281" s="10"/>
      <c r="F281" s="11"/>
      <c r="G281" s="22">
        <f>IFERROR(SUMIFS(Transactions!$F$7:$F$996,Transactions!$G$7:$G$996,A281,Transactions!$D$7:$D$996,"Expense"),0)</f>
        <v>0</v>
      </c>
      <c r="H281" s="10"/>
      <c r="I281" s="10"/>
      <c r="J281" s="10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0"/>
      <c r="B282" s="21"/>
      <c r="C282" s="10"/>
      <c r="D282" s="10"/>
      <c r="E282" s="10"/>
      <c r="F282" s="11"/>
      <c r="G282" s="22">
        <f>IFERROR(SUMIFS(Transactions!$F$7:$F$996,Transactions!$G$7:$G$996,A282,Transactions!$D$7:$D$996,"Expense"),0)</f>
        <v>0</v>
      </c>
      <c r="H282" s="10"/>
      <c r="I282" s="10"/>
      <c r="J282" s="10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0"/>
      <c r="B283" s="21"/>
      <c r="C283" s="10"/>
      <c r="D283" s="10"/>
      <c r="E283" s="10"/>
      <c r="F283" s="11"/>
      <c r="G283" s="22">
        <f>IFERROR(SUMIFS(Transactions!$F$7:$F$996,Transactions!$G$7:$G$996,A283,Transactions!$D$7:$D$996,"Expense"),0)</f>
        <v>0</v>
      </c>
      <c r="H283" s="10"/>
      <c r="I283" s="10"/>
      <c r="J283" s="10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0"/>
      <c r="B284" s="21"/>
      <c r="C284" s="10"/>
      <c r="D284" s="10"/>
      <c r="E284" s="10"/>
      <c r="F284" s="11"/>
      <c r="G284" s="22">
        <f>IFERROR(SUMIFS(Transactions!$F$7:$F$996,Transactions!$G$7:$G$996,A284,Transactions!$D$7:$D$996,"Expense"),0)</f>
        <v>0</v>
      </c>
      <c r="H284" s="10"/>
      <c r="I284" s="10"/>
      <c r="J284" s="10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0"/>
      <c r="B285" s="21"/>
      <c r="C285" s="10"/>
      <c r="D285" s="10"/>
      <c r="E285" s="10"/>
      <c r="F285" s="11"/>
      <c r="G285" s="22">
        <f>IFERROR(SUMIFS(Transactions!$F$7:$F$996,Transactions!$G$7:$G$996,A285,Transactions!$D$7:$D$996,"Expense"),0)</f>
        <v>0</v>
      </c>
      <c r="H285" s="10"/>
      <c r="I285" s="10"/>
      <c r="J285" s="10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0"/>
      <c r="B286" s="21"/>
      <c r="C286" s="10"/>
      <c r="D286" s="10"/>
      <c r="E286" s="10"/>
      <c r="F286" s="11"/>
      <c r="G286" s="22">
        <f>IFERROR(SUMIFS(Transactions!$F$7:$F$996,Transactions!$G$7:$G$996,A286,Transactions!$D$7:$D$996,"Expense"),0)</f>
        <v>0</v>
      </c>
      <c r="H286" s="10"/>
      <c r="I286" s="10"/>
      <c r="J286" s="10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0"/>
      <c r="B287" s="21"/>
      <c r="C287" s="10"/>
      <c r="D287" s="10"/>
      <c r="E287" s="10"/>
      <c r="F287" s="11"/>
      <c r="G287" s="22">
        <f>IFERROR(SUMIFS(Transactions!$F$7:$F$996,Transactions!$G$7:$G$996,A287,Transactions!$D$7:$D$996,"Expense"),0)</f>
        <v>0</v>
      </c>
      <c r="H287" s="10"/>
      <c r="I287" s="10"/>
      <c r="J287" s="10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0"/>
      <c r="B288" s="21"/>
      <c r="C288" s="10"/>
      <c r="D288" s="10"/>
      <c r="E288" s="10"/>
      <c r="F288" s="11"/>
      <c r="G288" s="22">
        <f>IFERROR(SUMIFS(Transactions!$F$7:$F$996,Transactions!$G$7:$G$996,A288,Transactions!$D$7:$D$996,"Expense"),0)</f>
        <v>0</v>
      </c>
      <c r="H288" s="10"/>
      <c r="I288" s="10"/>
      <c r="J288" s="10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0"/>
      <c r="B289" s="21"/>
      <c r="C289" s="10"/>
      <c r="D289" s="10"/>
      <c r="E289" s="10"/>
      <c r="F289" s="11"/>
      <c r="G289" s="22">
        <f>IFERROR(SUMIFS(Transactions!$F$7:$F$996,Transactions!$G$7:$G$996,A289,Transactions!$D$7:$D$996,"Expense"),0)</f>
        <v>0</v>
      </c>
      <c r="H289" s="10"/>
      <c r="I289" s="10"/>
      <c r="J289" s="10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0"/>
      <c r="B290" s="21"/>
      <c r="C290" s="10"/>
      <c r="D290" s="10"/>
      <c r="E290" s="10"/>
      <c r="F290" s="11"/>
      <c r="G290" s="22">
        <f>IFERROR(SUMIFS(Transactions!$F$7:$F$996,Transactions!$G$7:$G$996,A290,Transactions!$D$7:$D$996,"Expense"),0)</f>
        <v>0</v>
      </c>
      <c r="H290" s="10"/>
      <c r="I290" s="10"/>
      <c r="J290" s="10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0"/>
      <c r="B291" s="21"/>
      <c r="C291" s="10"/>
      <c r="D291" s="10"/>
      <c r="E291" s="10"/>
      <c r="F291" s="11"/>
      <c r="G291" s="22">
        <f>IFERROR(SUMIFS(Transactions!$F$7:$F$996,Transactions!$G$7:$G$996,A291,Transactions!$D$7:$D$996,"Expense"),0)</f>
        <v>0</v>
      </c>
      <c r="H291" s="10"/>
      <c r="I291" s="10"/>
      <c r="J291" s="10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0"/>
      <c r="B292" s="21"/>
      <c r="C292" s="10"/>
      <c r="D292" s="10"/>
      <c r="E292" s="10"/>
      <c r="F292" s="11"/>
      <c r="G292" s="22">
        <f>IFERROR(SUMIFS(Transactions!$F$7:$F$996,Transactions!$G$7:$G$996,A292,Transactions!$D$7:$D$996,"Expense"),0)</f>
        <v>0</v>
      </c>
      <c r="H292" s="10"/>
      <c r="I292" s="10"/>
      <c r="J292" s="10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0"/>
      <c r="B293" s="21"/>
      <c r="C293" s="10"/>
      <c r="D293" s="10"/>
      <c r="E293" s="10"/>
      <c r="F293" s="11"/>
      <c r="G293" s="22">
        <f>IFERROR(SUMIFS(Transactions!$F$7:$F$996,Transactions!$G$7:$G$996,A293,Transactions!$D$7:$D$996,"Expense"),0)</f>
        <v>0</v>
      </c>
      <c r="H293" s="10"/>
      <c r="I293" s="10"/>
      <c r="J293" s="10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0"/>
      <c r="B294" s="21"/>
      <c r="C294" s="10"/>
      <c r="D294" s="10"/>
      <c r="E294" s="10"/>
      <c r="F294" s="11"/>
      <c r="G294" s="22">
        <f>IFERROR(SUMIFS(Transactions!$F$7:$F$996,Transactions!$G$7:$G$996,A294,Transactions!$D$7:$D$996,"Expense"),0)</f>
        <v>0</v>
      </c>
      <c r="H294" s="10"/>
      <c r="I294" s="10"/>
      <c r="J294" s="10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0"/>
      <c r="B295" s="21"/>
      <c r="C295" s="10"/>
      <c r="D295" s="10"/>
      <c r="E295" s="10"/>
      <c r="F295" s="11"/>
      <c r="G295" s="22">
        <f>IFERROR(SUMIFS(Transactions!$F$7:$F$996,Transactions!$G$7:$G$996,A295,Transactions!$D$7:$D$996,"Expense"),0)</f>
        <v>0</v>
      </c>
      <c r="H295" s="10"/>
      <c r="I295" s="10"/>
      <c r="J295" s="10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0"/>
      <c r="B296" s="21"/>
      <c r="C296" s="10"/>
      <c r="D296" s="10"/>
      <c r="E296" s="10"/>
      <c r="F296" s="11"/>
      <c r="G296" s="22">
        <f>IFERROR(SUMIFS(Transactions!$F$7:$F$996,Transactions!$G$7:$G$996,A296,Transactions!$D$7:$D$996,"Expense"),0)</f>
        <v>0</v>
      </c>
      <c r="H296" s="10"/>
      <c r="I296" s="10"/>
      <c r="J296" s="10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0"/>
      <c r="B297" s="21"/>
      <c r="C297" s="10"/>
      <c r="D297" s="10"/>
      <c r="E297" s="10"/>
      <c r="F297" s="11"/>
      <c r="G297" s="22">
        <f>IFERROR(SUMIFS(Transactions!$F$7:$F$996,Transactions!$G$7:$G$996,A297,Transactions!$D$7:$D$996,"Expense"),0)</f>
        <v>0</v>
      </c>
      <c r="H297" s="10"/>
      <c r="I297" s="10"/>
      <c r="J297" s="10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0"/>
      <c r="B298" s="21"/>
      <c r="C298" s="10"/>
      <c r="D298" s="10"/>
      <c r="E298" s="10"/>
      <c r="F298" s="11"/>
      <c r="G298" s="22">
        <f>IFERROR(SUMIFS(Transactions!$F$7:$F$996,Transactions!$G$7:$G$996,A298,Transactions!$D$7:$D$996,"Expense"),0)</f>
        <v>0</v>
      </c>
      <c r="H298" s="10"/>
      <c r="I298" s="10"/>
      <c r="J298" s="10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0"/>
      <c r="B299" s="21"/>
      <c r="C299" s="10"/>
      <c r="D299" s="10"/>
      <c r="E299" s="10"/>
      <c r="F299" s="11"/>
      <c r="G299" s="22">
        <f>IFERROR(SUMIFS(Transactions!$F$7:$F$996,Transactions!$G$7:$G$996,A299,Transactions!$D$7:$D$996,"Expense"),0)</f>
        <v>0</v>
      </c>
      <c r="H299" s="10"/>
      <c r="I299" s="10"/>
      <c r="J299" s="10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0"/>
      <c r="B300" s="21"/>
      <c r="C300" s="10"/>
      <c r="D300" s="10"/>
      <c r="E300" s="10"/>
      <c r="F300" s="11"/>
      <c r="G300" s="22">
        <f>IFERROR(SUMIFS(Transactions!$F$7:$F$996,Transactions!$G$7:$G$996,A300,Transactions!$D$7:$D$996,"Expense"),0)</f>
        <v>0</v>
      </c>
      <c r="H300" s="10"/>
      <c r="I300" s="10"/>
      <c r="J300" s="10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0"/>
      <c r="B301" s="21"/>
      <c r="C301" s="10"/>
      <c r="D301" s="10"/>
      <c r="E301" s="10"/>
      <c r="F301" s="11"/>
      <c r="G301" s="22">
        <f>IFERROR(SUMIFS(Transactions!$F$7:$F$996,Transactions!$G$7:$G$996,A301,Transactions!$D$7:$D$996,"Expense"),0)</f>
        <v>0</v>
      </c>
      <c r="H301" s="10"/>
      <c r="I301" s="10"/>
      <c r="J301" s="10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0"/>
      <c r="B302" s="21"/>
      <c r="C302" s="10"/>
      <c r="D302" s="10"/>
      <c r="E302" s="10"/>
      <c r="F302" s="11"/>
      <c r="G302" s="22">
        <f>IFERROR(SUMIFS(Transactions!$F$7:$F$996,Transactions!$G$7:$G$996,A302,Transactions!$D$7:$D$996,"Expense"),0)</f>
        <v>0</v>
      </c>
      <c r="H302" s="10"/>
      <c r="I302" s="10"/>
      <c r="J302" s="10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0"/>
      <c r="B303" s="21"/>
      <c r="C303" s="10"/>
      <c r="D303" s="10"/>
      <c r="E303" s="10"/>
      <c r="F303" s="11"/>
      <c r="G303" s="22">
        <f>IFERROR(SUMIFS(Transactions!$F$7:$F$996,Transactions!$G$7:$G$996,A303,Transactions!$D$7:$D$996,"Expense"),0)</f>
        <v>0</v>
      </c>
      <c r="H303" s="10"/>
      <c r="I303" s="10"/>
      <c r="J303" s="10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0"/>
      <c r="B304" s="21"/>
      <c r="C304" s="10"/>
      <c r="D304" s="10"/>
      <c r="E304" s="10"/>
      <c r="F304" s="11"/>
      <c r="G304" s="22">
        <f>IFERROR(SUMIFS(Transactions!$F$7:$F$996,Transactions!$G$7:$G$996,A304,Transactions!$D$7:$D$996,"Expense"),0)</f>
        <v>0</v>
      </c>
      <c r="H304" s="10"/>
      <c r="I304" s="10"/>
      <c r="J304" s="10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0"/>
      <c r="B305" s="21"/>
      <c r="C305" s="10"/>
      <c r="D305" s="10"/>
      <c r="E305" s="10"/>
      <c r="F305" s="11"/>
      <c r="G305" s="22">
        <f>IFERROR(SUMIFS(Transactions!$F$7:$F$996,Transactions!$G$7:$G$996,A305,Transactions!$D$7:$D$996,"Expense"),0)</f>
        <v>0</v>
      </c>
      <c r="H305" s="10"/>
      <c r="I305" s="10"/>
      <c r="J305" s="10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0"/>
      <c r="B306" s="21"/>
      <c r="C306" s="10"/>
      <c r="D306" s="10"/>
      <c r="E306" s="10"/>
      <c r="F306" s="11"/>
      <c r="G306" s="22">
        <f>IFERROR(SUMIFS(Transactions!$F$7:$F$996,Transactions!$G$7:$G$996,A306,Transactions!$D$7:$D$996,"Expense"),0)</f>
        <v>0</v>
      </c>
      <c r="H306" s="10"/>
      <c r="I306" s="10"/>
      <c r="J306" s="10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0"/>
      <c r="B307" s="21"/>
      <c r="C307" s="10"/>
      <c r="D307" s="10"/>
      <c r="E307" s="10"/>
      <c r="F307" s="11"/>
      <c r="G307" s="22">
        <f>IFERROR(SUMIFS(Transactions!$F$7:$F$996,Transactions!$G$7:$G$996,A307,Transactions!$D$7:$D$996,"Expense"),0)</f>
        <v>0</v>
      </c>
      <c r="H307" s="10"/>
      <c r="I307" s="10"/>
      <c r="J307" s="10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0"/>
      <c r="B308" s="21"/>
      <c r="C308" s="10"/>
      <c r="D308" s="10"/>
      <c r="E308" s="10"/>
      <c r="F308" s="11"/>
      <c r="G308" s="22">
        <f>IFERROR(SUMIFS(Transactions!$F$7:$F$996,Transactions!$G$7:$G$996,A308,Transactions!$D$7:$D$996,"Expense"),0)</f>
        <v>0</v>
      </c>
      <c r="H308" s="10"/>
      <c r="I308" s="10"/>
      <c r="J308" s="10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0"/>
      <c r="B309" s="21"/>
      <c r="C309" s="10"/>
      <c r="D309" s="10"/>
      <c r="E309" s="10"/>
      <c r="F309" s="11"/>
      <c r="G309" s="22">
        <f>IFERROR(SUMIFS(Transactions!$F$7:$F$996,Transactions!$G$7:$G$996,A309,Transactions!$D$7:$D$996,"Expense"),0)</f>
        <v>0</v>
      </c>
      <c r="H309" s="10"/>
      <c r="I309" s="10"/>
      <c r="J309" s="10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0"/>
      <c r="B310" s="21"/>
      <c r="C310" s="10"/>
      <c r="D310" s="10"/>
      <c r="E310" s="10"/>
      <c r="F310" s="11"/>
      <c r="G310" s="22">
        <f>IFERROR(SUMIFS(Transactions!$F$7:$F$996,Transactions!$G$7:$G$996,A310,Transactions!$D$7:$D$996,"Expense"),0)</f>
        <v>0</v>
      </c>
      <c r="H310" s="10"/>
      <c r="I310" s="10"/>
      <c r="J310" s="10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0"/>
      <c r="B311" s="21"/>
      <c r="C311" s="10"/>
      <c r="D311" s="10"/>
      <c r="E311" s="10"/>
      <c r="F311" s="11"/>
      <c r="G311" s="22">
        <f>IFERROR(SUMIFS(Transactions!$F$7:$F$996,Transactions!$G$7:$G$996,A311,Transactions!$D$7:$D$996,"Expense"),0)</f>
        <v>0</v>
      </c>
      <c r="H311" s="10"/>
      <c r="I311" s="10"/>
      <c r="J311" s="10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0"/>
      <c r="B312" s="21"/>
      <c r="C312" s="10"/>
      <c r="D312" s="10"/>
      <c r="E312" s="10"/>
      <c r="F312" s="11"/>
      <c r="G312" s="22">
        <f>IFERROR(SUMIFS(Transactions!$F$7:$F$996,Transactions!$G$7:$G$996,A312,Transactions!$D$7:$D$996,"Expense"),0)</f>
        <v>0</v>
      </c>
      <c r="H312" s="10"/>
      <c r="I312" s="10"/>
      <c r="J312" s="10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0"/>
      <c r="B313" s="21"/>
      <c r="C313" s="10"/>
      <c r="D313" s="10"/>
      <c r="E313" s="10"/>
      <c r="F313" s="11"/>
      <c r="G313" s="22">
        <f>IFERROR(SUMIFS(Transactions!$F$7:$F$996,Transactions!$G$7:$G$996,A313,Transactions!$D$7:$D$996,"Expense"),0)</f>
        <v>0</v>
      </c>
      <c r="H313" s="10"/>
      <c r="I313" s="10"/>
      <c r="J313" s="10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0"/>
      <c r="B314" s="21"/>
      <c r="C314" s="10"/>
      <c r="D314" s="10"/>
      <c r="E314" s="10"/>
      <c r="F314" s="11"/>
      <c r="G314" s="22">
        <f>IFERROR(SUMIFS(Transactions!$F$7:$F$996,Transactions!$G$7:$G$996,A314,Transactions!$D$7:$D$996,"Expense"),0)</f>
        <v>0</v>
      </c>
      <c r="H314" s="10"/>
      <c r="I314" s="10"/>
      <c r="J314" s="10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0"/>
      <c r="B315" s="21"/>
      <c r="C315" s="10"/>
      <c r="D315" s="10"/>
      <c r="E315" s="10"/>
      <c r="F315" s="11"/>
      <c r="G315" s="22">
        <f>IFERROR(SUMIFS(Transactions!$F$7:$F$996,Transactions!$G$7:$G$996,A315,Transactions!$D$7:$D$996,"Expense"),0)</f>
        <v>0</v>
      </c>
      <c r="H315" s="10"/>
      <c r="I315" s="10"/>
      <c r="J315" s="10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0"/>
      <c r="B316" s="21"/>
      <c r="C316" s="10"/>
      <c r="D316" s="10"/>
      <c r="E316" s="10"/>
      <c r="F316" s="11"/>
      <c r="G316" s="22">
        <f>IFERROR(SUMIFS(Transactions!$F$7:$F$996,Transactions!$G$7:$G$996,A316,Transactions!$D$7:$D$996,"Expense"),0)</f>
        <v>0</v>
      </c>
      <c r="H316" s="10"/>
      <c r="I316" s="10"/>
      <c r="J316" s="10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0"/>
      <c r="B317" s="21"/>
      <c r="C317" s="10"/>
      <c r="D317" s="10"/>
      <c r="E317" s="10"/>
      <c r="F317" s="11"/>
      <c r="G317" s="22">
        <f>IFERROR(SUMIFS(Transactions!$F$7:$F$996,Transactions!$G$7:$G$996,A317,Transactions!$D$7:$D$996,"Expense"),0)</f>
        <v>0</v>
      </c>
      <c r="H317" s="10"/>
      <c r="I317" s="10"/>
      <c r="J317" s="10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0"/>
      <c r="B318" s="21"/>
      <c r="C318" s="10"/>
      <c r="D318" s="10"/>
      <c r="E318" s="10"/>
      <c r="F318" s="11"/>
      <c r="G318" s="22">
        <f>IFERROR(SUMIFS(Transactions!$F$7:$F$996,Transactions!$G$7:$G$996,A318,Transactions!$D$7:$D$996,"Expense"),0)</f>
        <v>0</v>
      </c>
      <c r="H318" s="10"/>
      <c r="I318" s="10"/>
      <c r="J318" s="10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0"/>
      <c r="B319" s="21"/>
      <c r="C319" s="10"/>
      <c r="D319" s="10"/>
      <c r="E319" s="10"/>
      <c r="F319" s="11"/>
      <c r="G319" s="22">
        <f>IFERROR(SUMIFS(Transactions!$F$7:$F$996,Transactions!$G$7:$G$996,A319,Transactions!$D$7:$D$996,"Expense"),0)</f>
        <v>0</v>
      </c>
      <c r="H319" s="10"/>
      <c r="I319" s="10"/>
      <c r="J319" s="10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0"/>
      <c r="B320" s="21"/>
      <c r="C320" s="10"/>
      <c r="D320" s="10"/>
      <c r="E320" s="10"/>
      <c r="F320" s="11"/>
      <c r="G320" s="22">
        <f>IFERROR(SUMIFS(Transactions!$F$7:$F$996,Transactions!$G$7:$G$996,A320,Transactions!$D$7:$D$996,"Expense"),0)</f>
        <v>0</v>
      </c>
      <c r="H320" s="10"/>
      <c r="I320" s="10"/>
      <c r="J320" s="10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0"/>
      <c r="B321" s="21"/>
      <c r="C321" s="10"/>
      <c r="D321" s="10"/>
      <c r="E321" s="10"/>
      <c r="F321" s="11"/>
      <c r="G321" s="22">
        <f>IFERROR(SUMIFS(Transactions!$F$7:$F$996,Transactions!$G$7:$G$996,A321,Transactions!$D$7:$D$996,"Expense"),0)</f>
        <v>0</v>
      </c>
      <c r="H321" s="10"/>
      <c r="I321" s="10"/>
      <c r="J321" s="10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0"/>
      <c r="B322" s="21"/>
      <c r="C322" s="10"/>
      <c r="D322" s="10"/>
      <c r="E322" s="10"/>
      <c r="F322" s="11"/>
      <c r="G322" s="22">
        <f>IFERROR(SUMIFS(Transactions!$F$7:$F$996,Transactions!$G$7:$G$996,A322,Transactions!$D$7:$D$996,"Expense"),0)</f>
        <v>0</v>
      </c>
      <c r="H322" s="10"/>
      <c r="I322" s="10"/>
      <c r="J322" s="10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0"/>
      <c r="B323" s="21"/>
      <c r="C323" s="10"/>
      <c r="D323" s="10"/>
      <c r="E323" s="10"/>
      <c r="F323" s="11"/>
      <c r="G323" s="22">
        <f>IFERROR(SUMIFS(Transactions!$F$7:$F$996,Transactions!$G$7:$G$996,A323,Transactions!$D$7:$D$996,"Expense"),0)</f>
        <v>0</v>
      </c>
      <c r="H323" s="10"/>
      <c r="I323" s="10"/>
      <c r="J323" s="10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0"/>
      <c r="B324" s="21"/>
      <c r="C324" s="10"/>
      <c r="D324" s="10"/>
      <c r="E324" s="10"/>
      <c r="F324" s="11"/>
      <c r="G324" s="22">
        <f>IFERROR(SUMIFS(Transactions!$F$7:$F$996,Transactions!$G$7:$G$996,A324,Transactions!$D$7:$D$996,"Expense"),0)</f>
        <v>0</v>
      </c>
      <c r="H324" s="10"/>
      <c r="I324" s="10"/>
      <c r="J324" s="10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0"/>
      <c r="B325" s="21"/>
      <c r="C325" s="10"/>
      <c r="D325" s="10"/>
      <c r="E325" s="10"/>
      <c r="F325" s="11"/>
      <c r="G325" s="22">
        <f>IFERROR(SUMIFS(Transactions!$F$7:$F$996,Transactions!$G$7:$G$996,A325,Transactions!$D$7:$D$996,"Expense"),0)</f>
        <v>0</v>
      </c>
      <c r="H325" s="10"/>
      <c r="I325" s="10"/>
      <c r="J325" s="10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0"/>
      <c r="B326" s="21"/>
      <c r="C326" s="10"/>
      <c r="D326" s="10"/>
      <c r="E326" s="10"/>
      <c r="F326" s="11"/>
      <c r="G326" s="22">
        <f>IFERROR(SUMIFS(Transactions!$F$7:$F$996,Transactions!$G$7:$G$996,A326,Transactions!$D$7:$D$996,"Expense"),0)</f>
        <v>0</v>
      </c>
      <c r="H326" s="10"/>
      <c r="I326" s="10"/>
      <c r="J326" s="10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0"/>
      <c r="B327" s="21"/>
      <c r="C327" s="10"/>
      <c r="D327" s="10"/>
      <c r="E327" s="10"/>
      <c r="F327" s="11"/>
      <c r="G327" s="22">
        <f>IFERROR(SUMIFS(Transactions!$F$7:$F$996,Transactions!$G$7:$G$996,A327,Transactions!$D$7:$D$996,"Expense"),0)</f>
        <v>0</v>
      </c>
      <c r="H327" s="10"/>
      <c r="I327" s="10"/>
      <c r="J327" s="10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0"/>
      <c r="B328" s="21"/>
      <c r="C328" s="10"/>
      <c r="D328" s="10"/>
      <c r="E328" s="10"/>
      <c r="F328" s="11"/>
      <c r="G328" s="22">
        <f>IFERROR(SUMIFS(Transactions!$F$7:$F$996,Transactions!$G$7:$G$996,A328,Transactions!$D$7:$D$996,"Expense"),0)</f>
        <v>0</v>
      </c>
      <c r="H328" s="10"/>
      <c r="I328" s="10"/>
      <c r="J328" s="10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0"/>
      <c r="B329" s="21"/>
      <c r="C329" s="10"/>
      <c r="D329" s="10"/>
      <c r="E329" s="10"/>
      <c r="F329" s="11"/>
      <c r="G329" s="22">
        <f>IFERROR(SUMIFS(Transactions!$F$7:$F$996,Transactions!$G$7:$G$996,A329,Transactions!$D$7:$D$996,"Expense"),0)</f>
        <v>0</v>
      </c>
      <c r="H329" s="10"/>
      <c r="I329" s="10"/>
      <c r="J329" s="10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0"/>
      <c r="B330" s="21"/>
      <c r="C330" s="10"/>
      <c r="D330" s="10"/>
      <c r="E330" s="10"/>
      <c r="F330" s="11"/>
      <c r="G330" s="22">
        <f>IFERROR(SUMIFS(Transactions!$F$7:$F$996,Transactions!$G$7:$G$996,A330,Transactions!$D$7:$D$996,"Expense"),0)</f>
        <v>0</v>
      </c>
      <c r="H330" s="10"/>
      <c r="I330" s="10"/>
      <c r="J330" s="10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0"/>
      <c r="B331" s="21"/>
      <c r="C331" s="10"/>
      <c r="D331" s="10"/>
      <c r="E331" s="10"/>
      <c r="F331" s="11"/>
      <c r="G331" s="22">
        <f>IFERROR(SUMIFS(Transactions!$F$7:$F$996,Transactions!$G$7:$G$996,A331,Transactions!$D$7:$D$996,"Expense"),0)</f>
        <v>0</v>
      </c>
      <c r="H331" s="10"/>
      <c r="I331" s="10"/>
      <c r="J331" s="10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0"/>
      <c r="B332" s="21"/>
      <c r="C332" s="10"/>
      <c r="D332" s="10"/>
      <c r="E332" s="10"/>
      <c r="F332" s="11"/>
      <c r="G332" s="22">
        <f>IFERROR(SUMIFS(Transactions!$F$7:$F$996,Transactions!$G$7:$G$996,A332,Transactions!$D$7:$D$996,"Expense"),0)</f>
        <v>0</v>
      </c>
      <c r="H332" s="10"/>
      <c r="I332" s="10"/>
      <c r="J332" s="10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0"/>
      <c r="B333" s="21"/>
      <c r="C333" s="10"/>
      <c r="D333" s="10"/>
      <c r="E333" s="10"/>
      <c r="F333" s="11"/>
      <c r="G333" s="22">
        <f>IFERROR(SUMIFS(Transactions!$F$7:$F$996,Transactions!$G$7:$G$996,A333,Transactions!$D$7:$D$996,"Expense"),0)</f>
        <v>0</v>
      </c>
      <c r="H333" s="10"/>
      <c r="I333" s="10"/>
      <c r="J333" s="10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0"/>
      <c r="B334" s="21"/>
      <c r="C334" s="10"/>
      <c r="D334" s="10"/>
      <c r="E334" s="10"/>
      <c r="F334" s="11"/>
      <c r="G334" s="22">
        <f>IFERROR(SUMIFS(Transactions!$F$7:$F$996,Transactions!$G$7:$G$996,A334,Transactions!$D$7:$D$996,"Expense"),0)</f>
        <v>0</v>
      </c>
      <c r="H334" s="10"/>
      <c r="I334" s="10"/>
      <c r="J334" s="10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0"/>
      <c r="B335" s="21"/>
      <c r="C335" s="10"/>
      <c r="D335" s="10"/>
      <c r="E335" s="10"/>
      <c r="F335" s="11"/>
      <c r="G335" s="22">
        <f>IFERROR(SUMIFS(Transactions!$F$7:$F$996,Transactions!$G$7:$G$996,A335,Transactions!$D$7:$D$996,"Expense"),0)</f>
        <v>0</v>
      </c>
      <c r="H335" s="10"/>
      <c r="I335" s="10"/>
      <c r="J335" s="10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0"/>
      <c r="B336" s="21"/>
      <c r="C336" s="10"/>
      <c r="D336" s="10"/>
      <c r="E336" s="10"/>
      <c r="F336" s="11"/>
      <c r="G336" s="22">
        <f>IFERROR(SUMIFS(Transactions!$F$7:$F$996,Transactions!$G$7:$G$996,A336,Transactions!$D$7:$D$996,"Expense"),0)</f>
        <v>0</v>
      </c>
      <c r="H336" s="10"/>
      <c r="I336" s="10"/>
      <c r="J336" s="10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0"/>
      <c r="B337" s="21"/>
      <c r="C337" s="10"/>
      <c r="D337" s="10"/>
      <c r="E337" s="10"/>
      <c r="F337" s="11"/>
      <c r="G337" s="22">
        <f>IFERROR(SUMIFS(Transactions!$F$7:$F$996,Transactions!$G$7:$G$996,A337,Transactions!$D$7:$D$996,"Expense"),0)</f>
        <v>0</v>
      </c>
      <c r="H337" s="10"/>
      <c r="I337" s="10"/>
      <c r="J337" s="10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0"/>
      <c r="B338" s="21"/>
      <c r="C338" s="10"/>
      <c r="D338" s="10"/>
      <c r="E338" s="10"/>
      <c r="F338" s="11"/>
      <c r="G338" s="22">
        <f>IFERROR(SUMIFS(Transactions!$F$7:$F$996,Transactions!$G$7:$G$996,A338,Transactions!$D$7:$D$996,"Expense"),0)</f>
        <v>0</v>
      </c>
      <c r="H338" s="10"/>
      <c r="I338" s="10"/>
      <c r="J338" s="10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0"/>
      <c r="B339" s="21"/>
      <c r="C339" s="10"/>
      <c r="D339" s="10"/>
      <c r="E339" s="10"/>
      <c r="F339" s="11"/>
      <c r="G339" s="22">
        <f>IFERROR(SUMIFS(Transactions!$F$7:$F$996,Transactions!$G$7:$G$996,A339,Transactions!$D$7:$D$996,"Expense"),0)</f>
        <v>0</v>
      </c>
      <c r="H339" s="10"/>
      <c r="I339" s="10"/>
      <c r="J339" s="10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0"/>
      <c r="B340" s="21"/>
      <c r="C340" s="10"/>
      <c r="D340" s="10"/>
      <c r="E340" s="10"/>
      <c r="F340" s="11"/>
      <c r="G340" s="22">
        <f>IFERROR(SUMIFS(Transactions!$F$7:$F$996,Transactions!$G$7:$G$996,A340,Transactions!$D$7:$D$996,"Expense"),0)</f>
        <v>0</v>
      </c>
      <c r="H340" s="10"/>
      <c r="I340" s="10"/>
      <c r="J340" s="10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0"/>
      <c r="B341" s="21"/>
      <c r="C341" s="10"/>
      <c r="D341" s="10"/>
      <c r="E341" s="10"/>
      <c r="F341" s="11"/>
      <c r="G341" s="22">
        <f>IFERROR(SUMIFS(Transactions!$F$7:$F$996,Transactions!$G$7:$G$996,A341,Transactions!$D$7:$D$996,"Expense"),0)</f>
        <v>0</v>
      </c>
      <c r="H341" s="10"/>
      <c r="I341" s="10"/>
      <c r="J341" s="10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0"/>
      <c r="B342" s="21"/>
      <c r="C342" s="10"/>
      <c r="D342" s="10"/>
      <c r="E342" s="10"/>
      <c r="F342" s="11"/>
      <c r="G342" s="22">
        <f>IFERROR(SUMIFS(Transactions!$F$7:$F$996,Transactions!$G$7:$G$996,A342,Transactions!$D$7:$D$996,"Expense"),0)</f>
        <v>0</v>
      </c>
      <c r="H342" s="10"/>
      <c r="I342" s="10"/>
      <c r="J342" s="10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0"/>
      <c r="B343" s="21"/>
      <c r="C343" s="10"/>
      <c r="D343" s="10"/>
      <c r="E343" s="10"/>
      <c r="F343" s="11"/>
      <c r="G343" s="22">
        <f>IFERROR(SUMIFS(Transactions!$F$7:$F$996,Transactions!$G$7:$G$996,A343,Transactions!$D$7:$D$996,"Expense"),0)</f>
        <v>0</v>
      </c>
      <c r="H343" s="10"/>
      <c r="I343" s="10"/>
      <c r="J343" s="10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0"/>
      <c r="B344" s="21"/>
      <c r="C344" s="10"/>
      <c r="D344" s="10"/>
      <c r="E344" s="10"/>
      <c r="F344" s="11"/>
      <c r="G344" s="22">
        <f>IFERROR(SUMIFS(Transactions!$F$7:$F$996,Transactions!$G$7:$G$996,A344,Transactions!$D$7:$D$996,"Expense"),0)</f>
        <v>0</v>
      </c>
      <c r="H344" s="10"/>
      <c r="I344" s="10"/>
      <c r="J344" s="10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0"/>
      <c r="B345" s="21"/>
      <c r="C345" s="10"/>
      <c r="D345" s="10"/>
      <c r="E345" s="10"/>
      <c r="F345" s="11"/>
      <c r="G345" s="22">
        <f>IFERROR(SUMIFS(Transactions!$F$7:$F$996,Transactions!$G$7:$G$996,A345,Transactions!$D$7:$D$996,"Expense"),0)</f>
        <v>0</v>
      </c>
      <c r="H345" s="10"/>
      <c r="I345" s="10"/>
      <c r="J345" s="10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0"/>
      <c r="B346" s="21"/>
      <c r="C346" s="10"/>
      <c r="D346" s="10"/>
      <c r="E346" s="10"/>
      <c r="F346" s="11"/>
      <c r="G346" s="22">
        <f>IFERROR(SUMIFS(Transactions!$F$7:$F$996,Transactions!$G$7:$G$996,A346,Transactions!$D$7:$D$996,"Expense"),0)</f>
        <v>0</v>
      </c>
      <c r="H346" s="10"/>
      <c r="I346" s="10"/>
      <c r="J346" s="10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0"/>
      <c r="B347" s="21"/>
      <c r="C347" s="10"/>
      <c r="D347" s="10"/>
      <c r="E347" s="10"/>
      <c r="F347" s="11"/>
      <c r="G347" s="22">
        <f>IFERROR(SUMIFS(Transactions!$F$7:$F$996,Transactions!$G$7:$G$996,A347,Transactions!$D$7:$D$996,"Expense"),0)</f>
        <v>0</v>
      </c>
      <c r="H347" s="10"/>
      <c r="I347" s="10"/>
      <c r="J347" s="10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0"/>
      <c r="B348" s="21"/>
      <c r="C348" s="10"/>
      <c r="D348" s="10"/>
      <c r="E348" s="10"/>
      <c r="F348" s="11"/>
      <c r="G348" s="22">
        <f>IFERROR(SUMIFS(Transactions!$F$7:$F$996,Transactions!$G$7:$G$996,A348,Transactions!$D$7:$D$996,"Expense"),0)</f>
        <v>0</v>
      </c>
      <c r="H348" s="10"/>
      <c r="I348" s="10"/>
      <c r="J348" s="10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0"/>
      <c r="B349" s="21"/>
      <c r="C349" s="10"/>
      <c r="D349" s="10"/>
      <c r="E349" s="10"/>
      <c r="F349" s="11"/>
      <c r="G349" s="22">
        <f>IFERROR(SUMIFS(Transactions!$F$7:$F$996,Transactions!$G$7:$G$996,A349,Transactions!$D$7:$D$996,"Expense"),0)</f>
        <v>0</v>
      </c>
      <c r="H349" s="10"/>
      <c r="I349" s="10"/>
      <c r="J349" s="10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0"/>
      <c r="B350" s="21"/>
      <c r="C350" s="10"/>
      <c r="D350" s="10"/>
      <c r="E350" s="10"/>
      <c r="F350" s="11"/>
      <c r="G350" s="22">
        <f>IFERROR(SUMIFS(Transactions!$F$7:$F$996,Transactions!$G$7:$G$996,A350,Transactions!$D$7:$D$996,"Expense"),0)</f>
        <v>0</v>
      </c>
      <c r="H350" s="10"/>
      <c r="I350" s="10"/>
      <c r="J350" s="10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0"/>
      <c r="B351" s="21"/>
      <c r="C351" s="10"/>
      <c r="D351" s="10"/>
      <c r="E351" s="10"/>
      <c r="F351" s="11"/>
      <c r="G351" s="22">
        <f>IFERROR(SUMIFS(Transactions!$F$7:$F$996,Transactions!$G$7:$G$996,A351,Transactions!$D$7:$D$996,"Expense"),0)</f>
        <v>0</v>
      </c>
      <c r="H351" s="10"/>
      <c r="I351" s="10"/>
      <c r="J351" s="10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0"/>
      <c r="B352" s="21"/>
      <c r="C352" s="10"/>
      <c r="D352" s="10"/>
      <c r="E352" s="10"/>
      <c r="F352" s="11"/>
      <c r="G352" s="22">
        <f>IFERROR(SUMIFS(Transactions!$F$7:$F$996,Transactions!$G$7:$G$996,A352,Transactions!$D$7:$D$996,"Expense"),0)</f>
        <v>0</v>
      </c>
      <c r="H352" s="10"/>
      <c r="I352" s="10"/>
      <c r="J352" s="10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0"/>
      <c r="B353" s="21"/>
      <c r="C353" s="10"/>
      <c r="D353" s="10"/>
      <c r="E353" s="10"/>
      <c r="F353" s="11"/>
      <c r="G353" s="22">
        <f>IFERROR(SUMIFS(Transactions!$F$7:$F$996,Transactions!$G$7:$G$996,A353,Transactions!$D$7:$D$996,"Expense"),0)</f>
        <v>0</v>
      </c>
      <c r="H353" s="10"/>
      <c r="I353" s="10"/>
      <c r="J353" s="10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0"/>
      <c r="B354" s="21"/>
      <c r="C354" s="10"/>
      <c r="D354" s="10"/>
      <c r="E354" s="10"/>
      <c r="F354" s="11"/>
      <c r="G354" s="22">
        <f>IFERROR(SUMIFS(Transactions!$F$7:$F$996,Transactions!$G$7:$G$996,A354,Transactions!$D$7:$D$996,"Expense"),0)</f>
        <v>0</v>
      </c>
      <c r="H354" s="10"/>
      <c r="I354" s="10"/>
      <c r="J354" s="10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0"/>
      <c r="B355" s="21"/>
      <c r="C355" s="10"/>
      <c r="D355" s="10"/>
      <c r="E355" s="10"/>
      <c r="F355" s="11"/>
      <c r="G355" s="22">
        <f>IFERROR(SUMIFS(Transactions!$F$7:$F$996,Transactions!$G$7:$G$996,A355,Transactions!$D$7:$D$996,"Expense"),0)</f>
        <v>0</v>
      </c>
      <c r="H355" s="10"/>
      <c r="I355" s="10"/>
      <c r="J355" s="10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0"/>
      <c r="B356" s="21"/>
      <c r="C356" s="10"/>
      <c r="D356" s="10"/>
      <c r="E356" s="10"/>
      <c r="F356" s="11"/>
      <c r="G356" s="22">
        <f>IFERROR(SUMIFS(Transactions!$F$7:$F$996,Transactions!$G$7:$G$996,A356,Transactions!$D$7:$D$996,"Expense"),0)</f>
        <v>0</v>
      </c>
      <c r="H356" s="10"/>
      <c r="I356" s="10"/>
      <c r="J356" s="10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0"/>
      <c r="B357" s="21"/>
      <c r="C357" s="10"/>
      <c r="D357" s="10"/>
      <c r="E357" s="10"/>
      <c r="F357" s="11"/>
      <c r="G357" s="22">
        <f>IFERROR(SUMIFS(Transactions!$F$7:$F$996,Transactions!$G$7:$G$996,A357,Transactions!$D$7:$D$996,"Expense"),0)</f>
        <v>0</v>
      </c>
      <c r="H357" s="10"/>
      <c r="I357" s="10"/>
      <c r="J357" s="10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0"/>
      <c r="B358" s="21"/>
      <c r="C358" s="10"/>
      <c r="D358" s="10"/>
      <c r="E358" s="10"/>
      <c r="F358" s="11"/>
      <c r="G358" s="22">
        <f>IFERROR(SUMIFS(Transactions!$F$7:$F$996,Transactions!$G$7:$G$996,A358,Transactions!$D$7:$D$996,"Expense"),0)</f>
        <v>0</v>
      </c>
      <c r="H358" s="10"/>
      <c r="I358" s="10"/>
      <c r="J358" s="10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0"/>
      <c r="B359" s="21"/>
      <c r="C359" s="10"/>
      <c r="D359" s="10"/>
      <c r="E359" s="10"/>
      <c r="F359" s="11"/>
      <c r="G359" s="22">
        <f>IFERROR(SUMIFS(Transactions!$F$7:$F$996,Transactions!$G$7:$G$996,A359,Transactions!$D$7:$D$996,"Expense"),0)</f>
        <v>0</v>
      </c>
      <c r="H359" s="10"/>
      <c r="I359" s="10"/>
      <c r="J359" s="10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0"/>
      <c r="B360" s="21"/>
      <c r="C360" s="10"/>
      <c r="D360" s="10"/>
      <c r="E360" s="10"/>
      <c r="F360" s="11"/>
      <c r="G360" s="22">
        <f>IFERROR(SUMIFS(Transactions!$F$7:$F$996,Transactions!$G$7:$G$996,A360,Transactions!$D$7:$D$996,"Expense"),0)</f>
        <v>0</v>
      </c>
      <c r="H360" s="10"/>
      <c r="I360" s="10"/>
      <c r="J360" s="10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0"/>
      <c r="B361" s="21"/>
      <c r="C361" s="10"/>
      <c r="D361" s="10"/>
      <c r="E361" s="10"/>
      <c r="F361" s="11"/>
      <c r="G361" s="22">
        <f>IFERROR(SUMIFS(Transactions!$F$7:$F$996,Transactions!$G$7:$G$996,A361,Transactions!$D$7:$D$996,"Expense"),0)</f>
        <v>0</v>
      </c>
      <c r="H361" s="10"/>
      <c r="I361" s="10"/>
      <c r="J361" s="10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0"/>
      <c r="B362" s="21"/>
      <c r="C362" s="10"/>
      <c r="D362" s="10"/>
      <c r="E362" s="10"/>
      <c r="F362" s="11"/>
      <c r="G362" s="22">
        <f>IFERROR(SUMIFS(Transactions!$F$7:$F$996,Transactions!$G$7:$G$996,A362,Transactions!$D$7:$D$996,"Expense"),0)</f>
        <v>0</v>
      </c>
      <c r="H362" s="10"/>
      <c r="I362" s="10"/>
      <c r="J362" s="10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0"/>
      <c r="B363" s="21"/>
      <c r="C363" s="10"/>
      <c r="D363" s="10"/>
      <c r="E363" s="10"/>
      <c r="F363" s="11"/>
      <c r="G363" s="22">
        <f>IFERROR(SUMIFS(Transactions!$F$7:$F$996,Transactions!$G$7:$G$996,A363,Transactions!$D$7:$D$996,"Expense"),0)</f>
        <v>0</v>
      </c>
      <c r="H363" s="10"/>
      <c r="I363" s="10"/>
      <c r="J363" s="10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0"/>
      <c r="B364" s="21"/>
      <c r="C364" s="10"/>
      <c r="D364" s="10"/>
      <c r="E364" s="10"/>
      <c r="F364" s="11"/>
      <c r="G364" s="22">
        <f>IFERROR(SUMIFS(Transactions!$F$7:$F$996,Transactions!$G$7:$G$996,A364,Transactions!$D$7:$D$996,"Expense"),0)</f>
        <v>0</v>
      </c>
      <c r="H364" s="10"/>
      <c r="I364" s="10"/>
      <c r="J364" s="10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0"/>
      <c r="B365" s="21"/>
      <c r="C365" s="10"/>
      <c r="D365" s="10"/>
      <c r="E365" s="10"/>
      <c r="F365" s="11"/>
      <c r="G365" s="22">
        <f>IFERROR(SUMIFS(Transactions!$F$7:$F$996,Transactions!$G$7:$G$996,A365,Transactions!$D$7:$D$996,"Expense"),0)</f>
        <v>0</v>
      </c>
      <c r="H365" s="10"/>
      <c r="I365" s="10"/>
      <c r="J365" s="10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0"/>
      <c r="B366" s="21"/>
      <c r="C366" s="10"/>
      <c r="D366" s="10"/>
      <c r="E366" s="10"/>
      <c r="F366" s="11"/>
      <c r="G366" s="22">
        <f>IFERROR(SUMIFS(Transactions!$F$7:$F$996,Transactions!$G$7:$G$996,A366,Transactions!$D$7:$D$996,"Expense"),0)</f>
        <v>0</v>
      </c>
      <c r="H366" s="10"/>
      <c r="I366" s="10"/>
      <c r="J366" s="10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0"/>
      <c r="B367" s="21"/>
      <c r="C367" s="10"/>
      <c r="D367" s="10"/>
      <c r="E367" s="10"/>
      <c r="F367" s="11"/>
      <c r="G367" s="22">
        <f>IFERROR(SUMIFS(Transactions!$F$7:$F$996,Transactions!$G$7:$G$996,A367,Transactions!$D$7:$D$996,"Expense"),0)</f>
        <v>0</v>
      </c>
      <c r="H367" s="10"/>
      <c r="I367" s="10"/>
      <c r="J367" s="10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0"/>
      <c r="B368" s="21"/>
      <c r="C368" s="10"/>
      <c r="D368" s="10"/>
      <c r="E368" s="10"/>
      <c r="F368" s="11"/>
      <c r="G368" s="22">
        <f>IFERROR(SUMIFS(Transactions!$F$7:$F$996,Transactions!$G$7:$G$996,A368,Transactions!$D$7:$D$996,"Expense"),0)</f>
        <v>0</v>
      </c>
      <c r="H368" s="10"/>
      <c r="I368" s="10"/>
      <c r="J368" s="10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0"/>
      <c r="B369" s="21"/>
      <c r="C369" s="10"/>
      <c r="D369" s="10"/>
      <c r="E369" s="10"/>
      <c r="F369" s="11"/>
      <c r="G369" s="22">
        <f>IFERROR(SUMIFS(Transactions!$F$7:$F$996,Transactions!$G$7:$G$996,A369,Transactions!$D$7:$D$996,"Expense"),0)</f>
        <v>0</v>
      </c>
      <c r="H369" s="10"/>
      <c r="I369" s="10"/>
      <c r="J369" s="10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0"/>
      <c r="B370" s="21"/>
      <c r="C370" s="10"/>
      <c r="D370" s="10"/>
      <c r="E370" s="10"/>
      <c r="F370" s="11"/>
      <c r="G370" s="22">
        <f>IFERROR(SUMIFS(Transactions!$F$7:$F$996,Transactions!$G$7:$G$996,A370,Transactions!$D$7:$D$996,"Expense"),0)</f>
        <v>0</v>
      </c>
      <c r="H370" s="10"/>
      <c r="I370" s="10"/>
      <c r="J370" s="10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0"/>
      <c r="B371" s="21"/>
      <c r="C371" s="10"/>
      <c r="D371" s="10"/>
      <c r="E371" s="10"/>
      <c r="F371" s="11"/>
      <c r="G371" s="22">
        <f>IFERROR(SUMIFS(Transactions!$F$7:$F$996,Transactions!$G$7:$G$996,A371,Transactions!$D$7:$D$996,"Expense"),0)</f>
        <v>0</v>
      </c>
      <c r="H371" s="10"/>
      <c r="I371" s="10"/>
      <c r="J371" s="10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0"/>
      <c r="B372" s="21"/>
      <c r="C372" s="10"/>
      <c r="D372" s="10"/>
      <c r="E372" s="10"/>
      <c r="F372" s="11"/>
      <c r="G372" s="22">
        <f>IFERROR(SUMIFS(Transactions!$F$7:$F$996,Transactions!$G$7:$G$996,A372,Transactions!$D$7:$D$996,"Expense"),0)</f>
        <v>0</v>
      </c>
      <c r="H372" s="10"/>
      <c r="I372" s="10"/>
      <c r="J372" s="10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0"/>
      <c r="B373" s="21"/>
      <c r="C373" s="10"/>
      <c r="D373" s="10"/>
      <c r="E373" s="10"/>
      <c r="F373" s="11"/>
      <c r="G373" s="22">
        <f>IFERROR(SUMIFS(Transactions!$F$7:$F$996,Transactions!$G$7:$G$996,A373,Transactions!$D$7:$D$996,"Expense"),0)</f>
        <v>0</v>
      </c>
      <c r="H373" s="10"/>
      <c r="I373" s="10"/>
      <c r="J373" s="10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0"/>
      <c r="B374" s="21"/>
      <c r="C374" s="10"/>
      <c r="D374" s="10"/>
      <c r="E374" s="10"/>
      <c r="F374" s="11"/>
      <c r="G374" s="22">
        <f>IFERROR(SUMIFS(Transactions!$F$7:$F$996,Transactions!$G$7:$G$996,A374,Transactions!$D$7:$D$996,"Expense"),0)</f>
        <v>0</v>
      </c>
      <c r="H374" s="10"/>
      <c r="I374" s="10"/>
      <c r="J374" s="10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0"/>
      <c r="B375" s="21"/>
      <c r="C375" s="10"/>
      <c r="D375" s="10"/>
      <c r="E375" s="10"/>
      <c r="F375" s="11"/>
      <c r="G375" s="22">
        <f>IFERROR(SUMIFS(Transactions!$F$7:$F$996,Transactions!$G$7:$G$996,A375,Transactions!$D$7:$D$996,"Expense"),0)</f>
        <v>0</v>
      </c>
      <c r="H375" s="10"/>
      <c r="I375" s="10"/>
      <c r="J375" s="10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0"/>
      <c r="B376" s="21"/>
      <c r="C376" s="10"/>
      <c r="D376" s="10"/>
      <c r="E376" s="10"/>
      <c r="F376" s="11"/>
      <c r="G376" s="22">
        <f>IFERROR(SUMIFS(Transactions!$F$7:$F$996,Transactions!$G$7:$G$996,A376,Transactions!$D$7:$D$996,"Expense"),0)</f>
        <v>0</v>
      </c>
      <c r="H376" s="10"/>
      <c r="I376" s="10"/>
      <c r="J376" s="10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0"/>
      <c r="B377" s="21"/>
      <c r="C377" s="10"/>
      <c r="D377" s="10"/>
      <c r="E377" s="10"/>
      <c r="F377" s="11"/>
      <c r="G377" s="22">
        <f>IFERROR(SUMIFS(Transactions!$F$7:$F$996,Transactions!$G$7:$G$996,A377,Transactions!$D$7:$D$996,"Expense"),0)</f>
        <v>0</v>
      </c>
      <c r="H377" s="10"/>
      <c r="I377" s="10"/>
      <c r="J377" s="10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0"/>
      <c r="B378" s="21"/>
      <c r="C378" s="10"/>
      <c r="D378" s="10"/>
      <c r="E378" s="10"/>
      <c r="F378" s="11"/>
      <c r="G378" s="22">
        <f>IFERROR(SUMIFS(Transactions!$F$7:$F$996,Transactions!$G$7:$G$996,A378,Transactions!$D$7:$D$996,"Expense"),0)</f>
        <v>0</v>
      </c>
      <c r="H378" s="10"/>
      <c r="I378" s="10"/>
      <c r="J378" s="10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0"/>
      <c r="B379" s="21"/>
      <c r="C379" s="10"/>
      <c r="D379" s="10"/>
      <c r="E379" s="10"/>
      <c r="F379" s="11"/>
      <c r="G379" s="22">
        <f>IFERROR(SUMIFS(Transactions!$F$7:$F$996,Transactions!$G$7:$G$996,A379,Transactions!$D$7:$D$996,"Expense"),0)</f>
        <v>0</v>
      </c>
      <c r="H379" s="10"/>
      <c r="I379" s="10"/>
      <c r="J379" s="10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0"/>
      <c r="B380" s="21"/>
      <c r="C380" s="10"/>
      <c r="D380" s="10"/>
      <c r="E380" s="10"/>
      <c r="F380" s="11"/>
      <c r="G380" s="22">
        <f>IFERROR(SUMIFS(Transactions!$F$7:$F$996,Transactions!$G$7:$G$996,A380,Transactions!$D$7:$D$996,"Expense"),0)</f>
        <v>0</v>
      </c>
      <c r="H380" s="10"/>
      <c r="I380" s="10"/>
      <c r="J380" s="10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0"/>
      <c r="B381" s="21"/>
      <c r="C381" s="10"/>
      <c r="D381" s="10"/>
      <c r="E381" s="10"/>
      <c r="F381" s="11"/>
      <c r="G381" s="22">
        <f>IFERROR(SUMIFS(Transactions!$F$7:$F$996,Transactions!$G$7:$G$996,A381,Transactions!$D$7:$D$996,"Expense"),0)</f>
        <v>0</v>
      </c>
      <c r="H381" s="10"/>
      <c r="I381" s="10"/>
      <c r="J381" s="10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0"/>
      <c r="B382" s="21"/>
      <c r="C382" s="10"/>
      <c r="D382" s="10"/>
      <c r="E382" s="10"/>
      <c r="F382" s="11"/>
      <c r="G382" s="22">
        <f>IFERROR(SUMIFS(Transactions!$F$7:$F$996,Transactions!$G$7:$G$996,A382,Transactions!$D$7:$D$996,"Expense"),0)</f>
        <v>0</v>
      </c>
      <c r="H382" s="10"/>
      <c r="I382" s="10"/>
      <c r="J382" s="10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0"/>
      <c r="B383" s="21"/>
      <c r="C383" s="10"/>
      <c r="D383" s="10"/>
      <c r="E383" s="10"/>
      <c r="F383" s="11"/>
      <c r="G383" s="22">
        <f>IFERROR(SUMIFS(Transactions!$F$7:$F$996,Transactions!$G$7:$G$996,A383,Transactions!$D$7:$D$996,"Expense"),0)</f>
        <v>0</v>
      </c>
      <c r="H383" s="10"/>
      <c r="I383" s="10"/>
      <c r="J383" s="10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0"/>
      <c r="B384" s="21"/>
      <c r="C384" s="10"/>
      <c r="D384" s="10"/>
      <c r="E384" s="10"/>
      <c r="F384" s="11"/>
      <c r="G384" s="22">
        <f>IFERROR(SUMIFS(Transactions!$F$7:$F$996,Transactions!$G$7:$G$996,A384,Transactions!$D$7:$D$996,"Expense"),0)</f>
        <v>0</v>
      </c>
      <c r="H384" s="10"/>
      <c r="I384" s="10"/>
      <c r="J384" s="10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0"/>
      <c r="B385" s="21"/>
      <c r="C385" s="10"/>
      <c r="D385" s="10"/>
      <c r="E385" s="10"/>
      <c r="F385" s="11"/>
      <c r="G385" s="22">
        <f>IFERROR(SUMIFS(Transactions!$F$7:$F$996,Transactions!$G$7:$G$996,A385,Transactions!$D$7:$D$996,"Expense"),0)</f>
        <v>0</v>
      </c>
      <c r="H385" s="10"/>
      <c r="I385" s="10"/>
      <c r="J385" s="10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0"/>
      <c r="B386" s="21"/>
      <c r="C386" s="10"/>
      <c r="D386" s="10"/>
      <c r="E386" s="10"/>
      <c r="F386" s="11"/>
      <c r="G386" s="22">
        <f>IFERROR(SUMIFS(Transactions!$F$7:$F$996,Transactions!$G$7:$G$996,A386,Transactions!$D$7:$D$996,"Expense"),0)</f>
        <v>0</v>
      </c>
      <c r="H386" s="10"/>
      <c r="I386" s="10"/>
      <c r="J386" s="10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0"/>
      <c r="B387" s="21"/>
      <c r="C387" s="10"/>
      <c r="D387" s="10"/>
      <c r="E387" s="10"/>
      <c r="F387" s="11"/>
      <c r="G387" s="22">
        <f>IFERROR(SUMIFS(Transactions!$F$7:$F$996,Transactions!$G$7:$G$996,A387,Transactions!$D$7:$D$996,"Expense"),0)</f>
        <v>0</v>
      </c>
      <c r="H387" s="10"/>
      <c r="I387" s="10"/>
      <c r="J387" s="10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0"/>
      <c r="B388" s="21"/>
      <c r="C388" s="10"/>
      <c r="D388" s="10"/>
      <c r="E388" s="10"/>
      <c r="F388" s="11"/>
      <c r="G388" s="22">
        <f>IFERROR(SUMIFS(Transactions!$F$7:$F$996,Transactions!$G$7:$G$996,A388,Transactions!$D$7:$D$996,"Expense"),0)</f>
        <v>0</v>
      </c>
      <c r="H388" s="10"/>
      <c r="I388" s="10"/>
      <c r="J388" s="10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0"/>
      <c r="B389" s="21"/>
      <c r="C389" s="10"/>
      <c r="D389" s="10"/>
      <c r="E389" s="10"/>
      <c r="F389" s="11"/>
      <c r="G389" s="22">
        <f>IFERROR(SUMIFS(Transactions!$F$7:$F$996,Transactions!$G$7:$G$996,A389,Transactions!$D$7:$D$996,"Expense"),0)</f>
        <v>0</v>
      </c>
      <c r="H389" s="10"/>
      <c r="I389" s="10"/>
      <c r="J389" s="10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0"/>
      <c r="B390" s="21"/>
      <c r="C390" s="10"/>
      <c r="D390" s="10"/>
      <c r="E390" s="10"/>
      <c r="F390" s="11"/>
      <c r="G390" s="22">
        <f>IFERROR(SUMIFS(Transactions!$F$7:$F$996,Transactions!$G$7:$G$996,A390,Transactions!$D$7:$D$996,"Expense"),0)</f>
        <v>0</v>
      </c>
      <c r="H390" s="10"/>
      <c r="I390" s="10"/>
      <c r="J390" s="10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0"/>
      <c r="B391" s="21"/>
      <c r="C391" s="10"/>
      <c r="D391" s="10"/>
      <c r="E391" s="10"/>
      <c r="F391" s="11"/>
      <c r="G391" s="22">
        <f>IFERROR(SUMIFS(Transactions!$F$7:$F$996,Transactions!$G$7:$G$996,A391,Transactions!$D$7:$D$996,"Expense"),0)</f>
        <v>0</v>
      </c>
      <c r="H391" s="10"/>
      <c r="I391" s="10"/>
      <c r="J391" s="10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0"/>
      <c r="B392" s="21"/>
      <c r="C392" s="10"/>
      <c r="D392" s="10"/>
      <c r="E392" s="10"/>
      <c r="F392" s="11"/>
      <c r="G392" s="22">
        <f>IFERROR(SUMIFS(Transactions!$F$7:$F$996,Transactions!$G$7:$G$996,A392,Transactions!$D$7:$D$996,"Expense"),0)</f>
        <v>0</v>
      </c>
      <c r="H392" s="10"/>
      <c r="I392" s="10"/>
      <c r="J392" s="10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0"/>
      <c r="B393" s="21"/>
      <c r="C393" s="10"/>
      <c r="D393" s="10"/>
      <c r="E393" s="10"/>
      <c r="F393" s="11"/>
      <c r="G393" s="22">
        <f>IFERROR(SUMIFS(Transactions!$F$7:$F$996,Transactions!$G$7:$G$996,A393,Transactions!$D$7:$D$996,"Expense"),0)</f>
        <v>0</v>
      </c>
      <c r="H393" s="10"/>
      <c r="I393" s="10"/>
      <c r="J393" s="10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0"/>
      <c r="B394" s="21"/>
      <c r="C394" s="10"/>
      <c r="D394" s="10"/>
      <c r="E394" s="10"/>
      <c r="F394" s="11"/>
      <c r="G394" s="22">
        <f>IFERROR(SUMIFS(Transactions!$F$7:$F$996,Transactions!$G$7:$G$996,A394,Transactions!$D$7:$D$996,"Expense"),0)</f>
        <v>0</v>
      </c>
      <c r="H394" s="10"/>
      <c r="I394" s="10"/>
      <c r="J394" s="10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0"/>
      <c r="B395" s="21"/>
      <c r="C395" s="10"/>
      <c r="D395" s="10"/>
      <c r="E395" s="10"/>
      <c r="F395" s="11"/>
      <c r="G395" s="22">
        <f>IFERROR(SUMIFS(Transactions!$F$7:$F$996,Transactions!$G$7:$G$996,A395,Transactions!$D$7:$D$996,"Expense"),0)</f>
        <v>0</v>
      </c>
      <c r="H395" s="10"/>
      <c r="I395" s="10"/>
      <c r="J395" s="10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0"/>
      <c r="B396" s="21"/>
      <c r="C396" s="10"/>
      <c r="D396" s="10"/>
      <c r="E396" s="10"/>
      <c r="F396" s="11"/>
      <c r="G396" s="22">
        <f>IFERROR(SUMIFS(Transactions!$F$7:$F$996,Transactions!$G$7:$G$996,A396,Transactions!$D$7:$D$996,"Expense"),0)</f>
        <v>0</v>
      </c>
      <c r="H396" s="10"/>
      <c r="I396" s="10"/>
      <c r="J396" s="10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0"/>
      <c r="B397" s="21"/>
      <c r="C397" s="10"/>
      <c r="D397" s="10"/>
      <c r="E397" s="10"/>
      <c r="F397" s="11"/>
      <c r="G397" s="22">
        <f>IFERROR(SUMIFS(Transactions!$F$7:$F$996,Transactions!$G$7:$G$996,A397,Transactions!$D$7:$D$996,"Expense"),0)</f>
        <v>0</v>
      </c>
      <c r="H397" s="10"/>
      <c r="I397" s="10"/>
      <c r="J397" s="10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0"/>
      <c r="B398" s="21"/>
      <c r="C398" s="10"/>
      <c r="D398" s="10"/>
      <c r="E398" s="10"/>
      <c r="F398" s="11"/>
      <c r="G398" s="22">
        <f>IFERROR(SUMIFS(Transactions!$F$7:$F$996,Transactions!$G$7:$G$996,A398,Transactions!$D$7:$D$996,"Expense"),0)</f>
        <v>0</v>
      </c>
      <c r="H398" s="10"/>
      <c r="I398" s="10"/>
      <c r="J398" s="10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0"/>
      <c r="B399" s="21"/>
      <c r="C399" s="10"/>
      <c r="D399" s="10"/>
      <c r="E399" s="10"/>
      <c r="F399" s="11"/>
      <c r="G399" s="22">
        <f>IFERROR(SUMIFS(Transactions!$F$7:$F$996,Transactions!$G$7:$G$996,A399,Transactions!$D$7:$D$996,"Expense"),0)</f>
        <v>0</v>
      </c>
      <c r="H399" s="10"/>
      <c r="I399" s="10"/>
      <c r="J399" s="10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0"/>
      <c r="B400" s="21"/>
      <c r="C400" s="10"/>
      <c r="D400" s="10"/>
      <c r="E400" s="10"/>
      <c r="F400" s="11"/>
      <c r="G400" s="22">
        <f>IFERROR(SUMIFS(Transactions!$F$7:$F$996,Transactions!$G$7:$G$996,A400,Transactions!$D$7:$D$996,"Expense"),0)</f>
        <v>0</v>
      </c>
      <c r="H400" s="10"/>
      <c r="I400" s="10"/>
      <c r="J400" s="10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0"/>
      <c r="B401" s="21"/>
      <c r="C401" s="10"/>
      <c r="D401" s="10"/>
      <c r="E401" s="10"/>
      <c r="F401" s="11"/>
      <c r="G401" s="22">
        <f>IFERROR(SUMIFS(Transactions!$F$7:$F$996,Transactions!$G$7:$G$996,A401,Transactions!$D$7:$D$996,"Expense"),0)</f>
        <v>0</v>
      </c>
      <c r="H401" s="10"/>
      <c r="I401" s="10"/>
      <c r="J401" s="10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0"/>
      <c r="B402" s="21"/>
      <c r="C402" s="10"/>
      <c r="D402" s="10"/>
      <c r="E402" s="10"/>
      <c r="F402" s="11"/>
      <c r="G402" s="22">
        <f>IFERROR(SUMIFS(Transactions!$F$7:$F$996,Transactions!$G$7:$G$996,A402,Transactions!$D$7:$D$996,"Expense"),0)</f>
        <v>0</v>
      </c>
      <c r="H402" s="10"/>
      <c r="I402" s="10"/>
      <c r="J402" s="10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0"/>
      <c r="B403" s="21"/>
      <c r="C403" s="10"/>
      <c r="D403" s="10"/>
      <c r="E403" s="10"/>
      <c r="F403" s="11"/>
      <c r="G403" s="22">
        <f>IFERROR(SUMIFS(Transactions!$F$7:$F$996,Transactions!$G$7:$G$996,A403,Transactions!$D$7:$D$996,"Expense"),0)</f>
        <v>0</v>
      </c>
      <c r="H403" s="10"/>
      <c r="I403" s="10"/>
      <c r="J403" s="10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0"/>
      <c r="B404" s="21"/>
      <c r="C404" s="10"/>
      <c r="D404" s="10"/>
      <c r="E404" s="10"/>
      <c r="F404" s="11"/>
      <c r="G404" s="22">
        <f>IFERROR(SUMIFS(Transactions!$F$7:$F$996,Transactions!$G$7:$G$996,A404,Transactions!$D$7:$D$996,"Expense"),0)</f>
        <v>0</v>
      </c>
      <c r="H404" s="10"/>
      <c r="I404" s="10"/>
      <c r="J404" s="10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0"/>
      <c r="B405" s="21"/>
      <c r="C405" s="10"/>
      <c r="D405" s="10"/>
      <c r="E405" s="10"/>
      <c r="F405" s="11"/>
      <c r="G405" s="22">
        <f>IFERROR(SUMIFS(Transactions!$F$7:$F$996,Transactions!$G$7:$G$996,A405,Transactions!$D$7:$D$996,"Expense"),0)</f>
        <v>0</v>
      </c>
      <c r="H405" s="10"/>
      <c r="I405" s="10"/>
      <c r="J405" s="10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0"/>
      <c r="B406" s="21"/>
      <c r="C406" s="10"/>
      <c r="D406" s="10"/>
      <c r="E406" s="10"/>
      <c r="F406" s="11"/>
      <c r="G406" s="22">
        <f>IFERROR(SUMIFS(Transactions!$F$7:$F$996,Transactions!$G$7:$G$996,A406,Transactions!$D$7:$D$996,"Expense"),0)</f>
        <v>0</v>
      </c>
      <c r="H406" s="10"/>
      <c r="I406" s="10"/>
      <c r="J406" s="10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0"/>
      <c r="B407" s="21"/>
      <c r="C407" s="10"/>
      <c r="D407" s="10"/>
      <c r="E407" s="10"/>
      <c r="F407" s="11"/>
      <c r="G407" s="22">
        <f>IFERROR(SUMIFS(Transactions!$F$7:$F$996,Transactions!$G$7:$G$996,A407,Transactions!$D$7:$D$996,"Expense"),0)</f>
        <v>0</v>
      </c>
      <c r="H407" s="10"/>
      <c r="I407" s="10"/>
      <c r="J407" s="10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0"/>
      <c r="B408" s="21"/>
      <c r="C408" s="10"/>
      <c r="D408" s="10"/>
      <c r="E408" s="10"/>
      <c r="F408" s="11"/>
      <c r="G408" s="22">
        <f>IFERROR(SUMIFS(Transactions!$F$7:$F$996,Transactions!$G$7:$G$996,A408,Transactions!$D$7:$D$996,"Expense"),0)</f>
        <v>0</v>
      </c>
      <c r="H408" s="10"/>
      <c r="I408" s="10"/>
      <c r="J408" s="10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0"/>
      <c r="B409" s="21"/>
      <c r="C409" s="10"/>
      <c r="D409" s="10"/>
      <c r="E409" s="10"/>
      <c r="F409" s="11"/>
      <c r="G409" s="22">
        <f>IFERROR(SUMIFS(Transactions!$F$7:$F$996,Transactions!$G$7:$G$996,A409,Transactions!$D$7:$D$996,"Expense"),0)</f>
        <v>0</v>
      </c>
      <c r="H409" s="10"/>
      <c r="I409" s="10"/>
      <c r="J409" s="10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0"/>
      <c r="B410" s="21"/>
      <c r="C410" s="10"/>
      <c r="D410" s="10"/>
      <c r="E410" s="10"/>
      <c r="F410" s="11"/>
      <c r="G410" s="22">
        <f>IFERROR(SUMIFS(Transactions!$F$7:$F$996,Transactions!$G$7:$G$996,A410,Transactions!$D$7:$D$996,"Expense"),0)</f>
        <v>0</v>
      </c>
      <c r="H410" s="10"/>
      <c r="I410" s="10"/>
      <c r="J410" s="10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0"/>
      <c r="B411" s="21"/>
      <c r="C411" s="10"/>
      <c r="D411" s="10"/>
      <c r="E411" s="10"/>
      <c r="F411" s="11"/>
      <c r="G411" s="22">
        <f>IFERROR(SUMIFS(Transactions!$F$7:$F$996,Transactions!$G$7:$G$996,A411,Transactions!$D$7:$D$996,"Expense"),0)</f>
        <v>0</v>
      </c>
      <c r="H411" s="10"/>
      <c r="I411" s="10"/>
      <c r="J411" s="10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0"/>
      <c r="B412" s="21"/>
      <c r="C412" s="10"/>
      <c r="D412" s="10"/>
      <c r="E412" s="10"/>
      <c r="F412" s="11"/>
      <c r="G412" s="22">
        <f>IFERROR(SUMIFS(Transactions!$F$7:$F$996,Transactions!$G$7:$G$996,A412,Transactions!$D$7:$D$996,"Expense"),0)</f>
        <v>0</v>
      </c>
      <c r="H412" s="10"/>
      <c r="I412" s="10"/>
      <c r="J412" s="10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0"/>
      <c r="B413" s="21"/>
      <c r="C413" s="10"/>
      <c r="D413" s="10"/>
      <c r="E413" s="10"/>
      <c r="F413" s="11"/>
      <c r="G413" s="22">
        <f>IFERROR(SUMIFS(Transactions!$F$7:$F$996,Transactions!$G$7:$G$996,A413,Transactions!$D$7:$D$996,"Expense"),0)</f>
        <v>0</v>
      </c>
      <c r="H413" s="10"/>
      <c r="I413" s="10"/>
      <c r="J413" s="10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0"/>
      <c r="B414" s="21"/>
      <c r="C414" s="10"/>
      <c r="D414" s="10"/>
      <c r="E414" s="10"/>
      <c r="F414" s="11"/>
      <c r="G414" s="22">
        <f>IFERROR(SUMIFS(Transactions!$F$7:$F$996,Transactions!$G$7:$G$996,A414,Transactions!$D$7:$D$996,"Expense"),0)</f>
        <v>0</v>
      </c>
      <c r="H414" s="10"/>
      <c r="I414" s="10"/>
      <c r="J414" s="10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0"/>
      <c r="B415" s="21"/>
      <c r="C415" s="10"/>
      <c r="D415" s="10"/>
      <c r="E415" s="10"/>
      <c r="F415" s="11"/>
      <c r="G415" s="22">
        <f>IFERROR(SUMIFS(Transactions!$F$7:$F$996,Transactions!$G$7:$G$996,A415,Transactions!$D$7:$D$996,"Expense"),0)</f>
        <v>0</v>
      </c>
      <c r="H415" s="10"/>
      <c r="I415" s="10"/>
      <c r="J415" s="10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0"/>
      <c r="B416" s="21"/>
      <c r="C416" s="10"/>
      <c r="D416" s="10"/>
      <c r="E416" s="10"/>
      <c r="F416" s="11"/>
      <c r="G416" s="22">
        <f>IFERROR(SUMIFS(Transactions!$F$7:$F$996,Transactions!$G$7:$G$996,A416,Transactions!$D$7:$D$996,"Expense"),0)</f>
        <v>0</v>
      </c>
      <c r="H416" s="10"/>
      <c r="I416" s="10"/>
      <c r="J416" s="10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0"/>
      <c r="B417" s="21"/>
      <c r="C417" s="10"/>
      <c r="D417" s="10"/>
      <c r="E417" s="10"/>
      <c r="F417" s="11"/>
      <c r="G417" s="22">
        <f>IFERROR(SUMIFS(Transactions!$F$7:$F$996,Transactions!$G$7:$G$996,A417,Transactions!$D$7:$D$996,"Expense"),0)</f>
        <v>0</v>
      </c>
      <c r="H417" s="10"/>
      <c r="I417" s="10"/>
      <c r="J417" s="10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0"/>
      <c r="B418" s="21"/>
      <c r="C418" s="10"/>
      <c r="D418" s="10"/>
      <c r="E418" s="10"/>
      <c r="F418" s="11"/>
      <c r="G418" s="22">
        <f>IFERROR(SUMIFS(Transactions!$F$7:$F$996,Transactions!$G$7:$G$996,A418,Transactions!$D$7:$D$996,"Expense"),0)</f>
        <v>0</v>
      </c>
      <c r="H418" s="10"/>
      <c r="I418" s="10"/>
      <c r="J418" s="10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0"/>
      <c r="B419" s="21"/>
      <c r="C419" s="10"/>
      <c r="D419" s="10"/>
      <c r="E419" s="10"/>
      <c r="F419" s="11"/>
      <c r="G419" s="22">
        <f>IFERROR(SUMIFS(Transactions!$F$7:$F$996,Transactions!$G$7:$G$996,A419,Transactions!$D$7:$D$996,"Expense"),0)</f>
        <v>0</v>
      </c>
      <c r="H419" s="10"/>
      <c r="I419" s="10"/>
      <c r="J419" s="10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0"/>
      <c r="B420" s="21"/>
      <c r="C420" s="10"/>
      <c r="D420" s="10"/>
      <c r="E420" s="10"/>
      <c r="F420" s="11"/>
      <c r="G420" s="22">
        <f>IFERROR(SUMIFS(Transactions!$F$7:$F$996,Transactions!$G$7:$G$996,A420,Transactions!$D$7:$D$996,"Expense"),0)</f>
        <v>0</v>
      </c>
      <c r="H420" s="10"/>
      <c r="I420" s="10"/>
      <c r="J420" s="10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0"/>
      <c r="B421" s="21"/>
      <c r="C421" s="10"/>
      <c r="D421" s="10"/>
      <c r="E421" s="10"/>
      <c r="F421" s="11"/>
      <c r="G421" s="22">
        <f>IFERROR(SUMIFS(Transactions!$F$7:$F$996,Transactions!$G$7:$G$996,A421,Transactions!$D$7:$D$996,"Expense"),0)</f>
        <v>0</v>
      </c>
      <c r="H421" s="10"/>
      <c r="I421" s="10"/>
      <c r="J421" s="10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0"/>
      <c r="B422" s="21"/>
      <c r="C422" s="10"/>
      <c r="D422" s="10"/>
      <c r="E422" s="10"/>
      <c r="F422" s="11"/>
      <c r="G422" s="22">
        <f>IFERROR(SUMIFS(Transactions!$F$7:$F$996,Transactions!$G$7:$G$996,A422,Transactions!$D$7:$D$996,"Expense"),0)</f>
        <v>0</v>
      </c>
      <c r="H422" s="10"/>
      <c r="I422" s="10"/>
      <c r="J422" s="10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0"/>
      <c r="B423" s="21"/>
      <c r="C423" s="10"/>
      <c r="D423" s="10"/>
      <c r="E423" s="10"/>
      <c r="F423" s="11"/>
      <c r="G423" s="22">
        <f>IFERROR(SUMIFS(Transactions!$F$7:$F$996,Transactions!$G$7:$G$996,A423,Transactions!$D$7:$D$996,"Expense"),0)</f>
        <v>0</v>
      </c>
      <c r="H423" s="10"/>
      <c r="I423" s="10"/>
      <c r="J423" s="10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0"/>
      <c r="B424" s="21"/>
      <c r="C424" s="10"/>
      <c r="D424" s="10"/>
      <c r="E424" s="10"/>
      <c r="F424" s="11"/>
      <c r="G424" s="22">
        <f>IFERROR(SUMIFS(Transactions!$F$7:$F$996,Transactions!$G$7:$G$996,A424,Transactions!$D$7:$D$996,"Expense"),0)</f>
        <v>0</v>
      </c>
      <c r="H424" s="10"/>
      <c r="I424" s="10"/>
      <c r="J424" s="10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0"/>
      <c r="B425" s="21"/>
      <c r="C425" s="10"/>
      <c r="D425" s="10"/>
      <c r="E425" s="10"/>
      <c r="F425" s="11"/>
      <c r="G425" s="22">
        <f>IFERROR(SUMIFS(Transactions!$F$7:$F$996,Transactions!$G$7:$G$996,A425,Transactions!$D$7:$D$996,"Expense"),0)</f>
        <v>0</v>
      </c>
      <c r="H425" s="10"/>
      <c r="I425" s="10"/>
      <c r="J425" s="10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0"/>
      <c r="B426" s="21"/>
      <c r="C426" s="10"/>
      <c r="D426" s="10"/>
      <c r="E426" s="10"/>
      <c r="F426" s="11"/>
      <c r="G426" s="22">
        <f>IFERROR(SUMIFS(Transactions!$F$7:$F$996,Transactions!$G$7:$G$996,A426,Transactions!$D$7:$D$996,"Expense"),0)</f>
        <v>0</v>
      </c>
      <c r="H426" s="10"/>
      <c r="I426" s="10"/>
      <c r="J426" s="10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0"/>
      <c r="B427" s="21"/>
      <c r="C427" s="10"/>
      <c r="D427" s="10"/>
      <c r="E427" s="10"/>
      <c r="F427" s="11"/>
      <c r="G427" s="22">
        <f>IFERROR(SUMIFS(Transactions!$F$7:$F$996,Transactions!$G$7:$G$996,A427,Transactions!$D$7:$D$996,"Expense"),0)</f>
        <v>0</v>
      </c>
      <c r="H427" s="10"/>
      <c r="I427" s="10"/>
      <c r="J427" s="10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0"/>
      <c r="B428" s="21"/>
      <c r="C428" s="10"/>
      <c r="D428" s="10"/>
      <c r="E428" s="10"/>
      <c r="F428" s="11"/>
      <c r="G428" s="22">
        <f>IFERROR(SUMIFS(Transactions!$F$7:$F$996,Transactions!$G$7:$G$996,A428,Transactions!$D$7:$D$996,"Expense"),0)</f>
        <v>0</v>
      </c>
      <c r="H428" s="10"/>
      <c r="I428" s="10"/>
      <c r="J428" s="10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0"/>
      <c r="B429" s="21"/>
      <c r="C429" s="10"/>
      <c r="D429" s="10"/>
      <c r="E429" s="10"/>
      <c r="F429" s="11"/>
      <c r="G429" s="22">
        <f>IFERROR(SUMIFS(Transactions!$F$7:$F$996,Transactions!$G$7:$G$996,A429,Transactions!$D$7:$D$996,"Expense"),0)</f>
        <v>0</v>
      </c>
      <c r="H429" s="10"/>
      <c r="I429" s="10"/>
      <c r="J429" s="10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0"/>
      <c r="B430" s="21"/>
      <c r="C430" s="10"/>
      <c r="D430" s="10"/>
      <c r="E430" s="10"/>
      <c r="F430" s="11"/>
      <c r="G430" s="22">
        <f>IFERROR(SUMIFS(Transactions!$F$7:$F$996,Transactions!$G$7:$G$996,A430,Transactions!$D$7:$D$996,"Expense"),0)</f>
        <v>0</v>
      </c>
      <c r="H430" s="10"/>
      <c r="I430" s="10"/>
      <c r="J430" s="10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0"/>
      <c r="B431" s="21"/>
      <c r="C431" s="10"/>
      <c r="D431" s="10"/>
      <c r="E431" s="10"/>
      <c r="F431" s="11"/>
      <c r="G431" s="22">
        <f>IFERROR(SUMIFS(Transactions!$F$7:$F$996,Transactions!$G$7:$G$996,A431,Transactions!$D$7:$D$996,"Expense"),0)</f>
        <v>0</v>
      </c>
      <c r="H431" s="10"/>
      <c r="I431" s="10"/>
      <c r="J431" s="10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0"/>
      <c r="B432" s="21"/>
      <c r="C432" s="10"/>
      <c r="D432" s="10"/>
      <c r="E432" s="10"/>
      <c r="F432" s="11"/>
      <c r="G432" s="22">
        <f>IFERROR(SUMIFS(Transactions!$F$7:$F$996,Transactions!$G$7:$G$996,A432,Transactions!$D$7:$D$996,"Expense"),0)</f>
        <v>0</v>
      </c>
      <c r="H432" s="10"/>
      <c r="I432" s="10"/>
      <c r="J432" s="10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0"/>
      <c r="B433" s="21"/>
      <c r="C433" s="10"/>
      <c r="D433" s="10"/>
      <c r="E433" s="10"/>
      <c r="F433" s="11"/>
      <c r="G433" s="22">
        <f>IFERROR(SUMIFS(Transactions!$F$7:$F$996,Transactions!$G$7:$G$996,A433,Transactions!$D$7:$D$996,"Expense"),0)</f>
        <v>0</v>
      </c>
      <c r="H433" s="10"/>
      <c r="I433" s="10"/>
      <c r="J433" s="10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0"/>
      <c r="B434" s="21"/>
      <c r="C434" s="10"/>
      <c r="D434" s="10"/>
      <c r="E434" s="10"/>
      <c r="F434" s="11"/>
      <c r="G434" s="22">
        <f>IFERROR(SUMIFS(Transactions!$F$7:$F$996,Transactions!$G$7:$G$996,A434,Transactions!$D$7:$D$996,"Expense"),0)</f>
        <v>0</v>
      </c>
      <c r="H434" s="10"/>
      <c r="I434" s="10"/>
      <c r="J434" s="10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0"/>
      <c r="B435" s="21"/>
      <c r="C435" s="10"/>
      <c r="D435" s="10"/>
      <c r="E435" s="10"/>
      <c r="F435" s="11"/>
      <c r="G435" s="22">
        <f>IFERROR(SUMIFS(Transactions!$F$7:$F$996,Transactions!$G$7:$G$996,A435,Transactions!$D$7:$D$996,"Expense"),0)</f>
        <v>0</v>
      </c>
      <c r="H435" s="10"/>
      <c r="I435" s="10"/>
      <c r="J435" s="10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0"/>
      <c r="B436" s="21"/>
      <c r="C436" s="10"/>
      <c r="D436" s="10"/>
      <c r="E436" s="10"/>
      <c r="F436" s="11"/>
      <c r="G436" s="22">
        <f>IFERROR(SUMIFS(Transactions!$F$7:$F$996,Transactions!$G$7:$G$996,A436,Transactions!$D$7:$D$996,"Expense"),0)</f>
        <v>0</v>
      </c>
      <c r="H436" s="10"/>
      <c r="I436" s="10"/>
      <c r="J436" s="10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0"/>
      <c r="B437" s="21"/>
      <c r="C437" s="10"/>
      <c r="D437" s="10"/>
      <c r="E437" s="10"/>
      <c r="F437" s="11"/>
      <c r="G437" s="22">
        <f>IFERROR(SUMIFS(Transactions!$F$7:$F$996,Transactions!$G$7:$G$996,A437,Transactions!$D$7:$D$996,"Expense"),0)</f>
        <v>0</v>
      </c>
      <c r="H437" s="10"/>
      <c r="I437" s="10"/>
      <c r="J437" s="10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0"/>
      <c r="B438" s="21"/>
      <c r="C438" s="10"/>
      <c r="D438" s="10"/>
      <c r="E438" s="10"/>
      <c r="F438" s="11"/>
      <c r="G438" s="22">
        <f>IFERROR(SUMIFS(Transactions!$F$7:$F$996,Transactions!$G$7:$G$996,A438,Transactions!$D$7:$D$996,"Expense"),0)</f>
        <v>0</v>
      </c>
      <c r="H438" s="10"/>
      <c r="I438" s="10"/>
      <c r="J438" s="10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0"/>
      <c r="B439" s="21"/>
      <c r="C439" s="10"/>
      <c r="D439" s="10"/>
      <c r="E439" s="10"/>
      <c r="F439" s="11"/>
      <c r="G439" s="22">
        <f>IFERROR(SUMIFS(Transactions!$F$7:$F$996,Transactions!$G$7:$G$996,A439,Transactions!$D$7:$D$996,"Expense"),0)</f>
        <v>0</v>
      </c>
      <c r="H439" s="10"/>
      <c r="I439" s="10"/>
      <c r="J439" s="10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0"/>
      <c r="B440" s="21"/>
      <c r="C440" s="10"/>
      <c r="D440" s="10"/>
      <c r="E440" s="10"/>
      <c r="F440" s="11"/>
      <c r="G440" s="22">
        <f>IFERROR(SUMIFS(Transactions!$F$7:$F$996,Transactions!$G$7:$G$996,A440,Transactions!$D$7:$D$996,"Expense"),0)</f>
        <v>0</v>
      </c>
      <c r="H440" s="10"/>
      <c r="I440" s="10"/>
      <c r="J440" s="10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0"/>
      <c r="B441" s="21"/>
      <c r="C441" s="10"/>
      <c r="D441" s="10"/>
      <c r="E441" s="10"/>
      <c r="F441" s="11"/>
      <c r="G441" s="22">
        <f>IFERROR(SUMIFS(Transactions!$F$7:$F$996,Transactions!$G$7:$G$996,A441,Transactions!$D$7:$D$996,"Expense"),0)</f>
        <v>0</v>
      </c>
      <c r="H441" s="10"/>
      <c r="I441" s="10"/>
      <c r="J441" s="10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0"/>
      <c r="B442" s="21"/>
      <c r="C442" s="10"/>
      <c r="D442" s="10"/>
      <c r="E442" s="10"/>
      <c r="F442" s="11"/>
      <c r="G442" s="22">
        <f>IFERROR(SUMIFS(Transactions!$F$7:$F$996,Transactions!$G$7:$G$996,A442,Transactions!$D$7:$D$996,"Expense"),0)</f>
        <v>0</v>
      </c>
      <c r="H442" s="10"/>
      <c r="I442" s="10"/>
      <c r="J442" s="10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0"/>
      <c r="B443" s="21"/>
      <c r="C443" s="10"/>
      <c r="D443" s="10"/>
      <c r="E443" s="10"/>
      <c r="F443" s="11"/>
      <c r="G443" s="22">
        <f>IFERROR(SUMIFS(Transactions!$F$7:$F$996,Transactions!$G$7:$G$996,A443,Transactions!$D$7:$D$996,"Expense"),0)</f>
        <v>0</v>
      </c>
      <c r="H443" s="10"/>
      <c r="I443" s="10"/>
      <c r="J443" s="10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0"/>
      <c r="B444" s="21"/>
      <c r="C444" s="10"/>
      <c r="D444" s="10"/>
      <c r="E444" s="10"/>
      <c r="F444" s="11"/>
      <c r="G444" s="22">
        <f>IFERROR(SUMIFS(Transactions!$F$7:$F$996,Transactions!$G$7:$G$996,A444,Transactions!$D$7:$D$996,"Expense"),0)</f>
        <v>0</v>
      </c>
      <c r="H444" s="10"/>
      <c r="I444" s="10"/>
      <c r="J444" s="10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0"/>
      <c r="B445" s="21"/>
      <c r="C445" s="10"/>
      <c r="D445" s="10"/>
      <c r="E445" s="10"/>
      <c r="F445" s="11"/>
      <c r="G445" s="22">
        <f>IFERROR(SUMIFS(Transactions!$F$7:$F$996,Transactions!$G$7:$G$996,A445,Transactions!$D$7:$D$996,"Expense"),0)</f>
        <v>0</v>
      </c>
      <c r="H445" s="10"/>
      <c r="I445" s="10"/>
      <c r="J445" s="10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0"/>
      <c r="B446" s="21"/>
      <c r="C446" s="10"/>
      <c r="D446" s="10"/>
      <c r="E446" s="10"/>
      <c r="F446" s="11"/>
      <c r="G446" s="22">
        <f>IFERROR(SUMIFS(Transactions!$F$7:$F$996,Transactions!$G$7:$G$996,A446,Transactions!$D$7:$D$996,"Expense"),0)</f>
        <v>0</v>
      </c>
      <c r="H446" s="10"/>
      <c r="I446" s="10"/>
      <c r="J446" s="10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0"/>
      <c r="B447" s="21"/>
      <c r="C447" s="10"/>
      <c r="D447" s="10"/>
      <c r="E447" s="10"/>
      <c r="F447" s="11"/>
      <c r="G447" s="22">
        <f>IFERROR(SUMIFS(Transactions!$F$7:$F$996,Transactions!$G$7:$G$996,A447,Transactions!$D$7:$D$996,"Expense"),0)</f>
        <v>0</v>
      </c>
      <c r="H447" s="10"/>
      <c r="I447" s="10"/>
      <c r="J447" s="10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0"/>
      <c r="B448" s="21"/>
      <c r="C448" s="10"/>
      <c r="D448" s="10"/>
      <c r="E448" s="10"/>
      <c r="F448" s="11"/>
      <c r="G448" s="22">
        <f>IFERROR(SUMIFS(Transactions!$F$7:$F$996,Transactions!$G$7:$G$996,A448,Transactions!$D$7:$D$996,"Expense"),0)</f>
        <v>0</v>
      </c>
      <c r="H448" s="10"/>
      <c r="I448" s="10"/>
      <c r="J448" s="10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0"/>
      <c r="B449" s="21"/>
      <c r="C449" s="10"/>
      <c r="D449" s="10"/>
      <c r="E449" s="10"/>
      <c r="F449" s="11"/>
      <c r="G449" s="22">
        <f>IFERROR(SUMIFS(Transactions!$F$7:$F$996,Transactions!$G$7:$G$996,A449,Transactions!$D$7:$D$996,"Expense"),0)</f>
        <v>0</v>
      </c>
      <c r="H449" s="10"/>
      <c r="I449" s="10"/>
      <c r="J449" s="10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0"/>
      <c r="B450" s="21"/>
      <c r="C450" s="10"/>
      <c r="D450" s="10"/>
      <c r="E450" s="10"/>
      <c r="F450" s="11"/>
      <c r="G450" s="22">
        <f>IFERROR(SUMIFS(Transactions!$F$7:$F$996,Transactions!$G$7:$G$996,A450,Transactions!$D$7:$D$996,"Expense"),0)</f>
        <v>0</v>
      </c>
      <c r="H450" s="10"/>
      <c r="I450" s="10"/>
      <c r="J450" s="10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0"/>
      <c r="B451" s="21"/>
      <c r="C451" s="10"/>
      <c r="D451" s="10"/>
      <c r="E451" s="10"/>
      <c r="F451" s="11"/>
      <c r="G451" s="22">
        <f>IFERROR(SUMIFS(Transactions!$F$7:$F$996,Transactions!$G$7:$G$996,A451,Transactions!$D$7:$D$996,"Expense"),0)</f>
        <v>0</v>
      </c>
      <c r="H451" s="10"/>
      <c r="I451" s="10"/>
      <c r="J451" s="10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0"/>
      <c r="B452" s="21"/>
      <c r="C452" s="10"/>
      <c r="D452" s="10"/>
      <c r="E452" s="10"/>
      <c r="F452" s="11"/>
      <c r="G452" s="22">
        <f>IFERROR(SUMIFS(Transactions!$F$7:$F$996,Transactions!$G$7:$G$996,A452,Transactions!$D$7:$D$996,"Expense"),0)</f>
        <v>0</v>
      </c>
      <c r="H452" s="10"/>
      <c r="I452" s="10"/>
      <c r="J452" s="10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0"/>
      <c r="B453" s="21"/>
      <c r="C453" s="10"/>
      <c r="D453" s="10"/>
      <c r="E453" s="10"/>
      <c r="F453" s="11"/>
      <c r="G453" s="22">
        <f>IFERROR(SUMIFS(Transactions!$F$7:$F$996,Transactions!$G$7:$G$996,A453,Transactions!$D$7:$D$996,"Expense"),0)</f>
        <v>0</v>
      </c>
      <c r="H453" s="10"/>
      <c r="I453" s="10"/>
      <c r="J453" s="10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0"/>
      <c r="B454" s="21"/>
      <c r="C454" s="10"/>
      <c r="D454" s="10"/>
      <c r="E454" s="10"/>
      <c r="F454" s="11"/>
      <c r="G454" s="22">
        <f>IFERROR(SUMIFS(Transactions!$F$7:$F$996,Transactions!$G$7:$G$996,A454,Transactions!$D$7:$D$996,"Expense"),0)</f>
        <v>0</v>
      </c>
      <c r="H454" s="10"/>
      <c r="I454" s="10"/>
      <c r="J454" s="10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0"/>
      <c r="B455" s="21"/>
      <c r="C455" s="10"/>
      <c r="D455" s="10"/>
      <c r="E455" s="10"/>
      <c r="F455" s="11"/>
      <c r="G455" s="22">
        <f>IFERROR(SUMIFS(Transactions!$F$7:$F$996,Transactions!$G$7:$G$996,A455,Transactions!$D$7:$D$996,"Expense"),0)</f>
        <v>0</v>
      </c>
      <c r="H455" s="10"/>
      <c r="I455" s="10"/>
      <c r="J455" s="10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0"/>
      <c r="B456" s="21"/>
      <c r="C456" s="10"/>
      <c r="D456" s="10"/>
      <c r="E456" s="10"/>
      <c r="F456" s="11"/>
      <c r="G456" s="22">
        <f>IFERROR(SUMIFS(Transactions!$F$7:$F$996,Transactions!$G$7:$G$996,A456,Transactions!$D$7:$D$996,"Expense"),0)</f>
        <v>0</v>
      </c>
      <c r="H456" s="10"/>
      <c r="I456" s="10"/>
      <c r="J456" s="10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0"/>
      <c r="B457" s="21"/>
      <c r="C457" s="10"/>
      <c r="D457" s="10"/>
      <c r="E457" s="10"/>
      <c r="F457" s="11"/>
      <c r="G457" s="22">
        <f>IFERROR(SUMIFS(Transactions!$F$7:$F$996,Transactions!$G$7:$G$996,A457,Transactions!$D$7:$D$996,"Expense"),0)</f>
        <v>0</v>
      </c>
      <c r="H457" s="10"/>
      <c r="I457" s="10"/>
      <c r="J457" s="10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0"/>
      <c r="B458" s="21"/>
      <c r="C458" s="10"/>
      <c r="D458" s="10"/>
      <c r="E458" s="10"/>
      <c r="F458" s="11"/>
      <c r="G458" s="22">
        <f>IFERROR(SUMIFS(Transactions!$F$7:$F$996,Transactions!$G$7:$G$996,A458,Transactions!$D$7:$D$996,"Expense"),0)</f>
        <v>0</v>
      </c>
      <c r="H458" s="10"/>
      <c r="I458" s="10"/>
      <c r="J458" s="10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0"/>
      <c r="B459" s="21"/>
      <c r="C459" s="10"/>
      <c r="D459" s="10"/>
      <c r="E459" s="10"/>
      <c r="F459" s="11"/>
      <c r="G459" s="22">
        <f>IFERROR(SUMIFS(Transactions!$F$7:$F$996,Transactions!$G$7:$G$996,A459,Transactions!$D$7:$D$996,"Expense"),0)</f>
        <v>0</v>
      </c>
      <c r="H459" s="10"/>
      <c r="I459" s="10"/>
      <c r="J459" s="10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0"/>
      <c r="B460" s="21"/>
      <c r="C460" s="10"/>
      <c r="D460" s="10"/>
      <c r="E460" s="10"/>
      <c r="F460" s="11"/>
      <c r="G460" s="22">
        <f>IFERROR(SUMIFS(Transactions!$F$7:$F$996,Transactions!$G$7:$G$996,A460,Transactions!$D$7:$D$996,"Expense"),0)</f>
        <v>0</v>
      </c>
      <c r="H460" s="10"/>
      <c r="I460" s="10"/>
      <c r="J460" s="10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0"/>
      <c r="B461" s="21"/>
      <c r="C461" s="10"/>
      <c r="D461" s="10"/>
      <c r="E461" s="10"/>
      <c r="F461" s="11"/>
      <c r="G461" s="22">
        <f>IFERROR(SUMIFS(Transactions!$F$7:$F$996,Transactions!$G$7:$G$996,A461,Transactions!$D$7:$D$996,"Expense"),0)</f>
        <v>0</v>
      </c>
      <c r="H461" s="10"/>
      <c r="I461" s="10"/>
      <c r="J461" s="10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0"/>
      <c r="B462" s="21"/>
      <c r="C462" s="10"/>
      <c r="D462" s="10"/>
      <c r="E462" s="10"/>
      <c r="F462" s="11"/>
      <c r="G462" s="22">
        <f>IFERROR(SUMIFS(Transactions!$F$7:$F$996,Transactions!$G$7:$G$996,A462,Transactions!$D$7:$D$996,"Expense"),0)</f>
        <v>0</v>
      </c>
      <c r="H462" s="10"/>
      <c r="I462" s="10"/>
      <c r="J462" s="10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0"/>
      <c r="B463" s="21"/>
      <c r="C463" s="10"/>
      <c r="D463" s="10"/>
      <c r="E463" s="10"/>
      <c r="F463" s="11"/>
      <c r="G463" s="22">
        <f>IFERROR(SUMIFS(Transactions!$F$7:$F$996,Transactions!$G$7:$G$996,A463,Transactions!$D$7:$D$996,"Expense"),0)</f>
        <v>0</v>
      </c>
      <c r="H463" s="10"/>
      <c r="I463" s="10"/>
      <c r="J463" s="10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0"/>
      <c r="B464" s="21"/>
      <c r="C464" s="10"/>
      <c r="D464" s="10"/>
      <c r="E464" s="10"/>
      <c r="F464" s="11"/>
      <c r="G464" s="22">
        <f>IFERROR(SUMIFS(Transactions!$F$7:$F$996,Transactions!$G$7:$G$996,A464,Transactions!$D$7:$D$996,"Expense"),0)</f>
        <v>0</v>
      </c>
      <c r="H464" s="10"/>
      <c r="I464" s="10"/>
      <c r="J464" s="10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0"/>
      <c r="B465" s="21"/>
      <c r="C465" s="10"/>
      <c r="D465" s="10"/>
      <c r="E465" s="10"/>
      <c r="F465" s="11"/>
      <c r="G465" s="22">
        <f>IFERROR(SUMIFS(Transactions!$F$7:$F$996,Transactions!$G$7:$G$996,A465,Transactions!$D$7:$D$996,"Expense"),0)</f>
        <v>0</v>
      </c>
      <c r="H465" s="10"/>
      <c r="I465" s="10"/>
      <c r="J465" s="10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0"/>
      <c r="B466" s="21"/>
      <c r="C466" s="10"/>
      <c r="D466" s="10"/>
      <c r="E466" s="10"/>
      <c r="F466" s="11"/>
      <c r="G466" s="22">
        <f>IFERROR(SUMIFS(Transactions!$F$7:$F$996,Transactions!$G$7:$G$996,A466,Transactions!$D$7:$D$996,"Expense"),0)</f>
        <v>0</v>
      </c>
      <c r="H466" s="10"/>
      <c r="I466" s="10"/>
      <c r="J466" s="10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0"/>
      <c r="B467" s="21"/>
      <c r="C467" s="10"/>
      <c r="D467" s="10"/>
      <c r="E467" s="10"/>
      <c r="F467" s="11"/>
      <c r="G467" s="22">
        <f>IFERROR(SUMIFS(Transactions!$F$7:$F$996,Transactions!$G$7:$G$996,A467,Transactions!$D$7:$D$996,"Expense"),0)</f>
        <v>0</v>
      </c>
      <c r="H467" s="10"/>
      <c r="I467" s="10"/>
      <c r="J467" s="10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0"/>
      <c r="B468" s="21"/>
      <c r="C468" s="10"/>
      <c r="D468" s="10"/>
      <c r="E468" s="10"/>
      <c r="F468" s="11"/>
      <c r="G468" s="22">
        <f>IFERROR(SUMIFS(Transactions!$F$7:$F$996,Transactions!$G$7:$G$996,A468,Transactions!$D$7:$D$996,"Expense"),0)</f>
        <v>0</v>
      </c>
      <c r="H468" s="10"/>
      <c r="I468" s="10"/>
      <c r="J468" s="10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0"/>
      <c r="B469" s="21"/>
      <c r="C469" s="10"/>
      <c r="D469" s="10"/>
      <c r="E469" s="10"/>
      <c r="F469" s="11"/>
      <c r="G469" s="22">
        <f>IFERROR(SUMIFS(Transactions!$F$7:$F$996,Transactions!$G$7:$G$996,A469,Transactions!$D$7:$D$996,"Expense"),0)</f>
        <v>0</v>
      </c>
      <c r="H469" s="10"/>
      <c r="I469" s="10"/>
      <c r="J469" s="10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0"/>
      <c r="B470" s="21"/>
      <c r="C470" s="10"/>
      <c r="D470" s="10"/>
      <c r="E470" s="10"/>
      <c r="F470" s="11"/>
      <c r="G470" s="22">
        <f>IFERROR(SUMIFS(Transactions!$F$7:$F$996,Transactions!$G$7:$G$996,A470,Transactions!$D$7:$D$996,"Expense"),0)</f>
        <v>0</v>
      </c>
      <c r="H470" s="10"/>
      <c r="I470" s="10"/>
      <c r="J470" s="10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0"/>
      <c r="B471" s="21"/>
      <c r="C471" s="10"/>
      <c r="D471" s="10"/>
      <c r="E471" s="10"/>
      <c r="F471" s="11"/>
      <c r="G471" s="22">
        <f>IFERROR(SUMIFS(Transactions!$F$7:$F$996,Transactions!$G$7:$G$996,A471,Transactions!$D$7:$D$996,"Expense"),0)</f>
        <v>0</v>
      </c>
      <c r="H471" s="10"/>
      <c r="I471" s="10"/>
      <c r="J471" s="10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0"/>
      <c r="B472" s="21"/>
      <c r="C472" s="10"/>
      <c r="D472" s="10"/>
      <c r="E472" s="10"/>
      <c r="F472" s="11"/>
      <c r="G472" s="22">
        <f>IFERROR(SUMIFS(Transactions!$F$7:$F$996,Transactions!$G$7:$G$996,A472,Transactions!$D$7:$D$996,"Expense"),0)</f>
        <v>0</v>
      </c>
      <c r="H472" s="10"/>
      <c r="I472" s="10"/>
      <c r="J472" s="10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0"/>
      <c r="B473" s="21"/>
      <c r="C473" s="10"/>
      <c r="D473" s="10"/>
      <c r="E473" s="10"/>
      <c r="F473" s="11"/>
      <c r="G473" s="22">
        <f>IFERROR(SUMIFS(Transactions!$F$7:$F$996,Transactions!$G$7:$G$996,A473,Transactions!$D$7:$D$996,"Expense"),0)</f>
        <v>0</v>
      </c>
      <c r="H473" s="10"/>
      <c r="I473" s="10"/>
      <c r="J473" s="10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0"/>
      <c r="B474" s="21"/>
      <c r="C474" s="10"/>
      <c r="D474" s="10"/>
      <c r="E474" s="10"/>
      <c r="F474" s="11"/>
      <c r="G474" s="22">
        <f>IFERROR(SUMIFS(Transactions!$F$7:$F$996,Transactions!$G$7:$G$996,A474,Transactions!$D$7:$D$996,"Expense"),0)</f>
        <v>0</v>
      </c>
      <c r="H474" s="10"/>
      <c r="I474" s="10"/>
      <c r="J474" s="10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0"/>
      <c r="B475" s="21"/>
      <c r="C475" s="10"/>
      <c r="D475" s="10"/>
      <c r="E475" s="10"/>
      <c r="F475" s="11"/>
      <c r="G475" s="22">
        <f>IFERROR(SUMIFS(Transactions!$F$7:$F$996,Transactions!$G$7:$G$996,A475,Transactions!$D$7:$D$996,"Expense"),0)</f>
        <v>0</v>
      </c>
      <c r="H475" s="10"/>
      <c r="I475" s="10"/>
      <c r="J475" s="10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0"/>
      <c r="B476" s="21"/>
      <c r="C476" s="10"/>
      <c r="D476" s="10"/>
      <c r="E476" s="10"/>
      <c r="F476" s="11"/>
      <c r="G476" s="22">
        <f>IFERROR(SUMIFS(Transactions!$F$7:$F$996,Transactions!$G$7:$G$996,A476,Transactions!$D$7:$D$996,"Expense"),0)</f>
        <v>0</v>
      </c>
      <c r="H476" s="10"/>
      <c r="I476" s="10"/>
      <c r="J476" s="10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0"/>
      <c r="B477" s="21"/>
      <c r="C477" s="10"/>
      <c r="D477" s="10"/>
      <c r="E477" s="10"/>
      <c r="F477" s="11"/>
      <c r="G477" s="22">
        <f>IFERROR(SUMIFS(Transactions!$F$7:$F$996,Transactions!$G$7:$G$996,A477,Transactions!$D$7:$D$996,"Expense"),0)</f>
        <v>0</v>
      </c>
      <c r="H477" s="10"/>
      <c r="I477" s="10"/>
      <c r="J477" s="10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0"/>
      <c r="B478" s="21"/>
      <c r="C478" s="10"/>
      <c r="D478" s="10"/>
      <c r="E478" s="10"/>
      <c r="F478" s="11"/>
      <c r="G478" s="22">
        <f>IFERROR(SUMIFS(Transactions!$F$7:$F$996,Transactions!$G$7:$G$996,A478,Transactions!$D$7:$D$996,"Expense"),0)</f>
        <v>0</v>
      </c>
      <c r="H478" s="10"/>
      <c r="I478" s="10"/>
      <c r="J478" s="10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0"/>
      <c r="B479" s="21"/>
      <c r="C479" s="10"/>
      <c r="D479" s="10"/>
      <c r="E479" s="10"/>
      <c r="F479" s="11"/>
      <c r="G479" s="22">
        <f>IFERROR(SUMIFS(Transactions!$F$7:$F$996,Transactions!$G$7:$G$996,A479,Transactions!$D$7:$D$996,"Expense"),0)</f>
        <v>0</v>
      </c>
      <c r="H479" s="10"/>
      <c r="I479" s="10"/>
      <c r="J479" s="10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0"/>
      <c r="B480" s="21"/>
      <c r="C480" s="10"/>
      <c r="D480" s="10"/>
      <c r="E480" s="10"/>
      <c r="F480" s="11"/>
      <c r="G480" s="22">
        <f>IFERROR(SUMIFS(Transactions!$F$7:$F$996,Transactions!$G$7:$G$996,A480,Transactions!$D$7:$D$996,"Expense"),0)</f>
        <v>0</v>
      </c>
      <c r="H480" s="10"/>
      <c r="I480" s="10"/>
      <c r="J480" s="10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0"/>
      <c r="B481" s="21"/>
      <c r="C481" s="10"/>
      <c r="D481" s="10"/>
      <c r="E481" s="10"/>
      <c r="F481" s="11"/>
      <c r="G481" s="22">
        <f>IFERROR(SUMIFS(Transactions!$F$7:$F$996,Transactions!$G$7:$G$996,A481,Transactions!$D$7:$D$996,"Expense"),0)</f>
        <v>0</v>
      </c>
      <c r="H481" s="10"/>
      <c r="I481" s="10"/>
      <c r="J481" s="10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0"/>
      <c r="B482" s="21"/>
      <c r="C482" s="10"/>
      <c r="D482" s="10"/>
      <c r="E482" s="10"/>
      <c r="F482" s="11"/>
      <c r="G482" s="22">
        <f>IFERROR(SUMIFS(Transactions!$F$7:$F$996,Transactions!$G$7:$G$996,A482,Transactions!$D$7:$D$996,"Expense"),0)</f>
        <v>0</v>
      </c>
      <c r="H482" s="10"/>
      <c r="I482" s="10"/>
      <c r="J482" s="10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0"/>
      <c r="B483" s="21"/>
      <c r="C483" s="10"/>
      <c r="D483" s="10"/>
      <c r="E483" s="10"/>
      <c r="F483" s="11"/>
      <c r="G483" s="22">
        <f>IFERROR(SUMIFS(Transactions!$F$7:$F$996,Transactions!$G$7:$G$996,A483,Transactions!$D$7:$D$996,"Expense"),0)</f>
        <v>0</v>
      </c>
      <c r="H483" s="10"/>
      <c r="I483" s="10"/>
      <c r="J483" s="10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0"/>
      <c r="B484" s="21"/>
      <c r="C484" s="10"/>
      <c r="D484" s="10"/>
      <c r="E484" s="10"/>
      <c r="F484" s="11"/>
      <c r="G484" s="22">
        <f>IFERROR(SUMIFS(Transactions!$F$7:$F$996,Transactions!$G$7:$G$996,A484,Transactions!$D$7:$D$996,"Expense"),0)</f>
        <v>0</v>
      </c>
      <c r="H484" s="10"/>
      <c r="I484" s="10"/>
      <c r="J484" s="10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0"/>
      <c r="B485" s="21"/>
      <c r="C485" s="10"/>
      <c r="D485" s="10"/>
      <c r="E485" s="10"/>
      <c r="F485" s="11"/>
      <c r="G485" s="22">
        <f>IFERROR(SUMIFS(Transactions!$F$7:$F$996,Transactions!$G$7:$G$996,A485,Transactions!$D$7:$D$996,"Expense"),0)</f>
        <v>0</v>
      </c>
      <c r="H485" s="10"/>
      <c r="I485" s="10"/>
      <c r="J485" s="10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0"/>
      <c r="B486" s="21"/>
      <c r="C486" s="10"/>
      <c r="D486" s="10"/>
      <c r="E486" s="10"/>
      <c r="F486" s="11"/>
      <c r="G486" s="22">
        <f>IFERROR(SUMIFS(Transactions!$F$7:$F$996,Transactions!$G$7:$G$996,A486,Transactions!$D$7:$D$996,"Expense"),0)</f>
        <v>0</v>
      </c>
      <c r="H486" s="10"/>
      <c r="I486" s="10"/>
      <c r="J486" s="10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0"/>
      <c r="B487" s="21"/>
      <c r="C487" s="10"/>
      <c r="D487" s="10"/>
      <c r="E487" s="10"/>
      <c r="F487" s="11"/>
      <c r="G487" s="22">
        <f>IFERROR(SUMIFS(Transactions!$F$7:$F$996,Transactions!$G$7:$G$996,A487,Transactions!$D$7:$D$996,"Expense"),0)</f>
        <v>0</v>
      </c>
      <c r="H487" s="10"/>
      <c r="I487" s="10"/>
      <c r="J487" s="10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0"/>
      <c r="B488" s="21"/>
      <c r="C488" s="10"/>
      <c r="D488" s="10"/>
      <c r="E488" s="10"/>
      <c r="F488" s="11"/>
      <c r="G488" s="22">
        <f>IFERROR(SUMIFS(Transactions!$F$7:$F$996,Transactions!$G$7:$G$996,A488,Transactions!$D$7:$D$996,"Expense"),0)</f>
        <v>0</v>
      </c>
      <c r="H488" s="10"/>
      <c r="I488" s="10"/>
      <c r="J488" s="10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0"/>
      <c r="B489" s="21"/>
      <c r="C489" s="10"/>
      <c r="D489" s="10"/>
      <c r="E489" s="10"/>
      <c r="F489" s="11"/>
      <c r="G489" s="22">
        <f>IFERROR(SUMIFS(Transactions!$F$7:$F$996,Transactions!$G$7:$G$996,A489,Transactions!$D$7:$D$996,"Expense"),0)</f>
        <v>0</v>
      </c>
      <c r="H489" s="10"/>
      <c r="I489" s="10"/>
      <c r="J489" s="10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0"/>
      <c r="B490" s="21"/>
      <c r="C490" s="10"/>
      <c r="D490" s="10"/>
      <c r="E490" s="10"/>
      <c r="F490" s="11"/>
      <c r="G490" s="22">
        <f>IFERROR(SUMIFS(Transactions!$F$7:$F$996,Transactions!$G$7:$G$996,A490,Transactions!$D$7:$D$996,"Expense"),0)</f>
        <v>0</v>
      </c>
      <c r="H490" s="10"/>
      <c r="I490" s="10"/>
      <c r="J490" s="10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0"/>
      <c r="B491" s="21"/>
      <c r="C491" s="10"/>
      <c r="D491" s="10"/>
      <c r="E491" s="10"/>
      <c r="F491" s="11"/>
      <c r="G491" s="22">
        <f>IFERROR(SUMIFS(Transactions!$F$7:$F$996,Transactions!$G$7:$G$996,A491,Transactions!$D$7:$D$996,"Expense"),0)</f>
        <v>0</v>
      </c>
      <c r="H491" s="10"/>
      <c r="I491" s="10"/>
      <c r="J491" s="10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0"/>
      <c r="B492" s="21"/>
      <c r="C492" s="10"/>
      <c r="D492" s="10"/>
      <c r="E492" s="10"/>
      <c r="F492" s="11"/>
      <c r="G492" s="22">
        <f>IFERROR(SUMIFS(Transactions!$F$7:$F$996,Transactions!$G$7:$G$996,A492,Transactions!$D$7:$D$996,"Expense"),0)</f>
        <v>0</v>
      </c>
      <c r="H492" s="10"/>
      <c r="I492" s="10"/>
      <c r="J492" s="10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0"/>
      <c r="B493" s="21"/>
      <c r="C493" s="10"/>
      <c r="D493" s="10"/>
      <c r="E493" s="10"/>
      <c r="F493" s="11"/>
      <c r="G493" s="22">
        <f>IFERROR(SUMIFS(Transactions!$F$7:$F$996,Transactions!$G$7:$G$996,A493,Transactions!$D$7:$D$996,"Expense"),0)</f>
        <v>0</v>
      </c>
      <c r="H493" s="10"/>
      <c r="I493" s="10"/>
      <c r="J493" s="10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0"/>
      <c r="B494" s="21"/>
      <c r="C494" s="10"/>
      <c r="D494" s="10"/>
      <c r="E494" s="10"/>
      <c r="F494" s="11"/>
      <c r="G494" s="22">
        <f>IFERROR(SUMIFS(Transactions!$F$7:$F$996,Transactions!$G$7:$G$996,A494,Transactions!$D$7:$D$996,"Expense"),0)</f>
        <v>0</v>
      </c>
      <c r="H494" s="10"/>
      <c r="I494" s="10"/>
      <c r="J494" s="10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0"/>
      <c r="B495" s="21"/>
      <c r="C495" s="10"/>
      <c r="D495" s="10"/>
      <c r="E495" s="10"/>
      <c r="F495" s="11"/>
      <c r="G495" s="22">
        <f>IFERROR(SUMIFS(Transactions!$F$7:$F$996,Transactions!$G$7:$G$996,A495,Transactions!$D$7:$D$996,"Expense"),0)</f>
        <v>0</v>
      </c>
      <c r="H495" s="10"/>
      <c r="I495" s="10"/>
      <c r="J495" s="10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0"/>
      <c r="B496" s="21"/>
      <c r="C496" s="10"/>
      <c r="D496" s="10"/>
      <c r="E496" s="10"/>
      <c r="F496" s="11"/>
      <c r="G496" s="22">
        <f>IFERROR(SUMIFS(Transactions!$F$7:$F$996,Transactions!$G$7:$G$996,A496,Transactions!$D$7:$D$996,"Expense"),0)</f>
        <v>0</v>
      </c>
      <c r="H496" s="10"/>
      <c r="I496" s="10"/>
      <c r="J496" s="10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0"/>
      <c r="B497" s="21"/>
      <c r="C497" s="10"/>
      <c r="D497" s="10"/>
      <c r="E497" s="10"/>
      <c r="F497" s="11"/>
      <c r="G497" s="22">
        <f>IFERROR(SUMIFS(Transactions!$F$7:$F$996,Transactions!$G$7:$G$996,A497,Transactions!$D$7:$D$996,"Expense"),0)</f>
        <v>0</v>
      </c>
      <c r="H497" s="10"/>
      <c r="I497" s="10"/>
      <c r="J497" s="10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0"/>
      <c r="B498" s="21"/>
      <c r="C498" s="10"/>
      <c r="D498" s="10"/>
      <c r="E498" s="10"/>
      <c r="F498" s="11"/>
      <c r="G498" s="22">
        <f>IFERROR(SUMIFS(Transactions!$F$7:$F$996,Transactions!$G$7:$G$996,A498,Transactions!$D$7:$D$996,"Expense"),0)</f>
        <v>0</v>
      </c>
      <c r="H498" s="10"/>
      <c r="I498" s="10"/>
      <c r="J498" s="10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0"/>
      <c r="B499" s="21"/>
      <c r="C499" s="10"/>
      <c r="D499" s="10"/>
      <c r="E499" s="10"/>
      <c r="F499" s="11"/>
      <c r="G499" s="22">
        <f>IFERROR(SUMIFS(Transactions!$F$7:$F$996,Transactions!$G$7:$G$996,A499,Transactions!$D$7:$D$996,"Expense"),0)</f>
        <v>0</v>
      </c>
      <c r="H499" s="10"/>
      <c r="I499" s="10"/>
      <c r="J499" s="10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0"/>
      <c r="B500" s="21"/>
      <c r="C500" s="10"/>
      <c r="D500" s="10"/>
      <c r="E500" s="10"/>
      <c r="F500" s="11"/>
      <c r="G500" s="22">
        <f>IFERROR(SUMIFS(Transactions!$F$7:$F$996,Transactions!$G$7:$G$996,A500,Transactions!$D$7:$D$996,"Expense"),0)</f>
        <v>0</v>
      </c>
      <c r="H500" s="10"/>
      <c r="I500" s="10"/>
      <c r="J500" s="10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0"/>
      <c r="B501" s="21"/>
      <c r="C501" s="10"/>
      <c r="D501" s="10"/>
      <c r="E501" s="10"/>
      <c r="F501" s="11"/>
      <c r="G501" s="22">
        <f>IFERROR(SUMIFS(Transactions!$F$7:$F$996,Transactions!$G$7:$G$996,A501,Transactions!$D$7:$D$996,"Expense"),0)</f>
        <v>0</v>
      </c>
      <c r="H501" s="10"/>
      <c r="I501" s="10"/>
      <c r="J501" s="10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0"/>
      <c r="B502" s="21"/>
      <c r="C502" s="10"/>
      <c r="D502" s="10"/>
      <c r="E502" s="10"/>
      <c r="F502" s="11"/>
      <c r="G502" s="22">
        <f>IFERROR(SUMIFS(Transactions!$F$7:$F$996,Transactions!$G$7:$G$996,A502,Transactions!$D$7:$D$996,"Expense"),0)</f>
        <v>0</v>
      </c>
      <c r="H502" s="10"/>
      <c r="I502" s="10"/>
      <c r="J502" s="10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0"/>
      <c r="B503" s="21"/>
      <c r="C503" s="10"/>
      <c r="D503" s="10"/>
      <c r="E503" s="10"/>
      <c r="F503" s="11"/>
      <c r="G503" s="22">
        <f>IFERROR(SUMIFS(Transactions!$F$7:$F$996,Transactions!$G$7:$G$996,A503,Transactions!$D$7:$D$996,"Expense"),0)</f>
        <v>0</v>
      </c>
      <c r="H503" s="10"/>
      <c r="I503" s="10"/>
      <c r="J503" s="10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0"/>
      <c r="B504" s="21"/>
      <c r="C504" s="10"/>
      <c r="D504" s="10"/>
      <c r="E504" s="10"/>
      <c r="F504" s="11"/>
      <c r="G504" s="22">
        <f>IFERROR(SUMIFS(Transactions!$F$7:$F$996,Transactions!$G$7:$G$996,A504,Transactions!$D$7:$D$996,"Expense"),0)</f>
        <v>0</v>
      </c>
      <c r="H504" s="10"/>
      <c r="I504" s="10"/>
      <c r="J504" s="10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23"/>
      <c r="B1" s="23" t="s">
        <v>39</v>
      </c>
      <c r="C1" s="13"/>
      <c r="D1" s="13"/>
      <c r="E1" s="13"/>
      <c r="F1" s="13"/>
      <c r="G1" s="1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/>
      </c>
      <c r="M2" s="25" t="str">
        <f>IF(AND(Transactions!$D18="Expense",Transactions!$G18&lt;&gt;""),"-&gt; "&amp;Transactions!$G18,"")</f>
        <v/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/>
      </c>
      <c r="P2" s="25" t="str">
        <f>IF(AND(Transactions!$D21="Expense",Transactions!$G21&lt;&gt;""),"-&gt; "&amp;Transactions!$G21,"")</f>
        <v/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40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pec minivan</v>
      </c>
      <c r="J3" s="26" t="str">
        <f>IF(AND(Transactions!$D15="Expense",Transactions!$G15&lt;&gt;""),Transactions!$B15,"")</f>
        <v/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/>
      </c>
      <c r="M3" s="26" t="str">
        <f>IF(AND(Transactions!$D18="Expense",Transactions!$G18&lt;&gt;""),Transactions!$B18,"")</f>
        <v/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/>
      </c>
      <c r="P3" s="26" t="str">
        <f>IF(AND(Transactions!$D21="Expense",Transactions!$G21&lt;&gt;""),Transactions!$B21,"")</f>
        <v/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41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35.38461538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2.225806452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5.5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 t="str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/>
      </c>
      <c r="M4" s="29" t="str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/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 t="str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/>
      </c>
      <c r="P4" s="29" t="str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/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42</v>
      </c>
      <c r="B5" s="31">
        <f t="shared" ref="B5:AZ5" si="1">COUNTIF(B7:B206,"1")</f>
        <v>26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31</v>
      </c>
      <c r="H5" s="31">
        <f t="shared" si="1"/>
        <v>26</v>
      </c>
      <c r="I5" s="31">
        <f t="shared" si="1"/>
        <v>6</v>
      </c>
      <c r="J5" s="31">
        <f t="shared" si="1"/>
        <v>0</v>
      </c>
      <c r="K5" s="31">
        <f t="shared" si="1"/>
        <v>0</v>
      </c>
      <c r="L5" s="31">
        <f t="shared" si="1"/>
        <v>0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43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143</v>
      </c>
      <c r="I6" s="31">
        <f t="shared" si="2"/>
        <v>228.44</v>
      </c>
      <c r="J6" s="31">
        <f t="shared" si="2"/>
        <v>0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4" t="s">
        <v>44</v>
      </c>
      <c r="D7" s="33"/>
      <c r="E7" s="33"/>
      <c r="F7" s="33"/>
      <c r="G7" s="34">
        <v>1.0</v>
      </c>
      <c r="H7" s="33">
        <v>1.0</v>
      </c>
      <c r="I7" s="34">
        <v>1.0</v>
      </c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4" t="s">
        <v>44</v>
      </c>
      <c r="D8" s="33"/>
      <c r="E8" s="33"/>
      <c r="F8" s="33"/>
      <c r="G8" s="34">
        <v>1.0</v>
      </c>
      <c r="H8" s="33">
        <v>1.0</v>
      </c>
      <c r="I8" s="34">
        <v>0.0</v>
      </c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4" t="s">
        <v>44</v>
      </c>
      <c r="D9" s="33"/>
      <c r="E9" s="33"/>
      <c r="F9" s="33"/>
      <c r="G9" s="34">
        <v>1.0</v>
      </c>
      <c r="H9" s="33">
        <v>1.0</v>
      </c>
      <c r="I9" s="34">
        <v>0.0</v>
      </c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4" t="s">
        <v>44</v>
      </c>
      <c r="D10" s="33"/>
      <c r="E10" s="33"/>
      <c r="F10" s="33"/>
      <c r="G10" s="34">
        <v>1.0</v>
      </c>
      <c r="H10" s="33">
        <v>1.0</v>
      </c>
      <c r="I10" s="34">
        <v>0.0</v>
      </c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4" t="s">
        <v>44</v>
      </c>
      <c r="D11" s="33"/>
      <c r="E11" s="33"/>
      <c r="F11" s="33"/>
      <c r="G11" s="34">
        <v>1.0</v>
      </c>
      <c r="H11" s="33">
        <v>1.0</v>
      </c>
      <c r="I11" s="34">
        <v>1.0</v>
      </c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4" t="s">
        <v>44</v>
      </c>
      <c r="D12" s="33"/>
      <c r="E12" s="33"/>
      <c r="F12" s="33"/>
      <c r="G12" s="34">
        <v>1.0</v>
      </c>
      <c r="H12" s="33">
        <v>1.0</v>
      </c>
      <c r="I12" s="34">
        <v>0.0</v>
      </c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4" t="s">
        <v>44</v>
      </c>
      <c r="D13" s="33"/>
      <c r="E13" s="33"/>
      <c r="F13" s="33"/>
      <c r="G13" s="34">
        <v>1.0</v>
      </c>
      <c r="H13" s="33">
        <v>1.0</v>
      </c>
      <c r="I13" s="34">
        <v>0.0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4" t="s">
        <v>44</v>
      </c>
      <c r="D14" s="33"/>
      <c r="E14" s="33"/>
      <c r="F14" s="33"/>
      <c r="G14" s="34">
        <v>1.0</v>
      </c>
      <c r="H14" s="33">
        <v>1.0</v>
      </c>
      <c r="I14" s="34">
        <v>0.0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3">
        <v>1.0</v>
      </c>
      <c r="C15" s="34" t="s">
        <v>44</v>
      </c>
      <c r="D15" s="33"/>
      <c r="E15" s="33"/>
      <c r="F15" s="33"/>
      <c r="G15" s="34">
        <v>1.0</v>
      </c>
      <c r="H15" s="33">
        <v>1.0</v>
      </c>
      <c r="I15" s="34">
        <v>0.0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4" t="s">
        <v>44</v>
      </c>
      <c r="D16" s="33"/>
      <c r="E16" s="33"/>
      <c r="F16" s="33"/>
      <c r="G16" s="34">
        <v>1.0</v>
      </c>
      <c r="H16" s="33">
        <v>1.0</v>
      </c>
      <c r="I16" s="34">
        <v>1.0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4" t="s">
        <v>44</v>
      </c>
      <c r="D17" s="33"/>
      <c r="E17" s="33"/>
      <c r="F17" s="33"/>
      <c r="G17" s="34">
        <v>1.0</v>
      </c>
      <c r="H17" s="33">
        <v>1.0</v>
      </c>
      <c r="I17" s="34">
        <v>0.0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4">
        <v>0.0</v>
      </c>
      <c r="C18" s="34" t="s">
        <v>44</v>
      </c>
      <c r="D18" s="33"/>
      <c r="E18" s="33"/>
      <c r="F18" s="33"/>
      <c r="G18" s="34">
        <v>1.0</v>
      </c>
      <c r="H18" s="34">
        <v>0.0</v>
      </c>
      <c r="I18" s="34">
        <v>0.0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4" t="s">
        <v>44</v>
      </c>
      <c r="D19" s="33"/>
      <c r="E19" s="33"/>
      <c r="F19" s="33"/>
      <c r="G19" s="34">
        <v>1.0</v>
      </c>
      <c r="H19" s="33">
        <v>1.0</v>
      </c>
      <c r="I19" s="34">
        <v>0.0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4" t="s">
        <v>44</v>
      </c>
      <c r="D20" s="33"/>
      <c r="E20" s="33"/>
      <c r="F20" s="33"/>
      <c r="G20" s="34">
        <v>1.0</v>
      </c>
      <c r="H20" s="33">
        <v>1.0</v>
      </c>
      <c r="I20" s="34">
        <v>0.0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4" t="s">
        <v>44</v>
      </c>
      <c r="D21" s="33"/>
      <c r="E21" s="33"/>
      <c r="F21" s="33"/>
      <c r="G21" s="34">
        <v>1.0</v>
      </c>
      <c r="H21" s="33">
        <v>1.0</v>
      </c>
      <c r="I21" s="34">
        <v>0.0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4" t="s">
        <v>44</v>
      </c>
      <c r="D22" s="33"/>
      <c r="E22" s="33"/>
      <c r="F22" s="33"/>
      <c r="G22" s="34">
        <v>1.0</v>
      </c>
      <c r="H22" s="33">
        <v>1.0</v>
      </c>
      <c r="I22" s="34">
        <v>0.0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4" t="s">
        <v>44</v>
      </c>
      <c r="D23" s="33"/>
      <c r="E23" s="33"/>
      <c r="F23" s="33"/>
      <c r="G23" s="34">
        <v>1.0</v>
      </c>
      <c r="H23" s="33">
        <v>1.0</v>
      </c>
      <c r="I23" s="34">
        <v>1.0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4" t="s">
        <v>44</v>
      </c>
      <c r="D24" s="33"/>
      <c r="E24" s="33"/>
      <c r="F24" s="33"/>
      <c r="G24" s="34">
        <v>1.0</v>
      </c>
      <c r="H24" s="33">
        <v>1.0</v>
      </c>
      <c r="I24" s="34">
        <v>0.0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4">
        <v>0.0</v>
      </c>
      <c r="C25" s="34" t="s">
        <v>44</v>
      </c>
      <c r="D25" s="33"/>
      <c r="E25" s="33"/>
      <c r="F25" s="33"/>
      <c r="G25" s="34">
        <v>1.0</v>
      </c>
      <c r="H25" s="34">
        <v>0.0</v>
      </c>
      <c r="I25" s="34">
        <v>0.0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4" t="s">
        <v>44</v>
      </c>
      <c r="D26" s="33"/>
      <c r="E26" s="33"/>
      <c r="F26" s="33"/>
      <c r="G26" s="34">
        <v>1.0</v>
      </c>
      <c r="H26" s="33">
        <v>1.0</v>
      </c>
      <c r="I26" s="34">
        <v>0.0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4" t="s">
        <v>44</v>
      </c>
      <c r="D27" s="33"/>
      <c r="E27" s="33"/>
      <c r="F27" s="33"/>
      <c r="G27" s="34">
        <v>1.0</v>
      </c>
      <c r="H27" s="33">
        <v>1.0</v>
      </c>
      <c r="I27" s="34">
        <v>0.0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4" t="s">
        <v>44</v>
      </c>
      <c r="D28" s="33"/>
      <c r="E28" s="33"/>
      <c r="F28" s="33"/>
      <c r="G28" s="34">
        <v>1.0</v>
      </c>
      <c r="H28" s="33">
        <v>1.0</v>
      </c>
      <c r="I28" s="34">
        <v>0.0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4" t="s">
        <v>44</v>
      </c>
      <c r="D29" s="33"/>
      <c r="E29" s="33"/>
      <c r="F29" s="33"/>
      <c r="G29" s="34">
        <v>1.0</v>
      </c>
      <c r="H29" s="33">
        <v>1.0</v>
      </c>
      <c r="I29" s="34">
        <v>0.0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4" t="s">
        <v>44</v>
      </c>
      <c r="D30" s="33"/>
      <c r="E30" s="33"/>
      <c r="F30" s="33"/>
      <c r="G30" s="34">
        <v>1.0</v>
      </c>
      <c r="H30" s="33">
        <v>1.0</v>
      </c>
      <c r="I30" s="34">
        <v>0.0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4" t="s">
        <v>44</v>
      </c>
      <c r="D31" s="33"/>
      <c r="E31" s="33"/>
      <c r="F31" s="33"/>
      <c r="G31" s="34">
        <v>1.0</v>
      </c>
      <c r="H31" s="33">
        <v>1.0</v>
      </c>
      <c r="I31" s="34">
        <v>0.0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4">
        <v>0.0</v>
      </c>
      <c r="C32" s="34" t="s">
        <v>44</v>
      </c>
      <c r="D32" s="33"/>
      <c r="E32" s="33"/>
      <c r="F32" s="33"/>
      <c r="G32" s="34">
        <v>1.0</v>
      </c>
      <c r="H32" s="34">
        <v>0.0</v>
      </c>
      <c r="I32" s="34">
        <v>0.0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4" t="s">
        <v>44</v>
      </c>
      <c r="D33" s="33"/>
      <c r="E33" s="33"/>
      <c r="F33" s="33"/>
      <c r="G33" s="34">
        <v>1.0</v>
      </c>
      <c r="H33" s="33">
        <v>1.0</v>
      </c>
      <c r="I33" s="34">
        <v>0.0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4">
        <v>0.0</v>
      </c>
      <c r="C34" s="34" t="s">
        <v>44</v>
      </c>
      <c r="D34" s="33"/>
      <c r="E34" s="33"/>
      <c r="F34" s="33"/>
      <c r="G34" s="34">
        <v>1.0</v>
      </c>
      <c r="H34" s="34">
        <v>0.0</v>
      </c>
      <c r="I34" s="34">
        <v>0.0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4" t="s">
        <v>44</v>
      </c>
      <c r="D35" s="33"/>
      <c r="E35" s="33"/>
      <c r="F35" s="33"/>
      <c r="G35" s="34">
        <v>1.0</v>
      </c>
      <c r="H35" s="33">
        <v>1.0</v>
      </c>
      <c r="I35" s="34">
        <v>1.0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4" t="s">
        <v>44</v>
      </c>
      <c r="D36" s="33"/>
      <c r="E36" s="33"/>
      <c r="F36" s="33"/>
      <c r="G36" s="34">
        <v>1.0</v>
      </c>
      <c r="H36" s="33">
        <v>1.0</v>
      </c>
      <c r="I36" s="34">
        <v>1.0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>
        <v>0.0</v>
      </c>
      <c r="C37" s="34" t="s">
        <v>44</v>
      </c>
      <c r="D37" s="33"/>
      <c r="E37" s="33"/>
      <c r="F37" s="33"/>
      <c r="G37" s="34">
        <v>1.0</v>
      </c>
      <c r="H37" s="34">
        <v>0.0</v>
      </c>
      <c r="I37" s="34">
        <v>0.0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3" t="s">
        <v>44</v>
      </c>
      <c r="C38" s="33" t="s">
        <v>44</v>
      </c>
      <c r="D38" s="33"/>
      <c r="E38" s="33"/>
      <c r="F38" s="33"/>
      <c r="G38" s="34" t="s">
        <v>44</v>
      </c>
      <c r="H38" s="33"/>
      <c r="I38" s="34">
        <v>0.0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3" t="s">
        <v>44</v>
      </c>
      <c r="C39" s="33" t="s">
        <v>44</v>
      </c>
      <c r="D39" s="33"/>
      <c r="E39" s="33"/>
      <c r="F39" s="33"/>
      <c r="G39" s="34" t="s">
        <v>44</v>
      </c>
      <c r="H39" s="33"/>
      <c r="I39" s="34">
        <v>0.0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3" t="s">
        <v>44</v>
      </c>
      <c r="C40" s="33" t="s">
        <v>44</v>
      </c>
      <c r="D40" s="33"/>
      <c r="E40" s="33"/>
      <c r="F40" s="33"/>
      <c r="G40" s="34" t="s">
        <v>44</v>
      </c>
      <c r="H40" s="33"/>
      <c r="I40" s="34">
        <v>0.0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44</v>
      </c>
      <c r="C41" s="33" t="s">
        <v>44</v>
      </c>
      <c r="D41" s="33"/>
      <c r="E41" s="33"/>
      <c r="F41" s="33"/>
      <c r="G41" s="34" t="s">
        <v>44</v>
      </c>
      <c r="H41" s="33"/>
      <c r="I41" s="34">
        <v>0.0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/>
      </c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45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46</v>
      </c>
      <c r="B3" s="41" t="s">
        <v>47</v>
      </c>
      <c r="C3" s="41" t="s">
        <v>48</v>
      </c>
      <c r="D3" s="41" t="s">
        <v>49</v>
      </c>
      <c r="E3" s="41" t="s">
        <v>50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2109</v>
      </c>
      <c r="B4" s="44">
        <f>SUMIF(D7:D996,"Expense",F7:F996)</f>
        <v>2510.44</v>
      </c>
      <c r="C4" s="45">
        <f>A4-B4</f>
        <v>-401.44</v>
      </c>
      <c r="D4" s="46">
        <f>IFERROR(AVERAGE(F7:F996),0)</f>
        <v>577.43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51</v>
      </c>
      <c r="B6" s="48" t="s">
        <v>52</v>
      </c>
      <c r="C6" s="48" t="s">
        <v>12</v>
      </c>
      <c r="D6" s="48" t="s">
        <v>53</v>
      </c>
      <c r="E6" s="48" t="s">
        <v>54</v>
      </c>
      <c r="F6" s="49" t="s">
        <v>55</v>
      </c>
      <c r="G6" s="48" t="s">
        <v>56</v>
      </c>
      <c r="H6" s="48" t="s">
        <v>57</v>
      </c>
      <c r="I6" s="48" t="s">
        <v>5</v>
      </c>
      <c r="J6" s="5" t="s">
        <v>58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59</v>
      </c>
      <c r="C7" s="51" t="s">
        <v>60</v>
      </c>
      <c r="D7" s="51" t="s">
        <v>61</v>
      </c>
      <c r="E7" s="51" t="s">
        <v>62</v>
      </c>
      <c r="F7" s="52">
        <v>920.0</v>
      </c>
      <c r="G7" s="51" t="s">
        <v>24</v>
      </c>
      <c r="H7" s="51"/>
      <c r="I7" s="51" t="s">
        <v>63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64</v>
      </c>
      <c r="C8" s="51" t="s">
        <v>60</v>
      </c>
      <c r="D8" s="51" t="s">
        <v>61</v>
      </c>
      <c r="E8" s="51" t="s">
        <v>62</v>
      </c>
      <c r="F8" s="52">
        <v>1150.0</v>
      </c>
      <c r="G8" s="51" t="s">
        <v>27</v>
      </c>
      <c r="H8" s="51"/>
      <c r="I8" s="51" t="s">
        <v>63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33</v>
      </c>
      <c r="C9" s="51" t="s">
        <v>65</v>
      </c>
      <c r="D9" s="51" t="s">
        <v>30</v>
      </c>
      <c r="E9" s="51" t="s">
        <v>62</v>
      </c>
      <c r="F9" s="52">
        <v>956.0</v>
      </c>
      <c r="G9" s="51" t="s">
        <v>33</v>
      </c>
      <c r="H9" s="51"/>
      <c r="I9" s="51" t="s">
        <v>63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29</v>
      </c>
      <c r="C10" s="55" t="s">
        <v>65</v>
      </c>
      <c r="D10" s="55" t="s">
        <v>30</v>
      </c>
      <c r="E10" s="55" t="s">
        <v>62</v>
      </c>
      <c r="F10" s="56">
        <v>123.0</v>
      </c>
      <c r="G10" s="55" t="s">
        <v>29</v>
      </c>
      <c r="H10" s="55"/>
      <c r="I10" s="55" t="s">
        <v>63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66</v>
      </c>
      <c r="C11" s="58" t="s">
        <v>65</v>
      </c>
      <c r="D11" s="58" t="s">
        <v>30</v>
      </c>
      <c r="E11" s="58" t="s">
        <v>62</v>
      </c>
      <c r="F11" s="56">
        <v>1030.0</v>
      </c>
      <c r="G11" s="58" t="s">
        <v>34</v>
      </c>
      <c r="H11" s="58"/>
      <c r="I11" s="58" t="s">
        <v>63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67</v>
      </c>
      <c r="C12" s="55" t="s">
        <v>68</v>
      </c>
      <c r="D12" s="55" t="s">
        <v>61</v>
      </c>
      <c r="E12" s="55" t="s">
        <v>62</v>
      </c>
      <c r="F12" s="56">
        <v>69.0</v>
      </c>
      <c r="G12" s="59" t="s">
        <v>18</v>
      </c>
      <c r="H12" s="55"/>
      <c r="I12" s="55" t="s">
        <v>63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69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60">
        <v>46192.0</v>
      </c>
      <c r="B13" s="58" t="s">
        <v>69</v>
      </c>
      <c r="C13" s="61" t="s">
        <v>70</v>
      </c>
      <c r="D13" s="58" t="s">
        <v>61</v>
      </c>
      <c r="E13" s="58" t="s">
        <v>71</v>
      </c>
      <c r="F13" s="62">
        <v>143.0</v>
      </c>
      <c r="G13" s="58" t="s">
        <v>24</v>
      </c>
      <c r="H13" s="58"/>
      <c r="I13" s="61" t="s">
        <v>63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3">
        <v>46195.0</v>
      </c>
      <c r="B14" s="55" t="s">
        <v>72</v>
      </c>
      <c r="C14" s="55" t="s">
        <v>73</v>
      </c>
      <c r="D14" s="55" t="s">
        <v>61</v>
      </c>
      <c r="E14" s="55" t="s">
        <v>74</v>
      </c>
      <c r="F14" s="64">
        <v>228.44</v>
      </c>
      <c r="G14" s="55" t="s">
        <v>24</v>
      </c>
      <c r="H14" s="55"/>
      <c r="I14" s="59" t="s">
        <v>63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5"/>
      <c r="B15" s="61"/>
      <c r="C15" s="61"/>
      <c r="D15" s="61"/>
      <c r="E15" s="61"/>
      <c r="F15" s="66"/>
      <c r="G15" s="58"/>
      <c r="H15" s="61"/>
      <c r="I15" s="61"/>
      <c r="J15" s="53" t="str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/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54"/>
      <c r="B16" s="55"/>
      <c r="C16" s="55"/>
      <c r="D16" s="55"/>
      <c r="E16" s="55"/>
      <c r="F16" s="56"/>
      <c r="G16" s="55"/>
      <c r="H16" s="55"/>
      <c r="I16" s="55"/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57"/>
      <c r="B17" s="58"/>
      <c r="C17" s="58"/>
      <c r="D17" s="58"/>
      <c r="E17" s="58"/>
      <c r="F17" s="67"/>
      <c r="G17" s="58"/>
      <c r="H17" s="58"/>
      <c r="I17" s="58"/>
      <c r="J17" s="53" t="str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/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54"/>
      <c r="B18" s="55"/>
      <c r="C18" s="55"/>
      <c r="D18" s="55"/>
      <c r="E18" s="55"/>
      <c r="F18" s="56"/>
      <c r="G18" s="55"/>
      <c r="H18" s="55"/>
      <c r="I18" s="55"/>
      <c r="J18" s="53" t="str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/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58"/>
      <c r="C19" s="58"/>
      <c r="D19" s="58"/>
      <c r="E19" s="58"/>
      <c r="F19" s="67"/>
      <c r="G19" s="58"/>
      <c r="H19" s="58"/>
      <c r="I19" s="58"/>
      <c r="J19" s="53" t="str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/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54"/>
      <c r="B20" s="55"/>
      <c r="C20" s="55"/>
      <c r="D20" s="55"/>
      <c r="E20" s="55"/>
      <c r="F20" s="56"/>
      <c r="G20" s="55"/>
      <c r="H20" s="55"/>
      <c r="I20" s="55"/>
      <c r="J20" s="53" t="str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/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57"/>
      <c r="B21" s="58"/>
      <c r="C21" s="58"/>
      <c r="D21" s="58"/>
      <c r="E21" s="58"/>
      <c r="F21" s="67"/>
      <c r="G21" s="58"/>
      <c r="H21" s="58"/>
      <c r="I21" s="58"/>
      <c r="J21" s="53" t="str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/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54"/>
      <c r="B22" s="55"/>
      <c r="C22" s="55"/>
      <c r="D22" s="55"/>
      <c r="E22" s="55"/>
      <c r="F22" s="56"/>
      <c r="G22" s="55"/>
      <c r="H22" s="55"/>
      <c r="I22" s="55"/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57"/>
      <c r="B23" s="58"/>
      <c r="C23" s="58"/>
      <c r="D23" s="58"/>
      <c r="E23" s="58"/>
      <c r="F23" s="67"/>
      <c r="G23" s="58"/>
      <c r="H23" s="58"/>
      <c r="I23" s="58"/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54"/>
      <c r="B24" s="55"/>
      <c r="C24" s="55"/>
      <c r="D24" s="55"/>
      <c r="E24" s="55"/>
      <c r="F24" s="56"/>
      <c r="G24" s="55"/>
      <c r="H24" s="55"/>
      <c r="I24" s="55"/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7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7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7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7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7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7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7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7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7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7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7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7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7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7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7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7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7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7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7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7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7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7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7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7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7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7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7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7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7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7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7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7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7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7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7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7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7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7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7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7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7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7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7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7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7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7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7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7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7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7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7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7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7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7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7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7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7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7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7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7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7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7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7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7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7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7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7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7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7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7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7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7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7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7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7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7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7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7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7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7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7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7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7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7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7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7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7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7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7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7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7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7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7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7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7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7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7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7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7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7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7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7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7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7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7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7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7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7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7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7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7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7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7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7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7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7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7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7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7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7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7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7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7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7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7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7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7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7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7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7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7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7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7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7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7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7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7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7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7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7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7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7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7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7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7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7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7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7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7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7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7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7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7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7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7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7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7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7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7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7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7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7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7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7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7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7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7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7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7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7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7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7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7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7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7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7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7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7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7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7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7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7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7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7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7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7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7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7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7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7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7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7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7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7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7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7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7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7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7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7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7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7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7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7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7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7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7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7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7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7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7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7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7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7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7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7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7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7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7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7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7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7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7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7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7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7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7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7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7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7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7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7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7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7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7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7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7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7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7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7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7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7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7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7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7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7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7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7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7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7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7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7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7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7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7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7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7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7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7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7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7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7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7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7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7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7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7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7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7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7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7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7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7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7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7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7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7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7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7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7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7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7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7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7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7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7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7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7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7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7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7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7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7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7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7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7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7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7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7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7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7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7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7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7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7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7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7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7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7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7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7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7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7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7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7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7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7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7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7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7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7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7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7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7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7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7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7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7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7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7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7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7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7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7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7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7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7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7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7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7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7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7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7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7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7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7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7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7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7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7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7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7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7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7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7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7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7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7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7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7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7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7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7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7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7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7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7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7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7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7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7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7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7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7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7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7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7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7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7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7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7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7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7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7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7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7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7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7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7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7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7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7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7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7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7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7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7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7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7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7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7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7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7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7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7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7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7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7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7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7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7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7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7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7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7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7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7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7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7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7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7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7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7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7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7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7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7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7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7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7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7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7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7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7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7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7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7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7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7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7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7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7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7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7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7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7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7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7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7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7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7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7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7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7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7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7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7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7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7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7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7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7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7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7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7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7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7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7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7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7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7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7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7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7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7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7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7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7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7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7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7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7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7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7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7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7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  <dataValidation type="list" allowBlank="1" sqref="G7:G996">
      <formula1>Events!$A$5:$A$505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3" t="s">
        <v>75</v>
      </c>
      <c r="B1" s="13"/>
      <c r="C1" s="13"/>
      <c r="D1" s="13"/>
      <c r="E1" s="13"/>
      <c r="F1" s="13"/>
      <c r="G1" s="13"/>
      <c r="H1" s="1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68"/>
      <c r="H2" s="6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69" t="s">
        <v>76</v>
      </c>
      <c r="B3" s="69" t="s">
        <v>77</v>
      </c>
      <c r="C3" s="69" t="s">
        <v>78</v>
      </c>
      <c r="D3" s="69" t="s">
        <v>79</v>
      </c>
      <c r="E3" s="69" t="s">
        <v>80</v>
      </c>
      <c r="F3" s="68"/>
      <c r="G3" s="68"/>
      <c r="H3" s="6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0">
        <f>SUMIF(E7:E206,"&gt;0",E7:E206)</f>
        <v>1279.256245</v>
      </c>
      <c r="B4" s="70">
        <f>SUMIF(E7:E206,"&lt;0",E7:E206)</f>
        <v>-2286.256245</v>
      </c>
      <c r="C4" s="70">
        <f>SUM(E7:E206)</f>
        <v>-1007</v>
      </c>
      <c r="D4" s="71">
        <f>COUNTIF(F7:F206,"Settled")</f>
        <v>4</v>
      </c>
      <c r="E4" s="71">
        <f>COUNTIF(F7:F206,"Unsettled")</f>
        <v>31</v>
      </c>
      <c r="F4" s="68"/>
      <c r="G4" s="68"/>
      <c r="H4" s="68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68"/>
      <c r="H5" s="68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40</v>
      </c>
      <c r="B6" s="5" t="s">
        <v>81</v>
      </c>
      <c r="C6" s="5" t="s">
        <v>82</v>
      </c>
      <c r="D6" s="5" t="s">
        <v>83</v>
      </c>
      <c r="E6" s="5" t="s">
        <v>84</v>
      </c>
      <c r="F6" s="5" t="s">
        <v>5</v>
      </c>
      <c r="G6" s="68"/>
      <c r="H6" s="68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81.18375517</v>
      </c>
      <c r="C7" s="72">
        <f>IF(A7&lt;&gt;"",SUMIFS(Transactions!$F$7:$F$996,Transactions!$D$7:$D$996,"Income",Transactions!$E$7:$E$996,A7),"")</f>
        <v>0</v>
      </c>
      <c r="D7" s="72">
        <f>IF(A7&lt;&gt;"",SUMIFS(Transactions!$F$7:$F$996,Transactions!$D$7:$D$996,"Expense",Transactions!$E$7:$E$996,A7),"")</f>
        <v>0</v>
      </c>
      <c r="E7" s="70">
        <f t="shared" ref="E7:E206" si="1">IF(A7&lt;&gt;"",B7-C7-D7,"")</f>
        <v>81.18375517</v>
      </c>
      <c r="F7" s="70" t="str">
        <f t="shared" ref="F7:F206" si="2">IF(A7&lt;&gt;"",IF(E7=0,"Settled","Unsettled"),"")</f>
        <v>Unsettled</v>
      </c>
      <c r="G7" s="73"/>
      <c r="H7" s="68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43.11042184</v>
      </c>
      <c r="C8" s="72">
        <f>IF(A8&lt;&gt;"",SUMIFS(Transactions!$F$7:$F$996,Transactions!$D$7:$D$996,"Income",Transactions!$E$7:$E$996,A8),"")</f>
        <v>0</v>
      </c>
      <c r="D8" s="72">
        <f>IF(A8&lt;&gt;"",SUMIFS(Transactions!$F$7:$F$996,Transactions!$D$7:$D$996,"Expense",Transactions!$E$7:$E$996,A8),"")</f>
        <v>0</v>
      </c>
      <c r="E8" s="70">
        <f t="shared" si="1"/>
        <v>43.11042184</v>
      </c>
      <c r="F8" s="70" t="str">
        <f t="shared" si="2"/>
        <v>Unsettled</v>
      </c>
      <c r="G8" s="73"/>
      <c r="H8" s="68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43.11042184</v>
      </c>
      <c r="C9" s="72">
        <f>IF(A9&lt;&gt;"",SUMIFS(Transactions!$F$7:$F$996,Transactions!$D$7:$D$996,"Income",Transactions!$E$7:$E$996,A9),"")</f>
        <v>0</v>
      </c>
      <c r="D9" s="72">
        <f>IF(A9&lt;&gt;"",SUMIFS(Transactions!$F$7:$F$996,Transactions!$D$7:$D$996,"Expense",Transactions!$E$7:$E$996,A9),"")</f>
        <v>0</v>
      </c>
      <c r="E9" s="70">
        <f t="shared" si="1"/>
        <v>43.11042184</v>
      </c>
      <c r="F9" s="70" t="str">
        <f t="shared" si="2"/>
        <v>Unsettled</v>
      </c>
      <c r="G9" s="73"/>
      <c r="H9" s="68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43.11042184</v>
      </c>
      <c r="C10" s="72">
        <f>IF(A10&lt;&gt;"",SUMIFS(Transactions!$F$7:$F$996,Transactions!$D$7:$D$996,"Income",Transactions!$E$7:$E$996,A10),"")</f>
        <v>0</v>
      </c>
      <c r="D10" s="72">
        <f>IF(A10&lt;&gt;"",SUMIFS(Transactions!$F$7:$F$996,Transactions!$D$7:$D$996,"Expense",Transactions!$E$7:$E$996,A10),"")</f>
        <v>0</v>
      </c>
      <c r="E10" s="70">
        <f t="shared" si="1"/>
        <v>43.11042184</v>
      </c>
      <c r="F10" s="70" t="str">
        <f t="shared" si="2"/>
        <v>Unsettled</v>
      </c>
      <c r="G10" s="73"/>
      <c r="H10" s="68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81.18375517</v>
      </c>
      <c r="C11" s="72">
        <f>IF(A11&lt;&gt;"",SUMIFS(Transactions!$F$7:$F$996,Transactions!$D$7:$D$996,"Income",Transactions!$E$7:$E$996,A11),"")</f>
        <v>0</v>
      </c>
      <c r="D11" s="72">
        <f>IF(A11&lt;&gt;"",SUMIFS(Transactions!$F$7:$F$996,Transactions!$D$7:$D$996,"Expense",Transactions!$E$7:$E$996,A11),"")</f>
        <v>0</v>
      </c>
      <c r="E11" s="70">
        <f t="shared" si="1"/>
        <v>81.18375517</v>
      </c>
      <c r="F11" s="70" t="str">
        <f t="shared" si="2"/>
        <v>Unsettled</v>
      </c>
      <c r="G11" s="73"/>
      <c r="H11" s="68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74" t="str">
        <f>IF(Roster!$A$10&lt;&gt;"",Roster!$A$10,"")</f>
        <v>Griffin O'Neal-Freeman</v>
      </c>
      <c r="B12" s="74">
        <f t="array" ref="B12">IF(A12&lt;&gt;"",IFERROR(SUMPRODUCT((INDEX(Attendance!$B$7:$AZ$206,MATCH(A12,Attendance!$A$7:$A$206,0),0)=1)*Attendance!$B$4:$AZ$4),0),"")</f>
        <v>43.11042184</v>
      </c>
      <c r="C12" s="75">
        <f>IF(A12&lt;&gt;"",SUMIFS(Transactions!$F$7:$F$996,Transactions!$D$7:$D$996,"Income",Transactions!$E$7:$E$996,A12),"")</f>
        <v>0</v>
      </c>
      <c r="D12" s="75">
        <f>IF(A12&lt;&gt;"",SUMIFS(Transactions!$F$7:$F$996,Transactions!$D$7:$D$996,"Expense",Transactions!$E$7:$E$996,A12),"")</f>
        <v>0</v>
      </c>
      <c r="E12" s="76">
        <f t="shared" si="1"/>
        <v>43.11042184</v>
      </c>
      <c r="F12" s="76" t="str">
        <f t="shared" si="2"/>
        <v>Unsettled</v>
      </c>
      <c r="G12" s="73"/>
      <c r="H12" s="68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43.11042184</v>
      </c>
      <c r="C13" s="72">
        <f>IF(A13&lt;&gt;"",SUMIFS(Transactions!$F$7:$F$996,Transactions!$D$7:$D$996,"Income",Transactions!$E$7:$E$996,A13),"")</f>
        <v>0</v>
      </c>
      <c r="D13" s="72">
        <f>IF(A13&lt;&gt;"",SUMIFS(Transactions!$F$7:$F$996,Transactions!$D$7:$D$996,"Expense",Transactions!$E$7:$E$996,A13),"")</f>
        <v>0</v>
      </c>
      <c r="E13" s="70">
        <f t="shared" si="1"/>
        <v>43.11042184</v>
      </c>
      <c r="F13" s="70" t="str">
        <f t="shared" si="2"/>
        <v>Unsettled</v>
      </c>
      <c r="G13" s="73"/>
      <c r="H13" s="68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74" t="str">
        <f>IF(Roster!$A$12&lt;&gt;"",Roster!$A$12,"")</f>
        <v>Harry Park</v>
      </c>
      <c r="B14" s="74">
        <f t="array" ref="B14">IF(A14&lt;&gt;"",IFERROR(SUMPRODUCT((INDEX(Attendance!$B$7:$AZ$206,MATCH(A14,Attendance!$A$7:$A$206,0),0)=1)*Attendance!$B$4:$AZ$4),0),"")</f>
        <v>43.11042184</v>
      </c>
      <c r="C14" s="75">
        <f>IF(A14&lt;&gt;"",SUMIFS(Transactions!$F$7:$F$996,Transactions!$D$7:$D$996,"Income",Transactions!$E$7:$E$996,A14),"")</f>
        <v>0</v>
      </c>
      <c r="D14" s="75">
        <f>IF(A14&lt;&gt;"",SUMIFS(Transactions!$F$7:$F$996,Transactions!$D$7:$D$996,"Expense",Transactions!$E$7:$E$996,A14),"")</f>
        <v>0</v>
      </c>
      <c r="E14" s="76">
        <f t="shared" si="1"/>
        <v>43.11042184</v>
      </c>
      <c r="F14" s="76" t="str">
        <f t="shared" si="2"/>
        <v>Unsettled</v>
      </c>
      <c r="G14" s="73"/>
      <c r="H14" s="68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43.11042184</v>
      </c>
      <c r="C15" s="72">
        <f>IF(A15&lt;&gt;"",SUMIFS(Transactions!$F$7:$F$996,Transactions!$D$7:$D$996,"Income",Transactions!$E$7:$E$996,A15),"")</f>
        <v>0</v>
      </c>
      <c r="D15" s="72">
        <f>IF(A15&lt;&gt;"",SUMIFS(Transactions!$F$7:$F$996,Transactions!$D$7:$D$996,"Expense",Transactions!$E$7:$E$996,A15),"")</f>
        <v>0</v>
      </c>
      <c r="E15" s="70">
        <f t="shared" si="1"/>
        <v>43.11042184</v>
      </c>
      <c r="F15" s="70" t="str">
        <f t="shared" si="2"/>
        <v>Unsettled</v>
      </c>
      <c r="G15" s="73"/>
      <c r="H15" s="68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74" t="str">
        <f>IF(Roster!$A$14&lt;&gt;"",Roster!$A$14,"")</f>
        <v>Jake Murray</v>
      </c>
      <c r="B16" s="74">
        <f t="array" ref="B16">IF(A16&lt;&gt;"",IFERROR(SUMPRODUCT((INDEX(Attendance!$B$7:$AZ$206,MATCH(A16,Attendance!$A$7:$A$206,0),0)=1)*Attendance!$B$4:$AZ$4),0),"")</f>
        <v>81.18375517</v>
      </c>
      <c r="C16" s="75">
        <f>IF(A16&lt;&gt;"",SUMIFS(Transactions!$F$7:$F$996,Transactions!$D$7:$D$996,"Income",Transactions!$E$7:$E$996,A16),"")</f>
        <v>0</v>
      </c>
      <c r="D16" s="75">
        <f>IF(A16&lt;&gt;"",SUMIFS(Transactions!$F$7:$F$996,Transactions!$D$7:$D$996,"Expense",Transactions!$E$7:$E$996,A16),"")</f>
        <v>2367.44</v>
      </c>
      <c r="E16" s="76">
        <f t="shared" si="1"/>
        <v>-2286.256245</v>
      </c>
      <c r="F16" s="76" t="str">
        <f t="shared" si="2"/>
        <v>Unsettled</v>
      </c>
      <c r="G16" s="73"/>
      <c r="H16" s="68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43.11042184</v>
      </c>
      <c r="C17" s="72">
        <f>IF(A17&lt;&gt;"",SUMIFS(Transactions!$F$7:$F$996,Transactions!$D$7:$D$996,"Income",Transactions!$E$7:$E$996,A17),"")</f>
        <v>0</v>
      </c>
      <c r="D17" s="72">
        <f>IF(A17&lt;&gt;"",SUMIFS(Transactions!$F$7:$F$996,Transactions!$D$7:$D$996,"Expense",Transactions!$E$7:$E$996,A17),"")</f>
        <v>0</v>
      </c>
      <c r="E17" s="70">
        <f t="shared" si="1"/>
        <v>43.11042184</v>
      </c>
      <c r="F17" s="70" t="str">
        <f t="shared" si="2"/>
        <v>Unsettled</v>
      </c>
      <c r="G17" s="73"/>
      <c r="H17" s="68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74" t="str">
        <f>IF(Roster!$A$16&lt;&gt;"",Roster!$A$16,"")</f>
        <v>Jimmy Towle</v>
      </c>
      <c r="B18" s="74">
        <f t="array" ref="B18">IF(A18&lt;&gt;"",IFERROR(SUMPRODUCT((INDEX(Attendance!$B$7:$AZ$206,MATCH(A18,Attendance!$A$7:$A$206,0),0)=1)*Attendance!$B$4:$AZ$4),0),"")</f>
        <v>2.225806452</v>
      </c>
      <c r="C18" s="75">
        <f>IF(A18&lt;&gt;"",SUMIFS(Transactions!$F$7:$F$996,Transactions!$D$7:$D$996,"Income",Transactions!$E$7:$E$996,A18),"")</f>
        <v>0</v>
      </c>
      <c r="D18" s="75">
        <f>IF(A18&lt;&gt;"",SUMIFS(Transactions!$F$7:$F$996,Transactions!$D$7:$D$996,"Expense",Transactions!$E$7:$E$996,A18),"")</f>
        <v>0</v>
      </c>
      <c r="E18" s="76">
        <f t="shared" si="1"/>
        <v>2.225806452</v>
      </c>
      <c r="F18" s="76" t="str">
        <f t="shared" si="2"/>
        <v>Unsettled</v>
      </c>
      <c r="G18" s="73"/>
      <c r="H18" s="68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43.11042184</v>
      </c>
      <c r="C19" s="72">
        <f>IF(A19&lt;&gt;"",SUMIFS(Transactions!$F$7:$F$996,Transactions!$D$7:$D$996,"Income",Transactions!$E$7:$E$996,A19),"")</f>
        <v>0</v>
      </c>
      <c r="D19" s="72">
        <f>IF(A19&lt;&gt;"",SUMIFS(Transactions!$F$7:$F$996,Transactions!$D$7:$D$996,"Expense",Transactions!$E$7:$E$996,A19),"")</f>
        <v>0</v>
      </c>
      <c r="E19" s="70">
        <f t="shared" si="1"/>
        <v>43.11042184</v>
      </c>
      <c r="F19" s="70" t="str">
        <f t="shared" si="2"/>
        <v>Unsettled</v>
      </c>
      <c r="G19" s="73"/>
      <c r="H19" s="68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4" t="str">
        <f>IF(Roster!$A$18&lt;&gt;"",Roster!$A$18,"")</f>
        <v>Kasey Schock</v>
      </c>
      <c r="B20" s="74">
        <f t="array" ref="B20">IF(A20&lt;&gt;"",IFERROR(SUMPRODUCT((INDEX(Attendance!$B$7:$AZ$206,MATCH(A20,Attendance!$A$7:$A$206,0),0)=1)*Attendance!$B$4:$AZ$4),0),"")</f>
        <v>43.11042184</v>
      </c>
      <c r="C20" s="75">
        <f>IF(A20&lt;&gt;"",SUMIFS(Transactions!$F$7:$F$996,Transactions!$D$7:$D$996,"Income",Transactions!$E$7:$E$996,A20),"")</f>
        <v>0</v>
      </c>
      <c r="D20" s="75">
        <f>IF(A20&lt;&gt;"",SUMIFS(Transactions!$F$7:$F$996,Transactions!$D$7:$D$996,"Expense",Transactions!$E$7:$E$996,A20),"")</f>
        <v>0</v>
      </c>
      <c r="E20" s="76">
        <f t="shared" si="1"/>
        <v>43.11042184</v>
      </c>
      <c r="F20" s="76" t="str">
        <f t="shared" si="2"/>
        <v>Unsettled</v>
      </c>
      <c r="G20" s="73"/>
      <c r="H20" s="68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43.11042184</v>
      </c>
      <c r="C21" s="72">
        <f>IF(A21&lt;&gt;"",SUMIFS(Transactions!$F$7:$F$996,Transactions!$D$7:$D$996,"Income",Transactions!$E$7:$E$996,A21),"")</f>
        <v>0</v>
      </c>
      <c r="D21" s="72">
        <f>IF(A21&lt;&gt;"",SUMIFS(Transactions!$F$7:$F$996,Transactions!$D$7:$D$996,"Expense",Transactions!$E$7:$E$996,A21),"")</f>
        <v>0</v>
      </c>
      <c r="E21" s="70">
        <f t="shared" si="1"/>
        <v>43.11042184</v>
      </c>
      <c r="F21" s="70" t="str">
        <f t="shared" si="2"/>
        <v>Unsettled</v>
      </c>
      <c r="G21" s="73"/>
      <c r="H21" s="68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74" t="str">
        <f>IF(Roster!$A$20&lt;&gt;"",Roster!$A$20,"")</f>
        <v>Kit Asterin</v>
      </c>
      <c r="B22" s="74">
        <f t="array" ref="B22">IF(A22&lt;&gt;"",IFERROR(SUMPRODUCT((INDEX(Attendance!$B$7:$AZ$206,MATCH(A22,Attendance!$A$7:$A$206,0),0)=1)*Attendance!$B$4:$AZ$4),0),"")</f>
        <v>43.11042184</v>
      </c>
      <c r="C22" s="75">
        <f>IF(A22&lt;&gt;"",SUMIFS(Transactions!$F$7:$F$996,Transactions!$D$7:$D$996,"Income",Transactions!$E$7:$E$996,A22),"")</f>
        <v>0</v>
      </c>
      <c r="D22" s="75">
        <f>IF(A22&lt;&gt;"",SUMIFS(Transactions!$F$7:$F$996,Transactions!$D$7:$D$996,"Expense",Transactions!$E$7:$E$996,A22),"")</f>
        <v>0</v>
      </c>
      <c r="E22" s="76">
        <f t="shared" si="1"/>
        <v>43.11042184</v>
      </c>
      <c r="F22" s="76" t="str">
        <f t="shared" si="2"/>
        <v>Unsettled</v>
      </c>
      <c r="G22" s="73"/>
      <c r="H22" s="68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81.18375517</v>
      </c>
      <c r="C23" s="72">
        <f>IF(A23&lt;&gt;"",SUMIFS(Transactions!$F$7:$F$996,Transactions!$D$7:$D$996,"Income",Transactions!$E$7:$E$996,A23),"")</f>
        <v>0</v>
      </c>
      <c r="D23" s="72">
        <f>IF(A23&lt;&gt;"",SUMIFS(Transactions!$F$7:$F$996,Transactions!$D$7:$D$996,"Expense",Transactions!$E$7:$E$996,A23),"")</f>
        <v>0</v>
      </c>
      <c r="E23" s="70">
        <f t="shared" si="1"/>
        <v>81.18375517</v>
      </c>
      <c r="F23" s="70" t="str">
        <f t="shared" si="2"/>
        <v>Unsettled</v>
      </c>
      <c r="G23" s="73"/>
      <c r="H23" s="68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74" t="str">
        <f>IF(Roster!$A$22&lt;&gt;"",Roster!$A$22,"")</f>
        <v>Lexie Thomas</v>
      </c>
      <c r="B24" s="74">
        <f t="array" ref="B24">IF(A24&lt;&gt;"",IFERROR(SUMPRODUCT((INDEX(Attendance!$B$7:$AZ$206,MATCH(A24,Attendance!$A$7:$A$206,0),0)=1)*Attendance!$B$4:$AZ$4),0),"")</f>
        <v>43.11042184</v>
      </c>
      <c r="C24" s="75">
        <f>IF(A24&lt;&gt;"",SUMIFS(Transactions!$F$7:$F$996,Transactions!$D$7:$D$996,"Income",Transactions!$E$7:$E$996,A24),"")</f>
        <v>0</v>
      </c>
      <c r="D24" s="75">
        <f>IF(A24&lt;&gt;"",SUMIFS(Transactions!$F$7:$F$996,Transactions!$D$7:$D$996,"Expense",Transactions!$E$7:$E$996,A24),"")</f>
        <v>0</v>
      </c>
      <c r="E24" s="76">
        <f t="shared" si="1"/>
        <v>43.11042184</v>
      </c>
      <c r="F24" s="76" t="str">
        <f t="shared" si="2"/>
        <v>Unsettled</v>
      </c>
      <c r="G24" s="73"/>
      <c r="H24" s="68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2.225806452</v>
      </c>
      <c r="C25" s="72">
        <f>IF(A25&lt;&gt;"",SUMIFS(Transactions!$F$7:$F$996,Transactions!$D$7:$D$996,"Income",Transactions!$E$7:$E$996,A25),"")</f>
        <v>0</v>
      </c>
      <c r="D25" s="72">
        <f>IF(A25&lt;&gt;"",SUMIFS(Transactions!$F$7:$F$996,Transactions!$D$7:$D$996,"Expense",Transactions!$E$7:$E$996,A25),"")</f>
        <v>0</v>
      </c>
      <c r="E25" s="70">
        <f t="shared" si="1"/>
        <v>2.225806452</v>
      </c>
      <c r="F25" s="70" t="str">
        <f t="shared" si="2"/>
        <v>Unsettled</v>
      </c>
      <c r="G25" s="73"/>
      <c r="H25" s="68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74" t="str">
        <f>IF(Roster!$A$24&lt;&gt;"",Roster!$A$24,"")</f>
        <v>Max Sheppard</v>
      </c>
      <c r="B26" s="74">
        <f t="array" ref="B26">IF(A26&lt;&gt;"",IFERROR(SUMPRODUCT((INDEX(Attendance!$B$7:$AZ$206,MATCH(A26,Attendance!$A$7:$A$206,0),0)=1)*Attendance!$B$4:$AZ$4),0),"")</f>
        <v>43.11042184</v>
      </c>
      <c r="C26" s="75">
        <f>IF(A26&lt;&gt;"",SUMIFS(Transactions!$F$7:$F$996,Transactions!$D$7:$D$996,"Income",Transactions!$E$7:$E$996,A26),"")</f>
        <v>0</v>
      </c>
      <c r="D26" s="75">
        <f>IF(A26&lt;&gt;"",SUMIFS(Transactions!$F$7:$F$996,Transactions!$D$7:$D$996,"Expense",Transactions!$E$7:$E$996,A26),"")</f>
        <v>0</v>
      </c>
      <c r="E26" s="76">
        <f t="shared" si="1"/>
        <v>43.11042184</v>
      </c>
      <c r="F26" s="76" t="str">
        <f t="shared" si="2"/>
        <v>Unsettled</v>
      </c>
      <c r="G26" s="73"/>
      <c r="H26" s="68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43.11042184</v>
      </c>
      <c r="C27" s="72">
        <f>IF(A27&lt;&gt;"",SUMIFS(Transactions!$F$7:$F$996,Transactions!$D$7:$D$996,"Income",Transactions!$E$7:$E$996,A27),"")</f>
        <v>0</v>
      </c>
      <c r="D27" s="72">
        <f>IF(A27&lt;&gt;"",SUMIFS(Transactions!$F$7:$F$996,Transactions!$D$7:$D$996,"Expense",Transactions!$E$7:$E$996,A27),"")</f>
        <v>0</v>
      </c>
      <c r="E27" s="70">
        <f t="shared" si="1"/>
        <v>43.11042184</v>
      </c>
      <c r="F27" s="70" t="str">
        <f t="shared" si="2"/>
        <v>Unsettled</v>
      </c>
      <c r="G27" s="73"/>
      <c r="H27" s="68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74" t="str">
        <f>IF(Roster!$A$26&lt;&gt;"",Roster!$A$26,"")</f>
        <v>Patrick McMullen</v>
      </c>
      <c r="B28" s="74">
        <f t="array" ref="B28">IF(A28&lt;&gt;"",IFERROR(SUMPRODUCT((INDEX(Attendance!$B$7:$AZ$206,MATCH(A28,Attendance!$A$7:$A$206,0),0)=1)*Attendance!$B$4:$AZ$4),0),"")</f>
        <v>43.11042184</v>
      </c>
      <c r="C28" s="75">
        <f>IF(A28&lt;&gt;"",SUMIFS(Transactions!$F$7:$F$996,Transactions!$D$7:$D$996,"Income",Transactions!$E$7:$E$996,A28),"")</f>
        <v>0</v>
      </c>
      <c r="D28" s="75">
        <f>IF(A28&lt;&gt;"",SUMIFS(Transactions!$F$7:$F$996,Transactions!$D$7:$D$996,"Expense",Transactions!$E$7:$E$996,A28),"")</f>
        <v>0</v>
      </c>
      <c r="E28" s="76">
        <f t="shared" si="1"/>
        <v>43.11042184</v>
      </c>
      <c r="F28" s="76" t="str">
        <f t="shared" si="2"/>
        <v>Unsettled</v>
      </c>
      <c r="G28" s="73"/>
      <c r="H28" s="68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43.11042184</v>
      </c>
      <c r="C29" s="72">
        <f>IF(A29&lt;&gt;"",SUMIFS(Transactions!$F$7:$F$996,Transactions!$D$7:$D$996,"Income",Transactions!$E$7:$E$996,A29),"")</f>
        <v>0</v>
      </c>
      <c r="D29" s="72">
        <f>IF(A29&lt;&gt;"",SUMIFS(Transactions!$F$7:$F$996,Transactions!$D$7:$D$996,"Expense",Transactions!$E$7:$E$996,A29),"")</f>
        <v>0</v>
      </c>
      <c r="E29" s="70">
        <f t="shared" si="1"/>
        <v>43.11042184</v>
      </c>
      <c r="F29" s="70" t="str">
        <f t="shared" si="2"/>
        <v>Unsettled</v>
      </c>
      <c r="G29" s="73"/>
      <c r="H29" s="68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74" t="str">
        <f>IF(Roster!$A$28&lt;&gt;"",Roster!$A$28,"")</f>
        <v>Ryan Kindell</v>
      </c>
      <c r="B30" s="74">
        <f t="array" ref="B30">IF(A30&lt;&gt;"",IFERROR(SUMPRODUCT((INDEX(Attendance!$B$7:$AZ$206,MATCH(A30,Attendance!$A$7:$A$206,0),0)=1)*Attendance!$B$4:$AZ$4),0),"")</f>
        <v>43.11042184</v>
      </c>
      <c r="C30" s="75">
        <f>IF(A30&lt;&gt;"",SUMIFS(Transactions!$F$7:$F$996,Transactions!$D$7:$D$996,"Income",Transactions!$E$7:$E$996,A30),"")</f>
        <v>0</v>
      </c>
      <c r="D30" s="75">
        <f>IF(A30&lt;&gt;"",SUMIFS(Transactions!$F$7:$F$996,Transactions!$D$7:$D$996,"Expense",Transactions!$E$7:$E$996,A30),"")</f>
        <v>0</v>
      </c>
      <c r="E30" s="76">
        <f t="shared" si="1"/>
        <v>43.11042184</v>
      </c>
      <c r="F30" s="76" t="str">
        <f t="shared" si="2"/>
        <v>Unsettled</v>
      </c>
      <c r="G30" s="73"/>
      <c r="H30" s="68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43.11042184</v>
      </c>
      <c r="C31" s="72">
        <f>IF(A31&lt;&gt;"",SUMIFS(Transactions!$F$7:$F$996,Transactions!$D$7:$D$996,"Income",Transactions!$E$7:$E$996,A31),"")</f>
        <v>0</v>
      </c>
      <c r="D31" s="72">
        <f>IF(A31&lt;&gt;"",SUMIFS(Transactions!$F$7:$F$996,Transactions!$D$7:$D$996,"Expense",Transactions!$E$7:$E$996,A31),"")</f>
        <v>0</v>
      </c>
      <c r="E31" s="70">
        <f t="shared" si="1"/>
        <v>43.11042184</v>
      </c>
      <c r="F31" s="70" t="str">
        <f t="shared" si="2"/>
        <v>Unsettled</v>
      </c>
      <c r="G31" s="73"/>
      <c r="H31" s="68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74" t="str">
        <f>IF(Roster!$A$30&lt;&gt;"",Roster!$A$30,"")</f>
        <v>Sam Gombiner</v>
      </c>
      <c r="B32" s="74">
        <f t="array" ref="B32">IF(A32&lt;&gt;"",IFERROR(SUMPRODUCT((INDEX(Attendance!$B$7:$AZ$206,MATCH(A32,Attendance!$A$7:$A$206,0),0)=1)*Attendance!$B$4:$AZ$4),0),"")</f>
        <v>2.225806452</v>
      </c>
      <c r="C32" s="75">
        <f>IF(A32&lt;&gt;"",SUMIFS(Transactions!$F$7:$F$996,Transactions!$D$7:$D$996,"Income",Transactions!$E$7:$E$996,A32),"")</f>
        <v>0</v>
      </c>
      <c r="D32" s="75">
        <f>IF(A32&lt;&gt;"",SUMIFS(Transactions!$F$7:$F$996,Transactions!$D$7:$D$996,"Expense",Transactions!$E$7:$E$996,A32),"")</f>
        <v>0</v>
      </c>
      <c r="E32" s="76">
        <f t="shared" si="1"/>
        <v>2.225806452</v>
      </c>
      <c r="F32" s="76" t="str">
        <f t="shared" si="2"/>
        <v>Unsettled</v>
      </c>
      <c r="G32" s="73"/>
      <c r="H32" s="68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43.11042184</v>
      </c>
      <c r="C33" s="72">
        <f>IF(A33&lt;&gt;"",SUMIFS(Transactions!$F$7:$F$996,Transactions!$D$7:$D$996,"Income",Transactions!$E$7:$E$996,A33),"")</f>
        <v>0</v>
      </c>
      <c r="D33" s="72">
        <f>IF(A33&lt;&gt;"",SUMIFS(Transactions!$F$7:$F$996,Transactions!$D$7:$D$996,"Expense",Transactions!$E$7:$E$996,A33),"")</f>
        <v>0</v>
      </c>
      <c r="E33" s="70">
        <f t="shared" si="1"/>
        <v>43.11042184</v>
      </c>
      <c r="F33" s="70" t="str">
        <f t="shared" si="2"/>
        <v>Unsettled</v>
      </c>
      <c r="G33" s="73"/>
      <c r="H33" s="68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74" t="str">
        <f>IF(Roster!$A$32&lt;&gt;"",Roster!$A$32,"")</f>
        <v>Sarah Lynch</v>
      </c>
      <c r="B34" s="74">
        <f t="array" ref="B34">IF(A34&lt;&gt;"",IFERROR(SUMPRODUCT((INDEX(Attendance!$B$7:$AZ$206,MATCH(A34,Attendance!$A$7:$A$206,0),0)=1)*Attendance!$B$4:$AZ$4),0),"")</f>
        <v>2.225806452</v>
      </c>
      <c r="C34" s="75">
        <f>IF(A34&lt;&gt;"",SUMIFS(Transactions!$F$7:$F$996,Transactions!$D$7:$D$996,"Income",Transactions!$E$7:$E$996,A34),"")</f>
        <v>0</v>
      </c>
      <c r="D34" s="75">
        <f>IF(A34&lt;&gt;"",SUMIFS(Transactions!$F$7:$F$996,Transactions!$D$7:$D$996,"Expense",Transactions!$E$7:$E$996,A34),"")</f>
        <v>0</v>
      </c>
      <c r="E34" s="76">
        <f t="shared" si="1"/>
        <v>2.225806452</v>
      </c>
      <c r="F34" s="76" t="str">
        <f t="shared" si="2"/>
        <v>Unsettled</v>
      </c>
      <c r="G34" s="73"/>
      <c r="H34" s="68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81.18375517</v>
      </c>
      <c r="C35" s="72">
        <f>IF(A35&lt;&gt;"",SUMIFS(Transactions!$F$7:$F$996,Transactions!$D$7:$D$996,"Income",Transactions!$E$7:$E$996,A35),"")</f>
        <v>0</v>
      </c>
      <c r="D35" s="72">
        <f>IF(A35&lt;&gt;"",SUMIFS(Transactions!$F$7:$F$996,Transactions!$D$7:$D$996,"Expense",Transactions!$E$7:$E$996,A35),"")</f>
        <v>0</v>
      </c>
      <c r="E35" s="70">
        <f t="shared" si="1"/>
        <v>81.18375517</v>
      </c>
      <c r="F35" s="70" t="str">
        <f t="shared" si="2"/>
        <v>Unsettled</v>
      </c>
      <c r="G35" s="73"/>
      <c r="H35" s="68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74" t="str">
        <f>IF(Roster!$A$34&lt;&gt;"",Roster!$A$34,"")</f>
        <v>Vivian Shen</v>
      </c>
      <c r="B36" s="74">
        <f t="array" ref="B36">IF(A36&lt;&gt;"",IFERROR(SUMPRODUCT((INDEX(Attendance!$B$7:$AZ$206,MATCH(A36,Attendance!$A$7:$A$206,0),0)=1)*Attendance!$B$4:$AZ$4),0),"")</f>
        <v>81.18375517</v>
      </c>
      <c r="C36" s="75">
        <f>IF(A36&lt;&gt;"",SUMIFS(Transactions!$F$7:$F$996,Transactions!$D$7:$D$996,"Income",Transactions!$E$7:$E$996,A36),"")</f>
        <v>0</v>
      </c>
      <c r="D36" s="75">
        <f>IF(A36&lt;&gt;"",SUMIFS(Transactions!$F$7:$F$996,Transactions!$D$7:$D$996,"Expense",Transactions!$E$7:$E$996,A36),"")</f>
        <v>0</v>
      </c>
      <c r="E36" s="76">
        <f t="shared" si="1"/>
        <v>81.18375517</v>
      </c>
      <c r="F36" s="76" t="str">
        <f t="shared" si="2"/>
        <v>Unsettled</v>
      </c>
      <c r="G36" s="73"/>
      <c r="H36" s="68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2.225806452</v>
      </c>
      <c r="C37" s="72">
        <f>IF(A37&lt;&gt;"",SUMIFS(Transactions!$F$7:$F$996,Transactions!$D$7:$D$996,"Income",Transactions!$E$7:$E$996,A37),"")</f>
        <v>0</v>
      </c>
      <c r="D37" s="72">
        <f>IF(A37&lt;&gt;"",SUMIFS(Transactions!$F$7:$F$996,Transactions!$D$7:$D$996,"Expense",Transactions!$E$7:$E$996,A37),"")</f>
        <v>0</v>
      </c>
      <c r="E37" s="70">
        <f t="shared" si="1"/>
        <v>2.225806452</v>
      </c>
      <c r="F37" s="70" t="str">
        <f t="shared" si="2"/>
        <v>Unsettled</v>
      </c>
      <c r="G37" s="73"/>
      <c r="H37" s="68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74" t="str">
        <f>IF(Roster!$A$36&lt;&gt;"",Roster!$A$36,"")</f>
        <v>Annette Kukunas-Piper</v>
      </c>
      <c r="B38" s="74">
        <f t="array" ref="B38">IF(A38&lt;&gt;"",IFERROR(SUMPRODUCT((INDEX(Attendance!$B$7:$AZ$206,MATCH(A38,Attendance!$A$7:$A$206,0),0)=1)*Attendance!$B$4:$AZ$4),0),"")</f>
        <v>0</v>
      </c>
      <c r="C38" s="75">
        <f>IF(A38&lt;&gt;"",SUMIFS(Transactions!$F$7:$F$996,Transactions!$D$7:$D$996,"Income",Transactions!$E$7:$E$996,A38),"")</f>
        <v>0</v>
      </c>
      <c r="D38" s="75">
        <f>IF(A38&lt;&gt;"",SUMIFS(Transactions!$F$7:$F$996,Transactions!$D$7:$D$996,"Expense",Transactions!$E$7:$E$996,A38),"")</f>
        <v>0</v>
      </c>
      <c r="E38" s="76">
        <f t="shared" si="1"/>
        <v>0</v>
      </c>
      <c r="F38" s="76" t="str">
        <f t="shared" si="2"/>
        <v>Settled</v>
      </c>
      <c r="G38" s="73"/>
      <c r="H38" s="68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0</v>
      </c>
      <c r="C39" s="72">
        <f>IF(A39&lt;&gt;"",SUMIFS(Transactions!$F$7:$F$996,Transactions!$D$7:$D$996,"Income",Transactions!$E$7:$E$996,A39),"")</f>
        <v>0</v>
      </c>
      <c r="D39" s="72">
        <f>IF(A39&lt;&gt;"",SUMIFS(Transactions!$F$7:$F$996,Transactions!$D$7:$D$996,"Expense",Transactions!$E$7:$E$996,A39),"")</f>
        <v>0</v>
      </c>
      <c r="E39" s="70">
        <f t="shared" si="1"/>
        <v>0</v>
      </c>
      <c r="F39" s="70" t="str">
        <f t="shared" si="2"/>
        <v>Settled</v>
      </c>
      <c r="G39" s="73"/>
      <c r="H39" s="68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74" t="str">
        <f>IF(Roster!$A$38&lt;&gt;"",Roster!$A$38,"")</f>
        <v>Ryan Birchard</v>
      </c>
      <c r="B40" s="74">
        <f t="array" ref="B40">IF(A40&lt;&gt;"",IFERROR(SUMPRODUCT((INDEX(Attendance!$B$7:$AZ$206,MATCH(A40,Attendance!$A$7:$A$206,0),0)=1)*Attendance!$B$4:$AZ$4),0),"")</f>
        <v>0</v>
      </c>
      <c r="C40" s="75">
        <f>IF(A40&lt;&gt;"",SUMIFS(Transactions!$F$7:$F$996,Transactions!$D$7:$D$996,"Income",Transactions!$E$7:$E$996,A40),"")</f>
        <v>0</v>
      </c>
      <c r="D40" s="75">
        <f>IF(A40&lt;&gt;"",SUMIFS(Transactions!$F$7:$F$996,Transactions!$D$7:$D$996,"Expense",Transactions!$E$7:$E$996,A40),"")</f>
        <v>0</v>
      </c>
      <c r="E40" s="76">
        <f t="shared" si="1"/>
        <v>0</v>
      </c>
      <c r="F40" s="76" t="str">
        <f t="shared" si="2"/>
        <v>Settled</v>
      </c>
      <c r="G40" s="73"/>
      <c r="H40" s="68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2">
        <f>IF(A41&lt;&gt;"",SUMIFS(Transactions!$F$7:$F$996,Transactions!$D$7:$D$996,"Income",Transactions!$E$7:$E$996,A41),"")</f>
        <v>0</v>
      </c>
      <c r="D41" s="72">
        <f>IF(A41&lt;&gt;"",SUMIFS(Transactions!$F$7:$F$996,Transactions!$D$7:$D$996,"Expense",Transactions!$E$7:$E$996,A41),"")</f>
        <v>0</v>
      </c>
      <c r="E41" s="70">
        <f t="shared" si="1"/>
        <v>0</v>
      </c>
      <c r="F41" s="70" t="str">
        <f t="shared" si="2"/>
        <v>Settled</v>
      </c>
      <c r="G41" s="73"/>
      <c r="H41" s="68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74" t="str">
        <f>IF(Roster!$A$40&lt;&gt;"",Roster!$A$40,"")</f>
        <v/>
      </c>
      <c r="B42" s="74" t="str">
        <f t="array" ref="B42">IF(A42&lt;&gt;"",IFERROR(SUMPRODUCT((INDEX(Attendance!$B$7:$AZ$206,MATCH(A42,Attendance!$A$7:$A$206,0),0)=1)*Attendance!$B$4:$AZ$4),0),"")</f>
        <v/>
      </c>
      <c r="C42" s="75" t="str">
        <f>IF(A42&lt;&gt;"",SUMIFS(Transactions!$F$7:$F$996,Transactions!$D$7:$D$996,"Income",Transactions!$E$7:$E$996,A42),"")</f>
        <v/>
      </c>
      <c r="D42" s="75" t="str">
        <f>IF(A42&lt;&gt;"",SUMIFS(Transactions!$F$7:$F$996,Transactions!$D$7:$D$996,"Expense",Transactions!$E$7:$E$996,A42),"")</f>
        <v/>
      </c>
      <c r="E42" s="76" t="str">
        <f t="shared" si="1"/>
        <v/>
      </c>
      <c r="F42" s="76" t="str">
        <f t="shared" si="2"/>
        <v/>
      </c>
      <c r="G42" s="73"/>
      <c r="H42" s="68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2" t="str">
        <f>IF(A43&lt;&gt;"",SUMIFS(Transactions!$F$7:$F$996,Transactions!$D$7:$D$996,"Income",Transactions!$E$7:$E$996,A43),"")</f>
        <v/>
      </c>
      <c r="D43" s="72" t="str">
        <f>IF(A43&lt;&gt;"",SUMIFS(Transactions!$F$7:$F$996,Transactions!$D$7:$D$996,"Expense",Transactions!$E$7:$E$996,A43),"")</f>
        <v/>
      </c>
      <c r="E43" s="70" t="str">
        <f t="shared" si="1"/>
        <v/>
      </c>
      <c r="F43" s="70" t="str">
        <f t="shared" si="2"/>
        <v/>
      </c>
      <c r="G43" s="73"/>
      <c r="H43" s="68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74" t="str">
        <f>IF(Roster!$A$42&lt;&gt;"",Roster!$A$42,"")</f>
        <v/>
      </c>
      <c r="B44" s="74" t="str">
        <f t="array" ref="B44">IF(A44&lt;&gt;"",IFERROR(SUMPRODUCT((INDEX(Attendance!$B$7:$AZ$206,MATCH(A44,Attendance!$A$7:$A$206,0),0)=1)*Attendance!$B$4:$AZ$4),0),"")</f>
        <v/>
      </c>
      <c r="C44" s="75" t="str">
        <f>IF(A44&lt;&gt;"",SUMIFS(Transactions!$F$7:$F$996,Transactions!$D$7:$D$996,"Income",Transactions!$E$7:$E$996,A44),"")</f>
        <v/>
      </c>
      <c r="D44" s="75" t="str">
        <f>IF(A44&lt;&gt;"",SUMIFS(Transactions!$F$7:$F$996,Transactions!$D$7:$D$996,"Expense",Transactions!$E$7:$E$996,A44),"")</f>
        <v/>
      </c>
      <c r="E44" s="76" t="str">
        <f t="shared" si="1"/>
        <v/>
      </c>
      <c r="F44" s="76" t="str">
        <f t="shared" si="2"/>
        <v/>
      </c>
      <c r="G44" s="73"/>
      <c r="H44" s="68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2" t="str">
        <f>IF(A45&lt;&gt;"",SUMIFS(Transactions!$F$7:$F$996,Transactions!$D$7:$D$996,"Income",Transactions!$E$7:$E$996,A45),"")</f>
        <v/>
      </c>
      <c r="D45" s="72" t="str">
        <f>IF(A45&lt;&gt;"",SUMIFS(Transactions!$F$7:$F$996,Transactions!$D$7:$D$996,"Expense",Transactions!$E$7:$E$996,A45),"")</f>
        <v/>
      </c>
      <c r="E45" s="70" t="str">
        <f t="shared" si="1"/>
        <v/>
      </c>
      <c r="F45" s="70" t="str">
        <f t="shared" si="2"/>
        <v/>
      </c>
      <c r="G45" s="73"/>
      <c r="H45" s="68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74" t="str">
        <f>IF(Roster!$A$44&lt;&gt;"",Roster!$A$44,"")</f>
        <v/>
      </c>
      <c r="B46" s="74" t="str">
        <f t="array" ref="B46">IF(A46&lt;&gt;"",IFERROR(SUMPRODUCT((INDEX(Attendance!$B$7:$AZ$206,MATCH(A46,Attendance!$A$7:$A$206,0),0)=1)*Attendance!$B$4:$AZ$4),0),"")</f>
        <v/>
      </c>
      <c r="C46" s="75" t="str">
        <f>IF(A46&lt;&gt;"",SUMIFS(Transactions!$F$7:$F$996,Transactions!$D$7:$D$996,"Income",Transactions!$E$7:$E$996,A46),"")</f>
        <v/>
      </c>
      <c r="D46" s="75" t="str">
        <f>IF(A46&lt;&gt;"",SUMIFS(Transactions!$F$7:$F$996,Transactions!$D$7:$D$996,"Expense",Transactions!$E$7:$E$996,A46),"")</f>
        <v/>
      </c>
      <c r="E46" s="76" t="str">
        <f t="shared" si="1"/>
        <v/>
      </c>
      <c r="F46" s="76" t="str">
        <f t="shared" si="2"/>
        <v/>
      </c>
      <c r="G46" s="73"/>
      <c r="H46" s="68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2" t="str">
        <f>IF(A47&lt;&gt;"",SUMIFS(Transactions!$F$7:$F$996,Transactions!$D$7:$D$996,"Income",Transactions!$E$7:$E$996,A47),"")</f>
        <v/>
      </c>
      <c r="D47" s="72" t="str">
        <f>IF(A47&lt;&gt;"",SUMIFS(Transactions!$F$7:$F$996,Transactions!$D$7:$D$996,"Expense",Transactions!$E$7:$E$996,A47),"")</f>
        <v/>
      </c>
      <c r="E47" s="70" t="str">
        <f t="shared" si="1"/>
        <v/>
      </c>
      <c r="F47" s="70" t="str">
        <f t="shared" si="2"/>
        <v/>
      </c>
      <c r="G47" s="73"/>
      <c r="H47" s="68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74" t="str">
        <f>IF(Roster!$A$46&lt;&gt;"",Roster!$A$46,"")</f>
        <v/>
      </c>
      <c r="B48" s="74" t="str">
        <f t="array" ref="B48">IF(A48&lt;&gt;"",IFERROR(SUMPRODUCT((INDEX(Attendance!$B$7:$AZ$206,MATCH(A48,Attendance!$A$7:$A$206,0),0)=1)*Attendance!$B$4:$AZ$4),0),"")</f>
        <v/>
      </c>
      <c r="C48" s="75" t="str">
        <f>IF(A48&lt;&gt;"",SUMIFS(Transactions!$F$7:$F$996,Transactions!$D$7:$D$996,"Income",Transactions!$E$7:$E$996,A48),"")</f>
        <v/>
      </c>
      <c r="D48" s="75" t="str">
        <f>IF(A48&lt;&gt;"",SUMIFS(Transactions!$F$7:$F$996,Transactions!$D$7:$D$996,"Expense",Transactions!$E$7:$E$996,A48),"")</f>
        <v/>
      </c>
      <c r="E48" s="76" t="str">
        <f t="shared" si="1"/>
        <v/>
      </c>
      <c r="F48" s="76" t="str">
        <f t="shared" si="2"/>
        <v/>
      </c>
      <c r="G48" s="73"/>
      <c r="H48" s="68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2" t="str">
        <f>IF(A49&lt;&gt;"",SUMIFS(Transactions!$F$7:$F$996,Transactions!$D$7:$D$996,"Income",Transactions!$E$7:$E$996,A49),"")</f>
        <v/>
      </c>
      <c r="D49" s="72" t="str">
        <f>IF(A49&lt;&gt;"",SUMIFS(Transactions!$F$7:$F$996,Transactions!$D$7:$D$996,"Expense",Transactions!$E$7:$E$996,A49),"")</f>
        <v/>
      </c>
      <c r="E49" s="70" t="str">
        <f t="shared" si="1"/>
        <v/>
      </c>
      <c r="F49" s="70" t="str">
        <f t="shared" si="2"/>
        <v/>
      </c>
      <c r="G49" s="73"/>
      <c r="H49" s="68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74" t="str">
        <f>IF(Roster!$A$48&lt;&gt;"",Roster!$A$48,"")</f>
        <v/>
      </c>
      <c r="B50" s="74" t="str">
        <f t="array" ref="B50">IF(A50&lt;&gt;"",IFERROR(SUMPRODUCT((INDEX(Attendance!$B$7:$AZ$206,MATCH(A50,Attendance!$A$7:$A$206,0),0)=1)*Attendance!$B$4:$AZ$4),0),"")</f>
        <v/>
      </c>
      <c r="C50" s="75" t="str">
        <f>IF(A50&lt;&gt;"",SUMIFS(Transactions!$F$7:$F$996,Transactions!$D$7:$D$996,"Income",Transactions!$E$7:$E$996,A50),"")</f>
        <v/>
      </c>
      <c r="D50" s="75" t="str">
        <f>IF(A50&lt;&gt;"",SUMIFS(Transactions!$F$7:$F$996,Transactions!$D$7:$D$996,"Expense",Transactions!$E$7:$E$996,A50),"")</f>
        <v/>
      </c>
      <c r="E50" s="76" t="str">
        <f t="shared" si="1"/>
        <v/>
      </c>
      <c r="F50" s="76" t="str">
        <f t="shared" si="2"/>
        <v/>
      </c>
      <c r="G50" s="73"/>
      <c r="H50" s="68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2" t="str">
        <f>IF(A51&lt;&gt;"",SUMIFS(Transactions!$F$7:$F$996,Transactions!$D$7:$D$996,"Income",Transactions!$E$7:$E$996,A51),"")</f>
        <v/>
      </c>
      <c r="D51" s="72" t="str">
        <f>IF(A51&lt;&gt;"",SUMIFS(Transactions!$F$7:$F$996,Transactions!$D$7:$D$996,"Expense",Transactions!$E$7:$E$996,A51),"")</f>
        <v/>
      </c>
      <c r="E51" s="70" t="str">
        <f t="shared" si="1"/>
        <v/>
      </c>
      <c r="F51" s="70" t="str">
        <f t="shared" si="2"/>
        <v/>
      </c>
      <c r="G51" s="73"/>
      <c r="H51" s="68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74" t="str">
        <f>IF(Roster!$A$50&lt;&gt;"",Roster!$A$50,"")</f>
        <v/>
      </c>
      <c r="B52" s="74" t="str">
        <f t="array" ref="B52">IF(A52&lt;&gt;"",IFERROR(SUMPRODUCT((INDEX(Attendance!$B$7:$AZ$206,MATCH(A52,Attendance!$A$7:$A$206,0),0)=1)*Attendance!$B$4:$AZ$4),0),"")</f>
        <v/>
      </c>
      <c r="C52" s="75" t="str">
        <f>IF(A52&lt;&gt;"",SUMIFS(Transactions!$F$7:$F$996,Transactions!$D$7:$D$996,"Income",Transactions!$E$7:$E$996,A52),"")</f>
        <v/>
      </c>
      <c r="D52" s="75" t="str">
        <f>IF(A52&lt;&gt;"",SUMIFS(Transactions!$F$7:$F$996,Transactions!$D$7:$D$996,"Expense",Transactions!$E$7:$E$996,A52),"")</f>
        <v/>
      </c>
      <c r="E52" s="76" t="str">
        <f t="shared" si="1"/>
        <v/>
      </c>
      <c r="F52" s="76" t="str">
        <f t="shared" si="2"/>
        <v/>
      </c>
      <c r="G52" s="73"/>
      <c r="H52" s="68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2" t="str">
        <f>IF(A53&lt;&gt;"",SUMIFS(Transactions!$F$7:$F$996,Transactions!$D$7:$D$996,"Income",Transactions!$E$7:$E$996,A53),"")</f>
        <v/>
      </c>
      <c r="D53" s="72" t="str">
        <f>IF(A53&lt;&gt;"",SUMIFS(Transactions!$F$7:$F$996,Transactions!$D$7:$D$996,"Expense",Transactions!$E$7:$E$996,A53),"")</f>
        <v/>
      </c>
      <c r="E53" s="70" t="str">
        <f t="shared" si="1"/>
        <v/>
      </c>
      <c r="F53" s="70" t="str">
        <f t="shared" si="2"/>
        <v/>
      </c>
      <c r="G53" s="73"/>
      <c r="H53" s="68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74" t="str">
        <f>IF(Roster!$A$52&lt;&gt;"",Roster!$A$52,"")</f>
        <v/>
      </c>
      <c r="B54" s="74" t="str">
        <f t="array" ref="B54">IF(A54&lt;&gt;"",IFERROR(SUMPRODUCT((INDEX(Attendance!$B$7:$AZ$206,MATCH(A54,Attendance!$A$7:$A$206,0),0)=1)*Attendance!$B$4:$AZ$4),0),"")</f>
        <v/>
      </c>
      <c r="C54" s="75" t="str">
        <f>IF(A54&lt;&gt;"",SUMIFS(Transactions!$F$7:$F$996,Transactions!$D$7:$D$996,"Income",Transactions!$E$7:$E$996,A54),"")</f>
        <v/>
      </c>
      <c r="D54" s="75" t="str">
        <f>IF(A54&lt;&gt;"",SUMIFS(Transactions!$F$7:$F$996,Transactions!$D$7:$D$996,"Expense",Transactions!$E$7:$E$996,A54),"")</f>
        <v/>
      </c>
      <c r="E54" s="76" t="str">
        <f t="shared" si="1"/>
        <v/>
      </c>
      <c r="F54" s="76" t="str">
        <f t="shared" si="2"/>
        <v/>
      </c>
      <c r="G54" s="73"/>
      <c r="H54" s="68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2" t="str">
        <f>IF(A55&lt;&gt;"",SUMIFS(Transactions!$F$7:$F$996,Transactions!$D$7:$D$996,"Income",Transactions!$E$7:$E$996,A55),"")</f>
        <v/>
      </c>
      <c r="D55" s="72" t="str">
        <f>IF(A55&lt;&gt;"",SUMIFS(Transactions!$F$7:$F$996,Transactions!$D$7:$D$996,"Expense",Transactions!$E$7:$E$996,A55),"")</f>
        <v/>
      </c>
      <c r="E55" s="70" t="str">
        <f t="shared" si="1"/>
        <v/>
      </c>
      <c r="F55" s="70" t="str">
        <f t="shared" si="2"/>
        <v/>
      </c>
      <c r="G55" s="73"/>
      <c r="H55" s="68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74" t="str">
        <f>IF(Roster!$A$54&lt;&gt;"",Roster!$A$54,"")</f>
        <v/>
      </c>
      <c r="B56" s="74" t="str">
        <f t="array" ref="B56">IF(A56&lt;&gt;"",IFERROR(SUMPRODUCT((INDEX(Attendance!$B$7:$AZ$206,MATCH(A56,Attendance!$A$7:$A$206,0),0)=1)*Attendance!$B$4:$AZ$4),0),"")</f>
        <v/>
      </c>
      <c r="C56" s="75" t="str">
        <f>IF(A56&lt;&gt;"",SUMIFS(Transactions!$F$7:$F$996,Transactions!$D$7:$D$996,"Income",Transactions!$E$7:$E$996,A56),"")</f>
        <v/>
      </c>
      <c r="D56" s="75" t="str">
        <f>IF(A56&lt;&gt;"",SUMIFS(Transactions!$F$7:$F$996,Transactions!$D$7:$D$996,"Expense",Transactions!$E$7:$E$996,A56),"")</f>
        <v/>
      </c>
      <c r="E56" s="76" t="str">
        <f t="shared" si="1"/>
        <v/>
      </c>
      <c r="F56" s="76" t="str">
        <f t="shared" si="2"/>
        <v/>
      </c>
      <c r="G56" s="73"/>
      <c r="H56" s="68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2" t="str">
        <f>IF(A57&lt;&gt;"",SUMIFS(Transactions!$F$7:$F$996,Transactions!$D$7:$D$996,"Income",Transactions!$E$7:$E$996,A57),"")</f>
        <v/>
      </c>
      <c r="D57" s="72" t="str">
        <f>IF(A57&lt;&gt;"",SUMIFS(Transactions!$F$7:$F$996,Transactions!$D$7:$D$996,"Expense",Transactions!$E$7:$E$996,A57),"")</f>
        <v/>
      </c>
      <c r="E57" s="70" t="str">
        <f t="shared" si="1"/>
        <v/>
      </c>
      <c r="F57" s="70" t="str">
        <f t="shared" si="2"/>
        <v/>
      </c>
      <c r="G57" s="73"/>
      <c r="H57" s="68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74" t="str">
        <f>IF(Roster!$A$56&lt;&gt;"",Roster!$A$56,"")</f>
        <v/>
      </c>
      <c r="B58" s="74" t="str">
        <f t="array" ref="B58">IF(A58&lt;&gt;"",IFERROR(SUMPRODUCT((INDEX(Attendance!$B$7:$AZ$206,MATCH(A58,Attendance!$A$7:$A$206,0),0)=1)*Attendance!$B$4:$AZ$4),0),"")</f>
        <v/>
      </c>
      <c r="C58" s="75" t="str">
        <f>IF(A58&lt;&gt;"",SUMIFS(Transactions!$F$7:$F$996,Transactions!$D$7:$D$996,"Income",Transactions!$E$7:$E$996,A58),"")</f>
        <v/>
      </c>
      <c r="D58" s="75" t="str">
        <f>IF(A58&lt;&gt;"",SUMIFS(Transactions!$F$7:$F$996,Transactions!$D$7:$D$996,"Expense",Transactions!$E$7:$E$996,A58),"")</f>
        <v/>
      </c>
      <c r="E58" s="76" t="str">
        <f t="shared" si="1"/>
        <v/>
      </c>
      <c r="F58" s="76" t="str">
        <f t="shared" si="2"/>
        <v/>
      </c>
      <c r="G58" s="73"/>
      <c r="H58" s="68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2" t="str">
        <f>IF(A59&lt;&gt;"",SUMIFS(Transactions!$F$7:$F$996,Transactions!$D$7:$D$996,"Income",Transactions!$E$7:$E$996,A59),"")</f>
        <v/>
      </c>
      <c r="D59" s="72" t="str">
        <f>IF(A59&lt;&gt;"",SUMIFS(Transactions!$F$7:$F$996,Transactions!$D$7:$D$996,"Expense",Transactions!$E$7:$E$996,A59),"")</f>
        <v/>
      </c>
      <c r="E59" s="70" t="str">
        <f t="shared" si="1"/>
        <v/>
      </c>
      <c r="F59" s="70" t="str">
        <f t="shared" si="2"/>
        <v/>
      </c>
      <c r="G59" s="73"/>
      <c r="H59" s="68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74" t="str">
        <f>IF(Roster!$A$58&lt;&gt;"",Roster!$A$58,"")</f>
        <v/>
      </c>
      <c r="B60" s="74" t="str">
        <f t="array" ref="B60">IF(A60&lt;&gt;"",IFERROR(SUMPRODUCT((INDEX(Attendance!$B$7:$AZ$206,MATCH(A60,Attendance!$A$7:$A$206,0),0)=1)*Attendance!$B$4:$AZ$4),0),"")</f>
        <v/>
      </c>
      <c r="C60" s="75" t="str">
        <f>IF(A60&lt;&gt;"",SUMIFS(Transactions!$F$7:$F$996,Transactions!$D$7:$D$996,"Income",Transactions!$E$7:$E$996,A60),"")</f>
        <v/>
      </c>
      <c r="D60" s="75" t="str">
        <f>IF(A60&lt;&gt;"",SUMIFS(Transactions!$F$7:$F$996,Transactions!$D$7:$D$996,"Expense",Transactions!$E$7:$E$996,A60),"")</f>
        <v/>
      </c>
      <c r="E60" s="76" t="str">
        <f t="shared" si="1"/>
        <v/>
      </c>
      <c r="F60" s="76" t="str">
        <f t="shared" si="2"/>
        <v/>
      </c>
      <c r="G60" s="73"/>
      <c r="H60" s="68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2" t="str">
        <f>IF(A61&lt;&gt;"",SUMIFS(Transactions!$F$7:$F$996,Transactions!$D$7:$D$996,"Income",Transactions!$E$7:$E$996,A61),"")</f>
        <v/>
      </c>
      <c r="D61" s="72" t="str">
        <f>IF(A61&lt;&gt;"",SUMIFS(Transactions!$F$7:$F$996,Transactions!$D$7:$D$996,"Expense",Transactions!$E$7:$E$996,A61),"")</f>
        <v/>
      </c>
      <c r="E61" s="70" t="str">
        <f t="shared" si="1"/>
        <v/>
      </c>
      <c r="F61" s="70" t="str">
        <f t="shared" si="2"/>
        <v/>
      </c>
      <c r="G61" s="73"/>
      <c r="H61" s="68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74" t="str">
        <f>IF(Roster!$A$60&lt;&gt;"",Roster!$A$60,"")</f>
        <v/>
      </c>
      <c r="B62" s="74" t="str">
        <f t="array" ref="B62">IF(A62&lt;&gt;"",IFERROR(SUMPRODUCT((INDEX(Attendance!$B$7:$AZ$206,MATCH(A62,Attendance!$A$7:$A$206,0),0)=1)*Attendance!$B$4:$AZ$4),0),"")</f>
        <v/>
      </c>
      <c r="C62" s="75" t="str">
        <f>IF(A62&lt;&gt;"",SUMIFS(Transactions!$F$7:$F$996,Transactions!$D$7:$D$996,"Income",Transactions!$E$7:$E$996,A62),"")</f>
        <v/>
      </c>
      <c r="D62" s="75" t="str">
        <f>IF(A62&lt;&gt;"",SUMIFS(Transactions!$F$7:$F$996,Transactions!$D$7:$D$996,"Expense",Transactions!$E$7:$E$996,A62),"")</f>
        <v/>
      </c>
      <c r="E62" s="76" t="str">
        <f t="shared" si="1"/>
        <v/>
      </c>
      <c r="F62" s="76" t="str">
        <f t="shared" si="2"/>
        <v/>
      </c>
      <c r="G62" s="73"/>
      <c r="H62" s="68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2" t="str">
        <f>IF(A63&lt;&gt;"",SUMIFS(Transactions!$F$7:$F$996,Transactions!$D$7:$D$996,"Income",Transactions!$E$7:$E$996,A63),"")</f>
        <v/>
      </c>
      <c r="D63" s="72" t="str">
        <f>IF(A63&lt;&gt;"",SUMIFS(Transactions!$F$7:$F$996,Transactions!$D$7:$D$996,"Expense",Transactions!$E$7:$E$996,A63),"")</f>
        <v/>
      </c>
      <c r="E63" s="70" t="str">
        <f t="shared" si="1"/>
        <v/>
      </c>
      <c r="F63" s="70" t="str">
        <f t="shared" si="2"/>
        <v/>
      </c>
      <c r="G63" s="73"/>
      <c r="H63" s="68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74" t="str">
        <f>IF(Roster!$A$62&lt;&gt;"",Roster!$A$62,"")</f>
        <v/>
      </c>
      <c r="B64" s="74" t="str">
        <f t="array" ref="B64">IF(A64&lt;&gt;"",IFERROR(SUMPRODUCT((INDEX(Attendance!$B$7:$AZ$206,MATCH(A64,Attendance!$A$7:$A$206,0),0)=1)*Attendance!$B$4:$AZ$4),0),"")</f>
        <v/>
      </c>
      <c r="C64" s="75" t="str">
        <f>IF(A64&lt;&gt;"",SUMIFS(Transactions!$F$7:$F$996,Transactions!$D$7:$D$996,"Income",Transactions!$E$7:$E$996,A64),"")</f>
        <v/>
      </c>
      <c r="D64" s="75" t="str">
        <f>IF(A64&lt;&gt;"",SUMIFS(Transactions!$F$7:$F$996,Transactions!$D$7:$D$996,"Expense",Transactions!$E$7:$E$996,A64),"")</f>
        <v/>
      </c>
      <c r="E64" s="76" t="str">
        <f t="shared" si="1"/>
        <v/>
      </c>
      <c r="F64" s="76" t="str">
        <f t="shared" si="2"/>
        <v/>
      </c>
      <c r="G64" s="73"/>
      <c r="H64" s="68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2" t="str">
        <f>IF(A65&lt;&gt;"",SUMIFS(Transactions!$F$7:$F$996,Transactions!$D$7:$D$996,"Income",Transactions!$E$7:$E$996,A65),"")</f>
        <v/>
      </c>
      <c r="D65" s="72" t="str">
        <f>IF(A65&lt;&gt;"",SUMIFS(Transactions!$F$7:$F$996,Transactions!$D$7:$D$996,"Expense",Transactions!$E$7:$E$996,A65),"")</f>
        <v/>
      </c>
      <c r="E65" s="70" t="str">
        <f t="shared" si="1"/>
        <v/>
      </c>
      <c r="F65" s="70" t="str">
        <f t="shared" si="2"/>
        <v/>
      </c>
      <c r="G65" s="73"/>
      <c r="H65" s="68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74" t="str">
        <f>IF(Roster!$A$64&lt;&gt;"",Roster!$A$64,"")</f>
        <v/>
      </c>
      <c r="B66" s="74" t="str">
        <f t="array" ref="B66">IF(A66&lt;&gt;"",IFERROR(SUMPRODUCT((INDEX(Attendance!$B$7:$AZ$206,MATCH(A66,Attendance!$A$7:$A$206,0),0)=1)*Attendance!$B$4:$AZ$4),0),"")</f>
        <v/>
      </c>
      <c r="C66" s="75" t="str">
        <f>IF(A66&lt;&gt;"",SUMIFS(Transactions!$F$7:$F$996,Transactions!$D$7:$D$996,"Income",Transactions!$E$7:$E$996,A66),"")</f>
        <v/>
      </c>
      <c r="D66" s="75" t="str">
        <f>IF(A66&lt;&gt;"",SUMIFS(Transactions!$F$7:$F$996,Transactions!$D$7:$D$996,"Expense",Transactions!$E$7:$E$996,A66),"")</f>
        <v/>
      </c>
      <c r="E66" s="76" t="str">
        <f t="shared" si="1"/>
        <v/>
      </c>
      <c r="F66" s="76" t="str">
        <f t="shared" si="2"/>
        <v/>
      </c>
      <c r="G66" s="73"/>
      <c r="H66" s="68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2" t="str">
        <f>IF(A67&lt;&gt;"",SUMIFS(Transactions!$F$7:$F$996,Transactions!$D$7:$D$996,"Income",Transactions!$E$7:$E$996,A67),"")</f>
        <v/>
      </c>
      <c r="D67" s="72" t="str">
        <f>IF(A67&lt;&gt;"",SUMIFS(Transactions!$F$7:$F$996,Transactions!$D$7:$D$996,"Expense",Transactions!$E$7:$E$996,A67),"")</f>
        <v/>
      </c>
      <c r="E67" s="70" t="str">
        <f t="shared" si="1"/>
        <v/>
      </c>
      <c r="F67" s="70" t="str">
        <f t="shared" si="2"/>
        <v/>
      </c>
      <c r="G67" s="73"/>
      <c r="H67" s="68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74" t="str">
        <f>IF(Roster!$A$66&lt;&gt;"",Roster!$A$66,"")</f>
        <v/>
      </c>
      <c r="B68" s="74" t="str">
        <f t="array" ref="B68">IF(A68&lt;&gt;"",IFERROR(SUMPRODUCT((INDEX(Attendance!$B$7:$AZ$206,MATCH(A68,Attendance!$A$7:$A$206,0),0)=1)*Attendance!$B$4:$AZ$4),0),"")</f>
        <v/>
      </c>
      <c r="C68" s="75" t="str">
        <f>IF(A68&lt;&gt;"",SUMIFS(Transactions!$F$7:$F$996,Transactions!$D$7:$D$996,"Income",Transactions!$E$7:$E$996,A68),"")</f>
        <v/>
      </c>
      <c r="D68" s="75" t="str">
        <f>IF(A68&lt;&gt;"",SUMIFS(Transactions!$F$7:$F$996,Transactions!$D$7:$D$996,"Expense",Transactions!$E$7:$E$996,A68),"")</f>
        <v/>
      </c>
      <c r="E68" s="76" t="str">
        <f t="shared" si="1"/>
        <v/>
      </c>
      <c r="F68" s="76" t="str">
        <f t="shared" si="2"/>
        <v/>
      </c>
      <c r="G68" s="73"/>
      <c r="H68" s="68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2" t="str">
        <f>IF(A69&lt;&gt;"",SUMIFS(Transactions!$F$7:$F$996,Transactions!$D$7:$D$996,"Income",Transactions!$E$7:$E$996,A69),"")</f>
        <v/>
      </c>
      <c r="D69" s="72" t="str">
        <f>IF(A69&lt;&gt;"",SUMIFS(Transactions!$F$7:$F$996,Transactions!$D$7:$D$996,"Expense",Transactions!$E$7:$E$996,A69),"")</f>
        <v/>
      </c>
      <c r="E69" s="70" t="str">
        <f t="shared" si="1"/>
        <v/>
      </c>
      <c r="F69" s="70" t="str">
        <f t="shared" si="2"/>
        <v/>
      </c>
      <c r="G69" s="73"/>
      <c r="H69" s="68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74" t="str">
        <f>IF(Roster!$A$68&lt;&gt;"",Roster!$A$68,"")</f>
        <v/>
      </c>
      <c r="B70" s="74" t="str">
        <f t="array" ref="B70">IF(A70&lt;&gt;"",IFERROR(SUMPRODUCT((INDEX(Attendance!$B$7:$AZ$206,MATCH(A70,Attendance!$A$7:$A$206,0),0)=1)*Attendance!$B$4:$AZ$4),0),"")</f>
        <v/>
      </c>
      <c r="C70" s="75" t="str">
        <f>IF(A70&lt;&gt;"",SUMIFS(Transactions!$F$7:$F$996,Transactions!$D$7:$D$996,"Income",Transactions!$E$7:$E$996,A70),"")</f>
        <v/>
      </c>
      <c r="D70" s="75" t="str">
        <f>IF(A70&lt;&gt;"",SUMIFS(Transactions!$F$7:$F$996,Transactions!$D$7:$D$996,"Expense",Transactions!$E$7:$E$996,A70),"")</f>
        <v/>
      </c>
      <c r="E70" s="76" t="str">
        <f t="shared" si="1"/>
        <v/>
      </c>
      <c r="F70" s="76" t="str">
        <f t="shared" si="2"/>
        <v/>
      </c>
      <c r="G70" s="73"/>
      <c r="H70" s="68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2" t="str">
        <f>IF(A71&lt;&gt;"",SUMIFS(Transactions!$F$7:$F$996,Transactions!$D$7:$D$996,"Income",Transactions!$E$7:$E$996,A71),"")</f>
        <v/>
      </c>
      <c r="D71" s="72" t="str">
        <f>IF(A71&lt;&gt;"",SUMIFS(Transactions!$F$7:$F$996,Transactions!$D$7:$D$996,"Expense",Transactions!$E$7:$E$996,A71),"")</f>
        <v/>
      </c>
      <c r="E71" s="70" t="str">
        <f t="shared" si="1"/>
        <v/>
      </c>
      <c r="F71" s="70" t="str">
        <f t="shared" si="2"/>
        <v/>
      </c>
      <c r="G71" s="73"/>
      <c r="H71" s="68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74" t="str">
        <f>IF(Roster!$A$70&lt;&gt;"",Roster!$A$70,"")</f>
        <v/>
      </c>
      <c r="B72" s="74" t="str">
        <f t="array" ref="B72">IF(A72&lt;&gt;"",IFERROR(SUMPRODUCT((INDEX(Attendance!$B$7:$AZ$206,MATCH(A72,Attendance!$A$7:$A$206,0),0)=1)*Attendance!$B$4:$AZ$4),0),"")</f>
        <v/>
      </c>
      <c r="C72" s="75" t="str">
        <f>IF(A72&lt;&gt;"",SUMIFS(Transactions!$F$7:$F$996,Transactions!$D$7:$D$996,"Income",Transactions!$E$7:$E$996,A72),"")</f>
        <v/>
      </c>
      <c r="D72" s="75" t="str">
        <f>IF(A72&lt;&gt;"",SUMIFS(Transactions!$F$7:$F$996,Transactions!$D$7:$D$996,"Expense",Transactions!$E$7:$E$996,A72),"")</f>
        <v/>
      </c>
      <c r="E72" s="76" t="str">
        <f t="shared" si="1"/>
        <v/>
      </c>
      <c r="F72" s="76" t="str">
        <f t="shared" si="2"/>
        <v/>
      </c>
      <c r="G72" s="73"/>
      <c r="H72" s="68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2" t="str">
        <f>IF(A73&lt;&gt;"",SUMIFS(Transactions!$F$7:$F$996,Transactions!$D$7:$D$996,"Income",Transactions!$E$7:$E$996,A73),"")</f>
        <v/>
      </c>
      <c r="D73" s="72" t="str">
        <f>IF(A73&lt;&gt;"",SUMIFS(Transactions!$F$7:$F$996,Transactions!$D$7:$D$996,"Expense",Transactions!$E$7:$E$996,A73),"")</f>
        <v/>
      </c>
      <c r="E73" s="70" t="str">
        <f t="shared" si="1"/>
        <v/>
      </c>
      <c r="F73" s="70" t="str">
        <f t="shared" si="2"/>
        <v/>
      </c>
      <c r="G73" s="73"/>
      <c r="H73" s="68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74" t="str">
        <f>IF(Roster!$A$72&lt;&gt;"",Roster!$A$72,"")</f>
        <v/>
      </c>
      <c r="B74" s="74" t="str">
        <f t="array" ref="B74">IF(A74&lt;&gt;"",IFERROR(SUMPRODUCT((INDEX(Attendance!$B$7:$AZ$206,MATCH(A74,Attendance!$A$7:$A$206,0),0)=1)*Attendance!$B$4:$AZ$4),0),"")</f>
        <v/>
      </c>
      <c r="C74" s="75" t="str">
        <f>IF(A74&lt;&gt;"",SUMIFS(Transactions!$F$7:$F$996,Transactions!$D$7:$D$996,"Income",Transactions!$E$7:$E$996,A74),"")</f>
        <v/>
      </c>
      <c r="D74" s="75" t="str">
        <f>IF(A74&lt;&gt;"",SUMIFS(Transactions!$F$7:$F$996,Transactions!$D$7:$D$996,"Expense",Transactions!$E$7:$E$996,A74),"")</f>
        <v/>
      </c>
      <c r="E74" s="76" t="str">
        <f t="shared" si="1"/>
        <v/>
      </c>
      <c r="F74" s="76" t="str">
        <f t="shared" si="2"/>
        <v/>
      </c>
      <c r="G74" s="73"/>
      <c r="H74" s="68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2" t="str">
        <f>IF(A75&lt;&gt;"",SUMIFS(Transactions!$F$7:$F$996,Transactions!$D$7:$D$996,"Income",Transactions!$E$7:$E$996,A75),"")</f>
        <v/>
      </c>
      <c r="D75" s="72" t="str">
        <f>IF(A75&lt;&gt;"",SUMIFS(Transactions!$F$7:$F$996,Transactions!$D$7:$D$996,"Expense",Transactions!$E$7:$E$996,A75),"")</f>
        <v/>
      </c>
      <c r="E75" s="70" t="str">
        <f t="shared" si="1"/>
        <v/>
      </c>
      <c r="F75" s="70" t="str">
        <f t="shared" si="2"/>
        <v/>
      </c>
      <c r="G75" s="73"/>
      <c r="H75" s="68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74" t="str">
        <f>IF(Roster!$A$74&lt;&gt;"",Roster!$A$74,"")</f>
        <v/>
      </c>
      <c r="B76" s="74" t="str">
        <f t="array" ref="B76">IF(A76&lt;&gt;"",IFERROR(SUMPRODUCT((INDEX(Attendance!$B$7:$AZ$206,MATCH(A76,Attendance!$A$7:$A$206,0),0)=1)*Attendance!$B$4:$AZ$4),0),"")</f>
        <v/>
      </c>
      <c r="C76" s="75" t="str">
        <f>IF(A76&lt;&gt;"",SUMIFS(Transactions!$F$7:$F$996,Transactions!$D$7:$D$996,"Income",Transactions!$E$7:$E$996,A76),"")</f>
        <v/>
      </c>
      <c r="D76" s="75" t="str">
        <f>IF(A76&lt;&gt;"",SUMIFS(Transactions!$F$7:$F$996,Transactions!$D$7:$D$996,"Expense",Transactions!$E$7:$E$996,A76),"")</f>
        <v/>
      </c>
      <c r="E76" s="76" t="str">
        <f t="shared" si="1"/>
        <v/>
      </c>
      <c r="F76" s="76" t="str">
        <f t="shared" si="2"/>
        <v/>
      </c>
      <c r="G76" s="73"/>
      <c r="H76" s="68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2" t="str">
        <f>IF(A77&lt;&gt;"",SUMIFS(Transactions!$F$7:$F$996,Transactions!$D$7:$D$996,"Income",Transactions!$E$7:$E$996,A77),"")</f>
        <v/>
      </c>
      <c r="D77" s="72" t="str">
        <f>IF(A77&lt;&gt;"",SUMIFS(Transactions!$F$7:$F$996,Transactions!$D$7:$D$996,"Expense",Transactions!$E$7:$E$996,A77),"")</f>
        <v/>
      </c>
      <c r="E77" s="70" t="str">
        <f t="shared" si="1"/>
        <v/>
      </c>
      <c r="F77" s="70" t="str">
        <f t="shared" si="2"/>
        <v/>
      </c>
      <c r="G77" s="73"/>
      <c r="H77" s="68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74" t="str">
        <f>IF(Roster!$A$76&lt;&gt;"",Roster!$A$76,"")</f>
        <v/>
      </c>
      <c r="B78" s="74" t="str">
        <f t="array" ref="B78">IF(A78&lt;&gt;"",IFERROR(SUMPRODUCT((INDEX(Attendance!$B$7:$AZ$206,MATCH(A78,Attendance!$A$7:$A$206,0),0)=1)*Attendance!$B$4:$AZ$4),0),"")</f>
        <v/>
      </c>
      <c r="C78" s="75" t="str">
        <f>IF(A78&lt;&gt;"",SUMIFS(Transactions!$F$7:$F$996,Transactions!$D$7:$D$996,"Income",Transactions!$E$7:$E$996,A78),"")</f>
        <v/>
      </c>
      <c r="D78" s="75" t="str">
        <f>IF(A78&lt;&gt;"",SUMIFS(Transactions!$F$7:$F$996,Transactions!$D$7:$D$996,"Expense",Transactions!$E$7:$E$996,A78),"")</f>
        <v/>
      </c>
      <c r="E78" s="76" t="str">
        <f t="shared" si="1"/>
        <v/>
      </c>
      <c r="F78" s="76" t="str">
        <f t="shared" si="2"/>
        <v/>
      </c>
      <c r="G78" s="73"/>
      <c r="H78" s="68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2" t="str">
        <f>IF(A79&lt;&gt;"",SUMIFS(Transactions!$F$7:$F$996,Transactions!$D$7:$D$996,"Income",Transactions!$E$7:$E$996,A79),"")</f>
        <v/>
      </c>
      <c r="D79" s="72" t="str">
        <f>IF(A79&lt;&gt;"",SUMIFS(Transactions!$F$7:$F$996,Transactions!$D$7:$D$996,"Expense",Transactions!$E$7:$E$996,A79),"")</f>
        <v/>
      </c>
      <c r="E79" s="70" t="str">
        <f t="shared" si="1"/>
        <v/>
      </c>
      <c r="F79" s="70" t="str">
        <f t="shared" si="2"/>
        <v/>
      </c>
      <c r="G79" s="73"/>
      <c r="H79" s="68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74" t="str">
        <f>IF(Roster!$A$78&lt;&gt;"",Roster!$A$78,"")</f>
        <v/>
      </c>
      <c r="B80" s="74" t="str">
        <f t="array" ref="B80">IF(A80&lt;&gt;"",IFERROR(SUMPRODUCT((INDEX(Attendance!$B$7:$AZ$206,MATCH(A80,Attendance!$A$7:$A$206,0),0)=1)*Attendance!$B$4:$AZ$4),0),"")</f>
        <v/>
      </c>
      <c r="C80" s="75" t="str">
        <f>IF(A80&lt;&gt;"",SUMIFS(Transactions!$F$7:$F$996,Transactions!$D$7:$D$996,"Income",Transactions!$E$7:$E$996,A80),"")</f>
        <v/>
      </c>
      <c r="D80" s="75" t="str">
        <f>IF(A80&lt;&gt;"",SUMIFS(Transactions!$F$7:$F$996,Transactions!$D$7:$D$996,"Expense",Transactions!$E$7:$E$996,A80),"")</f>
        <v/>
      </c>
      <c r="E80" s="76" t="str">
        <f t="shared" si="1"/>
        <v/>
      </c>
      <c r="F80" s="76" t="str">
        <f t="shared" si="2"/>
        <v/>
      </c>
      <c r="G80" s="73"/>
      <c r="H80" s="68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2" t="str">
        <f>IF(A81&lt;&gt;"",SUMIFS(Transactions!$F$7:$F$996,Transactions!$D$7:$D$996,"Income",Transactions!$E$7:$E$996,A81),"")</f>
        <v/>
      </c>
      <c r="D81" s="72" t="str">
        <f>IF(A81&lt;&gt;"",SUMIFS(Transactions!$F$7:$F$996,Transactions!$D$7:$D$996,"Expense",Transactions!$E$7:$E$996,A81),"")</f>
        <v/>
      </c>
      <c r="E81" s="70" t="str">
        <f t="shared" si="1"/>
        <v/>
      </c>
      <c r="F81" s="70" t="str">
        <f t="shared" si="2"/>
        <v/>
      </c>
      <c r="G81" s="73"/>
      <c r="H81" s="68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74" t="str">
        <f>IF(Roster!$A$80&lt;&gt;"",Roster!$A$80,"")</f>
        <v/>
      </c>
      <c r="B82" s="74" t="str">
        <f t="array" ref="B82">IF(A82&lt;&gt;"",IFERROR(SUMPRODUCT((INDEX(Attendance!$B$7:$AZ$206,MATCH(A82,Attendance!$A$7:$A$206,0),0)=1)*Attendance!$B$4:$AZ$4),0),"")</f>
        <v/>
      </c>
      <c r="C82" s="75" t="str">
        <f>IF(A82&lt;&gt;"",SUMIFS(Transactions!$F$7:$F$996,Transactions!$D$7:$D$996,"Income",Transactions!$E$7:$E$996,A82),"")</f>
        <v/>
      </c>
      <c r="D82" s="75" t="str">
        <f>IF(A82&lt;&gt;"",SUMIFS(Transactions!$F$7:$F$996,Transactions!$D$7:$D$996,"Expense",Transactions!$E$7:$E$996,A82),"")</f>
        <v/>
      </c>
      <c r="E82" s="76" t="str">
        <f t="shared" si="1"/>
        <v/>
      </c>
      <c r="F82" s="76" t="str">
        <f t="shared" si="2"/>
        <v/>
      </c>
      <c r="G82" s="73"/>
      <c r="H82" s="68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2" t="str">
        <f>IF(A83&lt;&gt;"",SUMIFS(Transactions!$F$7:$F$996,Transactions!$D$7:$D$996,"Income",Transactions!$E$7:$E$996,A83),"")</f>
        <v/>
      </c>
      <c r="D83" s="72" t="str">
        <f>IF(A83&lt;&gt;"",SUMIFS(Transactions!$F$7:$F$996,Transactions!$D$7:$D$996,"Expense",Transactions!$E$7:$E$996,A83),"")</f>
        <v/>
      </c>
      <c r="E83" s="70" t="str">
        <f t="shared" si="1"/>
        <v/>
      </c>
      <c r="F83" s="70" t="str">
        <f t="shared" si="2"/>
        <v/>
      </c>
      <c r="G83" s="73"/>
      <c r="H83" s="68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74" t="str">
        <f>IF(Roster!$A$82&lt;&gt;"",Roster!$A$82,"")</f>
        <v/>
      </c>
      <c r="B84" s="74" t="str">
        <f t="array" ref="B84">IF(A84&lt;&gt;"",IFERROR(SUMPRODUCT((INDEX(Attendance!$B$7:$AZ$206,MATCH(A84,Attendance!$A$7:$A$206,0),0)=1)*Attendance!$B$4:$AZ$4),0),"")</f>
        <v/>
      </c>
      <c r="C84" s="75" t="str">
        <f>IF(A84&lt;&gt;"",SUMIFS(Transactions!$F$7:$F$996,Transactions!$D$7:$D$996,"Income",Transactions!$E$7:$E$996,A84),"")</f>
        <v/>
      </c>
      <c r="D84" s="75" t="str">
        <f>IF(A84&lt;&gt;"",SUMIFS(Transactions!$F$7:$F$996,Transactions!$D$7:$D$996,"Expense",Transactions!$E$7:$E$996,A84),"")</f>
        <v/>
      </c>
      <c r="E84" s="76" t="str">
        <f t="shared" si="1"/>
        <v/>
      </c>
      <c r="F84" s="76" t="str">
        <f t="shared" si="2"/>
        <v/>
      </c>
      <c r="G84" s="73"/>
      <c r="H84" s="68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2" t="str">
        <f>IF(A85&lt;&gt;"",SUMIFS(Transactions!$F$7:$F$996,Transactions!$D$7:$D$996,"Income",Transactions!$E$7:$E$996,A85),"")</f>
        <v/>
      </c>
      <c r="D85" s="72" t="str">
        <f>IF(A85&lt;&gt;"",SUMIFS(Transactions!$F$7:$F$996,Transactions!$D$7:$D$996,"Expense",Transactions!$E$7:$E$996,A85),"")</f>
        <v/>
      </c>
      <c r="E85" s="70" t="str">
        <f t="shared" si="1"/>
        <v/>
      </c>
      <c r="F85" s="70" t="str">
        <f t="shared" si="2"/>
        <v/>
      </c>
      <c r="G85" s="73"/>
      <c r="H85" s="68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74" t="str">
        <f>IF(Roster!$A$84&lt;&gt;"",Roster!$A$84,"")</f>
        <v/>
      </c>
      <c r="B86" s="74" t="str">
        <f t="array" ref="B86">IF(A86&lt;&gt;"",IFERROR(SUMPRODUCT((INDEX(Attendance!$B$7:$AZ$206,MATCH(A86,Attendance!$A$7:$A$206,0),0)=1)*Attendance!$B$4:$AZ$4),0),"")</f>
        <v/>
      </c>
      <c r="C86" s="75" t="str">
        <f>IF(A86&lt;&gt;"",SUMIFS(Transactions!$F$7:$F$996,Transactions!$D$7:$D$996,"Income",Transactions!$E$7:$E$996,A86),"")</f>
        <v/>
      </c>
      <c r="D86" s="75" t="str">
        <f>IF(A86&lt;&gt;"",SUMIFS(Transactions!$F$7:$F$996,Transactions!$D$7:$D$996,"Expense",Transactions!$E$7:$E$996,A86),"")</f>
        <v/>
      </c>
      <c r="E86" s="76" t="str">
        <f t="shared" si="1"/>
        <v/>
      </c>
      <c r="F86" s="76" t="str">
        <f t="shared" si="2"/>
        <v/>
      </c>
      <c r="G86" s="73"/>
      <c r="H86" s="68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2" t="str">
        <f>IF(A87&lt;&gt;"",SUMIFS(Transactions!$F$7:$F$996,Transactions!$D$7:$D$996,"Income",Transactions!$E$7:$E$996,A87),"")</f>
        <v/>
      </c>
      <c r="D87" s="72" t="str">
        <f>IF(A87&lt;&gt;"",SUMIFS(Transactions!$F$7:$F$996,Transactions!$D$7:$D$996,"Expense",Transactions!$E$7:$E$996,A87),"")</f>
        <v/>
      </c>
      <c r="E87" s="70" t="str">
        <f t="shared" si="1"/>
        <v/>
      </c>
      <c r="F87" s="70" t="str">
        <f t="shared" si="2"/>
        <v/>
      </c>
      <c r="G87" s="73"/>
      <c r="H87" s="68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74" t="str">
        <f>IF(Roster!$A$86&lt;&gt;"",Roster!$A$86,"")</f>
        <v/>
      </c>
      <c r="B88" s="74" t="str">
        <f t="array" ref="B88">IF(A88&lt;&gt;"",IFERROR(SUMPRODUCT((INDEX(Attendance!$B$7:$AZ$206,MATCH(A88,Attendance!$A$7:$A$206,0),0)=1)*Attendance!$B$4:$AZ$4),0),"")</f>
        <v/>
      </c>
      <c r="C88" s="75" t="str">
        <f>IF(A88&lt;&gt;"",SUMIFS(Transactions!$F$7:$F$996,Transactions!$D$7:$D$996,"Income",Transactions!$E$7:$E$996,A88),"")</f>
        <v/>
      </c>
      <c r="D88" s="75" t="str">
        <f>IF(A88&lt;&gt;"",SUMIFS(Transactions!$F$7:$F$996,Transactions!$D$7:$D$996,"Expense",Transactions!$E$7:$E$996,A88),"")</f>
        <v/>
      </c>
      <c r="E88" s="76" t="str">
        <f t="shared" si="1"/>
        <v/>
      </c>
      <c r="F88" s="76" t="str">
        <f t="shared" si="2"/>
        <v/>
      </c>
      <c r="G88" s="73"/>
      <c r="H88" s="68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2" t="str">
        <f>IF(A89&lt;&gt;"",SUMIFS(Transactions!$F$7:$F$996,Transactions!$D$7:$D$996,"Income",Transactions!$E$7:$E$996,A89),"")</f>
        <v/>
      </c>
      <c r="D89" s="72" t="str">
        <f>IF(A89&lt;&gt;"",SUMIFS(Transactions!$F$7:$F$996,Transactions!$D$7:$D$996,"Expense",Transactions!$E$7:$E$996,A89),"")</f>
        <v/>
      </c>
      <c r="E89" s="70" t="str">
        <f t="shared" si="1"/>
        <v/>
      </c>
      <c r="F89" s="70" t="str">
        <f t="shared" si="2"/>
        <v/>
      </c>
      <c r="G89" s="73"/>
      <c r="H89" s="68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74" t="str">
        <f>IF(Roster!$A$88&lt;&gt;"",Roster!$A$88,"")</f>
        <v/>
      </c>
      <c r="B90" s="74" t="str">
        <f t="array" ref="B90">IF(A90&lt;&gt;"",IFERROR(SUMPRODUCT((INDEX(Attendance!$B$7:$AZ$206,MATCH(A90,Attendance!$A$7:$A$206,0),0)=1)*Attendance!$B$4:$AZ$4),0),"")</f>
        <v/>
      </c>
      <c r="C90" s="75" t="str">
        <f>IF(A90&lt;&gt;"",SUMIFS(Transactions!$F$7:$F$996,Transactions!$D$7:$D$996,"Income",Transactions!$E$7:$E$996,A90),"")</f>
        <v/>
      </c>
      <c r="D90" s="75" t="str">
        <f>IF(A90&lt;&gt;"",SUMIFS(Transactions!$F$7:$F$996,Transactions!$D$7:$D$996,"Expense",Transactions!$E$7:$E$996,A90),"")</f>
        <v/>
      </c>
      <c r="E90" s="76" t="str">
        <f t="shared" si="1"/>
        <v/>
      </c>
      <c r="F90" s="76" t="str">
        <f t="shared" si="2"/>
        <v/>
      </c>
      <c r="G90" s="73"/>
      <c r="H90" s="68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2" t="str">
        <f>IF(A91&lt;&gt;"",SUMIFS(Transactions!$F$7:$F$996,Transactions!$D$7:$D$996,"Income",Transactions!$E$7:$E$996,A91),"")</f>
        <v/>
      </c>
      <c r="D91" s="72" t="str">
        <f>IF(A91&lt;&gt;"",SUMIFS(Transactions!$F$7:$F$996,Transactions!$D$7:$D$996,"Expense",Transactions!$E$7:$E$996,A91),"")</f>
        <v/>
      </c>
      <c r="E91" s="70" t="str">
        <f t="shared" si="1"/>
        <v/>
      </c>
      <c r="F91" s="70" t="str">
        <f t="shared" si="2"/>
        <v/>
      </c>
      <c r="G91" s="73"/>
      <c r="H91" s="68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74" t="str">
        <f>IF(Roster!$A$90&lt;&gt;"",Roster!$A$90,"")</f>
        <v/>
      </c>
      <c r="B92" s="74" t="str">
        <f t="array" ref="B92">IF(A92&lt;&gt;"",IFERROR(SUMPRODUCT((INDEX(Attendance!$B$7:$AZ$206,MATCH(A92,Attendance!$A$7:$A$206,0),0)=1)*Attendance!$B$4:$AZ$4),0),"")</f>
        <v/>
      </c>
      <c r="C92" s="75" t="str">
        <f>IF(A92&lt;&gt;"",SUMIFS(Transactions!$F$7:$F$996,Transactions!$D$7:$D$996,"Income",Transactions!$E$7:$E$996,A92),"")</f>
        <v/>
      </c>
      <c r="D92" s="75" t="str">
        <f>IF(A92&lt;&gt;"",SUMIFS(Transactions!$F$7:$F$996,Transactions!$D$7:$D$996,"Expense",Transactions!$E$7:$E$996,A92),"")</f>
        <v/>
      </c>
      <c r="E92" s="76" t="str">
        <f t="shared" si="1"/>
        <v/>
      </c>
      <c r="F92" s="76" t="str">
        <f t="shared" si="2"/>
        <v/>
      </c>
      <c r="G92" s="73"/>
      <c r="H92" s="68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2" t="str">
        <f>IF(A93&lt;&gt;"",SUMIFS(Transactions!$F$7:$F$996,Transactions!$D$7:$D$996,"Income",Transactions!$E$7:$E$996,A93),"")</f>
        <v/>
      </c>
      <c r="D93" s="72" t="str">
        <f>IF(A93&lt;&gt;"",SUMIFS(Transactions!$F$7:$F$996,Transactions!$D$7:$D$996,"Expense",Transactions!$E$7:$E$996,A93),"")</f>
        <v/>
      </c>
      <c r="E93" s="70" t="str">
        <f t="shared" si="1"/>
        <v/>
      </c>
      <c r="F93" s="70" t="str">
        <f t="shared" si="2"/>
        <v/>
      </c>
      <c r="G93" s="73"/>
      <c r="H93" s="68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74" t="str">
        <f>IF(Roster!$A$92&lt;&gt;"",Roster!$A$92,"")</f>
        <v/>
      </c>
      <c r="B94" s="74" t="str">
        <f t="array" ref="B94">IF(A94&lt;&gt;"",IFERROR(SUMPRODUCT((INDEX(Attendance!$B$7:$AZ$206,MATCH(A94,Attendance!$A$7:$A$206,0),0)=1)*Attendance!$B$4:$AZ$4),0),"")</f>
        <v/>
      </c>
      <c r="C94" s="75" t="str">
        <f>IF(A94&lt;&gt;"",SUMIFS(Transactions!$F$7:$F$996,Transactions!$D$7:$D$996,"Income",Transactions!$E$7:$E$996,A94),"")</f>
        <v/>
      </c>
      <c r="D94" s="75" t="str">
        <f>IF(A94&lt;&gt;"",SUMIFS(Transactions!$F$7:$F$996,Transactions!$D$7:$D$996,"Expense",Transactions!$E$7:$E$996,A94),"")</f>
        <v/>
      </c>
      <c r="E94" s="76" t="str">
        <f t="shared" si="1"/>
        <v/>
      </c>
      <c r="F94" s="76" t="str">
        <f t="shared" si="2"/>
        <v/>
      </c>
      <c r="G94" s="73"/>
      <c r="H94" s="68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2" t="str">
        <f>IF(A95&lt;&gt;"",SUMIFS(Transactions!$F$7:$F$996,Transactions!$D$7:$D$996,"Income",Transactions!$E$7:$E$996,A95),"")</f>
        <v/>
      </c>
      <c r="D95" s="72" t="str">
        <f>IF(A95&lt;&gt;"",SUMIFS(Transactions!$F$7:$F$996,Transactions!$D$7:$D$996,"Expense",Transactions!$E$7:$E$996,A95),"")</f>
        <v/>
      </c>
      <c r="E95" s="70" t="str">
        <f t="shared" si="1"/>
        <v/>
      </c>
      <c r="F95" s="70" t="str">
        <f t="shared" si="2"/>
        <v/>
      </c>
      <c r="G95" s="73"/>
      <c r="H95" s="68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74" t="str">
        <f>IF(Roster!$A$94&lt;&gt;"",Roster!$A$94,"")</f>
        <v/>
      </c>
      <c r="B96" s="74" t="str">
        <f t="array" ref="B96">IF(A96&lt;&gt;"",IFERROR(SUMPRODUCT((INDEX(Attendance!$B$7:$AZ$206,MATCH(A96,Attendance!$A$7:$A$206,0),0)=1)*Attendance!$B$4:$AZ$4),0),"")</f>
        <v/>
      </c>
      <c r="C96" s="75" t="str">
        <f>IF(A96&lt;&gt;"",SUMIFS(Transactions!$F$7:$F$996,Transactions!$D$7:$D$996,"Income",Transactions!$E$7:$E$996,A96),"")</f>
        <v/>
      </c>
      <c r="D96" s="75" t="str">
        <f>IF(A96&lt;&gt;"",SUMIFS(Transactions!$F$7:$F$996,Transactions!$D$7:$D$996,"Expense",Transactions!$E$7:$E$996,A96),"")</f>
        <v/>
      </c>
      <c r="E96" s="76" t="str">
        <f t="shared" si="1"/>
        <v/>
      </c>
      <c r="F96" s="76" t="str">
        <f t="shared" si="2"/>
        <v/>
      </c>
      <c r="G96" s="73"/>
      <c r="H96" s="68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2" t="str">
        <f>IF(A97&lt;&gt;"",SUMIFS(Transactions!$F$7:$F$996,Transactions!$D$7:$D$996,"Income",Transactions!$E$7:$E$996,A97),"")</f>
        <v/>
      </c>
      <c r="D97" s="72" t="str">
        <f>IF(A97&lt;&gt;"",SUMIFS(Transactions!$F$7:$F$996,Transactions!$D$7:$D$996,"Expense",Transactions!$E$7:$E$996,A97),"")</f>
        <v/>
      </c>
      <c r="E97" s="70" t="str">
        <f t="shared" si="1"/>
        <v/>
      </c>
      <c r="F97" s="70" t="str">
        <f t="shared" si="2"/>
        <v/>
      </c>
      <c r="G97" s="73"/>
      <c r="H97" s="68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74" t="str">
        <f>IF(Roster!$A$96&lt;&gt;"",Roster!$A$96,"")</f>
        <v/>
      </c>
      <c r="B98" s="74" t="str">
        <f t="array" ref="B98">IF(A98&lt;&gt;"",IFERROR(SUMPRODUCT((INDEX(Attendance!$B$7:$AZ$206,MATCH(A98,Attendance!$A$7:$A$206,0),0)=1)*Attendance!$B$4:$AZ$4),0),"")</f>
        <v/>
      </c>
      <c r="C98" s="75" t="str">
        <f>IF(A98&lt;&gt;"",SUMIFS(Transactions!$F$7:$F$996,Transactions!$D$7:$D$996,"Income",Transactions!$E$7:$E$996,A98),"")</f>
        <v/>
      </c>
      <c r="D98" s="75" t="str">
        <f>IF(A98&lt;&gt;"",SUMIFS(Transactions!$F$7:$F$996,Transactions!$D$7:$D$996,"Expense",Transactions!$E$7:$E$996,A98),"")</f>
        <v/>
      </c>
      <c r="E98" s="76" t="str">
        <f t="shared" si="1"/>
        <v/>
      </c>
      <c r="F98" s="76" t="str">
        <f t="shared" si="2"/>
        <v/>
      </c>
      <c r="G98" s="73"/>
      <c r="H98" s="68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2" t="str">
        <f>IF(A99&lt;&gt;"",SUMIFS(Transactions!$F$7:$F$996,Transactions!$D$7:$D$996,"Income",Transactions!$E$7:$E$996,A99),"")</f>
        <v/>
      </c>
      <c r="D99" s="72" t="str">
        <f>IF(A99&lt;&gt;"",SUMIFS(Transactions!$F$7:$F$996,Transactions!$D$7:$D$996,"Expense",Transactions!$E$7:$E$996,A99),"")</f>
        <v/>
      </c>
      <c r="E99" s="70" t="str">
        <f t="shared" si="1"/>
        <v/>
      </c>
      <c r="F99" s="70" t="str">
        <f t="shared" si="2"/>
        <v/>
      </c>
      <c r="G99" s="73"/>
      <c r="H99" s="68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74" t="str">
        <f>IF(Roster!$A$98&lt;&gt;"",Roster!$A$98,"")</f>
        <v/>
      </c>
      <c r="B100" s="74" t="str">
        <f t="array" ref="B100">IF(A100&lt;&gt;"",IFERROR(SUMPRODUCT((INDEX(Attendance!$B$7:$AZ$206,MATCH(A100,Attendance!$A$7:$A$206,0),0)=1)*Attendance!$B$4:$AZ$4),0),"")</f>
        <v/>
      </c>
      <c r="C100" s="75" t="str">
        <f>IF(A100&lt;&gt;"",SUMIFS(Transactions!$F$7:$F$996,Transactions!$D$7:$D$996,"Income",Transactions!$E$7:$E$996,A100),"")</f>
        <v/>
      </c>
      <c r="D100" s="75" t="str">
        <f>IF(A100&lt;&gt;"",SUMIFS(Transactions!$F$7:$F$996,Transactions!$D$7:$D$996,"Expense",Transactions!$E$7:$E$996,A100),"")</f>
        <v/>
      </c>
      <c r="E100" s="76" t="str">
        <f t="shared" si="1"/>
        <v/>
      </c>
      <c r="F100" s="76" t="str">
        <f t="shared" si="2"/>
        <v/>
      </c>
      <c r="G100" s="73"/>
      <c r="H100" s="68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2" t="str">
        <f>IF(A101&lt;&gt;"",SUMIFS(Transactions!$F$7:$F$996,Transactions!$D$7:$D$996,"Income",Transactions!$E$7:$E$996,A101),"")</f>
        <v/>
      </c>
      <c r="D101" s="72" t="str">
        <f>IF(A101&lt;&gt;"",SUMIFS(Transactions!$F$7:$F$996,Transactions!$D$7:$D$996,"Expense",Transactions!$E$7:$E$996,A101),"")</f>
        <v/>
      </c>
      <c r="E101" s="70" t="str">
        <f t="shared" si="1"/>
        <v/>
      </c>
      <c r="F101" s="70" t="str">
        <f t="shared" si="2"/>
        <v/>
      </c>
      <c r="G101" s="73"/>
      <c r="H101" s="68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74" t="str">
        <f>IF(Roster!$A$100&lt;&gt;"",Roster!$A$100,"")</f>
        <v/>
      </c>
      <c r="B102" s="74" t="str">
        <f t="array" ref="B102">IF(A102&lt;&gt;"",IFERROR(SUMPRODUCT((INDEX(Attendance!$B$7:$AZ$206,MATCH(A102,Attendance!$A$7:$A$206,0),0)=1)*Attendance!$B$4:$AZ$4),0),"")</f>
        <v/>
      </c>
      <c r="C102" s="75" t="str">
        <f>IF(A102&lt;&gt;"",SUMIFS(Transactions!$F$7:$F$996,Transactions!$D$7:$D$996,"Income",Transactions!$E$7:$E$996,A102),"")</f>
        <v/>
      </c>
      <c r="D102" s="75" t="str">
        <f>IF(A102&lt;&gt;"",SUMIFS(Transactions!$F$7:$F$996,Transactions!$D$7:$D$996,"Expense",Transactions!$E$7:$E$996,A102),"")</f>
        <v/>
      </c>
      <c r="E102" s="76" t="str">
        <f t="shared" si="1"/>
        <v/>
      </c>
      <c r="F102" s="76" t="str">
        <f t="shared" si="2"/>
        <v/>
      </c>
      <c r="G102" s="73"/>
      <c r="H102" s="68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2" t="str">
        <f>IF(A103&lt;&gt;"",SUMIFS(Transactions!$F$7:$F$996,Transactions!$D$7:$D$996,"Income",Transactions!$E$7:$E$996,A103),"")</f>
        <v/>
      </c>
      <c r="D103" s="72" t="str">
        <f>IF(A103&lt;&gt;"",SUMIFS(Transactions!$F$7:$F$996,Transactions!$D$7:$D$996,"Expense",Transactions!$E$7:$E$996,A103),"")</f>
        <v/>
      </c>
      <c r="E103" s="70" t="str">
        <f t="shared" si="1"/>
        <v/>
      </c>
      <c r="F103" s="70" t="str">
        <f t="shared" si="2"/>
        <v/>
      </c>
      <c r="G103" s="73"/>
      <c r="H103" s="68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74" t="str">
        <f>IF(Roster!$A$102&lt;&gt;"",Roster!$A$102,"")</f>
        <v/>
      </c>
      <c r="B104" s="74" t="str">
        <f t="array" ref="B104">IF(A104&lt;&gt;"",IFERROR(SUMPRODUCT((INDEX(Attendance!$B$7:$AZ$206,MATCH(A104,Attendance!$A$7:$A$206,0),0)=1)*Attendance!$B$4:$AZ$4),0),"")</f>
        <v/>
      </c>
      <c r="C104" s="75" t="str">
        <f>IF(A104&lt;&gt;"",SUMIFS(Transactions!$F$7:$F$996,Transactions!$D$7:$D$996,"Income",Transactions!$E$7:$E$996,A104),"")</f>
        <v/>
      </c>
      <c r="D104" s="75" t="str">
        <f>IF(A104&lt;&gt;"",SUMIFS(Transactions!$F$7:$F$996,Transactions!$D$7:$D$996,"Expense",Transactions!$E$7:$E$996,A104),"")</f>
        <v/>
      </c>
      <c r="E104" s="76" t="str">
        <f t="shared" si="1"/>
        <v/>
      </c>
      <c r="F104" s="76" t="str">
        <f t="shared" si="2"/>
        <v/>
      </c>
      <c r="G104" s="73"/>
      <c r="H104" s="68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2" t="str">
        <f>IF(A105&lt;&gt;"",SUMIFS(Transactions!$F$7:$F$996,Transactions!$D$7:$D$996,"Income",Transactions!$E$7:$E$996,A105),"")</f>
        <v/>
      </c>
      <c r="D105" s="72" t="str">
        <f>IF(A105&lt;&gt;"",SUMIFS(Transactions!$F$7:$F$996,Transactions!$D$7:$D$996,"Expense",Transactions!$E$7:$E$996,A105),"")</f>
        <v/>
      </c>
      <c r="E105" s="70" t="str">
        <f t="shared" si="1"/>
        <v/>
      </c>
      <c r="F105" s="70" t="str">
        <f t="shared" si="2"/>
        <v/>
      </c>
      <c r="G105" s="73"/>
      <c r="H105" s="68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74" t="str">
        <f>IF(Roster!$A$104&lt;&gt;"",Roster!$A$104,"")</f>
        <v/>
      </c>
      <c r="B106" s="74" t="str">
        <f t="array" ref="B106">IF(A106&lt;&gt;"",IFERROR(SUMPRODUCT((INDEX(Attendance!$B$7:$AZ$206,MATCH(A106,Attendance!$A$7:$A$206,0),0)=1)*Attendance!$B$4:$AZ$4),0),"")</f>
        <v/>
      </c>
      <c r="C106" s="75" t="str">
        <f>IF(A106&lt;&gt;"",SUMIFS(Transactions!$F$7:$F$996,Transactions!$D$7:$D$996,"Income",Transactions!$E$7:$E$996,A106),"")</f>
        <v/>
      </c>
      <c r="D106" s="75" t="str">
        <f>IF(A106&lt;&gt;"",SUMIFS(Transactions!$F$7:$F$996,Transactions!$D$7:$D$996,"Expense",Transactions!$E$7:$E$996,A106),"")</f>
        <v/>
      </c>
      <c r="E106" s="76" t="str">
        <f t="shared" si="1"/>
        <v/>
      </c>
      <c r="F106" s="76" t="str">
        <f t="shared" si="2"/>
        <v/>
      </c>
      <c r="G106" s="73"/>
      <c r="H106" s="68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2" t="str">
        <f>IF(A107&lt;&gt;"",SUMIFS(Transactions!$F$7:$F$996,Transactions!$D$7:$D$996,"Income",Transactions!$E$7:$E$996,A107),"")</f>
        <v/>
      </c>
      <c r="D107" s="72" t="str">
        <f>IF(A107&lt;&gt;"",SUMIFS(Transactions!$F$7:$F$996,Transactions!$D$7:$D$996,"Expense",Transactions!$E$7:$E$996,A107),"")</f>
        <v/>
      </c>
      <c r="E107" s="70" t="str">
        <f t="shared" si="1"/>
        <v/>
      </c>
      <c r="F107" s="70" t="str">
        <f t="shared" si="2"/>
        <v/>
      </c>
      <c r="G107" s="73"/>
      <c r="H107" s="68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74" t="str">
        <f>IF(Roster!$A$106&lt;&gt;"",Roster!$A$106,"")</f>
        <v/>
      </c>
      <c r="B108" s="74" t="str">
        <f t="array" ref="B108">IF(A108&lt;&gt;"",IFERROR(SUMPRODUCT((INDEX(Attendance!$B$7:$AZ$206,MATCH(A108,Attendance!$A$7:$A$206,0),0)=1)*Attendance!$B$4:$AZ$4),0),"")</f>
        <v/>
      </c>
      <c r="C108" s="75" t="str">
        <f>IF(A108&lt;&gt;"",SUMIFS(Transactions!$F$7:$F$996,Transactions!$D$7:$D$996,"Income",Transactions!$E$7:$E$996,A108),"")</f>
        <v/>
      </c>
      <c r="D108" s="75" t="str">
        <f>IF(A108&lt;&gt;"",SUMIFS(Transactions!$F$7:$F$996,Transactions!$D$7:$D$996,"Expense",Transactions!$E$7:$E$996,A108),"")</f>
        <v/>
      </c>
      <c r="E108" s="76" t="str">
        <f t="shared" si="1"/>
        <v/>
      </c>
      <c r="F108" s="76" t="str">
        <f t="shared" si="2"/>
        <v/>
      </c>
      <c r="G108" s="73"/>
      <c r="H108" s="68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2" t="str">
        <f>IF(A109&lt;&gt;"",SUMIFS(Transactions!$F$7:$F$996,Transactions!$D$7:$D$996,"Income",Transactions!$E$7:$E$996,A109),"")</f>
        <v/>
      </c>
      <c r="D109" s="72" t="str">
        <f>IF(A109&lt;&gt;"",SUMIFS(Transactions!$F$7:$F$996,Transactions!$D$7:$D$996,"Expense",Transactions!$E$7:$E$996,A109),"")</f>
        <v/>
      </c>
      <c r="E109" s="70" t="str">
        <f t="shared" si="1"/>
        <v/>
      </c>
      <c r="F109" s="70" t="str">
        <f t="shared" si="2"/>
        <v/>
      </c>
      <c r="G109" s="73"/>
      <c r="H109" s="68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74" t="str">
        <f>IF(Roster!$A$108&lt;&gt;"",Roster!$A$108,"")</f>
        <v/>
      </c>
      <c r="B110" s="74" t="str">
        <f t="array" ref="B110">IF(A110&lt;&gt;"",IFERROR(SUMPRODUCT((INDEX(Attendance!$B$7:$AZ$206,MATCH(A110,Attendance!$A$7:$A$206,0),0)=1)*Attendance!$B$4:$AZ$4),0),"")</f>
        <v/>
      </c>
      <c r="C110" s="75" t="str">
        <f>IF(A110&lt;&gt;"",SUMIFS(Transactions!$F$7:$F$996,Transactions!$D$7:$D$996,"Income",Transactions!$E$7:$E$996,A110),"")</f>
        <v/>
      </c>
      <c r="D110" s="75" t="str">
        <f>IF(A110&lt;&gt;"",SUMIFS(Transactions!$F$7:$F$996,Transactions!$D$7:$D$996,"Expense",Transactions!$E$7:$E$996,A110),"")</f>
        <v/>
      </c>
      <c r="E110" s="76" t="str">
        <f t="shared" si="1"/>
        <v/>
      </c>
      <c r="F110" s="76" t="str">
        <f t="shared" si="2"/>
        <v/>
      </c>
      <c r="G110" s="73"/>
      <c r="H110" s="68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2" t="str">
        <f>IF(A111&lt;&gt;"",SUMIFS(Transactions!$F$7:$F$996,Transactions!$D$7:$D$996,"Income",Transactions!$E$7:$E$996,A111),"")</f>
        <v/>
      </c>
      <c r="D111" s="72" t="str">
        <f>IF(A111&lt;&gt;"",SUMIFS(Transactions!$F$7:$F$996,Transactions!$D$7:$D$996,"Expense",Transactions!$E$7:$E$996,A111),"")</f>
        <v/>
      </c>
      <c r="E111" s="70" t="str">
        <f t="shared" si="1"/>
        <v/>
      </c>
      <c r="F111" s="70" t="str">
        <f t="shared" si="2"/>
        <v/>
      </c>
      <c r="G111" s="73"/>
      <c r="H111" s="68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74" t="str">
        <f>IF(Roster!$A$110&lt;&gt;"",Roster!$A$110,"")</f>
        <v/>
      </c>
      <c r="B112" s="74" t="str">
        <f t="array" ref="B112">IF(A112&lt;&gt;"",IFERROR(SUMPRODUCT((INDEX(Attendance!$B$7:$AZ$206,MATCH(A112,Attendance!$A$7:$A$206,0),0)=1)*Attendance!$B$4:$AZ$4),0),"")</f>
        <v/>
      </c>
      <c r="C112" s="75" t="str">
        <f>IF(A112&lt;&gt;"",SUMIFS(Transactions!$F$7:$F$996,Transactions!$D$7:$D$996,"Income",Transactions!$E$7:$E$996,A112),"")</f>
        <v/>
      </c>
      <c r="D112" s="75" t="str">
        <f>IF(A112&lt;&gt;"",SUMIFS(Transactions!$F$7:$F$996,Transactions!$D$7:$D$996,"Expense",Transactions!$E$7:$E$996,A112),"")</f>
        <v/>
      </c>
      <c r="E112" s="76" t="str">
        <f t="shared" si="1"/>
        <v/>
      </c>
      <c r="F112" s="76" t="str">
        <f t="shared" si="2"/>
        <v/>
      </c>
      <c r="G112" s="73"/>
      <c r="H112" s="68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2" t="str">
        <f>IF(A113&lt;&gt;"",SUMIFS(Transactions!$F$7:$F$996,Transactions!$D$7:$D$996,"Income",Transactions!$E$7:$E$996,A113),"")</f>
        <v/>
      </c>
      <c r="D113" s="72" t="str">
        <f>IF(A113&lt;&gt;"",SUMIFS(Transactions!$F$7:$F$996,Transactions!$D$7:$D$996,"Expense",Transactions!$E$7:$E$996,A113),"")</f>
        <v/>
      </c>
      <c r="E113" s="70" t="str">
        <f t="shared" si="1"/>
        <v/>
      </c>
      <c r="F113" s="70" t="str">
        <f t="shared" si="2"/>
        <v/>
      </c>
      <c r="G113" s="73"/>
      <c r="H113" s="68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74" t="str">
        <f>IF(Roster!$A$112&lt;&gt;"",Roster!$A$112,"")</f>
        <v/>
      </c>
      <c r="B114" s="74" t="str">
        <f t="array" ref="B114">IF(A114&lt;&gt;"",IFERROR(SUMPRODUCT((INDEX(Attendance!$B$7:$AZ$206,MATCH(A114,Attendance!$A$7:$A$206,0),0)=1)*Attendance!$B$4:$AZ$4),0),"")</f>
        <v/>
      </c>
      <c r="C114" s="75" t="str">
        <f>IF(A114&lt;&gt;"",SUMIFS(Transactions!$F$7:$F$996,Transactions!$D$7:$D$996,"Income",Transactions!$E$7:$E$996,A114),"")</f>
        <v/>
      </c>
      <c r="D114" s="75" t="str">
        <f>IF(A114&lt;&gt;"",SUMIFS(Transactions!$F$7:$F$996,Transactions!$D$7:$D$996,"Expense",Transactions!$E$7:$E$996,A114),"")</f>
        <v/>
      </c>
      <c r="E114" s="76" t="str">
        <f t="shared" si="1"/>
        <v/>
      </c>
      <c r="F114" s="76" t="str">
        <f t="shared" si="2"/>
        <v/>
      </c>
      <c r="G114" s="73"/>
      <c r="H114" s="68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2" t="str">
        <f>IF(A115&lt;&gt;"",SUMIFS(Transactions!$F$7:$F$996,Transactions!$D$7:$D$996,"Income",Transactions!$E$7:$E$996,A115),"")</f>
        <v/>
      </c>
      <c r="D115" s="72" t="str">
        <f>IF(A115&lt;&gt;"",SUMIFS(Transactions!$F$7:$F$996,Transactions!$D$7:$D$996,"Expense",Transactions!$E$7:$E$996,A115),"")</f>
        <v/>
      </c>
      <c r="E115" s="70" t="str">
        <f t="shared" si="1"/>
        <v/>
      </c>
      <c r="F115" s="70" t="str">
        <f t="shared" si="2"/>
        <v/>
      </c>
      <c r="G115" s="73"/>
      <c r="H115" s="68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74" t="str">
        <f>IF(Roster!$A$114&lt;&gt;"",Roster!$A$114,"")</f>
        <v/>
      </c>
      <c r="B116" s="74" t="str">
        <f t="array" ref="B116">IF(A116&lt;&gt;"",IFERROR(SUMPRODUCT((INDEX(Attendance!$B$7:$AZ$206,MATCH(A116,Attendance!$A$7:$A$206,0),0)=1)*Attendance!$B$4:$AZ$4),0),"")</f>
        <v/>
      </c>
      <c r="C116" s="75" t="str">
        <f>IF(A116&lt;&gt;"",SUMIFS(Transactions!$F$7:$F$996,Transactions!$D$7:$D$996,"Income",Transactions!$E$7:$E$996,A116),"")</f>
        <v/>
      </c>
      <c r="D116" s="75" t="str">
        <f>IF(A116&lt;&gt;"",SUMIFS(Transactions!$F$7:$F$996,Transactions!$D$7:$D$996,"Expense",Transactions!$E$7:$E$996,A116),"")</f>
        <v/>
      </c>
      <c r="E116" s="76" t="str">
        <f t="shared" si="1"/>
        <v/>
      </c>
      <c r="F116" s="76" t="str">
        <f t="shared" si="2"/>
        <v/>
      </c>
      <c r="G116" s="73"/>
      <c r="H116" s="68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2" t="str">
        <f>IF(A117&lt;&gt;"",SUMIFS(Transactions!$F$7:$F$996,Transactions!$D$7:$D$996,"Income",Transactions!$E$7:$E$996,A117),"")</f>
        <v/>
      </c>
      <c r="D117" s="72" t="str">
        <f>IF(A117&lt;&gt;"",SUMIFS(Transactions!$F$7:$F$996,Transactions!$D$7:$D$996,"Expense",Transactions!$E$7:$E$996,A117),"")</f>
        <v/>
      </c>
      <c r="E117" s="70" t="str">
        <f t="shared" si="1"/>
        <v/>
      </c>
      <c r="F117" s="70" t="str">
        <f t="shared" si="2"/>
        <v/>
      </c>
      <c r="G117" s="73"/>
      <c r="H117" s="68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74" t="str">
        <f>IF(Roster!$A$116&lt;&gt;"",Roster!$A$116,"")</f>
        <v/>
      </c>
      <c r="B118" s="74" t="str">
        <f t="array" ref="B118">IF(A118&lt;&gt;"",IFERROR(SUMPRODUCT((INDEX(Attendance!$B$7:$AZ$206,MATCH(A118,Attendance!$A$7:$A$206,0),0)=1)*Attendance!$B$4:$AZ$4),0),"")</f>
        <v/>
      </c>
      <c r="C118" s="75" t="str">
        <f>IF(A118&lt;&gt;"",SUMIFS(Transactions!$F$7:$F$996,Transactions!$D$7:$D$996,"Income",Transactions!$E$7:$E$996,A118),"")</f>
        <v/>
      </c>
      <c r="D118" s="75" t="str">
        <f>IF(A118&lt;&gt;"",SUMIFS(Transactions!$F$7:$F$996,Transactions!$D$7:$D$996,"Expense",Transactions!$E$7:$E$996,A118),"")</f>
        <v/>
      </c>
      <c r="E118" s="76" t="str">
        <f t="shared" si="1"/>
        <v/>
      </c>
      <c r="F118" s="76" t="str">
        <f t="shared" si="2"/>
        <v/>
      </c>
      <c r="G118" s="73"/>
      <c r="H118" s="68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2" t="str">
        <f>IF(A119&lt;&gt;"",SUMIFS(Transactions!$F$7:$F$996,Transactions!$D$7:$D$996,"Income",Transactions!$E$7:$E$996,A119),"")</f>
        <v/>
      </c>
      <c r="D119" s="72" t="str">
        <f>IF(A119&lt;&gt;"",SUMIFS(Transactions!$F$7:$F$996,Transactions!$D$7:$D$996,"Expense",Transactions!$E$7:$E$996,A119),"")</f>
        <v/>
      </c>
      <c r="E119" s="70" t="str">
        <f t="shared" si="1"/>
        <v/>
      </c>
      <c r="F119" s="70" t="str">
        <f t="shared" si="2"/>
        <v/>
      </c>
      <c r="G119" s="73"/>
      <c r="H119" s="68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74" t="str">
        <f>IF(Roster!$A$118&lt;&gt;"",Roster!$A$118,"")</f>
        <v/>
      </c>
      <c r="B120" s="74" t="str">
        <f t="array" ref="B120">IF(A120&lt;&gt;"",IFERROR(SUMPRODUCT((INDEX(Attendance!$B$7:$AZ$206,MATCH(A120,Attendance!$A$7:$A$206,0),0)=1)*Attendance!$B$4:$AZ$4),0),"")</f>
        <v/>
      </c>
      <c r="C120" s="75" t="str">
        <f>IF(A120&lt;&gt;"",SUMIFS(Transactions!$F$7:$F$996,Transactions!$D$7:$D$996,"Income",Transactions!$E$7:$E$996,A120),"")</f>
        <v/>
      </c>
      <c r="D120" s="75" t="str">
        <f>IF(A120&lt;&gt;"",SUMIFS(Transactions!$F$7:$F$996,Transactions!$D$7:$D$996,"Expense",Transactions!$E$7:$E$996,A120),"")</f>
        <v/>
      </c>
      <c r="E120" s="76" t="str">
        <f t="shared" si="1"/>
        <v/>
      </c>
      <c r="F120" s="76" t="str">
        <f t="shared" si="2"/>
        <v/>
      </c>
      <c r="G120" s="73"/>
      <c r="H120" s="68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2" t="str">
        <f>IF(A121&lt;&gt;"",SUMIFS(Transactions!$F$7:$F$996,Transactions!$D$7:$D$996,"Income",Transactions!$E$7:$E$996,A121),"")</f>
        <v/>
      </c>
      <c r="D121" s="72" t="str">
        <f>IF(A121&lt;&gt;"",SUMIFS(Transactions!$F$7:$F$996,Transactions!$D$7:$D$996,"Expense",Transactions!$E$7:$E$996,A121),"")</f>
        <v/>
      </c>
      <c r="E121" s="70" t="str">
        <f t="shared" si="1"/>
        <v/>
      </c>
      <c r="F121" s="70" t="str">
        <f t="shared" si="2"/>
        <v/>
      </c>
      <c r="G121" s="73"/>
      <c r="H121" s="68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74" t="str">
        <f>IF(Roster!$A$120&lt;&gt;"",Roster!$A$120,"")</f>
        <v/>
      </c>
      <c r="B122" s="74" t="str">
        <f t="array" ref="B122">IF(A122&lt;&gt;"",IFERROR(SUMPRODUCT((INDEX(Attendance!$B$7:$AZ$206,MATCH(A122,Attendance!$A$7:$A$206,0),0)=1)*Attendance!$B$4:$AZ$4),0),"")</f>
        <v/>
      </c>
      <c r="C122" s="75" t="str">
        <f>IF(A122&lt;&gt;"",SUMIFS(Transactions!$F$7:$F$996,Transactions!$D$7:$D$996,"Income",Transactions!$E$7:$E$996,A122),"")</f>
        <v/>
      </c>
      <c r="D122" s="75" t="str">
        <f>IF(A122&lt;&gt;"",SUMIFS(Transactions!$F$7:$F$996,Transactions!$D$7:$D$996,"Expense",Transactions!$E$7:$E$996,A122),"")</f>
        <v/>
      </c>
      <c r="E122" s="76" t="str">
        <f t="shared" si="1"/>
        <v/>
      </c>
      <c r="F122" s="76" t="str">
        <f t="shared" si="2"/>
        <v/>
      </c>
      <c r="G122" s="73"/>
      <c r="H122" s="68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2" t="str">
        <f>IF(A123&lt;&gt;"",SUMIFS(Transactions!$F$7:$F$996,Transactions!$D$7:$D$996,"Income",Transactions!$E$7:$E$996,A123),"")</f>
        <v/>
      </c>
      <c r="D123" s="72" t="str">
        <f>IF(A123&lt;&gt;"",SUMIFS(Transactions!$F$7:$F$996,Transactions!$D$7:$D$996,"Expense",Transactions!$E$7:$E$996,A123),"")</f>
        <v/>
      </c>
      <c r="E123" s="70" t="str">
        <f t="shared" si="1"/>
        <v/>
      </c>
      <c r="F123" s="70" t="str">
        <f t="shared" si="2"/>
        <v/>
      </c>
      <c r="G123" s="73"/>
      <c r="H123" s="68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74" t="str">
        <f>IF(Roster!$A$122&lt;&gt;"",Roster!$A$122,"")</f>
        <v/>
      </c>
      <c r="B124" s="74" t="str">
        <f t="array" ref="B124">IF(A124&lt;&gt;"",IFERROR(SUMPRODUCT((INDEX(Attendance!$B$7:$AZ$206,MATCH(A124,Attendance!$A$7:$A$206,0),0)=1)*Attendance!$B$4:$AZ$4),0),"")</f>
        <v/>
      </c>
      <c r="C124" s="75" t="str">
        <f>IF(A124&lt;&gt;"",SUMIFS(Transactions!$F$7:$F$996,Transactions!$D$7:$D$996,"Income",Transactions!$E$7:$E$996,A124),"")</f>
        <v/>
      </c>
      <c r="D124" s="75" t="str">
        <f>IF(A124&lt;&gt;"",SUMIFS(Transactions!$F$7:$F$996,Transactions!$D$7:$D$996,"Expense",Transactions!$E$7:$E$996,A124),"")</f>
        <v/>
      </c>
      <c r="E124" s="76" t="str">
        <f t="shared" si="1"/>
        <v/>
      </c>
      <c r="F124" s="76" t="str">
        <f t="shared" si="2"/>
        <v/>
      </c>
      <c r="G124" s="73"/>
      <c r="H124" s="68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2" t="str">
        <f>IF(A125&lt;&gt;"",SUMIFS(Transactions!$F$7:$F$996,Transactions!$D$7:$D$996,"Income",Transactions!$E$7:$E$996,A125),"")</f>
        <v/>
      </c>
      <c r="D125" s="72" t="str">
        <f>IF(A125&lt;&gt;"",SUMIFS(Transactions!$F$7:$F$996,Transactions!$D$7:$D$996,"Expense",Transactions!$E$7:$E$996,A125),"")</f>
        <v/>
      </c>
      <c r="E125" s="70" t="str">
        <f t="shared" si="1"/>
        <v/>
      </c>
      <c r="F125" s="70" t="str">
        <f t="shared" si="2"/>
        <v/>
      </c>
      <c r="G125" s="73"/>
      <c r="H125" s="68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74" t="str">
        <f>IF(Roster!$A$124&lt;&gt;"",Roster!$A$124,"")</f>
        <v/>
      </c>
      <c r="B126" s="74" t="str">
        <f t="array" ref="B126">IF(A126&lt;&gt;"",IFERROR(SUMPRODUCT((INDEX(Attendance!$B$7:$AZ$206,MATCH(A126,Attendance!$A$7:$A$206,0),0)=1)*Attendance!$B$4:$AZ$4),0),"")</f>
        <v/>
      </c>
      <c r="C126" s="75" t="str">
        <f>IF(A126&lt;&gt;"",SUMIFS(Transactions!$F$7:$F$996,Transactions!$D$7:$D$996,"Income",Transactions!$E$7:$E$996,A126),"")</f>
        <v/>
      </c>
      <c r="D126" s="75" t="str">
        <f>IF(A126&lt;&gt;"",SUMIFS(Transactions!$F$7:$F$996,Transactions!$D$7:$D$996,"Expense",Transactions!$E$7:$E$996,A126),"")</f>
        <v/>
      </c>
      <c r="E126" s="76" t="str">
        <f t="shared" si="1"/>
        <v/>
      </c>
      <c r="F126" s="76" t="str">
        <f t="shared" si="2"/>
        <v/>
      </c>
      <c r="G126" s="73"/>
      <c r="H126" s="68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2" t="str">
        <f>IF(A127&lt;&gt;"",SUMIFS(Transactions!$F$7:$F$996,Transactions!$D$7:$D$996,"Income",Transactions!$E$7:$E$996,A127),"")</f>
        <v/>
      </c>
      <c r="D127" s="72" t="str">
        <f>IF(A127&lt;&gt;"",SUMIFS(Transactions!$F$7:$F$996,Transactions!$D$7:$D$996,"Expense",Transactions!$E$7:$E$996,A127),"")</f>
        <v/>
      </c>
      <c r="E127" s="70" t="str">
        <f t="shared" si="1"/>
        <v/>
      </c>
      <c r="F127" s="70" t="str">
        <f t="shared" si="2"/>
        <v/>
      </c>
      <c r="G127" s="73"/>
      <c r="H127" s="68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74" t="str">
        <f>IF(Roster!$A$126&lt;&gt;"",Roster!$A$126,"")</f>
        <v/>
      </c>
      <c r="B128" s="74" t="str">
        <f t="array" ref="B128">IF(A128&lt;&gt;"",IFERROR(SUMPRODUCT((INDEX(Attendance!$B$7:$AZ$206,MATCH(A128,Attendance!$A$7:$A$206,0),0)=1)*Attendance!$B$4:$AZ$4),0),"")</f>
        <v/>
      </c>
      <c r="C128" s="75" t="str">
        <f>IF(A128&lt;&gt;"",SUMIFS(Transactions!$F$7:$F$996,Transactions!$D$7:$D$996,"Income",Transactions!$E$7:$E$996,A128),"")</f>
        <v/>
      </c>
      <c r="D128" s="75" t="str">
        <f>IF(A128&lt;&gt;"",SUMIFS(Transactions!$F$7:$F$996,Transactions!$D$7:$D$996,"Expense",Transactions!$E$7:$E$996,A128),"")</f>
        <v/>
      </c>
      <c r="E128" s="76" t="str">
        <f t="shared" si="1"/>
        <v/>
      </c>
      <c r="F128" s="76" t="str">
        <f t="shared" si="2"/>
        <v/>
      </c>
      <c r="G128" s="73"/>
      <c r="H128" s="68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2" t="str">
        <f>IF(A129&lt;&gt;"",SUMIFS(Transactions!$F$7:$F$996,Transactions!$D$7:$D$996,"Income",Transactions!$E$7:$E$996,A129),"")</f>
        <v/>
      </c>
      <c r="D129" s="72" t="str">
        <f>IF(A129&lt;&gt;"",SUMIFS(Transactions!$F$7:$F$996,Transactions!$D$7:$D$996,"Expense",Transactions!$E$7:$E$996,A129),"")</f>
        <v/>
      </c>
      <c r="E129" s="70" t="str">
        <f t="shared" si="1"/>
        <v/>
      </c>
      <c r="F129" s="70" t="str">
        <f t="shared" si="2"/>
        <v/>
      </c>
      <c r="G129" s="73"/>
      <c r="H129" s="68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74" t="str">
        <f>IF(Roster!$A$128&lt;&gt;"",Roster!$A$128,"")</f>
        <v/>
      </c>
      <c r="B130" s="74" t="str">
        <f t="array" ref="B130">IF(A130&lt;&gt;"",IFERROR(SUMPRODUCT((INDEX(Attendance!$B$7:$AZ$206,MATCH(A130,Attendance!$A$7:$A$206,0),0)=1)*Attendance!$B$4:$AZ$4),0),"")</f>
        <v/>
      </c>
      <c r="C130" s="75" t="str">
        <f>IF(A130&lt;&gt;"",SUMIFS(Transactions!$F$7:$F$996,Transactions!$D$7:$D$996,"Income",Transactions!$E$7:$E$996,A130),"")</f>
        <v/>
      </c>
      <c r="D130" s="75" t="str">
        <f>IF(A130&lt;&gt;"",SUMIFS(Transactions!$F$7:$F$996,Transactions!$D$7:$D$996,"Expense",Transactions!$E$7:$E$996,A130),"")</f>
        <v/>
      </c>
      <c r="E130" s="76" t="str">
        <f t="shared" si="1"/>
        <v/>
      </c>
      <c r="F130" s="76" t="str">
        <f t="shared" si="2"/>
        <v/>
      </c>
      <c r="G130" s="73"/>
      <c r="H130" s="68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2" t="str">
        <f>IF(A131&lt;&gt;"",SUMIFS(Transactions!$F$7:$F$996,Transactions!$D$7:$D$996,"Income",Transactions!$E$7:$E$996,A131),"")</f>
        <v/>
      </c>
      <c r="D131" s="72" t="str">
        <f>IF(A131&lt;&gt;"",SUMIFS(Transactions!$F$7:$F$996,Transactions!$D$7:$D$996,"Expense",Transactions!$E$7:$E$996,A131),"")</f>
        <v/>
      </c>
      <c r="E131" s="70" t="str">
        <f t="shared" si="1"/>
        <v/>
      </c>
      <c r="F131" s="70" t="str">
        <f t="shared" si="2"/>
        <v/>
      </c>
      <c r="G131" s="73"/>
      <c r="H131" s="68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74" t="str">
        <f>IF(Roster!$A$130&lt;&gt;"",Roster!$A$130,"")</f>
        <v/>
      </c>
      <c r="B132" s="74" t="str">
        <f t="array" ref="B132">IF(A132&lt;&gt;"",IFERROR(SUMPRODUCT((INDEX(Attendance!$B$7:$AZ$206,MATCH(A132,Attendance!$A$7:$A$206,0),0)=1)*Attendance!$B$4:$AZ$4),0),"")</f>
        <v/>
      </c>
      <c r="C132" s="75" t="str">
        <f>IF(A132&lt;&gt;"",SUMIFS(Transactions!$F$7:$F$996,Transactions!$D$7:$D$996,"Income",Transactions!$E$7:$E$996,A132),"")</f>
        <v/>
      </c>
      <c r="D132" s="75" t="str">
        <f>IF(A132&lt;&gt;"",SUMIFS(Transactions!$F$7:$F$996,Transactions!$D$7:$D$996,"Expense",Transactions!$E$7:$E$996,A132),"")</f>
        <v/>
      </c>
      <c r="E132" s="76" t="str">
        <f t="shared" si="1"/>
        <v/>
      </c>
      <c r="F132" s="76" t="str">
        <f t="shared" si="2"/>
        <v/>
      </c>
      <c r="G132" s="73"/>
      <c r="H132" s="68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2" t="str">
        <f>IF(A133&lt;&gt;"",SUMIFS(Transactions!$F$7:$F$996,Transactions!$D$7:$D$996,"Income",Transactions!$E$7:$E$996,A133),"")</f>
        <v/>
      </c>
      <c r="D133" s="72" t="str">
        <f>IF(A133&lt;&gt;"",SUMIFS(Transactions!$F$7:$F$996,Transactions!$D$7:$D$996,"Expense",Transactions!$E$7:$E$996,A133),"")</f>
        <v/>
      </c>
      <c r="E133" s="70" t="str">
        <f t="shared" si="1"/>
        <v/>
      </c>
      <c r="F133" s="70" t="str">
        <f t="shared" si="2"/>
        <v/>
      </c>
      <c r="G133" s="73"/>
      <c r="H133" s="68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74" t="str">
        <f>IF(Roster!$A$132&lt;&gt;"",Roster!$A$132,"")</f>
        <v/>
      </c>
      <c r="B134" s="74" t="str">
        <f t="array" ref="B134">IF(A134&lt;&gt;"",IFERROR(SUMPRODUCT((INDEX(Attendance!$B$7:$AZ$206,MATCH(A134,Attendance!$A$7:$A$206,0),0)=1)*Attendance!$B$4:$AZ$4),0),"")</f>
        <v/>
      </c>
      <c r="C134" s="75" t="str">
        <f>IF(A134&lt;&gt;"",SUMIFS(Transactions!$F$7:$F$996,Transactions!$D$7:$D$996,"Income",Transactions!$E$7:$E$996,A134),"")</f>
        <v/>
      </c>
      <c r="D134" s="75" t="str">
        <f>IF(A134&lt;&gt;"",SUMIFS(Transactions!$F$7:$F$996,Transactions!$D$7:$D$996,"Expense",Transactions!$E$7:$E$996,A134),"")</f>
        <v/>
      </c>
      <c r="E134" s="76" t="str">
        <f t="shared" si="1"/>
        <v/>
      </c>
      <c r="F134" s="76" t="str">
        <f t="shared" si="2"/>
        <v/>
      </c>
      <c r="G134" s="73"/>
      <c r="H134" s="68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2" t="str">
        <f>IF(A135&lt;&gt;"",SUMIFS(Transactions!$F$7:$F$996,Transactions!$D$7:$D$996,"Income",Transactions!$E$7:$E$996,A135),"")</f>
        <v/>
      </c>
      <c r="D135" s="72" t="str">
        <f>IF(A135&lt;&gt;"",SUMIFS(Transactions!$F$7:$F$996,Transactions!$D$7:$D$996,"Expense",Transactions!$E$7:$E$996,A135),"")</f>
        <v/>
      </c>
      <c r="E135" s="70" t="str">
        <f t="shared" si="1"/>
        <v/>
      </c>
      <c r="F135" s="70" t="str">
        <f t="shared" si="2"/>
        <v/>
      </c>
      <c r="G135" s="73"/>
      <c r="H135" s="68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74" t="str">
        <f>IF(Roster!$A$134&lt;&gt;"",Roster!$A$134,"")</f>
        <v/>
      </c>
      <c r="B136" s="74" t="str">
        <f t="array" ref="B136">IF(A136&lt;&gt;"",IFERROR(SUMPRODUCT((INDEX(Attendance!$B$7:$AZ$206,MATCH(A136,Attendance!$A$7:$A$206,0),0)=1)*Attendance!$B$4:$AZ$4),0),"")</f>
        <v/>
      </c>
      <c r="C136" s="75" t="str">
        <f>IF(A136&lt;&gt;"",SUMIFS(Transactions!$F$7:$F$996,Transactions!$D$7:$D$996,"Income",Transactions!$E$7:$E$996,A136),"")</f>
        <v/>
      </c>
      <c r="D136" s="75" t="str">
        <f>IF(A136&lt;&gt;"",SUMIFS(Transactions!$F$7:$F$996,Transactions!$D$7:$D$996,"Expense",Transactions!$E$7:$E$996,A136),"")</f>
        <v/>
      </c>
      <c r="E136" s="76" t="str">
        <f t="shared" si="1"/>
        <v/>
      </c>
      <c r="F136" s="76" t="str">
        <f t="shared" si="2"/>
        <v/>
      </c>
      <c r="G136" s="73"/>
      <c r="H136" s="68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2" t="str">
        <f>IF(A137&lt;&gt;"",SUMIFS(Transactions!$F$7:$F$996,Transactions!$D$7:$D$996,"Income",Transactions!$E$7:$E$996,A137),"")</f>
        <v/>
      </c>
      <c r="D137" s="72" t="str">
        <f>IF(A137&lt;&gt;"",SUMIFS(Transactions!$F$7:$F$996,Transactions!$D$7:$D$996,"Expense",Transactions!$E$7:$E$996,A137),"")</f>
        <v/>
      </c>
      <c r="E137" s="70" t="str">
        <f t="shared" si="1"/>
        <v/>
      </c>
      <c r="F137" s="70" t="str">
        <f t="shared" si="2"/>
        <v/>
      </c>
      <c r="G137" s="73"/>
      <c r="H137" s="68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74" t="str">
        <f>IF(Roster!$A$136&lt;&gt;"",Roster!$A$136,"")</f>
        <v/>
      </c>
      <c r="B138" s="74" t="str">
        <f t="array" ref="B138">IF(A138&lt;&gt;"",IFERROR(SUMPRODUCT((INDEX(Attendance!$B$7:$AZ$206,MATCH(A138,Attendance!$A$7:$A$206,0),0)=1)*Attendance!$B$4:$AZ$4),0),"")</f>
        <v/>
      </c>
      <c r="C138" s="75" t="str">
        <f>IF(A138&lt;&gt;"",SUMIFS(Transactions!$F$7:$F$996,Transactions!$D$7:$D$996,"Income",Transactions!$E$7:$E$996,A138),"")</f>
        <v/>
      </c>
      <c r="D138" s="75" t="str">
        <f>IF(A138&lt;&gt;"",SUMIFS(Transactions!$F$7:$F$996,Transactions!$D$7:$D$996,"Expense",Transactions!$E$7:$E$996,A138),"")</f>
        <v/>
      </c>
      <c r="E138" s="76" t="str">
        <f t="shared" si="1"/>
        <v/>
      </c>
      <c r="F138" s="76" t="str">
        <f t="shared" si="2"/>
        <v/>
      </c>
      <c r="G138" s="73"/>
      <c r="H138" s="68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2" t="str">
        <f>IF(A139&lt;&gt;"",SUMIFS(Transactions!$F$7:$F$996,Transactions!$D$7:$D$996,"Income",Transactions!$E$7:$E$996,A139),"")</f>
        <v/>
      </c>
      <c r="D139" s="72" t="str">
        <f>IF(A139&lt;&gt;"",SUMIFS(Transactions!$F$7:$F$996,Transactions!$D$7:$D$996,"Expense",Transactions!$E$7:$E$996,A139),"")</f>
        <v/>
      </c>
      <c r="E139" s="70" t="str">
        <f t="shared" si="1"/>
        <v/>
      </c>
      <c r="F139" s="70" t="str">
        <f t="shared" si="2"/>
        <v/>
      </c>
      <c r="G139" s="73"/>
      <c r="H139" s="68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74" t="str">
        <f>IF(Roster!$A$138&lt;&gt;"",Roster!$A$138,"")</f>
        <v/>
      </c>
      <c r="B140" s="74" t="str">
        <f t="array" ref="B140">IF(A140&lt;&gt;"",IFERROR(SUMPRODUCT((INDEX(Attendance!$B$7:$AZ$206,MATCH(A140,Attendance!$A$7:$A$206,0),0)=1)*Attendance!$B$4:$AZ$4),0),"")</f>
        <v/>
      </c>
      <c r="C140" s="75" t="str">
        <f>IF(A140&lt;&gt;"",SUMIFS(Transactions!$F$7:$F$996,Transactions!$D$7:$D$996,"Income",Transactions!$E$7:$E$996,A140),"")</f>
        <v/>
      </c>
      <c r="D140" s="75" t="str">
        <f>IF(A140&lt;&gt;"",SUMIFS(Transactions!$F$7:$F$996,Transactions!$D$7:$D$996,"Expense",Transactions!$E$7:$E$996,A140),"")</f>
        <v/>
      </c>
      <c r="E140" s="76" t="str">
        <f t="shared" si="1"/>
        <v/>
      </c>
      <c r="F140" s="76" t="str">
        <f t="shared" si="2"/>
        <v/>
      </c>
      <c r="G140" s="73"/>
      <c r="H140" s="68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2" t="str">
        <f>IF(A141&lt;&gt;"",SUMIFS(Transactions!$F$7:$F$996,Transactions!$D$7:$D$996,"Income",Transactions!$E$7:$E$996,A141),"")</f>
        <v/>
      </c>
      <c r="D141" s="72" t="str">
        <f>IF(A141&lt;&gt;"",SUMIFS(Transactions!$F$7:$F$996,Transactions!$D$7:$D$996,"Expense",Transactions!$E$7:$E$996,A141),"")</f>
        <v/>
      </c>
      <c r="E141" s="70" t="str">
        <f t="shared" si="1"/>
        <v/>
      </c>
      <c r="F141" s="70" t="str">
        <f t="shared" si="2"/>
        <v/>
      </c>
      <c r="G141" s="73"/>
      <c r="H141" s="68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74" t="str">
        <f>IF(Roster!$A$140&lt;&gt;"",Roster!$A$140,"")</f>
        <v/>
      </c>
      <c r="B142" s="74" t="str">
        <f t="array" ref="B142">IF(A142&lt;&gt;"",IFERROR(SUMPRODUCT((INDEX(Attendance!$B$7:$AZ$206,MATCH(A142,Attendance!$A$7:$A$206,0),0)=1)*Attendance!$B$4:$AZ$4),0),"")</f>
        <v/>
      </c>
      <c r="C142" s="75" t="str">
        <f>IF(A142&lt;&gt;"",SUMIFS(Transactions!$F$7:$F$996,Transactions!$D$7:$D$996,"Income",Transactions!$E$7:$E$996,A142),"")</f>
        <v/>
      </c>
      <c r="D142" s="75" t="str">
        <f>IF(A142&lt;&gt;"",SUMIFS(Transactions!$F$7:$F$996,Transactions!$D$7:$D$996,"Expense",Transactions!$E$7:$E$996,A142),"")</f>
        <v/>
      </c>
      <c r="E142" s="76" t="str">
        <f t="shared" si="1"/>
        <v/>
      </c>
      <c r="F142" s="76" t="str">
        <f t="shared" si="2"/>
        <v/>
      </c>
      <c r="G142" s="73"/>
      <c r="H142" s="68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2" t="str">
        <f>IF(A143&lt;&gt;"",SUMIFS(Transactions!$F$7:$F$996,Transactions!$D$7:$D$996,"Income",Transactions!$E$7:$E$996,A143),"")</f>
        <v/>
      </c>
      <c r="D143" s="72" t="str">
        <f>IF(A143&lt;&gt;"",SUMIFS(Transactions!$F$7:$F$996,Transactions!$D$7:$D$996,"Expense",Transactions!$E$7:$E$996,A143),"")</f>
        <v/>
      </c>
      <c r="E143" s="70" t="str">
        <f t="shared" si="1"/>
        <v/>
      </c>
      <c r="F143" s="70" t="str">
        <f t="shared" si="2"/>
        <v/>
      </c>
      <c r="G143" s="73"/>
      <c r="H143" s="68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74" t="str">
        <f>IF(Roster!$A$142&lt;&gt;"",Roster!$A$142,"")</f>
        <v/>
      </c>
      <c r="B144" s="74" t="str">
        <f t="array" ref="B144">IF(A144&lt;&gt;"",IFERROR(SUMPRODUCT((INDEX(Attendance!$B$7:$AZ$206,MATCH(A144,Attendance!$A$7:$A$206,0),0)=1)*Attendance!$B$4:$AZ$4),0),"")</f>
        <v/>
      </c>
      <c r="C144" s="75" t="str">
        <f>IF(A144&lt;&gt;"",SUMIFS(Transactions!$F$7:$F$996,Transactions!$D$7:$D$996,"Income",Transactions!$E$7:$E$996,A144),"")</f>
        <v/>
      </c>
      <c r="D144" s="75" t="str">
        <f>IF(A144&lt;&gt;"",SUMIFS(Transactions!$F$7:$F$996,Transactions!$D$7:$D$996,"Expense",Transactions!$E$7:$E$996,A144),"")</f>
        <v/>
      </c>
      <c r="E144" s="76" t="str">
        <f t="shared" si="1"/>
        <v/>
      </c>
      <c r="F144" s="76" t="str">
        <f t="shared" si="2"/>
        <v/>
      </c>
      <c r="G144" s="73"/>
      <c r="H144" s="68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2" t="str">
        <f>IF(A145&lt;&gt;"",SUMIFS(Transactions!$F$7:$F$996,Transactions!$D$7:$D$996,"Income",Transactions!$E$7:$E$996,A145),"")</f>
        <v/>
      </c>
      <c r="D145" s="72" t="str">
        <f>IF(A145&lt;&gt;"",SUMIFS(Transactions!$F$7:$F$996,Transactions!$D$7:$D$996,"Expense",Transactions!$E$7:$E$996,A145),"")</f>
        <v/>
      </c>
      <c r="E145" s="70" t="str">
        <f t="shared" si="1"/>
        <v/>
      </c>
      <c r="F145" s="70" t="str">
        <f t="shared" si="2"/>
        <v/>
      </c>
      <c r="G145" s="73"/>
      <c r="H145" s="68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74" t="str">
        <f>IF(Roster!$A$144&lt;&gt;"",Roster!$A$144,"")</f>
        <v/>
      </c>
      <c r="B146" s="74" t="str">
        <f t="array" ref="B146">IF(A146&lt;&gt;"",IFERROR(SUMPRODUCT((INDEX(Attendance!$B$7:$AZ$206,MATCH(A146,Attendance!$A$7:$A$206,0),0)=1)*Attendance!$B$4:$AZ$4),0),"")</f>
        <v/>
      </c>
      <c r="C146" s="75" t="str">
        <f>IF(A146&lt;&gt;"",SUMIFS(Transactions!$F$7:$F$996,Transactions!$D$7:$D$996,"Income",Transactions!$E$7:$E$996,A146),"")</f>
        <v/>
      </c>
      <c r="D146" s="75" t="str">
        <f>IF(A146&lt;&gt;"",SUMIFS(Transactions!$F$7:$F$996,Transactions!$D$7:$D$996,"Expense",Transactions!$E$7:$E$996,A146),"")</f>
        <v/>
      </c>
      <c r="E146" s="76" t="str">
        <f t="shared" si="1"/>
        <v/>
      </c>
      <c r="F146" s="76" t="str">
        <f t="shared" si="2"/>
        <v/>
      </c>
      <c r="G146" s="73"/>
      <c r="H146" s="68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2" t="str">
        <f>IF(A147&lt;&gt;"",SUMIFS(Transactions!$F$7:$F$996,Transactions!$D$7:$D$996,"Income",Transactions!$E$7:$E$996,A147),"")</f>
        <v/>
      </c>
      <c r="D147" s="72" t="str">
        <f>IF(A147&lt;&gt;"",SUMIFS(Transactions!$F$7:$F$996,Transactions!$D$7:$D$996,"Expense",Transactions!$E$7:$E$996,A147),"")</f>
        <v/>
      </c>
      <c r="E147" s="70" t="str">
        <f t="shared" si="1"/>
        <v/>
      </c>
      <c r="F147" s="70" t="str">
        <f t="shared" si="2"/>
        <v/>
      </c>
      <c r="G147" s="73"/>
      <c r="H147" s="68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74" t="str">
        <f>IF(Roster!$A$146&lt;&gt;"",Roster!$A$146,"")</f>
        <v/>
      </c>
      <c r="B148" s="74" t="str">
        <f t="array" ref="B148">IF(A148&lt;&gt;"",IFERROR(SUMPRODUCT((INDEX(Attendance!$B$7:$AZ$206,MATCH(A148,Attendance!$A$7:$A$206,0),0)=1)*Attendance!$B$4:$AZ$4),0),"")</f>
        <v/>
      </c>
      <c r="C148" s="75" t="str">
        <f>IF(A148&lt;&gt;"",SUMIFS(Transactions!$F$7:$F$996,Transactions!$D$7:$D$996,"Income",Transactions!$E$7:$E$996,A148),"")</f>
        <v/>
      </c>
      <c r="D148" s="75" t="str">
        <f>IF(A148&lt;&gt;"",SUMIFS(Transactions!$F$7:$F$996,Transactions!$D$7:$D$996,"Expense",Transactions!$E$7:$E$996,A148),"")</f>
        <v/>
      </c>
      <c r="E148" s="76" t="str">
        <f t="shared" si="1"/>
        <v/>
      </c>
      <c r="F148" s="76" t="str">
        <f t="shared" si="2"/>
        <v/>
      </c>
      <c r="G148" s="73"/>
      <c r="H148" s="68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2" t="str">
        <f>IF(A149&lt;&gt;"",SUMIFS(Transactions!$F$7:$F$996,Transactions!$D$7:$D$996,"Income",Transactions!$E$7:$E$996,A149),"")</f>
        <v/>
      </c>
      <c r="D149" s="72" t="str">
        <f>IF(A149&lt;&gt;"",SUMIFS(Transactions!$F$7:$F$996,Transactions!$D$7:$D$996,"Expense",Transactions!$E$7:$E$996,A149),"")</f>
        <v/>
      </c>
      <c r="E149" s="70" t="str">
        <f t="shared" si="1"/>
        <v/>
      </c>
      <c r="F149" s="70" t="str">
        <f t="shared" si="2"/>
        <v/>
      </c>
      <c r="G149" s="73"/>
      <c r="H149" s="68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74" t="str">
        <f>IF(Roster!$A$148&lt;&gt;"",Roster!$A$148,"")</f>
        <v/>
      </c>
      <c r="B150" s="74" t="str">
        <f t="array" ref="B150">IF(A150&lt;&gt;"",IFERROR(SUMPRODUCT((INDEX(Attendance!$B$7:$AZ$206,MATCH(A150,Attendance!$A$7:$A$206,0),0)=1)*Attendance!$B$4:$AZ$4),0),"")</f>
        <v/>
      </c>
      <c r="C150" s="75" t="str">
        <f>IF(A150&lt;&gt;"",SUMIFS(Transactions!$F$7:$F$996,Transactions!$D$7:$D$996,"Income",Transactions!$E$7:$E$996,A150),"")</f>
        <v/>
      </c>
      <c r="D150" s="75" t="str">
        <f>IF(A150&lt;&gt;"",SUMIFS(Transactions!$F$7:$F$996,Transactions!$D$7:$D$996,"Expense",Transactions!$E$7:$E$996,A150),"")</f>
        <v/>
      </c>
      <c r="E150" s="76" t="str">
        <f t="shared" si="1"/>
        <v/>
      </c>
      <c r="F150" s="76" t="str">
        <f t="shared" si="2"/>
        <v/>
      </c>
      <c r="G150" s="73"/>
      <c r="H150" s="68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2" t="str">
        <f>IF(A151&lt;&gt;"",SUMIFS(Transactions!$F$7:$F$996,Transactions!$D$7:$D$996,"Income",Transactions!$E$7:$E$996,A151),"")</f>
        <v/>
      </c>
      <c r="D151" s="72" t="str">
        <f>IF(A151&lt;&gt;"",SUMIFS(Transactions!$F$7:$F$996,Transactions!$D$7:$D$996,"Expense",Transactions!$E$7:$E$996,A151),"")</f>
        <v/>
      </c>
      <c r="E151" s="70" t="str">
        <f t="shared" si="1"/>
        <v/>
      </c>
      <c r="F151" s="70" t="str">
        <f t="shared" si="2"/>
        <v/>
      </c>
      <c r="G151" s="73"/>
      <c r="H151" s="68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74" t="str">
        <f>IF(Roster!$A$150&lt;&gt;"",Roster!$A$150,"")</f>
        <v/>
      </c>
      <c r="B152" s="74" t="str">
        <f t="array" ref="B152">IF(A152&lt;&gt;"",IFERROR(SUMPRODUCT((INDEX(Attendance!$B$7:$AZ$206,MATCH(A152,Attendance!$A$7:$A$206,0),0)=1)*Attendance!$B$4:$AZ$4),0),"")</f>
        <v/>
      </c>
      <c r="C152" s="75" t="str">
        <f>IF(A152&lt;&gt;"",SUMIFS(Transactions!$F$7:$F$996,Transactions!$D$7:$D$996,"Income",Transactions!$E$7:$E$996,A152),"")</f>
        <v/>
      </c>
      <c r="D152" s="75" t="str">
        <f>IF(A152&lt;&gt;"",SUMIFS(Transactions!$F$7:$F$996,Transactions!$D$7:$D$996,"Expense",Transactions!$E$7:$E$996,A152),"")</f>
        <v/>
      </c>
      <c r="E152" s="76" t="str">
        <f t="shared" si="1"/>
        <v/>
      </c>
      <c r="F152" s="76" t="str">
        <f t="shared" si="2"/>
        <v/>
      </c>
      <c r="G152" s="73"/>
      <c r="H152" s="68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2" t="str">
        <f>IF(A153&lt;&gt;"",SUMIFS(Transactions!$F$7:$F$996,Transactions!$D$7:$D$996,"Income",Transactions!$E$7:$E$996,A153),"")</f>
        <v/>
      </c>
      <c r="D153" s="72" t="str">
        <f>IF(A153&lt;&gt;"",SUMIFS(Transactions!$F$7:$F$996,Transactions!$D$7:$D$996,"Expense",Transactions!$E$7:$E$996,A153),"")</f>
        <v/>
      </c>
      <c r="E153" s="70" t="str">
        <f t="shared" si="1"/>
        <v/>
      </c>
      <c r="F153" s="70" t="str">
        <f t="shared" si="2"/>
        <v/>
      </c>
      <c r="G153" s="73"/>
      <c r="H153" s="68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74" t="str">
        <f>IF(Roster!$A$152&lt;&gt;"",Roster!$A$152,"")</f>
        <v/>
      </c>
      <c r="B154" s="74" t="str">
        <f t="array" ref="B154">IF(A154&lt;&gt;"",IFERROR(SUMPRODUCT((INDEX(Attendance!$B$7:$AZ$206,MATCH(A154,Attendance!$A$7:$A$206,0),0)=1)*Attendance!$B$4:$AZ$4),0),"")</f>
        <v/>
      </c>
      <c r="C154" s="75" t="str">
        <f>IF(A154&lt;&gt;"",SUMIFS(Transactions!$F$7:$F$996,Transactions!$D$7:$D$996,"Income",Transactions!$E$7:$E$996,A154),"")</f>
        <v/>
      </c>
      <c r="D154" s="75" t="str">
        <f>IF(A154&lt;&gt;"",SUMIFS(Transactions!$F$7:$F$996,Transactions!$D$7:$D$996,"Expense",Transactions!$E$7:$E$996,A154),"")</f>
        <v/>
      </c>
      <c r="E154" s="76" t="str">
        <f t="shared" si="1"/>
        <v/>
      </c>
      <c r="F154" s="76" t="str">
        <f t="shared" si="2"/>
        <v/>
      </c>
      <c r="G154" s="73"/>
      <c r="H154" s="68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2" t="str">
        <f>IF(A155&lt;&gt;"",SUMIFS(Transactions!$F$7:$F$996,Transactions!$D$7:$D$996,"Income",Transactions!$E$7:$E$996,A155),"")</f>
        <v/>
      </c>
      <c r="D155" s="72" t="str">
        <f>IF(A155&lt;&gt;"",SUMIFS(Transactions!$F$7:$F$996,Transactions!$D$7:$D$996,"Expense",Transactions!$E$7:$E$996,A155),"")</f>
        <v/>
      </c>
      <c r="E155" s="70" t="str">
        <f t="shared" si="1"/>
        <v/>
      </c>
      <c r="F155" s="70" t="str">
        <f t="shared" si="2"/>
        <v/>
      </c>
      <c r="G155" s="73"/>
      <c r="H155" s="68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74" t="str">
        <f>IF(Roster!$A$154&lt;&gt;"",Roster!$A$154,"")</f>
        <v/>
      </c>
      <c r="B156" s="74" t="str">
        <f t="array" ref="B156">IF(A156&lt;&gt;"",IFERROR(SUMPRODUCT((INDEX(Attendance!$B$7:$AZ$206,MATCH(A156,Attendance!$A$7:$A$206,0),0)=1)*Attendance!$B$4:$AZ$4),0),"")</f>
        <v/>
      </c>
      <c r="C156" s="75" t="str">
        <f>IF(A156&lt;&gt;"",SUMIFS(Transactions!$F$7:$F$996,Transactions!$D$7:$D$996,"Income",Transactions!$E$7:$E$996,A156),"")</f>
        <v/>
      </c>
      <c r="D156" s="75" t="str">
        <f>IF(A156&lt;&gt;"",SUMIFS(Transactions!$F$7:$F$996,Transactions!$D$7:$D$996,"Expense",Transactions!$E$7:$E$996,A156),"")</f>
        <v/>
      </c>
      <c r="E156" s="76" t="str">
        <f t="shared" si="1"/>
        <v/>
      </c>
      <c r="F156" s="76" t="str">
        <f t="shared" si="2"/>
        <v/>
      </c>
      <c r="G156" s="73"/>
      <c r="H156" s="68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2" t="str">
        <f>IF(A157&lt;&gt;"",SUMIFS(Transactions!$F$7:$F$996,Transactions!$D$7:$D$996,"Income",Transactions!$E$7:$E$996,A157),"")</f>
        <v/>
      </c>
      <c r="D157" s="72" t="str">
        <f>IF(A157&lt;&gt;"",SUMIFS(Transactions!$F$7:$F$996,Transactions!$D$7:$D$996,"Expense",Transactions!$E$7:$E$996,A157),"")</f>
        <v/>
      </c>
      <c r="E157" s="70" t="str">
        <f t="shared" si="1"/>
        <v/>
      </c>
      <c r="F157" s="70" t="str">
        <f t="shared" si="2"/>
        <v/>
      </c>
      <c r="G157" s="73"/>
      <c r="H157" s="68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74" t="str">
        <f>IF(Roster!$A$156&lt;&gt;"",Roster!$A$156,"")</f>
        <v/>
      </c>
      <c r="B158" s="74" t="str">
        <f t="array" ref="B158">IF(A158&lt;&gt;"",IFERROR(SUMPRODUCT((INDEX(Attendance!$B$7:$AZ$206,MATCH(A158,Attendance!$A$7:$A$206,0),0)=1)*Attendance!$B$4:$AZ$4),0),"")</f>
        <v/>
      </c>
      <c r="C158" s="75" t="str">
        <f>IF(A158&lt;&gt;"",SUMIFS(Transactions!$F$7:$F$996,Transactions!$D$7:$D$996,"Income",Transactions!$E$7:$E$996,A158),"")</f>
        <v/>
      </c>
      <c r="D158" s="75" t="str">
        <f>IF(A158&lt;&gt;"",SUMIFS(Transactions!$F$7:$F$996,Transactions!$D$7:$D$996,"Expense",Transactions!$E$7:$E$996,A158),"")</f>
        <v/>
      </c>
      <c r="E158" s="76" t="str">
        <f t="shared" si="1"/>
        <v/>
      </c>
      <c r="F158" s="76" t="str">
        <f t="shared" si="2"/>
        <v/>
      </c>
      <c r="G158" s="73"/>
      <c r="H158" s="68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2" t="str">
        <f>IF(A159&lt;&gt;"",SUMIFS(Transactions!$F$7:$F$996,Transactions!$D$7:$D$996,"Income",Transactions!$E$7:$E$996,A159),"")</f>
        <v/>
      </c>
      <c r="D159" s="72" t="str">
        <f>IF(A159&lt;&gt;"",SUMIFS(Transactions!$F$7:$F$996,Transactions!$D$7:$D$996,"Expense",Transactions!$E$7:$E$996,A159),"")</f>
        <v/>
      </c>
      <c r="E159" s="70" t="str">
        <f t="shared" si="1"/>
        <v/>
      </c>
      <c r="F159" s="70" t="str">
        <f t="shared" si="2"/>
        <v/>
      </c>
      <c r="G159" s="73"/>
      <c r="H159" s="68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74" t="str">
        <f>IF(Roster!$A$158&lt;&gt;"",Roster!$A$158,"")</f>
        <v/>
      </c>
      <c r="B160" s="74" t="str">
        <f t="array" ref="B160">IF(A160&lt;&gt;"",IFERROR(SUMPRODUCT((INDEX(Attendance!$B$7:$AZ$206,MATCH(A160,Attendance!$A$7:$A$206,0),0)=1)*Attendance!$B$4:$AZ$4),0),"")</f>
        <v/>
      </c>
      <c r="C160" s="75" t="str">
        <f>IF(A160&lt;&gt;"",SUMIFS(Transactions!$F$7:$F$996,Transactions!$D$7:$D$996,"Income",Transactions!$E$7:$E$996,A160),"")</f>
        <v/>
      </c>
      <c r="D160" s="75" t="str">
        <f>IF(A160&lt;&gt;"",SUMIFS(Transactions!$F$7:$F$996,Transactions!$D$7:$D$996,"Expense",Transactions!$E$7:$E$996,A160),"")</f>
        <v/>
      </c>
      <c r="E160" s="76" t="str">
        <f t="shared" si="1"/>
        <v/>
      </c>
      <c r="F160" s="76" t="str">
        <f t="shared" si="2"/>
        <v/>
      </c>
      <c r="G160" s="73"/>
      <c r="H160" s="68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2" t="str">
        <f>IF(A161&lt;&gt;"",SUMIFS(Transactions!$F$7:$F$996,Transactions!$D$7:$D$996,"Income",Transactions!$E$7:$E$996,A161),"")</f>
        <v/>
      </c>
      <c r="D161" s="72" t="str">
        <f>IF(A161&lt;&gt;"",SUMIFS(Transactions!$F$7:$F$996,Transactions!$D$7:$D$996,"Expense",Transactions!$E$7:$E$996,A161),"")</f>
        <v/>
      </c>
      <c r="E161" s="70" t="str">
        <f t="shared" si="1"/>
        <v/>
      </c>
      <c r="F161" s="70" t="str">
        <f t="shared" si="2"/>
        <v/>
      </c>
      <c r="G161" s="73"/>
      <c r="H161" s="68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74" t="str">
        <f>IF(Roster!$A$160&lt;&gt;"",Roster!$A$160,"")</f>
        <v/>
      </c>
      <c r="B162" s="74" t="str">
        <f t="array" ref="B162">IF(A162&lt;&gt;"",IFERROR(SUMPRODUCT((INDEX(Attendance!$B$7:$AZ$206,MATCH(A162,Attendance!$A$7:$A$206,0),0)=1)*Attendance!$B$4:$AZ$4),0),"")</f>
        <v/>
      </c>
      <c r="C162" s="75" t="str">
        <f>IF(A162&lt;&gt;"",SUMIFS(Transactions!$F$7:$F$996,Transactions!$D$7:$D$996,"Income",Transactions!$E$7:$E$996,A162),"")</f>
        <v/>
      </c>
      <c r="D162" s="75" t="str">
        <f>IF(A162&lt;&gt;"",SUMIFS(Transactions!$F$7:$F$996,Transactions!$D$7:$D$996,"Expense",Transactions!$E$7:$E$996,A162),"")</f>
        <v/>
      </c>
      <c r="E162" s="76" t="str">
        <f t="shared" si="1"/>
        <v/>
      </c>
      <c r="F162" s="76" t="str">
        <f t="shared" si="2"/>
        <v/>
      </c>
      <c r="G162" s="73"/>
      <c r="H162" s="68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2" t="str">
        <f>IF(A163&lt;&gt;"",SUMIFS(Transactions!$F$7:$F$996,Transactions!$D$7:$D$996,"Income",Transactions!$E$7:$E$996,A163),"")</f>
        <v/>
      </c>
      <c r="D163" s="72" t="str">
        <f>IF(A163&lt;&gt;"",SUMIFS(Transactions!$F$7:$F$996,Transactions!$D$7:$D$996,"Expense",Transactions!$E$7:$E$996,A163),"")</f>
        <v/>
      </c>
      <c r="E163" s="70" t="str">
        <f t="shared" si="1"/>
        <v/>
      </c>
      <c r="F163" s="70" t="str">
        <f t="shared" si="2"/>
        <v/>
      </c>
      <c r="G163" s="73"/>
      <c r="H163" s="68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74" t="str">
        <f>IF(Roster!$A$162&lt;&gt;"",Roster!$A$162,"")</f>
        <v/>
      </c>
      <c r="B164" s="74" t="str">
        <f t="array" ref="B164">IF(A164&lt;&gt;"",IFERROR(SUMPRODUCT((INDEX(Attendance!$B$7:$AZ$206,MATCH(A164,Attendance!$A$7:$A$206,0),0)=1)*Attendance!$B$4:$AZ$4),0),"")</f>
        <v/>
      </c>
      <c r="C164" s="75" t="str">
        <f>IF(A164&lt;&gt;"",SUMIFS(Transactions!$F$7:$F$996,Transactions!$D$7:$D$996,"Income",Transactions!$E$7:$E$996,A164),"")</f>
        <v/>
      </c>
      <c r="D164" s="75" t="str">
        <f>IF(A164&lt;&gt;"",SUMIFS(Transactions!$F$7:$F$996,Transactions!$D$7:$D$996,"Expense",Transactions!$E$7:$E$996,A164),"")</f>
        <v/>
      </c>
      <c r="E164" s="76" t="str">
        <f t="shared" si="1"/>
        <v/>
      </c>
      <c r="F164" s="76" t="str">
        <f t="shared" si="2"/>
        <v/>
      </c>
      <c r="G164" s="73"/>
      <c r="H164" s="68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2" t="str">
        <f>IF(A165&lt;&gt;"",SUMIFS(Transactions!$F$7:$F$996,Transactions!$D$7:$D$996,"Income",Transactions!$E$7:$E$996,A165),"")</f>
        <v/>
      </c>
      <c r="D165" s="72" t="str">
        <f>IF(A165&lt;&gt;"",SUMIFS(Transactions!$F$7:$F$996,Transactions!$D$7:$D$996,"Expense",Transactions!$E$7:$E$996,A165),"")</f>
        <v/>
      </c>
      <c r="E165" s="70" t="str">
        <f t="shared" si="1"/>
        <v/>
      </c>
      <c r="F165" s="70" t="str">
        <f t="shared" si="2"/>
        <v/>
      </c>
      <c r="G165" s="73"/>
      <c r="H165" s="68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74" t="str">
        <f>IF(Roster!$A$164&lt;&gt;"",Roster!$A$164,"")</f>
        <v/>
      </c>
      <c r="B166" s="74" t="str">
        <f t="array" ref="B166">IF(A166&lt;&gt;"",IFERROR(SUMPRODUCT((INDEX(Attendance!$B$7:$AZ$206,MATCH(A166,Attendance!$A$7:$A$206,0),0)=1)*Attendance!$B$4:$AZ$4),0),"")</f>
        <v/>
      </c>
      <c r="C166" s="75" t="str">
        <f>IF(A166&lt;&gt;"",SUMIFS(Transactions!$F$7:$F$996,Transactions!$D$7:$D$996,"Income",Transactions!$E$7:$E$996,A166),"")</f>
        <v/>
      </c>
      <c r="D166" s="75" t="str">
        <f>IF(A166&lt;&gt;"",SUMIFS(Transactions!$F$7:$F$996,Transactions!$D$7:$D$996,"Expense",Transactions!$E$7:$E$996,A166),"")</f>
        <v/>
      </c>
      <c r="E166" s="76" t="str">
        <f t="shared" si="1"/>
        <v/>
      </c>
      <c r="F166" s="76" t="str">
        <f t="shared" si="2"/>
        <v/>
      </c>
      <c r="G166" s="73"/>
      <c r="H166" s="68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2" t="str">
        <f>IF(A167&lt;&gt;"",SUMIFS(Transactions!$F$7:$F$996,Transactions!$D$7:$D$996,"Income",Transactions!$E$7:$E$996,A167),"")</f>
        <v/>
      </c>
      <c r="D167" s="72" t="str">
        <f>IF(A167&lt;&gt;"",SUMIFS(Transactions!$F$7:$F$996,Transactions!$D$7:$D$996,"Expense",Transactions!$E$7:$E$996,A167),"")</f>
        <v/>
      </c>
      <c r="E167" s="70" t="str">
        <f t="shared" si="1"/>
        <v/>
      </c>
      <c r="F167" s="70" t="str">
        <f t="shared" si="2"/>
        <v/>
      </c>
      <c r="G167" s="73"/>
      <c r="H167" s="68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74" t="str">
        <f>IF(Roster!$A$166&lt;&gt;"",Roster!$A$166,"")</f>
        <v/>
      </c>
      <c r="B168" s="74" t="str">
        <f t="array" ref="B168">IF(A168&lt;&gt;"",IFERROR(SUMPRODUCT((INDEX(Attendance!$B$7:$AZ$206,MATCH(A168,Attendance!$A$7:$A$206,0),0)=1)*Attendance!$B$4:$AZ$4),0),"")</f>
        <v/>
      </c>
      <c r="C168" s="75" t="str">
        <f>IF(A168&lt;&gt;"",SUMIFS(Transactions!$F$7:$F$996,Transactions!$D$7:$D$996,"Income",Transactions!$E$7:$E$996,A168),"")</f>
        <v/>
      </c>
      <c r="D168" s="75" t="str">
        <f>IF(A168&lt;&gt;"",SUMIFS(Transactions!$F$7:$F$996,Transactions!$D$7:$D$996,"Expense",Transactions!$E$7:$E$996,A168),"")</f>
        <v/>
      </c>
      <c r="E168" s="76" t="str">
        <f t="shared" si="1"/>
        <v/>
      </c>
      <c r="F168" s="76" t="str">
        <f t="shared" si="2"/>
        <v/>
      </c>
      <c r="G168" s="73"/>
      <c r="H168" s="68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2" t="str">
        <f>IF(A169&lt;&gt;"",SUMIFS(Transactions!$F$7:$F$996,Transactions!$D$7:$D$996,"Income",Transactions!$E$7:$E$996,A169),"")</f>
        <v/>
      </c>
      <c r="D169" s="72" t="str">
        <f>IF(A169&lt;&gt;"",SUMIFS(Transactions!$F$7:$F$996,Transactions!$D$7:$D$996,"Expense",Transactions!$E$7:$E$996,A169),"")</f>
        <v/>
      </c>
      <c r="E169" s="70" t="str">
        <f t="shared" si="1"/>
        <v/>
      </c>
      <c r="F169" s="70" t="str">
        <f t="shared" si="2"/>
        <v/>
      </c>
      <c r="G169" s="73"/>
      <c r="H169" s="68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74" t="str">
        <f>IF(Roster!$A$168&lt;&gt;"",Roster!$A$168,"")</f>
        <v/>
      </c>
      <c r="B170" s="74" t="str">
        <f t="array" ref="B170">IF(A170&lt;&gt;"",IFERROR(SUMPRODUCT((INDEX(Attendance!$B$7:$AZ$206,MATCH(A170,Attendance!$A$7:$A$206,0),0)=1)*Attendance!$B$4:$AZ$4),0),"")</f>
        <v/>
      </c>
      <c r="C170" s="75" t="str">
        <f>IF(A170&lt;&gt;"",SUMIFS(Transactions!$F$7:$F$996,Transactions!$D$7:$D$996,"Income",Transactions!$E$7:$E$996,A170),"")</f>
        <v/>
      </c>
      <c r="D170" s="75" t="str">
        <f>IF(A170&lt;&gt;"",SUMIFS(Transactions!$F$7:$F$996,Transactions!$D$7:$D$996,"Expense",Transactions!$E$7:$E$996,A170),"")</f>
        <v/>
      </c>
      <c r="E170" s="76" t="str">
        <f t="shared" si="1"/>
        <v/>
      </c>
      <c r="F170" s="76" t="str">
        <f t="shared" si="2"/>
        <v/>
      </c>
      <c r="G170" s="73"/>
      <c r="H170" s="68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2" t="str">
        <f>IF(A171&lt;&gt;"",SUMIFS(Transactions!$F$7:$F$996,Transactions!$D$7:$D$996,"Income",Transactions!$E$7:$E$996,A171),"")</f>
        <v/>
      </c>
      <c r="D171" s="72" t="str">
        <f>IF(A171&lt;&gt;"",SUMIFS(Transactions!$F$7:$F$996,Transactions!$D$7:$D$996,"Expense",Transactions!$E$7:$E$996,A171),"")</f>
        <v/>
      </c>
      <c r="E171" s="70" t="str">
        <f t="shared" si="1"/>
        <v/>
      </c>
      <c r="F171" s="70" t="str">
        <f t="shared" si="2"/>
        <v/>
      </c>
      <c r="G171" s="73"/>
      <c r="H171" s="68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74" t="str">
        <f>IF(Roster!$A$170&lt;&gt;"",Roster!$A$170,"")</f>
        <v/>
      </c>
      <c r="B172" s="74" t="str">
        <f t="array" ref="B172">IF(A172&lt;&gt;"",IFERROR(SUMPRODUCT((INDEX(Attendance!$B$7:$AZ$206,MATCH(A172,Attendance!$A$7:$A$206,0),0)=1)*Attendance!$B$4:$AZ$4),0),"")</f>
        <v/>
      </c>
      <c r="C172" s="75" t="str">
        <f>IF(A172&lt;&gt;"",SUMIFS(Transactions!$F$7:$F$996,Transactions!$D$7:$D$996,"Income",Transactions!$E$7:$E$996,A172),"")</f>
        <v/>
      </c>
      <c r="D172" s="75" t="str">
        <f>IF(A172&lt;&gt;"",SUMIFS(Transactions!$F$7:$F$996,Transactions!$D$7:$D$996,"Expense",Transactions!$E$7:$E$996,A172),"")</f>
        <v/>
      </c>
      <c r="E172" s="76" t="str">
        <f t="shared" si="1"/>
        <v/>
      </c>
      <c r="F172" s="76" t="str">
        <f t="shared" si="2"/>
        <v/>
      </c>
      <c r="G172" s="73"/>
      <c r="H172" s="68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2" t="str">
        <f>IF(A173&lt;&gt;"",SUMIFS(Transactions!$F$7:$F$996,Transactions!$D$7:$D$996,"Income",Transactions!$E$7:$E$996,A173),"")</f>
        <v/>
      </c>
      <c r="D173" s="72" t="str">
        <f>IF(A173&lt;&gt;"",SUMIFS(Transactions!$F$7:$F$996,Transactions!$D$7:$D$996,"Expense",Transactions!$E$7:$E$996,A173),"")</f>
        <v/>
      </c>
      <c r="E173" s="70" t="str">
        <f t="shared" si="1"/>
        <v/>
      </c>
      <c r="F173" s="70" t="str">
        <f t="shared" si="2"/>
        <v/>
      </c>
      <c r="G173" s="73"/>
      <c r="H173" s="68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74" t="str">
        <f>IF(Roster!$A$172&lt;&gt;"",Roster!$A$172,"")</f>
        <v/>
      </c>
      <c r="B174" s="74" t="str">
        <f t="array" ref="B174">IF(A174&lt;&gt;"",IFERROR(SUMPRODUCT((INDEX(Attendance!$B$7:$AZ$206,MATCH(A174,Attendance!$A$7:$A$206,0),0)=1)*Attendance!$B$4:$AZ$4),0),"")</f>
        <v/>
      </c>
      <c r="C174" s="75" t="str">
        <f>IF(A174&lt;&gt;"",SUMIFS(Transactions!$F$7:$F$996,Transactions!$D$7:$D$996,"Income",Transactions!$E$7:$E$996,A174),"")</f>
        <v/>
      </c>
      <c r="D174" s="75" t="str">
        <f>IF(A174&lt;&gt;"",SUMIFS(Transactions!$F$7:$F$996,Transactions!$D$7:$D$996,"Expense",Transactions!$E$7:$E$996,A174),"")</f>
        <v/>
      </c>
      <c r="E174" s="76" t="str">
        <f t="shared" si="1"/>
        <v/>
      </c>
      <c r="F174" s="76" t="str">
        <f t="shared" si="2"/>
        <v/>
      </c>
      <c r="G174" s="73"/>
      <c r="H174" s="68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2" t="str">
        <f>IF(A175&lt;&gt;"",SUMIFS(Transactions!$F$7:$F$996,Transactions!$D$7:$D$996,"Income",Transactions!$E$7:$E$996,A175),"")</f>
        <v/>
      </c>
      <c r="D175" s="72" t="str">
        <f>IF(A175&lt;&gt;"",SUMIFS(Transactions!$F$7:$F$996,Transactions!$D$7:$D$996,"Expense",Transactions!$E$7:$E$996,A175),"")</f>
        <v/>
      </c>
      <c r="E175" s="70" t="str">
        <f t="shared" si="1"/>
        <v/>
      </c>
      <c r="F175" s="70" t="str">
        <f t="shared" si="2"/>
        <v/>
      </c>
      <c r="G175" s="73"/>
      <c r="H175" s="68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74" t="str">
        <f>IF(Roster!$A$174&lt;&gt;"",Roster!$A$174,"")</f>
        <v/>
      </c>
      <c r="B176" s="74" t="str">
        <f t="array" ref="B176">IF(A176&lt;&gt;"",IFERROR(SUMPRODUCT((INDEX(Attendance!$B$7:$AZ$206,MATCH(A176,Attendance!$A$7:$A$206,0),0)=1)*Attendance!$B$4:$AZ$4),0),"")</f>
        <v/>
      </c>
      <c r="C176" s="75" t="str">
        <f>IF(A176&lt;&gt;"",SUMIFS(Transactions!$F$7:$F$996,Transactions!$D$7:$D$996,"Income",Transactions!$E$7:$E$996,A176),"")</f>
        <v/>
      </c>
      <c r="D176" s="75" t="str">
        <f>IF(A176&lt;&gt;"",SUMIFS(Transactions!$F$7:$F$996,Transactions!$D$7:$D$996,"Expense",Transactions!$E$7:$E$996,A176),"")</f>
        <v/>
      </c>
      <c r="E176" s="76" t="str">
        <f t="shared" si="1"/>
        <v/>
      </c>
      <c r="F176" s="76" t="str">
        <f t="shared" si="2"/>
        <v/>
      </c>
      <c r="G176" s="73"/>
      <c r="H176" s="68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2" t="str">
        <f>IF(A177&lt;&gt;"",SUMIFS(Transactions!$F$7:$F$996,Transactions!$D$7:$D$996,"Income",Transactions!$E$7:$E$996,A177),"")</f>
        <v/>
      </c>
      <c r="D177" s="72" t="str">
        <f>IF(A177&lt;&gt;"",SUMIFS(Transactions!$F$7:$F$996,Transactions!$D$7:$D$996,"Expense",Transactions!$E$7:$E$996,A177),"")</f>
        <v/>
      </c>
      <c r="E177" s="70" t="str">
        <f t="shared" si="1"/>
        <v/>
      </c>
      <c r="F177" s="70" t="str">
        <f t="shared" si="2"/>
        <v/>
      </c>
      <c r="G177" s="73"/>
      <c r="H177" s="68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74" t="str">
        <f>IF(Roster!$A$176&lt;&gt;"",Roster!$A$176,"")</f>
        <v/>
      </c>
      <c r="B178" s="74" t="str">
        <f t="array" ref="B178">IF(A178&lt;&gt;"",IFERROR(SUMPRODUCT((INDEX(Attendance!$B$7:$AZ$206,MATCH(A178,Attendance!$A$7:$A$206,0),0)=1)*Attendance!$B$4:$AZ$4),0),"")</f>
        <v/>
      </c>
      <c r="C178" s="75" t="str">
        <f>IF(A178&lt;&gt;"",SUMIFS(Transactions!$F$7:$F$996,Transactions!$D$7:$D$996,"Income",Transactions!$E$7:$E$996,A178),"")</f>
        <v/>
      </c>
      <c r="D178" s="75" t="str">
        <f>IF(A178&lt;&gt;"",SUMIFS(Transactions!$F$7:$F$996,Transactions!$D$7:$D$996,"Expense",Transactions!$E$7:$E$996,A178),"")</f>
        <v/>
      </c>
      <c r="E178" s="76" t="str">
        <f t="shared" si="1"/>
        <v/>
      </c>
      <c r="F178" s="76" t="str">
        <f t="shared" si="2"/>
        <v/>
      </c>
      <c r="G178" s="73"/>
      <c r="H178" s="68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2" t="str">
        <f>IF(A179&lt;&gt;"",SUMIFS(Transactions!$F$7:$F$996,Transactions!$D$7:$D$996,"Income",Transactions!$E$7:$E$996,A179),"")</f>
        <v/>
      </c>
      <c r="D179" s="72" t="str">
        <f>IF(A179&lt;&gt;"",SUMIFS(Transactions!$F$7:$F$996,Transactions!$D$7:$D$996,"Expense",Transactions!$E$7:$E$996,A179),"")</f>
        <v/>
      </c>
      <c r="E179" s="70" t="str">
        <f t="shared" si="1"/>
        <v/>
      </c>
      <c r="F179" s="70" t="str">
        <f t="shared" si="2"/>
        <v/>
      </c>
      <c r="G179" s="73"/>
      <c r="H179" s="68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74" t="str">
        <f>IF(Roster!$A$178&lt;&gt;"",Roster!$A$178,"")</f>
        <v/>
      </c>
      <c r="B180" s="74" t="str">
        <f t="array" ref="B180">IF(A180&lt;&gt;"",IFERROR(SUMPRODUCT((INDEX(Attendance!$B$7:$AZ$206,MATCH(A180,Attendance!$A$7:$A$206,0),0)=1)*Attendance!$B$4:$AZ$4),0),"")</f>
        <v/>
      </c>
      <c r="C180" s="75" t="str">
        <f>IF(A180&lt;&gt;"",SUMIFS(Transactions!$F$7:$F$996,Transactions!$D$7:$D$996,"Income",Transactions!$E$7:$E$996,A180),"")</f>
        <v/>
      </c>
      <c r="D180" s="75" t="str">
        <f>IF(A180&lt;&gt;"",SUMIFS(Transactions!$F$7:$F$996,Transactions!$D$7:$D$996,"Expense",Transactions!$E$7:$E$996,A180),"")</f>
        <v/>
      </c>
      <c r="E180" s="76" t="str">
        <f t="shared" si="1"/>
        <v/>
      </c>
      <c r="F180" s="76" t="str">
        <f t="shared" si="2"/>
        <v/>
      </c>
      <c r="G180" s="73"/>
      <c r="H180" s="68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2" t="str">
        <f>IF(A181&lt;&gt;"",SUMIFS(Transactions!$F$7:$F$996,Transactions!$D$7:$D$996,"Income",Transactions!$E$7:$E$996,A181),"")</f>
        <v/>
      </c>
      <c r="D181" s="72" t="str">
        <f>IF(A181&lt;&gt;"",SUMIFS(Transactions!$F$7:$F$996,Transactions!$D$7:$D$996,"Expense",Transactions!$E$7:$E$996,A181),"")</f>
        <v/>
      </c>
      <c r="E181" s="70" t="str">
        <f t="shared" si="1"/>
        <v/>
      </c>
      <c r="F181" s="70" t="str">
        <f t="shared" si="2"/>
        <v/>
      </c>
      <c r="G181" s="73"/>
      <c r="H181" s="68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74" t="str">
        <f>IF(Roster!$A$180&lt;&gt;"",Roster!$A$180,"")</f>
        <v/>
      </c>
      <c r="B182" s="74" t="str">
        <f t="array" ref="B182">IF(A182&lt;&gt;"",IFERROR(SUMPRODUCT((INDEX(Attendance!$B$7:$AZ$206,MATCH(A182,Attendance!$A$7:$A$206,0),0)=1)*Attendance!$B$4:$AZ$4),0),"")</f>
        <v/>
      </c>
      <c r="C182" s="75" t="str">
        <f>IF(A182&lt;&gt;"",SUMIFS(Transactions!$F$7:$F$996,Transactions!$D$7:$D$996,"Income",Transactions!$E$7:$E$996,A182),"")</f>
        <v/>
      </c>
      <c r="D182" s="75" t="str">
        <f>IF(A182&lt;&gt;"",SUMIFS(Transactions!$F$7:$F$996,Transactions!$D$7:$D$996,"Expense",Transactions!$E$7:$E$996,A182),"")</f>
        <v/>
      </c>
      <c r="E182" s="76" t="str">
        <f t="shared" si="1"/>
        <v/>
      </c>
      <c r="F182" s="76" t="str">
        <f t="shared" si="2"/>
        <v/>
      </c>
      <c r="G182" s="73"/>
      <c r="H182" s="68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2" t="str">
        <f>IF(A183&lt;&gt;"",SUMIFS(Transactions!$F$7:$F$996,Transactions!$D$7:$D$996,"Income",Transactions!$E$7:$E$996,A183),"")</f>
        <v/>
      </c>
      <c r="D183" s="72" t="str">
        <f>IF(A183&lt;&gt;"",SUMIFS(Transactions!$F$7:$F$996,Transactions!$D$7:$D$996,"Expense",Transactions!$E$7:$E$996,A183),"")</f>
        <v/>
      </c>
      <c r="E183" s="70" t="str">
        <f t="shared" si="1"/>
        <v/>
      </c>
      <c r="F183" s="70" t="str">
        <f t="shared" si="2"/>
        <v/>
      </c>
      <c r="G183" s="73"/>
      <c r="H183" s="68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74" t="str">
        <f>IF(Roster!$A$182&lt;&gt;"",Roster!$A$182,"")</f>
        <v/>
      </c>
      <c r="B184" s="74" t="str">
        <f t="array" ref="B184">IF(A184&lt;&gt;"",IFERROR(SUMPRODUCT((INDEX(Attendance!$B$7:$AZ$206,MATCH(A184,Attendance!$A$7:$A$206,0),0)=1)*Attendance!$B$4:$AZ$4),0),"")</f>
        <v/>
      </c>
      <c r="C184" s="75" t="str">
        <f>IF(A184&lt;&gt;"",SUMIFS(Transactions!$F$7:$F$996,Transactions!$D$7:$D$996,"Income",Transactions!$E$7:$E$996,A184),"")</f>
        <v/>
      </c>
      <c r="D184" s="75" t="str">
        <f>IF(A184&lt;&gt;"",SUMIFS(Transactions!$F$7:$F$996,Transactions!$D$7:$D$996,"Expense",Transactions!$E$7:$E$996,A184),"")</f>
        <v/>
      </c>
      <c r="E184" s="76" t="str">
        <f t="shared" si="1"/>
        <v/>
      </c>
      <c r="F184" s="76" t="str">
        <f t="shared" si="2"/>
        <v/>
      </c>
      <c r="G184" s="73"/>
      <c r="H184" s="68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2" t="str">
        <f>IF(A185&lt;&gt;"",SUMIFS(Transactions!$F$7:$F$996,Transactions!$D$7:$D$996,"Income",Transactions!$E$7:$E$996,A185),"")</f>
        <v/>
      </c>
      <c r="D185" s="72" t="str">
        <f>IF(A185&lt;&gt;"",SUMIFS(Transactions!$F$7:$F$996,Transactions!$D$7:$D$996,"Expense",Transactions!$E$7:$E$996,A185),"")</f>
        <v/>
      </c>
      <c r="E185" s="70" t="str">
        <f t="shared" si="1"/>
        <v/>
      </c>
      <c r="F185" s="70" t="str">
        <f t="shared" si="2"/>
        <v/>
      </c>
      <c r="G185" s="73"/>
      <c r="H185" s="68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74" t="str">
        <f>IF(Roster!$A$184&lt;&gt;"",Roster!$A$184,"")</f>
        <v/>
      </c>
      <c r="B186" s="74" t="str">
        <f t="array" ref="B186">IF(A186&lt;&gt;"",IFERROR(SUMPRODUCT((INDEX(Attendance!$B$7:$AZ$206,MATCH(A186,Attendance!$A$7:$A$206,0),0)=1)*Attendance!$B$4:$AZ$4),0),"")</f>
        <v/>
      </c>
      <c r="C186" s="75" t="str">
        <f>IF(A186&lt;&gt;"",SUMIFS(Transactions!$F$7:$F$996,Transactions!$D$7:$D$996,"Income",Transactions!$E$7:$E$996,A186),"")</f>
        <v/>
      </c>
      <c r="D186" s="75" t="str">
        <f>IF(A186&lt;&gt;"",SUMIFS(Transactions!$F$7:$F$996,Transactions!$D$7:$D$996,"Expense",Transactions!$E$7:$E$996,A186),"")</f>
        <v/>
      </c>
      <c r="E186" s="76" t="str">
        <f t="shared" si="1"/>
        <v/>
      </c>
      <c r="F186" s="76" t="str">
        <f t="shared" si="2"/>
        <v/>
      </c>
      <c r="G186" s="73"/>
      <c r="H186" s="68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2" t="str">
        <f>IF(A187&lt;&gt;"",SUMIFS(Transactions!$F$7:$F$996,Transactions!$D$7:$D$996,"Income",Transactions!$E$7:$E$996,A187),"")</f>
        <v/>
      </c>
      <c r="D187" s="72" t="str">
        <f>IF(A187&lt;&gt;"",SUMIFS(Transactions!$F$7:$F$996,Transactions!$D$7:$D$996,"Expense",Transactions!$E$7:$E$996,A187),"")</f>
        <v/>
      </c>
      <c r="E187" s="70" t="str">
        <f t="shared" si="1"/>
        <v/>
      </c>
      <c r="F187" s="70" t="str">
        <f t="shared" si="2"/>
        <v/>
      </c>
      <c r="G187" s="73"/>
      <c r="H187" s="68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74" t="str">
        <f>IF(Roster!$A$186&lt;&gt;"",Roster!$A$186,"")</f>
        <v/>
      </c>
      <c r="B188" s="74" t="str">
        <f t="array" ref="B188">IF(A188&lt;&gt;"",IFERROR(SUMPRODUCT((INDEX(Attendance!$B$7:$AZ$206,MATCH(A188,Attendance!$A$7:$A$206,0),0)=1)*Attendance!$B$4:$AZ$4),0),"")</f>
        <v/>
      </c>
      <c r="C188" s="75" t="str">
        <f>IF(A188&lt;&gt;"",SUMIFS(Transactions!$F$7:$F$996,Transactions!$D$7:$D$996,"Income",Transactions!$E$7:$E$996,A188),"")</f>
        <v/>
      </c>
      <c r="D188" s="75" t="str">
        <f>IF(A188&lt;&gt;"",SUMIFS(Transactions!$F$7:$F$996,Transactions!$D$7:$D$996,"Expense",Transactions!$E$7:$E$996,A188),"")</f>
        <v/>
      </c>
      <c r="E188" s="76" t="str">
        <f t="shared" si="1"/>
        <v/>
      </c>
      <c r="F188" s="76" t="str">
        <f t="shared" si="2"/>
        <v/>
      </c>
      <c r="G188" s="73"/>
      <c r="H188" s="68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2" t="str">
        <f>IF(A189&lt;&gt;"",SUMIFS(Transactions!$F$7:$F$996,Transactions!$D$7:$D$996,"Income",Transactions!$E$7:$E$996,A189),"")</f>
        <v/>
      </c>
      <c r="D189" s="72" t="str">
        <f>IF(A189&lt;&gt;"",SUMIFS(Transactions!$F$7:$F$996,Transactions!$D$7:$D$996,"Expense",Transactions!$E$7:$E$996,A189),"")</f>
        <v/>
      </c>
      <c r="E189" s="70" t="str">
        <f t="shared" si="1"/>
        <v/>
      </c>
      <c r="F189" s="70" t="str">
        <f t="shared" si="2"/>
        <v/>
      </c>
      <c r="G189" s="73"/>
      <c r="H189" s="68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74" t="str">
        <f>IF(Roster!$A$188&lt;&gt;"",Roster!$A$188,"")</f>
        <v/>
      </c>
      <c r="B190" s="74" t="str">
        <f t="array" ref="B190">IF(A190&lt;&gt;"",IFERROR(SUMPRODUCT((INDEX(Attendance!$B$7:$AZ$206,MATCH(A190,Attendance!$A$7:$A$206,0),0)=1)*Attendance!$B$4:$AZ$4),0),"")</f>
        <v/>
      </c>
      <c r="C190" s="75" t="str">
        <f>IF(A190&lt;&gt;"",SUMIFS(Transactions!$F$7:$F$996,Transactions!$D$7:$D$996,"Income",Transactions!$E$7:$E$996,A190),"")</f>
        <v/>
      </c>
      <c r="D190" s="75" t="str">
        <f>IF(A190&lt;&gt;"",SUMIFS(Transactions!$F$7:$F$996,Transactions!$D$7:$D$996,"Expense",Transactions!$E$7:$E$996,A190),"")</f>
        <v/>
      </c>
      <c r="E190" s="76" t="str">
        <f t="shared" si="1"/>
        <v/>
      </c>
      <c r="F190" s="76" t="str">
        <f t="shared" si="2"/>
        <v/>
      </c>
      <c r="G190" s="73"/>
      <c r="H190" s="68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2" t="str">
        <f>IF(A191&lt;&gt;"",SUMIFS(Transactions!$F$7:$F$996,Transactions!$D$7:$D$996,"Income",Transactions!$E$7:$E$996,A191),"")</f>
        <v/>
      </c>
      <c r="D191" s="72" t="str">
        <f>IF(A191&lt;&gt;"",SUMIFS(Transactions!$F$7:$F$996,Transactions!$D$7:$D$996,"Expense",Transactions!$E$7:$E$996,A191),"")</f>
        <v/>
      </c>
      <c r="E191" s="70" t="str">
        <f t="shared" si="1"/>
        <v/>
      </c>
      <c r="F191" s="70" t="str">
        <f t="shared" si="2"/>
        <v/>
      </c>
      <c r="G191" s="73"/>
      <c r="H191" s="68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74" t="str">
        <f>IF(Roster!$A$190&lt;&gt;"",Roster!$A$190,"")</f>
        <v/>
      </c>
      <c r="B192" s="74" t="str">
        <f t="array" ref="B192">IF(A192&lt;&gt;"",IFERROR(SUMPRODUCT((INDEX(Attendance!$B$7:$AZ$206,MATCH(A192,Attendance!$A$7:$A$206,0),0)=1)*Attendance!$B$4:$AZ$4),0),"")</f>
        <v/>
      </c>
      <c r="C192" s="75" t="str">
        <f>IF(A192&lt;&gt;"",SUMIFS(Transactions!$F$7:$F$996,Transactions!$D$7:$D$996,"Income",Transactions!$E$7:$E$996,A192),"")</f>
        <v/>
      </c>
      <c r="D192" s="75" t="str">
        <f>IF(A192&lt;&gt;"",SUMIFS(Transactions!$F$7:$F$996,Transactions!$D$7:$D$996,"Expense",Transactions!$E$7:$E$996,A192),"")</f>
        <v/>
      </c>
      <c r="E192" s="76" t="str">
        <f t="shared" si="1"/>
        <v/>
      </c>
      <c r="F192" s="76" t="str">
        <f t="shared" si="2"/>
        <v/>
      </c>
      <c r="G192" s="73"/>
      <c r="H192" s="68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2" t="str">
        <f>IF(A193&lt;&gt;"",SUMIFS(Transactions!$F$7:$F$996,Transactions!$D$7:$D$996,"Income",Transactions!$E$7:$E$996,A193),"")</f>
        <v/>
      </c>
      <c r="D193" s="72" t="str">
        <f>IF(A193&lt;&gt;"",SUMIFS(Transactions!$F$7:$F$996,Transactions!$D$7:$D$996,"Expense",Transactions!$E$7:$E$996,A193),"")</f>
        <v/>
      </c>
      <c r="E193" s="70" t="str">
        <f t="shared" si="1"/>
        <v/>
      </c>
      <c r="F193" s="70" t="str">
        <f t="shared" si="2"/>
        <v/>
      </c>
      <c r="G193" s="73"/>
      <c r="H193" s="68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74" t="str">
        <f>IF(Roster!$A$192&lt;&gt;"",Roster!$A$192,"")</f>
        <v/>
      </c>
      <c r="B194" s="74" t="str">
        <f t="array" ref="B194">IF(A194&lt;&gt;"",IFERROR(SUMPRODUCT((INDEX(Attendance!$B$7:$AZ$206,MATCH(A194,Attendance!$A$7:$A$206,0),0)=1)*Attendance!$B$4:$AZ$4),0),"")</f>
        <v/>
      </c>
      <c r="C194" s="75" t="str">
        <f>IF(A194&lt;&gt;"",SUMIFS(Transactions!$F$7:$F$996,Transactions!$D$7:$D$996,"Income",Transactions!$E$7:$E$996,A194),"")</f>
        <v/>
      </c>
      <c r="D194" s="75" t="str">
        <f>IF(A194&lt;&gt;"",SUMIFS(Transactions!$F$7:$F$996,Transactions!$D$7:$D$996,"Expense",Transactions!$E$7:$E$996,A194),"")</f>
        <v/>
      </c>
      <c r="E194" s="76" t="str">
        <f t="shared" si="1"/>
        <v/>
      </c>
      <c r="F194" s="76" t="str">
        <f t="shared" si="2"/>
        <v/>
      </c>
      <c r="G194" s="73"/>
      <c r="H194" s="68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2" t="str">
        <f>IF(A195&lt;&gt;"",SUMIFS(Transactions!$F$7:$F$996,Transactions!$D$7:$D$996,"Income",Transactions!$E$7:$E$996,A195),"")</f>
        <v/>
      </c>
      <c r="D195" s="72" t="str">
        <f>IF(A195&lt;&gt;"",SUMIFS(Transactions!$F$7:$F$996,Transactions!$D$7:$D$996,"Expense",Transactions!$E$7:$E$996,A195),"")</f>
        <v/>
      </c>
      <c r="E195" s="70" t="str">
        <f t="shared" si="1"/>
        <v/>
      </c>
      <c r="F195" s="70" t="str">
        <f t="shared" si="2"/>
        <v/>
      </c>
      <c r="G195" s="73"/>
      <c r="H195" s="68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74" t="str">
        <f>IF(Roster!$A$194&lt;&gt;"",Roster!$A$194,"")</f>
        <v/>
      </c>
      <c r="B196" s="74" t="str">
        <f t="array" ref="B196">IF(A196&lt;&gt;"",IFERROR(SUMPRODUCT((INDEX(Attendance!$B$7:$AZ$206,MATCH(A196,Attendance!$A$7:$A$206,0),0)=1)*Attendance!$B$4:$AZ$4),0),"")</f>
        <v/>
      </c>
      <c r="C196" s="75" t="str">
        <f>IF(A196&lt;&gt;"",SUMIFS(Transactions!$F$7:$F$996,Transactions!$D$7:$D$996,"Income",Transactions!$E$7:$E$996,A196),"")</f>
        <v/>
      </c>
      <c r="D196" s="75" t="str">
        <f>IF(A196&lt;&gt;"",SUMIFS(Transactions!$F$7:$F$996,Transactions!$D$7:$D$996,"Expense",Transactions!$E$7:$E$996,A196),"")</f>
        <v/>
      </c>
      <c r="E196" s="76" t="str">
        <f t="shared" si="1"/>
        <v/>
      </c>
      <c r="F196" s="76" t="str">
        <f t="shared" si="2"/>
        <v/>
      </c>
      <c r="G196" s="73"/>
      <c r="H196" s="68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2" t="str">
        <f>IF(A197&lt;&gt;"",SUMIFS(Transactions!$F$7:$F$996,Transactions!$D$7:$D$996,"Income",Transactions!$E$7:$E$996,A197),"")</f>
        <v/>
      </c>
      <c r="D197" s="72" t="str">
        <f>IF(A197&lt;&gt;"",SUMIFS(Transactions!$F$7:$F$996,Transactions!$D$7:$D$996,"Expense",Transactions!$E$7:$E$996,A197),"")</f>
        <v/>
      </c>
      <c r="E197" s="70" t="str">
        <f t="shared" si="1"/>
        <v/>
      </c>
      <c r="F197" s="70" t="str">
        <f t="shared" si="2"/>
        <v/>
      </c>
      <c r="G197" s="73"/>
      <c r="H197" s="68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74" t="str">
        <f>IF(Roster!$A$196&lt;&gt;"",Roster!$A$196,"")</f>
        <v/>
      </c>
      <c r="B198" s="74" t="str">
        <f t="array" ref="B198">IF(A198&lt;&gt;"",IFERROR(SUMPRODUCT((INDEX(Attendance!$B$7:$AZ$206,MATCH(A198,Attendance!$A$7:$A$206,0),0)=1)*Attendance!$B$4:$AZ$4),0),"")</f>
        <v/>
      </c>
      <c r="C198" s="75" t="str">
        <f>IF(A198&lt;&gt;"",SUMIFS(Transactions!$F$7:$F$996,Transactions!$D$7:$D$996,"Income",Transactions!$E$7:$E$996,A198),"")</f>
        <v/>
      </c>
      <c r="D198" s="75" t="str">
        <f>IF(A198&lt;&gt;"",SUMIFS(Transactions!$F$7:$F$996,Transactions!$D$7:$D$996,"Expense",Transactions!$E$7:$E$996,A198),"")</f>
        <v/>
      </c>
      <c r="E198" s="76" t="str">
        <f t="shared" si="1"/>
        <v/>
      </c>
      <c r="F198" s="76" t="str">
        <f t="shared" si="2"/>
        <v/>
      </c>
      <c r="G198" s="73"/>
      <c r="H198" s="68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2" t="str">
        <f>IF(A199&lt;&gt;"",SUMIFS(Transactions!$F$7:$F$996,Transactions!$D$7:$D$996,"Income",Transactions!$E$7:$E$996,A199),"")</f>
        <v/>
      </c>
      <c r="D199" s="72" t="str">
        <f>IF(A199&lt;&gt;"",SUMIFS(Transactions!$F$7:$F$996,Transactions!$D$7:$D$996,"Expense",Transactions!$E$7:$E$996,A199),"")</f>
        <v/>
      </c>
      <c r="E199" s="70" t="str">
        <f t="shared" si="1"/>
        <v/>
      </c>
      <c r="F199" s="70" t="str">
        <f t="shared" si="2"/>
        <v/>
      </c>
      <c r="G199" s="73"/>
      <c r="H199" s="68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74" t="str">
        <f>IF(Roster!$A$198&lt;&gt;"",Roster!$A$198,"")</f>
        <v/>
      </c>
      <c r="B200" s="74" t="str">
        <f t="array" ref="B200">IF(A200&lt;&gt;"",IFERROR(SUMPRODUCT((INDEX(Attendance!$B$7:$AZ$206,MATCH(A200,Attendance!$A$7:$A$206,0),0)=1)*Attendance!$B$4:$AZ$4),0),"")</f>
        <v/>
      </c>
      <c r="C200" s="75" t="str">
        <f>IF(A200&lt;&gt;"",SUMIFS(Transactions!$F$7:$F$996,Transactions!$D$7:$D$996,"Income",Transactions!$E$7:$E$996,A200),"")</f>
        <v/>
      </c>
      <c r="D200" s="75" t="str">
        <f>IF(A200&lt;&gt;"",SUMIFS(Transactions!$F$7:$F$996,Transactions!$D$7:$D$996,"Expense",Transactions!$E$7:$E$996,A200),"")</f>
        <v/>
      </c>
      <c r="E200" s="76" t="str">
        <f t="shared" si="1"/>
        <v/>
      </c>
      <c r="F200" s="76" t="str">
        <f t="shared" si="2"/>
        <v/>
      </c>
      <c r="G200" s="73"/>
      <c r="H200" s="68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2" t="str">
        <f>IF(A201&lt;&gt;"",SUMIFS(Transactions!$F$7:$F$996,Transactions!$D$7:$D$996,"Income",Transactions!$E$7:$E$996,A201),"")</f>
        <v/>
      </c>
      <c r="D201" s="72" t="str">
        <f>IF(A201&lt;&gt;"",SUMIFS(Transactions!$F$7:$F$996,Transactions!$D$7:$D$996,"Expense",Transactions!$E$7:$E$996,A201),"")</f>
        <v/>
      </c>
      <c r="E201" s="70" t="str">
        <f t="shared" si="1"/>
        <v/>
      </c>
      <c r="F201" s="70" t="str">
        <f t="shared" si="2"/>
        <v/>
      </c>
      <c r="G201" s="73"/>
      <c r="H201" s="68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74" t="str">
        <f>IF(Roster!$A$200&lt;&gt;"",Roster!$A$200,"")</f>
        <v/>
      </c>
      <c r="B202" s="74" t="str">
        <f t="array" ref="B202">IF(A202&lt;&gt;"",IFERROR(SUMPRODUCT((INDEX(Attendance!$B$7:$AZ$206,MATCH(A202,Attendance!$A$7:$A$206,0),0)=1)*Attendance!$B$4:$AZ$4),0),"")</f>
        <v/>
      </c>
      <c r="C202" s="75" t="str">
        <f>IF(A202&lt;&gt;"",SUMIFS(Transactions!$F$7:$F$996,Transactions!$D$7:$D$996,"Income",Transactions!$E$7:$E$996,A202),"")</f>
        <v/>
      </c>
      <c r="D202" s="75" t="str">
        <f>IF(A202&lt;&gt;"",SUMIFS(Transactions!$F$7:$F$996,Transactions!$D$7:$D$996,"Expense",Transactions!$E$7:$E$996,A202),"")</f>
        <v/>
      </c>
      <c r="E202" s="76" t="str">
        <f t="shared" si="1"/>
        <v/>
      </c>
      <c r="F202" s="76" t="str">
        <f t="shared" si="2"/>
        <v/>
      </c>
      <c r="G202" s="73"/>
      <c r="H202" s="68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2" t="str">
        <f>IF(A203&lt;&gt;"",SUMIFS(Transactions!$F$7:$F$996,Transactions!$D$7:$D$996,"Income",Transactions!$E$7:$E$996,A203),"")</f>
        <v/>
      </c>
      <c r="D203" s="72" t="str">
        <f>IF(A203&lt;&gt;"",SUMIFS(Transactions!$F$7:$F$996,Transactions!$D$7:$D$996,"Expense",Transactions!$E$7:$E$996,A203),"")</f>
        <v/>
      </c>
      <c r="E203" s="70" t="str">
        <f t="shared" si="1"/>
        <v/>
      </c>
      <c r="F203" s="70" t="str">
        <f t="shared" si="2"/>
        <v/>
      </c>
      <c r="G203" s="73"/>
      <c r="H203" s="68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74" t="str">
        <f>IF(Roster!$A$202&lt;&gt;"",Roster!$A$202,"")</f>
        <v/>
      </c>
      <c r="B204" s="74" t="str">
        <f t="array" ref="B204">IF(A204&lt;&gt;"",IFERROR(SUMPRODUCT((INDEX(Attendance!$B$7:$AZ$206,MATCH(A204,Attendance!$A$7:$A$206,0),0)=1)*Attendance!$B$4:$AZ$4),0),"")</f>
        <v/>
      </c>
      <c r="C204" s="75" t="str">
        <f>IF(A204&lt;&gt;"",SUMIFS(Transactions!$F$7:$F$996,Transactions!$D$7:$D$996,"Income",Transactions!$E$7:$E$996,A204),"")</f>
        <v/>
      </c>
      <c r="D204" s="75" t="str">
        <f>IF(A204&lt;&gt;"",SUMIFS(Transactions!$F$7:$F$996,Transactions!$D$7:$D$996,"Expense",Transactions!$E$7:$E$996,A204),"")</f>
        <v/>
      </c>
      <c r="E204" s="76" t="str">
        <f t="shared" si="1"/>
        <v/>
      </c>
      <c r="F204" s="76" t="str">
        <f t="shared" si="2"/>
        <v/>
      </c>
      <c r="G204" s="73"/>
      <c r="H204" s="68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2" t="str">
        <f>IF(A205&lt;&gt;"",SUMIFS(Transactions!$F$7:$F$996,Transactions!$D$7:$D$996,"Income",Transactions!$E$7:$E$996,A205),"")</f>
        <v/>
      </c>
      <c r="D205" s="72" t="str">
        <f>IF(A205&lt;&gt;"",SUMIFS(Transactions!$F$7:$F$996,Transactions!$D$7:$D$996,"Expense",Transactions!$E$7:$E$996,A205),"")</f>
        <v/>
      </c>
      <c r="E205" s="70" t="str">
        <f t="shared" si="1"/>
        <v/>
      </c>
      <c r="F205" s="70" t="str">
        <f t="shared" si="2"/>
        <v/>
      </c>
      <c r="G205" s="73"/>
      <c r="H205" s="68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74" t="str">
        <f>IF(Roster!$A$204&lt;&gt;"",Roster!$A$204,"")</f>
        <v/>
      </c>
      <c r="B206" s="74" t="str">
        <f t="array" ref="B206">IF(A206&lt;&gt;"",IFERROR(SUMPRODUCT((INDEX(Attendance!$B$7:$AZ$206,MATCH(A206,Attendance!$A$7:$A$206,0),0)=1)*Attendance!$B$4:$AZ$4),0),"")</f>
        <v/>
      </c>
      <c r="C206" s="75" t="str">
        <f>IF(A206&lt;&gt;"",SUMIFS(Transactions!$F$7:$F$996,Transactions!$D$7:$D$996,"Income",Transactions!$E$7:$E$996,A206),"")</f>
        <v/>
      </c>
      <c r="D206" s="75" t="str">
        <f>IF(A206&lt;&gt;"",SUMIFS(Transactions!$F$7:$F$996,Transactions!$D$7:$D$996,"Expense",Transactions!$E$7:$E$996,A206),"")</f>
        <v/>
      </c>
      <c r="E206" s="76" t="str">
        <f t="shared" si="1"/>
        <v/>
      </c>
      <c r="F206" s="76" t="str">
        <f t="shared" si="2"/>
        <v/>
      </c>
      <c r="G206" s="73"/>
      <c r="H206" s="68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77" t="s">
        <v>85</v>
      </c>
      <c r="B1" s="78"/>
      <c r="C1" s="78"/>
      <c r="D1" s="78"/>
      <c r="E1" s="78"/>
      <c r="F1" s="78"/>
      <c r="G1" s="78"/>
      <c r="H1" s="78"/>
      <c r="I1" s="78"/>
      <c r="J1" s="79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>
      <c r="A2" s="81" t="s">
        <v>86</v>
      </c>
      <c r="B2" s="78"/>
      <c r="C2" s="78"/>
      <c r="D2" s="78"/>
      <c r="E2" s="78"/>
      <c r="F2" s="78"/>
      <c r="G2" s="78"/>
      <c r="H2" s="78"/>
      <c r="I2" s="78"/>
      <c r="J2" s="79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>
      <c r="A3" s="82" t="s">
        <v>51</v>
      </c>
      <c r="B3" s="82" t="s">
        <v>52</v>
      </c>
      <c r="C3" s="82" t="s">
        <v>12</v>
      </c>
      <c r="D3" s="82" t="s">
        <v>53</v>
      </c>
      <c r="E3" s="82" t="s">
        <v>54</v>
      </c>
      <c r="F3" s="82" t="s">
        <v>55</v>
      </c>
      <c r="G3" s="82" t="s">
        <v>56</v>
      </c>
      <c r="H3" s="82" t="s">
        <v>57</v>
      </c>
      <c r="I3" s="82" t="s">
        <v>6</v>
      </c>
      <c r="J3" s="82" t="s">
        <v>87</v>
      </c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>
      <c r="A4" s="83">
        <v>46192.0</v>
      </c>
      <c r="B4" s="84" t="s">
        <v>69</v>
      </c>
      <c r="C4" s="84" t="s">
        <v>88</v>
      </c>
      <c r="D4" s="84" t="s">
        <v>61</v>
      </c>
      <c r="E4" s="84" t="s">
        <v>71</v>
      </c>
      <c r="F4" s="84">
        <v>143.0</v>
      </c>
      <c r="G4" s="84" t="s">
        <v>24</v>
      </c>
      <c r="H4" s="85"/>
      <c r="I4" s="84" t="s">
        <v>89</v>
      </c>
      <c r="J4" s="86" t="s">
        <v>90</v>
      </c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>
      <c r="A5" s="87">
        <v>46195.0</v>
      </c>
      <c r="B5" s="88" t="s">
        <v>72</v>
      </c>
      <c r="C5" s="88" t="s">
        <v>73</v>
      </c>
      <c r="D5" s="88" t="s">
        <v>61</v>
      </c>
      <c r="E5" s="88" t="s">
        <v>74</v>
      </c>
      <c r="F5" s="88">
        <v>228.44</v>
      </c>
      <c r="G5" s="88" t="s">
        <v>24</v>
      </c>
      <c r="H5" s="89"/>
      <c r="I5" s="88" t="s">
        <v>91</v>
      </c>
      <c r="J5" s="86" t="s">
        <v>90</v>
      </c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>
      <c r="A6" s="85"/>
      <c r="B6" s="85"/>
      <c r="C6" s="85"/>
      <c r="D6" s="85"/>
      <c r="E6" s="85"/>
      <c r="F6" s="85"/>
      <c r="G6" s="85"/>
      <c r="H6" s="85"/>
      <c r="I6" s="85"/>
      <c r="J6" s="9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>
      <c r="A7" s="91"/>
      <c r="B7" s="89"/>
      <c r="C7" s="89"/>
      <c r="D7" s="89"/>
      <c r="E7" s="89"/>
      <c r="F7" s="89"/>
      <c r="G7" s="89"/>
      <c r="H7" s="89"/>
      <c r="I7" s="89"/>
      <c r="J7" s="9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>
      <c r="A8" s="92"/>
      <c r="B8" s="85"/>
      <c r="C8" s="85"/>
      <c r="D8" s="85"/>
      <c r="E8" s="85"/>
      <c r="F8" s="85"/>
      <c r="G8" s="85"/>
      <c r="H8" s="85"/>
      <c r="I8" s="85"/>
      <c r="J8" s="9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>
      <c r="A9" s="89"/>
      <c r="B9" s="89"/>
      <c r="C9" s="89"/>
      <c r="D9" s="89"/>
      <c r="E9" s="89"/>
      <c r="F9" s="89"/>
      <c r="G9" s="89"/>
      <c r="H9" s="89"/>
      <c r="I9" s="89"/>
      <c r="J9" s="9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>
      <c r="A10" s="85"/>
      <c r="B10" s="85"/>
      <c r="C10" s="85"/>
      <c r="D10" s="85"/>
      <c r="E10" s="85"/>
      <c r="F10" s="85"/>
      <c r="G10" s="85"/>
      <c r="H10" s="85"/>
      <c r="I10" s="85"/>
      <c r="J10" s="9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>
      <c r="A11" s="89"/>
      <c r="B11" s="89"/>
      <c r="C11" s="89"/>
      <c r="D11" s="89"/>
      <c r="E11" s="89"/>
      <c r="F11" s="89"/>
      <c r="G11" s="89"/>
      <c r="H11" s="89"/>
      <c r="I11" s="89"/>
      <c r="J11" s="9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>
      <c r="A12" s="85"/>
      <c r="B12" s="85"/>
      <c r="C12" s="85"/>
      <c r="D12" s="85"/>
      <c r="E12" s="85"/>
      <c r="F12" s="85"/>
      <c r="G12" s="85"/>
      <c r="H12" s="85"/>
      <c r="I12" s="85"/>
      <c r="J12" s="9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>
      <c r="A13" s="89"/>
      <c r="B13" s="89"/>
      <c r="C13" s="89"/>
      <c r="D13" s="89"/>
      <c r="E13" s="89"/>
      <c r="F13" s="89"/>
      <c r="G13" s="89"/>
      <c r="H13" s="89"/>
      <c r="I13" s="89"/>
      <c r="J13" s="9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>
      <c r="A14" s="85"/>
      <c r="B14" s="85"/>
      <c r="C14" s="85"/>
      <c r="D14" s="85"/>
      <c r="E14" s="85"/>
      <c r="F14" s="85"/>
      <c r="G14" s="85"/>
      <c r="H14" s="85"/>
      <c r="I14" s="85"/>
      <c r="J14" s="9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>
      <c r="A15" s="89"/>
      <c r="B15" s="89"/>
      <c r="C15" s="89"/>
      <c r="D15" s="89"/>
      <c r="E15" s="89"/>
      <c r="F15" s="89"/>
      <c r="G15" s="89"/>
      <c r="H15" s="89"/>
      <c r="I15" s="89"/>
      <c r="J15" s="9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>
      <c r="A16" s="85"/>
      <c r="B16" s="85"/>
      <c r="C16" s="85"/>
      <c r="D16" s="85"/>
      <c r="E16" s="85"/>
      <c r="F16" s="85"/>
      <c r="G16" s="85"/>
      <c r="H16" s="85"/>
      <c r="I16" s="85"/>
      <c r="J16" s="9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>
      <c r="A17" s="89"/>
      <c r="B17" s="89"/>
      <c r="C17" s="89"/>
      <c r="D17" s="89"/>
      <c r="E17" s="89"/>
      <c r="F17" s="89"/>
      <c r="G17" s="89"/>
      <c r="H17" s="89"/>
      <c r="I17" s="89"/>
      <c r="J17" s="9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>
      <c r="A18" s="85"/>
      <c r="B18" s="85"/>
      <c r="C18" s="85"/>
      <c r="D18" s="85"/>
      <c r="E18" s="85"/>
      <c r="F18" s="85"/>
      <c r="G18" s="85"/>
      <c r="H18" s="85"/>
      <c r="I18" s="85"/>
      <c r="J18" s="9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>
      <c r="A19" s="89"/>
      <c r="B19" s="89"/>
      <c r="C19" s="89"/>
      <c r="D19" s="89"/>
      <c r="E19" s="89"/>
      <c r="F19" s="89"/>
      <c r="G19" s="89"/>
      <c r="H19" s="89"/>
      <c r="I19" s="89"/>
      <c r="J19" s="90"/>
      <c r="K19" s="80"/>
      <c r="L19" s="80"/>
      <c r="M19" s="80"/>
      <c r="N19" s="80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>
      <c r="A20" s="85"/>
      <c r="B20" s="85"/>
      <c r="C20" s="85"/>
      <c r="D20" s="85"/>
      <c r="E20" s="85"/>
      <c r="F20" s="85"/>
      <c r="G20" s="85"/>
      <c r="H20" s="85"/>
      <c r="I20" s="85"/>
      <c r="J20" s="9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9"/>
      <c r="B21" s="89"/>
      <c r="C21" s="89"/>
      <c r="D21" s="89"/>
      <c r="E21" s="89"/>
      <c r="F21" s="89"/>
      <c r="G21" s="89"/>
      <c r="H21" s="89"/>
      <c r="I21" s="89"/>
      <c r="J21" s="90"/>
      <c r="K21" s="80"/>
      <c r="L21" s="80"/>
      <c r="M21" s="80"/>
      <c r="N21" s="80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85"/>
      <c r="J22" s="9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9"/>
      <c r="B23" s="89"/>
      <c r="C23" s="89"/>
      <c r="D23" s="89"/>
      <c r="E23" s="89"/>
      <c r="F23" s="89"/>
      <c r="G23" s="89"/>
      <c r="H23" s="89"/>
      <c r="I23" s="89"/>
      <c r="J23" s="9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85"/>
      <c r="J24" s="9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9"/>
      <c r="B25" s="89"/>
      <c r="C25" s="89"/>
      <c r="D25" s="89"/>
      <c r="E25" s="89"/>
      <c r="F25" s="89"/>
      <c r="G25" s="89"/>
      <c r="H25" s="89"/>
      <c r="I25" s="89"/>
      <c r="J25" s="9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85"/>
      <c r="J26" s="9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9"/>
      <c r="B27" s="89"/>
      <c r="C27" s="89"/>
      <c r="D27" s="89"/>
      <c r="E27" s="89"/>
      <c r="F27" s="89"/>
      <c r="G27" s="89"/>
      <c r="H27" s="89"/>
      <c r="I27" s="89"/>
      <c r="J27" s="9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85"/>
      <c r="J28" s="9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9"/>
      <c r="B29" s="89"/>
      <c r="C29" s="89"/>
      <c r="D29" s="89"/>
      <c r="E29" s="89"/>
      <c r="F29" s="89"/>
      <c r="G29" s="89"/>
      <c r="H29" s="89"/>
      <c r="I29" s="89"/>
      <c r="J29" s="9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85"/>
      <c r="J30" s="9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9"/>
      <c r="B31" s="89"/>
      <c r="C31" s="89"/>
      <c r="D31" s="89"/>
      <c r="E31" s="89"/>
      <c r="F31" s="89"/>
      <c r="G31" s="89"/>
      <c r="H31" s="89"/>
      <c r="I31" s="89"/>
      <c r="J31" s="9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85"/>
      <c r="J32" s="9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9"/>
      <c r="B33" s="89"/>
      <c r="C33" s="89"/>
      <c r="D33" s="89"/>
      <c r="E33" s="89"/>
      <c r="F33" s="89"/>
      <c r="G33" s="89"/>
      <c r="H33" s="89"/>
      <c r="I33" s="89"/>
      <c r="J33" s="9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9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5.75" customHeight="1">
      <c r="A35" s="89"/>
      <c r="B35" s="89"/>
      <c r="C35" s="89"/>
      <c r="D35" s="89"/>
      <c r="E35" s="89"/>
      <c r="F35" s="89"/>
      <c r="G35" s="89"/>
      <c r="H35" s="89"/>
      <c r="I35" s="89"/>
      <c r="J35" s="9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9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9"/>
      <c r="B37" s="89"/>
      <c r="C37" s="89"/>
      <c r="D37" s="89"/>
      <c r="E37" s="89"/>
      <c r="F37" s="89"/>
      <c r="G37" s="89"/>
      <c r="H37" s="89"/>
      <c r="I37" s="89"/>
      <c r="J37" s="9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9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9"/>
      <c r="B39" s="89"/>
      <c r="C39" s="89"/>
      <c r="D39" s="89"/>
      <c r="E39" s="89"/>
      <c r="F39" s="89"/>
      <c r="G39" s="89"/>
      <c r="H39" s="89"/>
      <c r="I39" s="89"/>
      <c r="J39" s="9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9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9"/>
      <c r="B41" s="89"/>
      <c r="C41" s="89"/>
      <c r="D41" s="89"/>
      <c r="E41" s="89"/>
      <c r="F41" s="89"/>
      <c r="G41" s="89"/>
      <c r="H41" s="89"/>
      <c r="I41" s="89"/>
      <c r="J41" s="9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9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9"/>
      <c r="B43" s="89"/>
      <c r="C43" s="89"/>
      <c r="D43" s="89"/>
      <c r="E43" s="89"/>
      <c r="F43" s="89"/>
      <c r="G43" s="89"/>
      <c r="H43" s="89"/>
      <c r="I43" s="89"/>
      <c r="J43" s="9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9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9"/>
      <c r="B45" s="89"/>
      <c r="C45" s="89"/>
      <c r="D45" s="89"/>
      <c r="E45" s="89"/>
      <c r="F45" s="89"/>
      <c r="G45" s="89"/>
      <c r="H45" s="89"/>
      <c r="I45" s="89"/>
      <c r="J45" s="9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9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9"/>
      <c r="B47" s="89"/>
      <c r="C47" s="89"/>
      <c r="D47" s="89"/>
      <c r="E47" s="89"/>
      <c r="F47" s="89"/>
      <c r="G47" s="89"/>
      <c r="H47" s="89"/>
      <c r="I47" s="89"/>
      <c r="J47" s="9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9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9"/>
      <c r="B49" s="89"/>
      <c r="C49" s="89"/>
      <c r="D49" s="89"/>
      <c r="E49" s="89"/>
      <c r="F49" s="89"/>
      <c r="G49" s="89"/>
      <c r="H49" s="89"/>
      <c r="I49" s="89"/>
      <c r="J49" s="9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9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9"/>
      <c r="B51" s="89"/>
      <c r="C51" s="89"/>
      <c r="D51" s="89"/>
      <c r="E51" s="89"/>
      <c r="F51" s="89"/>
      <c r="G51" s="89"/>
      <c r="H51" s="89"/>
      <c r="I51" s="89"/>
      <c r="J51" s="9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9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9"/>
      <c r="B53" s="89"/>
      <c r="C53" s="89"/>
      <c r="D53" s="89"/>
      <c r="E53" s="89"/>
      <c r="F53" s="89"/>
      <c r="G53" s="89"/>
      <c r="H53" s="89"/>
      <c r="I53" s="89"/>
      <c r="J53" s="9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9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9"/>
      <c r="B55" s="89"/>
      <c r="C55" s="89"/>
      <c r="D55" s="89"/>
      <c r="E55" s="89"/>
      <c r="F55" s="89"/>
      <c r="G55" s="89"/>
      <c r="H55" s="89"/>
      <c r="I55" s="89"/>
      <c r="J55" s="9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9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9"/>
      <c r="B57" s="89"/>
      <c r="C57" s="89"/>
      <c r="D57" s="89"/>
      <c r="E57" s="89"/>
      <c r="F57" s="89"/>
      <c r="G57" s="89"/>
      <c r="H57" s="89"/>
      <c r="I57" s="89"/>
      <c r="J57" s="9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9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9"/>
      <c r="B59" s="89"/>
      <c r="C59" s="89"/>
      <c r="D59" s="89"/>
      <c r="E59" s="89"/>
      <c r="F59" s="89"/>
      <c r="G59" s="89"/>
      <c r="H59" s="89"/>
      <c r="I59" s="89"/>
      <c r="J59" s="9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9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9"/>
      <c r="B61" s="89"/>
      <c r="C61" s="89"/>
      <c r="D61" s="89"/>
      <c r="E61" s="89"/>
      <c r="F61" s="89"/>
      <c r="G61" s="89"/>
      <c r="H61" s="89"/>
      <c r="I61" s="89"/>
      <c r="J61" s="9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9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9"/>
      <c r="B63" s="89"/>
      <c r="C63" s="89"/>
      <c r="D63" s="89"/>
      <c r="E63" s="89"/>
      <c r="F63" s="89"/>
      <c r="G63" s="89"/>
      <c r="H63" s="89"/>
      <c r="I63" s="89"/>
      <c r="J63" s="9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9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9"/>
      <c r="B65" s="89"/>
      <c r="C65" s="89"/>
      <c r="D65" s="89"/>
      <c r="E65" s="89"/>
      <c r="F65" s="89"/>
      <c r="G65" s="89"/>
      <c r="H65" s="89"/>
      <c r="I65" s="89"/>
      <c r="J65" s="9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9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9"/>
      <c r="B67" s="89"/>
      <c r="C67" s="89"/>
      <c r="D67" s="89"/>
      <c r="E67" s="89"/>
      <c r="F67" s="89"/>
      <c r="G67" s="89"/>
      <c r="H67" s="89"/>
      <c r="I67" s="89"/>
      <c r="J67" s="9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9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9"/>
      <c r="B69" s="89"/>
      <c r="C69" s="89"/>
      <c r="D69" s="89"/>
      <c r="E69" s="89"/>
      <c r="F69" s="89"/>
      <c r="G69" s="89"/>
      <c r="H69" s="89"/>
      <c r="I69" s="89"/>
      <c r="J69" s="9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9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9"/>
      <c r="B71" s="89"/>
      <c r="C71" s="89"/>
      <c r="D71" s="89"/>
      <c r="E71" s="89"/>
      <c r="F71" s="89"/>
      <c r="G71" s="89"/>
      <c r="H71" s="89"/>
      <c r="I71" s="89"/>
      <c r="J71" s="9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9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9"/>
      <c r="B73" s="89"/>
      <c r="C73" s="89"/>
      <c r="D73" s="89"/>
      <c r="E73" s="89"/>
      <c r="F73" s="89"/>
      <c r="G73" s="89"/>
      <c r="H73" s="89"/>
      <c r="I73" s="89"/>
      <c r="J73" s="9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9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9"/>
      <c r="B75" s="89"/>
      <c r="C75" s="89"/>
      <c r="D75" s="89"/>
      <c r="E75" s="89"/>
      <c r="F75" s="89"/>
      <c r="G75" s="89"/>
      <c r="H75" s="89"/>
      <c r="I75" s="89"/>
      <c r="J75" s="9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9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9"/>
      <c r="B77" s="89"/>
      <c r="C77" s="89"/>
      <c r="D77" s="89"/>
      <c r="E77" s="89"/>
      <c r="F77" s="89"/>
      <c r="G77" s="89"/>
      <c r="H77" s="89"/>
      <c r="I77" s="89"/>
      <c r="J77" s="9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9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9"/>
      <c r="B79" s="89"/>
      <c r="C79" s="89"/>
      <c r="D79" s="89"/>
      <c r="E79" s="89"/>
      <c r="F79" s="89"/>
      <c r="G79" s="89"/>
      <c r="H79" s="89"/>
      <c r="I79" s="89"/>
      <c r="J79" s="9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9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9"/>
      <c r="B81" s="89"/>
      <c r="C81" s="89"/>
      <c r="D81" s="89"/>
      <c r="E81" s="89"/>
      <c r="F81" s="89"/>
      <c r="G81" s="89"/>
      <c r="H81" s="89"/>
      <c r="I81" s="89"/>
      <c r="J81" s="9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9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9"/>
      <c r="B83" s="89"/>
      <c r="C83" s="89"/>
      <c r="D83" s="89"/>
      <c r="E83" s="89"/>
      <c r="F83" s="89"/>
      <c r="G83" s="89"/>
      <c r="H83" s="89"/>
      <c r="I83" s="89"/>
      <c r="J83" s="9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9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9"/>
      <c r="B85" s="89"/>
      <c r="C85" s="89"/>
      <c r="D85" s="89"/>
      <c r="E85" s="89"/>
      <c r="F85" s="89"/>
      <c r="G85" s="89"/>
      <c r="H85" s="89"/>
      <c r="I85" s="89"/>
      <c r="J85" s="9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9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9"/>
      <c r="B87" s="89"/>
      <c r="C87" s="89"/>
      <c r="D87" s="89"/>
      <c r="E87" s="89"/>
      <c r="F87" s="89"/>
      <c r="G87" s="89"/>
      <c r="H87" s="89"/>
      <c r="I87" s="89"/>
      <c r="J87" s="9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9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9"/>
      <c r="B89" s="89"/>
      <c r="C89" s="89"/>
      <c r="D89" s="89"/>
      <c r="E89" s="89"/>
      <c r="F89" s="89"/>
      <c r="G89" s="89"/>
      <c r="H89" s="89"/>
      <c r="I89" s="89"/>
      <c r="J89" s="9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9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9"/>
      <c r="B91" s="89"/>
      <c r="C91" s="89"/>
      <c r="D91" s="89"/>
      <c r="E91" s="89"/>
      <c r="F91" s="89"/>
      <c r="G91" s="89"/>
      <c r="H91" s="89"/>
      <c r="I91" s="89"/>
      <c r="J91" s="9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9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9"/>
      <c r="B93" s="89"/>
      <c r="C93" s="89"/>
      <c r="D93" s="89"/>
      <c r="E93" s="89"/>
      <c r="F93" s="89"/>
      <c r="G93" s="89"/>
      <c r="H93" s="89"/>
      <c r="I93" s="89"/>
      <c r="J93" s="9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9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9"/>
      <c r="B95" s="89"/>
      <c r="C95" s="89"/>
      <c r="D95" s="89"/>
      <c r="E95" s="89"/>
      <c r="F95" s="89"/>
      <c r="G95" s="89"/>
      <c r="H95" s="89"/>
      <c r="I95" s="89"/>
      <c r="J95" s="9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9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9"/>
      <c r="B97" s="89"/>
      <c r="C97" s="89"/>
      <c r="D97" s="89"/>
      <c r="E97" s="89"/>
      <c r="F97" s="89"/>
      <c r="G97" s="89"/>
      <c r="H97" s="89"/>
      <c r="I97" s="89"/>
      <c r="J97" s="9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9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9"/>
      <c r="B99" s="89"/>
      <c r="C99" s="89"/>
      <c r="D99" s="89"/>
      <c r="E99" s="89"/>
      <c r="F99" s="89"/>
      <c r="G99" s="89"/>
      <c r="H99" s="89"/>
      <c r="I99" s="89"/>
      <c r="J99" s="9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9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9"/>
      <c r="B101" s="89"/>
      <c r="C101" s="89"/>
      <c r="D101" s="89"/>
      <c r="E101" s="89"/>
      <c r="F101" s="89"/>
      <c r="G101" s="89"/>
      <c r="H101" s="89"/>
      <c r="I101" s="89"/>
      <c r="J101" s="9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9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9"/>
      <c r="B103" s="89"/>
      <c r="C103" s="89"/>
      <c r="D103" s="89"/>
      <c r="E103" s="89"/>
      <c r="F103" s="89"/>
      <c r="G103" s="89"/>
      <c r="H103" s="89"/>
      <c r="I103" s="89"/>
      <c r="J103" s="9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9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9"/>
      <c r="B105" s="89"/>
      <c r="C105" s="89"/>
      <c r="D105" s="89"/>
      <c r="E105" s="89"/>
      <c r="F105" s="89"/>
      <c r="G105" s="89"/>
      <c r="H105" s="89"/>
      <c r="I105" s="89"/>
      <c r="J105" s="9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9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9"/>
      <c r="B107" s="89"/>
      <c r="C107" s="89"/>
      <c r="D107" s="89"/>
      <c r="E107" s="89"/>
      <c r="F107" s="89"/>
      <c r="G107" s="89"/>
      <c r="H107" s="89"/>
      <c r="I107" s="89"/>
      <c r="J107" s="9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9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9"/>
      <c r="B109" s="89"/>
      <c r="C109" s="89"/>
      <c r="D109" s="89"/>
      <c r="E109" s="89"/>
      <c r="F109" s="89"/>
      <c r="G109" s="89"/>
      <c r="H109" s="89"/>
      <c r="I109" s="89"/>
      <c r="J109" s="9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9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9"/>
      <c r="B111" s="89"/>
      <c r="C111" s="89"/>
      <c r="D111" s="89"/>
      <c r="E111" s="89"/>
      <c r="F111" s="89"/>
      <c r="G111" s="89"/>
      <c r="H111" s="89"/>
      <c r="I111" s="89"/>
      <c r="J111" s="9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9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9"/>
      <c r="B113" s="89"/>
      <c r="C113" s="89"/>
      <c r="D113" s="89"/>
      <c r="E113" s="89"/>
      <c r="F113" s="89"/>
      <c r="G113" s="89"/>
      <c r="H113" s="89"/>
      <c r="I113" s="89"/>
      <c r="J113" s="9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9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9"/>
      <c r="B115" s="89"/>
      <c r="C115" s="89"/>
      <c r="D115" s="89"/>
      <c r="E115" s="89"/>
      <c r="F115" s="89"/>
      <c r="G115" s="89"/>
      <c r="H115" s="89"/>
      <c r="I115" s="89"/>
      <c r="J115" s="9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9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9"/>
      <c r="B117" s="89"/>
      <c r="C117" s="89"/>
      <c r="D117" s="89"/>
      <c r="E117" s="89"/>
      <c r="F117" s="89"/>
      <c r="G117" s="89"/>
      <c r="H117" s="89"/>
      <c r="I117" s="89"/>
      <c r="J117" s="9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9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9"/>
      <c r="B119" s="89"/>
      <c r="C119" s="89"/>
      <c r="D119" s="89"/>
      <c r="E119" s="89"/>
      <c r="F119" s="89"/>
      <c r="G119" s="89"/>
      <c r="H119" s="89"/>
      <c r="I119" s="89"/>
      <c r="J119" s="9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9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9"/>
      <c r="B121" s="89"/>
      <c r="C121" s="89"/>
      <c r="D121" s="89"/>
      <c r="E121" s="89"/>
      <c r="F121" s="89"/>
      <c r="G121" s="89"/>
      <c r="H121" s="89"/>
      <c r="I121" s="89"/>
      <c r="J121" s="9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9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9"/>
      <c r="B123" s="89"/>
      <c r="C123" s="89"/>
      <c r="D123" s="89"/>
      <c r="E123" s="89"/>
      <c r="F123" s="89"/>
      <c r="G123" s="89"/>
      <c r="H123" s="89"/>
      <c r="I123" s="89"/>
      <c r="J123" s="9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9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9"/>
      <c r="B125" s="89"/>
      <c r="C125" s="89"/>
      <c r="D125" s="89"/>
      <c r="E125" s="89"/>
      <c r="F125" s="89"/>
      <c r="G125" s="89"/>
      <c r="H125" s="89"/>
      <c r="I125" s="89"/>
      <c r="J125" s="9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9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9"/>
      <c r="B127" s="89"/>
      <c r="C127" s="89"/>
      <c r="D127" s="89"/>
      <c r="E127" s="89"/>
      <c r="F127" s="89"/>
      <c r="G127" s="89"/>
      <c r="H127" s="89"/>
      <c r="I127" s="89"/>
      <c r="J127" s="9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9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9"/>
      <c r="B129" s="89"/>
      <c r="C129" s="89"/>
      <c r="D129" s="89"/>
      <c r="E129" s="89"/>
      <c r="F129" s="89"/>
      <c r="G129" s="89"/>
      <c r="H129" s="89"/>
      <c r="I129" s="89"/>
      <c r="J129" s="9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9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9"/>
      <c r="B131" s="89"/>
      <c r="C131" s="89"/>
      <c r="D131" s="89"/>
      <c r="E131" s="89"/>
      <c r="F131" s="89"/>
      <c r="G131" s="89"/>
      <c r="H131" s="89"/>
      <c r="I131" s="89"/>
      <c r="J131" s="9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9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9"/>
      <c r="B133" s="89"/>
      <c r="C133" s="89"/>
      <c r="D133" s="89"/>
      <c r="E133" s="89"/>
      <c r="F133" s="89"/>
      <c r="G133" s="89"/>
      <c r="H133" s="89"/>
      <c r="I133" s="89"/>
      <c r="J133" s="9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9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9"/>
      <c r="B135" s="89"/>
      <c r="C135" s="89"/>
      <c r="D135" s="89"/>
      <c r="E135" s="89"/>
      <c r="F135" s="89"/>
      <c r="G135" s="89"/>
      <c r="H135" s="89"/>
      <c r="I135" s="89"/>
      <c r="J135" s="9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9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9"/>
      <c r="B137" s="89"/>
      <c r="C137" s="89"/>
      <c r="D137" s="89"/>
      <c r="E137" s="89"/>
      <c r="F137" s="89"/>
      <c r="G137" s="89"/>
      <c r="H137" s="89"/>
      <c r="I137" s="89"/>
      <c r="J137" s="9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9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9"/>
      <c r="B139" s="89"/>
      <c r="C139" s="89"/>
      <c r="D139" s="89"/>
      <c r="E139" s="89"/>
      <c r="F139" s="89"/>
      <c r="G139" s="89"/>
      <c r="H139" s="89"/>
      <c r="I139" s="89"/>
      <c r="J139" s="9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9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9"/>
      <c r="B141" s="89"/>
      <c r="C141" s="89"/>
      <c r="D141" s="89"/>
      <c r="E141" s="89"/>
      <c r="F141" s="89"/>
      <c r="G141" s="89"/>
      <c r="H141" s="89"/>
      <c r="I141" s="89"/>
      <c r="J141" s="9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9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9"/>
      <c r="B143" s="89"/>
      <c r="C143" s="89"/>
      <c r="D143" s="89"/>
      <c r="E143" s="89"/>
      <c r="F143" s="89"/>
      <c r="G143" s="89"/>
      <c r="H143" s="89"/>
      <c r="I143" s="89"/>
      <c r="J143" s="9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9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9"/>
      <c r="B145" s="89"/>
      <c r="C145" s="89"/>
      <c r="D145" s="89"/>
      <c r="E145" s="89"/>
      <c r="F145" s="89"/>
      <c r="G145" s="89"/>
      <c r="H145" s="89"/>
      <c r="I145" s="89"/>
      <c r="J145" s="9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9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9"/>
      <c r="B147" s="89"/>
      <c r="C147" s="89"/>
      <c r="D147" s="89"/>
      <c r="E147" s="89"/>
      <c r="F147" s="89"/>
      <c r="G147" s="89"/>
      <c r="H147" s="89"/>
      <c r="I147" s="89"/>
      <c r="J147" s="9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9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9"/>
      <c r="B149" s="89"/>
      <c r="C149" s="89"/>
      <c r="D149" s="89"/>
      <c r="E149" s="89"/>
      <c r="F149" s="89"/>
      <c r="G149" s="89"/>
      <c r="H149" s="89"/>
      <c r="I149" s="89"/>
      <c r="J149" s="9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9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9"/>
      <c r="B151" s="89"/>
      <c r="C151" s="89"/>
      <c r="D151" s="89"/>
      <c r="E151" s="89"/>
      <c r="F151" s="89"/>
      <c r="G151" s="89"/>
      <c r="H151" s="89"/>
      <c r="I151" s="89"/>
      <c r="J151" s="9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9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9"/>
      <c r="B153" s="89"/>
      <c r="C153" s="89"/>
      <c r="D153" s="89"/>
      <c r="E153" s="89"/>
      <c r="F153" s="89"/>
      <c r="G153" s="89"/>
      <c r="H153" s="89"/>
      <c r="I153" s="89"/>
      <c r="J153" s="9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9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9"/>
      <c r="B155" s="89"/>
      <c r="C155" s="89"/>
      <c r="D155" s="89"/>
      <c r="E155" s="89"/>
      <c r="F155" s="89"/>
      <c r="G155" s="89"/>
      <c r="H155" s="89"/>
      <c r="I155" s="89"/>
      <c r="J155" s="9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9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9"/>
      <c r="B157" s="89"/>
      <c r="C157" s="89"/>
      <c r="D157" s="89"/>
      <c r="E157" s="89"/>
      <c r="F157" s="89"/>
      <c r="G157" s="89"/>
      <c r="H157" s="89"/>
      <c r="I157" s="89"/>
      <c r="J157" s="9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9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9"/>
      <c r="B159" s="89"/>
      <c r="C159" s="89"/>
      <c r="D159" s="89"/>
      <c r="E159" s="89"/>
      <c r="F159" s="89"/>
      <c r="G159" s="89"/>
      <c r="H159" s="89"/>
      <c r="I159" s="89"/>
      <c r="J159" s="9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9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9"/>
      <c r="B161" s="89"/>
      <c r="C161" s="89"/>
      <c r="D161" s="89"/>
      <c r="E161" s="89"/>
      <c r="F161" s="89"/>
      <c r="G161" s="89"/>
      <c r="H161" s="89"/>
      <c r="I161" s="89"/>
      <c r="J161" s="9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9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9"/>
      <c r="B163" s="89"/>
      <c r="C163" s="89"/>
      <c r="D163" s="89"/>
      <c r="E163" s="89"/>
      <c r="F163" s="89"/>
      <c r="G163" s="89"/>
      <c r="H163" s="89"/>
      <c r="I163" s="89"/>
      <c r="J163" s="9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9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9"/>
      <c r="B165" s="89"/>
      <c r="C165" s="89"/>
      <c r="D165" s="89"/>
      <c r="E165" s="89"/>
      <c r="F165" s="89"/>
      <c r="G165" s="89"/>
      <c r="H165" s="89"/>
      <c r="I165" s="89"/>
      <c r="J165" s="9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9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9"/>
      <c r="B167" s="89"/>
      <c r="C167" s="89"/>
      <c r="D167" s="89"/>
      <c r="E167" s="89"/>
      <c r="F167" s="89"/>
      <c r="G167" s="89"/>
      <c r="H167" s="89"/>
      <c r="I167" s="89"/>
      <c r="J167" s="9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9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9"/>
      <c r="B169" s="89"/>
      <c r="C169" s="89"/>
      <c r="D169" s="89"/>
      <c r="E169" s="89"/>
      <c r="F169" s="89"/>
      <c r="G169" s="89"/>
      <c r="H169" s="89"/>
      <c r="I169" s="89"/>
      <c r="J169" s="9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9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9"/>
      <c r="B171" s="89"/>
      <c r="C171" s="89"/>
      <c r="D171" s="89"/>
      <c r="E171" s="89"/>
      <c r="F171" s="89"/>
      <c r="G171" s="89"/>
      <c r="H171" s="89"/>
      <c r="I171" s="89"/>
      <c r="J171" s="9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9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9"/>
      <c r="B173" s="89"/>
      <c r="C173" s="89"/>
      <c r="D173" s="89"/>
      <c r="E173" s="89"/>
      <c r="F173" s="89"/>
      <c r="G173" s="89"/>
      <c r="H173" s="89"/>
      <c r="I173" s="89"/>
      <c r="J173" s="9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9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9"/>
      <c r="B175" s="89"/>
      <c r="C175" s="89"/>
      <c r="D175" s="89"/>
      <c r="E175" s="89"/>
      <c r="F175" s="89"/>
      <c r="G175" s="89"/>
      <c r="H175" s="89"/>
      <c r="I175" s="89"/>
      <c r="J175" s="9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9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9"/>
      <c r="B177" s="89"/>
      <c r="C177" s="89"/>
      <c r="D177" s="89"/>
      <c r="E177" s="89"/>
      <c r="F177" s="89"/>
      <c r="G177" s="89"/>
      <c r="H177" s="89"/>
      <c r="I177" s="89"/>
      <c r="J177" s="9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9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9"/>
      <c r="B179" s="89"/>
      <c r="C179" s="89"/>
      <c r="D179" s="89"/>
      <c r="E179" s="89"/>
      <c r="F179" s="89"/>
      <c r="G179" s="89"/>
      <c r="H179" s="89"/>
      <c r="I179" s="89"/>
      <c r="J179" s="9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9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9"/>
      <c r="B181" s="89"/>
      <c r="C181" s="89"/>
      <c r="D181" s="89"/>
      <c r="E181" s="89"/>
      <c r="F181" s="89"/>
      <c r="G181" s="89"/>
      <c r="H181" s="89"/>
      <c r="I181" s="89"/>
      <c r="J181" s="9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9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9"/>
      <c r="B183" s="89"/>
      <c r="C183" s="89"/>
      <c r="D183" s="89"/>
      <c r="E183" s="89"/>
      <c r="F183" s="89"/>
      <c r="G183" s="89"/>
      <c r="H183" s="89"/>
      <c r="I183" s="89"/>
      <c r="J183" s="9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9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9"/>
      <c r="B185" s="89"/>
      <c r="C185" s="89"/>
      <c r="D185" s="89"/>
      <c r="E185" s="89"/>
      <c r="F185" s="89"/>
      <c r="G185" s="89"/>
      <c r="H185" s="89"/>
      <c r="I185" s="89"/>
      <c r="J185" s="9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9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9"/>
      <c r="B187" s="89"/>
      <c r="C187" s="89"/>
      <c r="D187" s="89"/>
      <c r="E187" s="89"/>
      <c r="F187" s="89"/>
      <c r="G187" s="89"/>
      <c r="H187" s="89"/>
      <c r="I187" s="89"/>
      <c r="J187" s="9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9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9"/>
      <c r="B189" s="89"/>
      <c r="C189" s="89"/>
      <c r="D189" s="89"/>
      <c r="E189" s="89"/>
      <c r="F189" s="89"/>
      <c r="G189" s="89"/>
      <c r="H189" s="89"/>
      <c r="I189" s="89"/>
      <c r="J189" s="9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9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9"/>
      <c r="B191" s="89"/>
      <c r="C191" s="89"/>
      <c r="D191" s="89"/>
      <c r="E191" s="89"/>
      <c r="F191" s="89"/>
      <c r="G191" s="89"/>
      <c r="H191" s="89"/>
      <c r="I191" s="89"/>
      <c r="J191" s="9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9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9"/>
      <c r="B193" s="89"/>
      <c r="C193" s="89"/>
      <c r="D193" s="89"/>
      <c r="E193" s="89"/>
      <c r="F193" s="89"/>
      <c r="G193" s="89"/>
      <c r="H193" s="89"/>
      <c r="I193" s="89"/>
      <c r="J193" s="9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9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9"/>
      <c r="B195" s="89"/>
      <c r="C195" s="89"/>
      <c r="D195" s="89"/>
      <c r="E195" s="89"/>
      <c r="F195" s="89"/>
      <c r="G195" s="89"/>
      <c r="H195" s="89"/>
      <c r="I195" s="89"/>
      <c r="J195" s="9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9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9"/>
      <c r="B197" s="89"/>
      <c r="C197" s="89"/>
      <c r="D197" s="89"/>
      <c r="E197" s="89"/>
      <c r="F197" s="89"/>
      <c r="G197" s="89"/>
      <c r="H197" s="89"/>
      <c r="I197" s="89"/>
      <c r="J197" s="9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9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9"/>
      <c r="B199" s="89"/>
      <c r="C199" s="89"/>
      <c r="D199" s="89"/>
      <c r="E199" s="89"/>
      <c r="F199" s="89"/>
      <c r="G199" s="89"/>
      <c r="H199" s="89"/>
      <c r="I199" s="89"/>
      <c r="J199" s="9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9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9"/>
      <c r="B201" s="89"/>
      <c r="C201" s="89"/>
      <c r="D201" s="89"/>
      <c r="E201" s="89"/>
      <c r="F201" s="89"/>
      <c r="G201" s="89"/>
      <c r="H201" s="89"/>
      <c r="I201" s="89"/>
      <c r="J201" s="9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9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9"/>
      <c r="B203" s="89"/>
      <c r="C203" s="89"/>
      <c r="D203" s="89"/>
      <c r="E203" s="89"/>
      <c r="F203" s="89"/>
      <c r="G203" s="89"/>
      <c r="H203" s="89"/>
      <c r="I203" s="89"/>
      <c r="J203" s="9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80"/>
      <c r="T267" s="80"/>
      <c r="U267" s="80"/>
      <c r="V267" s="80"/>
      <c r="W267" s="80"/>
      <c r="X267" s="80"/>
      <c r="Y267" s="80"/>
      <c r="Z267" s="80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80"/>
      <c r="T268" s="80"/>
      <c r="U268" s="80"/>
      <c r="V268" s="80"/>
      <c r="W268" s="80"/>
      <c r="X268" s="80"/>
      <c r="Y268" s="80"/>
      <c r="Z268" s="80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80"/>
      <c r="T269" s="80"/>
      <c r="U269" s="80"/>
      <c r="V269" s="80"/>
      <c r="W269" s="80"/>
      <c r="X269" s="80"/>
      <c r="Y269" s="80"/>
      <c r="Z269" s="80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80"/>
      <c r="T270" s="80"/>
      <c r="U270" s="80"/>
      <c r="V270" s="80"/>
      <c r="W270" s="80"/>
      <c r="X270" s="80"/>
      <c r="Y270" s="80"/>
      <c r="Z270" s="80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80"/>
      <c r="T271" s="80"/>
      <c r="U271" s="80"/>
      <c r="V271" s="80"/>
      <c r="W271" s="80"/>
      <c r="X271" s="80"/>
      <c r="Y271" s="80"/>
      <c r="Z271" s="80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80"/>
      <c r="T272" s="80"/>
      <c r="U272" s="80"/>
      <c r="V272" s="80"/>
      <c r="W272" s="80"/>
      <c r="X272" s="80"/>
      <c r="Y272" s="80"/>
      <c r="Z272" s="80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80"/>
      <c r="T273" s="80"/>
      <c r="U273" s="80"/>
      <c r="V273" s="80"/>
      <c r="W273" s="80"/>
      <c r="X273" s="80"/>
      <c r="Y273" s="80"/>
      <c r="Z273" s="80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80"/>
      <c r="T274" s="80"/>
      <c r="U274" s="80"/>
      <c r="V274" s="80"/>
      <c r="W274" s="80"/>
      <c r="X274" s="80"/>
      <c r="Y274" s="80"/>
      <c r="Z274" s="80"/>
    </row>
    <row r="275" ht="15.75" customHeight="1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80"/>
      <c r="Q275" s="80"/>
      <c r="R275" s="80"/>
      <c r="S275" s="80"/>
      <c r="T275" s="80"/>
      <c r="U275" s="80"/>
      <c r="V275" s="80"/>
      <c r="W275" s="80"/>
      <c r="X275" s="80"/>
      <c r="Y275" s="80"/>
      <c r="Z275" s="80"/>
    </row>
    <row r="276" ht="15.75" customHeight="1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80"/>
      <c r="Q276" s="80"/>
      <c r="R276" s="80"/>
      <c r="S276" s="80"/>
      <c r="T276" s="80"/>
      <c r="U276" s="80"/>
      <c r="V276" s="80"/>
      <c r="W276" s="80"/>
      <c r="X276" s="80"/>
      <c r="Y276" s="80"/>
      <c r="Z276" s="80"/>
    </row>
    <row r="277" ht="15.75" customHeight="1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80"/>
      <c r="Q277" s="80"/>
      <c r="R277" s="80"/>
      <c r="S277" s="80"/>
      <c r="T277" s="80"/>
      <c r="U277" s="80"/>
      <c r="V277" s="80"/>
      <c r="W277" s="80"/>
      <c r="X277" s="80"/>
      <c r="Y277" s="80"/>
      <c r="Z277" s="80"/>
    </row>
    <row r="278" ht="15.75" customHeight="1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80"/>
      <c r="Q278" s="80"/>
      <c r="R278" s="80"/>
      <c r="S278" s="80"/>
      <c r="T278" s="80"/>
      <c r="U278" s="80"/>
      <c r="V278" s="80"/>
      <c r="W278" s="80"/>
      <c r="X278" s="80"/>
      <c r="Y278" s="80"/>
      <c r="Z278" s="80"/>
    </row>
    <row r="279" ht="15.75" customHeight="1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80"/>
      <c r="Q279" s="80"/>
      <c r="R279" s="80"/>
      <c r="S279" s="80"/>
      <c r="T279" s="80"/>
      <c r="U279" s="80"/>
      <c r="V279" s="80"/>
      <c r="W279" s="80"/>
      <c r="X279" s="80"/>
      <c r="Y279" s="80"/>
      <c r="Z279" s="80"/>
    </row>
    <row r="280" ht="15.75" customHeight="1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80"/>
      <c r="Q280" s="80"/>
      <c r="R280" s="80"/>
      <c r="S280" s="80"/>
      <c r="T280" s="80"/>
      <c r="U280" s="80"/>
      <c r="V280" s="80"/>
      <c r="W280" s="80"/>
      <c r="X280" s="80"/>
      <c r="Y280" s="80"/>
      <c r="Z280" s="80"/>
    </row>
    <row r="281" ht="15.75" customHeight="1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80"/>
      <c r="Q281" s="80"/>
      <c r="R281" s="80"/>
      <c r="S281" s="80"/>
      <c r="T281" s="80"/>
      <c r="U281" s="80"/>
      <c r="V281" s="80"/>
      <c r="W281" s="80"/>
      <c r="X281" s="80"/>
      <c r="Y281" s="80"/>
      <c r="Z281" s="80"/>
    </row>
    <row r="282" ht="15.75" customHeight="1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80"/>
      <c r="Q282" s="80"/>
      <c r="R282" s="80"/>
      <c r="S282" s="80"/>
      <c r="T282" s="80"/>
      <c r="U282" s="80"/>
      <c r="V282" s="80"/>
      <c r="W282" s="80"/>
      <c r="X282" s="80"/>
      <c r="Y282" s="80"/>
      <c r="Z282" s="80"/>
    </row>
    <row r="283" ht="15.75" customHeight="1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80"/>
      <c r="Q283" s="80"/>
      <c r="R283" s="80"/>
      <c r="S283" s="80"/>
      <c r="T283" s="80"/>
      <c r="U283" s="80"/>
      <c r="V283" s="80"/>
      <c r="W283" s="80"/>
      <c r="X283" s="80"/>
      <c r="Y283" s="80"/>
      <c r="Z283" s="80"/>
    </row>
    <row r="284" ht="15.75" customHeight="1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80"/>
      <c r="Q284" s="80"/>
      <c r="R284" s="80"/>
      <c r="S284" s="80"/>
      <c r="T284" s="80"/>
      <c r="U284" s="80"/>
      <c r="V284" s="80"/>
      <c r="W284" s="80"/>
      <c r="X284" s="80"/>
      <c r="Y284" s="80"/>
      <c r="Z284" s="80"/>
    </row>
    <row r="285" ht="15.75" customHeight="1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80"/>
      <c r="Q285" s="80"/>
      <c r="R285" s="80"/>
      <c r="S285" s="80"/>
      <c r="T285" s="80"/>
      <c r="U285" s="80"/>
      <c r="V285" s="80"/>
      <c r="W285" s="80"/>
      <c r="X285" s="80"/>
      <c r="Y285" s="80"/>
      <c r="Z285" s="80"/>
    </row>
    <row r="286" ht="15.75" customHeight="1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80"/>
      <c r="Q286" s="80"/>
      <c r="R286" s="80"/>
      <c r="S286" s="80"/>
      <c r="T286" s="80"/>
      <c r="U286" s="80"/>
      <c r="V286" s="80"/>
      <c r="W286" s="80"/>
      <c r="X286" s="80"/>
      <c r="Y286" s="80"/>
      <c r="Z286" s="80"/>
    </row>
    <row r="287" ht="15.75" customHeight="1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80"/>
      <c r="Q287" s="80"/>
      <c r="R287" s="80"/>
      <c r="S287" s="80"/>
      <c r="T287" s="80"/>
      <c r="U287" s="80"/>
      <c r="V287" s="80"/>
      <c r="W287" s="80"/>
      <c r="X287" s="80"/>
      <c r="Y287" s="80"/>
      <c r="Z287" s="80"/>
    </row>
    <row r="288" ht="15.75" customHeight="1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80"/>
      <c r="Q288" s="80"/>
      <c r="R288" s="80"/>
      <c r="S288" s="80"/>
      <c r="T288" s="80"/>
      <c r="U288" s="80"/>
      <c r="V288" s="80"/>
      <c r="W288" s="80"/>
      <c r="X288" s="80"/>
      <c r="Y288" s="80"/>
      <c r="Z288" s="80"/>
    </row>
    <row r="289" ht="15.75" customHeight="1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80"/>
      <c r="Q289" s="80"/>
      <c r="R289" s="80"/>
      <c r="S289" s="80"/>
      <c r="T289" s="80"/>
      <c r="U289" s="80"/>
      <c r="V289" s="80"/>
      <c r="W289" s="80"/>
      <c r="X289" s="80"/>
      <c r="Y289" s="80"/>
      <c r="Z289" s="80"/>
    </row>
    <row r="290" ht="15.75" customHeight="1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80"/>
      <c r="Q290" s="80"/>
      <c r="R290" s="80"/>
      <c r="S290" s="80"/>
      <c r="T290" s="80"/>
      <c r="U290" s="80"/>
      <c r="V290" s="80"/>
      <c r="W290" s="80"/>
      <c r="X290" s="80"/>
      <c r="Y290" s="80"/>
      <c r="Z290" s="80"/>
    </row>
    <row r="291" ht="15.75" customHeight="1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80"/>
      <c r="Q291" s="80"/>
      <c r="R291" s="80"/>
      <c r="S291" s="80"/>
      <c r="T291" s="80"/>
      <c r="U291" s="80"/>
      <c r="V291" s="80"/>
      <c r="W291" s="80"/>
      <c r="X291" s="80"/>
      <c r="Y291" s="80"/>
      <c r="Z291" s="80"/>
    </row>
    <row r="292" ht="15.75" customHeight="1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80"/>
      <c r="Q292" s="80"/>
      <c r="R292" s="80"/>
      <c r="S292" s="80"/>
      <c r="T292" s="80"/>
      <c r="U292" s="80"/>
      <c r="V292" s="80"/>
      <c r="W292" s="80"/>
      <c r="X292" s="80"/>
      <c r="Y292" s="80"/>
      <c r="Z292" s="80"/>
    </row>
    <row r="293" ht="15.75" customHeight="1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80"/>
      <c r="Q293" s="80"/>
      <c r="R293" s="80"/>
      <c r="S293" s="80"/>
      <c r="T293" s="80"/>
      <c r="U293" s="80"/>
      <c r="V293" s="80"/>
      <c r="W293" s="80"/>
      <c r="X293" s="80"/>
      <c r="Y293" s="80"/>
      <c r="Z293" s="80"/>
    </row>
    <row r="294" ht="15.75" customHeight="1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80"/>
      <c r="Q294" s="80"/>
      <c r="R294" s="80"/>
      <c r="S294" s="80"/>
      <c r="T294" s="80"/>
      <c r="U294" s="80"/>
      <c r="V294" s="80"/>
      <c r="W294" s="80"/>
      <c r="X294" s="80"/>
      <c r="Y294" s="80"/>
      <c r="Z294" s="80"/>
    </row>
    <row r="295" ht="15.75" customHeight="1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80"/>
      <c r="Q295" s="80"/>
      <c r="R295" s="80"/>
      <c r="S295" s="80"/>
      <c r="T295" s="80"/>
      <c r="U295" s="80"/>
      <c r="V295" s="80"/>
      <c r="W295" s="80"/>
      <c r="X295" s="80"/>
      <c r="Y295" s="80"/>
      <c r="Z295" s="80"/>
    </row>
    <row r="296" ht="15.75" customHeight="1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80"/>
      <c r="Q296" s="80"/>
      <c r="R296" s="80"/>
      <c r="S296" s="80"/>
      <c r="T296" s="80"/>
      <c r="U296" s="80"/>
      <c r="V296" s="80"/>
      <c r="W296" s="80"/>
      <c r="X296" s="80"/>
      <c r="Y296" s="80"/>
      <c r="Z296" s="80"/>
    </row>
    <row r="297" ht="15.75" customHeight="1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80"/>
      <c r="Q297" s="80"/>
      <c r="R297" s="80"/>
      <c r="S297" s="80"/>
      <c r="T297" s="80"/>
      <c r="U297" s="80"/>
      <c r="V297" s="80"/>
      <c r="W297" s="80"/>
      <c r="X297" s="80"/>
      <c r="Y297" s="80"/>
      <c r="Z297" s="80"/>
    </row>
    <row r="298" ht="15.75" customHeight="1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80"/>
      <c r="Q298" s="80"/>
      <c r="R298" s="80"/>
      <c r="S298" s="80"/>
      <c r="T298" s="80"/>
      <c r="U298" s="80"/>
      <c r="V298" s="80"/>
      <c r="W298" s="80"/>
      <c r="X298" s="80"/>
      <c r="Y298" s="80"/>
      <c r="Z298" s="80"/>
    </row>
    <row r="299" ht="15.75" customHeight="1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80"/>
      <c r="Q299" s="80"/>
      <c r="R299" s="80"/>
      <c r="S299" s="80"/>
      <c r="T299" s="80"/>
      <c r="U299" s="80"/>
      <c r="V299" s="80"/>
      <c r="W299" s="80"/>
      <c r="X299" s="80"/>
      <c r="Y299" s="80"/>
      <c r="Z299" s="80"/>
    </row>
    <row r="300" ht="15.75" customHeight="1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80"/>
      <c r="Q300" s="80"/>
      <c r="R300" s="80"/>
      <c r="S300" s="80"/>
      <c r="T300" s="80"/>
      <c r="U300" s="80"/>
      <c r="V300" s="80"/>
      <c r="W300" s="80"/>
      <c r="X300" s="80"/>
      <c r="Y300" s="80"/>
      <c r="Z300" s="80"/>
    </row>
    <row r="301" ht="15.75" customHeight="1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80"/>
      <c r="Q301" s="80"/>
      <c r="R301" s="80"/>
      <c r="S301" s="80"/>
      <c r="T301" s="80"/>
      <c r="U301" s="80"/>
      <c r="V301" s="80"/>
      <c r="W301" s="80"/>
      <c r="X301" s="80"/>
      <c r="Y301" s="80"/>
      <c r="Z301" s="80"/>
    </row>
    <row r="302" ht="15.75" customHeight="1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80"/>
      <c r="Q302" s="80"/>
      <c r="R302" s="80"/>
      <c r="S302" s="80"/>
      <c r="T302" s="80"/>
      <c r="U302" s="80"/>
      <c r="V302" s="80"/>
      <c r="W302" s="80"/>
      <c r="X302" s="80"/>
      <c r="Y302" s="80"/>
      <c r="Z302" s="80"/>
    </row>
    <row r="303" ht="15.75" customHeight="1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80"/>
      <c r="Q303" s="80"/>
      <c r="R303" s="80"/>
      <c r="S303" s="80"/>
      <c r="T303" s="80"/>
      <c r="U303" s="80"/>
      <c r="V303" s="80"/>
      <c r="W303" s="80"/>
      <c r="X303" s="80"/>
      <c r="Y303" s="80"/>
      <c r="Z303" s="80"/>
    </row>
    <row r="304" ht="15.75" customHeight="1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80"/>
      <c r="Q304" s="80"/>
      <c r="R304" s="80"/>
      <c r="S304" s="80"/>
      <c r="T304" s="80"/>
      <c r="U304" s="80"/>
      <c r="V304" s="80"/>
      <c r="W304" s="80"/>
      <c r="X304" s="80"/>
      <c r="Y304" s="80"/>
      <c r="Z304" s="80"/>
    </row>
    <row r="305" ht="15.75" customHeight="1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80"/>
      <c r="Q305" s="80"/>
      <c r="R305" s="80"/>
      <c r="S305" s="80"/>
      <c r="T305" s="80"/>
      <c r="U305" s="80"/>
      <c r="V305" s="80"/>
      <c r="W305" s="80"/>
      <c r="X305" s="80"/>
      <c r="Y305" s="80"/>
      <c r="Z305" s="80"/>
    </row>
    <row r="306" ht="15.75" customHeight="1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80"/>
      <c r="Q306" s="80"/>
      <c r="R306" s="80"/>
      <c r="S306" s="80"/>
      <c r="T306" s="80"/>
      <c r="U306" s="80"/>
      <c r="V306" s="80"/>
      <c r="W306" s="80"/>
      <c r="X306" s="80"/>
      <c r="Y306" s="80"/>
      <c r="Z306" s="80"/>
    </row>
    <row r="307" ht="15.75" customHeight="1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80"/>
      <c r="Q307" s="80"/>
      <c r="R307" s="80"/>
      <c r="S307" s="80"/>
      <c r="T307" s="80"/>
      <c r="U307" s="80"/>
      <c r="V307" s="80"/>
      <c r="W307" s="80"/>
      <c r="X307" s="80"/>
      <c r="Y307" s="80"/>
      <c r="Z307" s="80"/>
    </row>
    <row r="308" ht="15.75" customHeight="1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80"/>
      <c r="Q308" s="80"/>
      <c r="R308" s="80"/>
      <c r="S308" s="80"/>
      <c r="T308" s="80"/>
      <c r="U308" s="80"/>
      <c r="V308" s="80"/>
      <c r="W308" s="80"/>
      <c r="X308" s="80"/>
      <c r="Y308" s="80"/>
      <c r="Z308" s="80"/>
    </row>
    <row r="309" ht="15.75" customHeight="1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80"/>
      <c r="Q309" s="80"/>
      <c r="R309" s="80"/>
      <c r="S309" s="80"/>
      <c r="T309" s="80"/>
      <c r="U309" s="80"/>
      <c r="V309" s="80"/>
      <c r="W309" s="80"/>
      <c r="X309" s="80"/>
      <c r="Y309" s="80"/>
      <c r="Z309" s="80"/>
    </row>
    <row r="310" ht="15.75" customHeight="1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80"/>
      <c r="Q310" s="80"/>
      <c r="R310" s="80"/>
      <c r="S310" s="80"/>
      <c r="T310" s="80"/>
      <c r="U310" s="80"/>
      <c r="V310" s="80"/>
      <c r="W310" s="80"/>
      <c r="X310" s="80"/>
      <c r="Y310" s="80"/>
      <c r="Z310" s="80"/>
    </row>
    <row r="311" ht="15.75" customHeight="1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80"/>
      <c r="Q311" s="80"/>
      <c r="R311" s="80"/>
      <c r="S311" s="80"/>
      <c r="T311" s="80"/>
      <c r="U311" s="80"/>
      <c r="V311" s="80"/>
      <c r="W311" s="80"/>
      <c r="X311" s="80"/>
      <c r="Y311" s="80"/>
      <c r="Z311" s="80"/>
    </row>
    <row r="312" ht="15.75" customHeight="1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80"/>
      <c r="Q312" s="80"/>
      <c r="R312" s="80"/>
      <c r="S312" s="80"/>
      <c r="T312" s="80"/>
      <c r="U312" s="80"/>
      <c r="V312" s="80"/>
      <c r="W312" s="80"/>
      <c r="X312" s="80"/>
      <c r="Y312" s="80"/>
      <c r="Z312" s="80"/>
    </row>
    <row r="313" ht="15.75" customHeight="1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80"/>
      <c r="Q313" s="80"/>
      <c r="R313" s="80"/>
      <c r="S313" s="80"/>
      <c r="T313" s="80"/>
      <c r="U313" s="80"/>
      <c r="V313" s="80"/>
      <c r="W313" s="80"/>
      <c r="X313" s="80"/>
      <c r="Y313" s="80"/>
      <c r="Z313" s="80"/>
    </row>
    <row r="314" ht="15.75" customHeight="1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80"/>
      <c r="Q314" s="80"/>
      <c r="R314" s="80"/>
      <c r="S314" s="80"/>
      <c r="T314" s="80"/>
      <c r="U314" s="80"/>
      <c r="V314" s="80"/>
      <c r="W314" s="80"/>
      <c r="X314" s="80"/>
      <c r="Y314" s="80"/>
      <c r="Z314" s="80"/>
    </row>
    <row r="315" ht="15.75" customHeight="1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80"/>
      <c r="Q315" s="80"/>
      <c r="R315" s="80"/>
      <c r="S315" s="80"/>
      <c r="T315" s="80"/>
      <c r="U315" s="80"/>
      <c r="V315" s="80"/>
      <c r="W315" s="80"/>
      <c r="X315" s="80"/>
      <c r="Y315" s="80"/>
      <c r="Z315" s="80"/>
    </row>
    <row r="316" ht="15.75" customHeight="1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80"/>
      <c r="Q316" s="80"/>
      <c r="R316" s="80"/>
      <c r="S316" s="80"/>
      <c r="T316" s="80"/>
      <c r="U316" s="80"/>
      <c r="V316" s="80"/>
      <c r="W316" s="80"/>
      <c r="X316" s="80"/>
      <c r="Y316" s="80"/>
      <c r="Z316" s="80"/>
    </row>
    <row r="317" ht="15.75" customHeight="1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80"/>
      <c r="Q317" s="80"/>
      <c r="R317" s="80"/>
      <c r="S317" s="80"/>
      <c r="T317" s="80"/>
      <c r="U317" s="80"/>
      <c r="V317" s="80"/>
      <c r="W317" s="80"/>
      <c r="X317" s="80"/>
      <c r="Y317" s="80"/>
      <c r="Z317" s="80"/>
    </row>
    <row r="318" ht="15.75" customHeight="1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80"/>
      <c r="Q318" s="80"/>
      <c r="R318" s="80"/>
      <c r="S318" s="80"/>
      <c r="T318" s="80"/>
      <c r="U318" s="80"/>
      <c r="V318" s="80"/>
      <c r="W318" s="80"/>
      <c r="X318" s="80"/>
      <c r="Y318" s="80"/>
      <c r="Z318" s="80"/>
    </row>
    <row r="319" ht="15.75" customHeight="1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80"/>
      <c r="Q319" s="80"/>
      <c r="R319" s="80"/>
      <c r="S319" s="80"/>
      <c r="T319" s="80"/>
      <c r="U319" s="80"/>
      <c r="V319" s="80"/>
      <c r="W319" s="80"/>
      <c r="X319" s="80"/>
      <c r="Y319" s="80"/>
      <c r="Z319" s="80"/>
    </row>
    <row r="320" ht="15.75" customHeight="1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80"/>
      <c r="Q320" s="80"/>
      <c r="R320" s="80"/>
      <c r="S320" s="80"/>
      <c r="T320" s="80"/>
      <c r="U320" s="80"/>
      <c r="V320" s="80"/>
      <c r="W320" s="80"/>
      <c r="X320" s="80"/>
      <c r="Y320" s="80"/>
      <c r="Z320" s="80"/>
    </row>
    <row r="321" ht="15.75" customHeight="1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80"/>
      <c r="Q321" s="80"/>
      <c r="R321" s="80"/>
      <c r="S321" s="80"/>
      <c r="T321" s="80"/>
      <c r="U321" s="80"/>
      <c r="V321" s="80"/>
      <c r="W321" s="80"/>
      <c r="X321" s="80"/>
      <c r="Y321" s="80"/>
      <c r="Z321" s="80"/>
    </row>
    <row r="322" ht="15.75" customHeight="1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80"/>
      <c r="Q322" s="80"/>
      <c r="R322" s="80"/>
      <c r="S322" s="80"/>
      <c r="T322" s="80"/>
      <c r="U322" s="80"/>
      <c r="V322" s="80"/>
      <c r="W322" s="80"/>
      <c r="X322" s="80"/>
      <c r="Y322" s="80"/>
      <c r="Z322" s="80"/>
    </row>
    <row r="323" ht="15.75" customHeight="1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80"/>
      <c r="Q323" s="80"/>
      <c r="R323" s="80"/>
      <c r="S323" s="80"/>
      <c r="T323" s="80"/>
      <c r="U323" s="80"/>
      <c r="V323" s="80"/>
      <c r="W323" s="80"/>
      <c r="X323" s="80"/>
      <c r="Y323" s="80"/>
      <c r="Z323" s="80"/>
    </row>
    <row r="324" ht="15.75" customHeight="1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80"/>
      <c r="Q324" s="80"/>
      <c r="R324" s="80"/>
      <c r="S324" s="80"/>
      <c r="T324" s="80"/>
      <c r="U324" s="80"/>
      <c r="V324" s="80"/>
      <c r="W324" s="80"/>
      <c r="X324" s="80"/>
      <c r="Y324" s="80"/>
      <c r="Z324" s="80"/>
    </row>
    <row r="325" ht="15.75" customHeight="1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80"/>
      <c r="Q325" s="80"/>
      <c r="R325" s="80"/>
      <c r="S325" s="80"/>
      <c r="T325" s="80"/>
      <c r="U325" s="80"/>
      <c r="V325" s="80"/>
      <c r="W325" s="80"/>
      <c r="X325" s="80"/>
      <c r="Y325" s="80"/>
      <c r="Z325" s="80"/>
    </row>
    <row r="326" ht="15.75" customHeight="1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80"/>
      <c r="Q326" s="80"/>
      <c r="R326" s="80"/>
      <c r="S326" s="80"/>
      <c r="T326" s="80"/>
      <c r="U326" s="80"/>
      <c r="V326" s="80"/>
      <c r="W326" s="80"/>
      <c r="X326" s="80"/>
      <c r="Y326" s="80"/>
      <c r="Z326" s="80"/>
    </row>
    <row r="327" ht="15.75" customHeight="1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80"/>
      <c r="Q327" s="80"/>
      <c r="R327" s="80"/>
      <c r="S327" s="80"/>
      <c r="T327" s="80"/>
      <c r="U327" s="80"/>
      <c r="V327" s="80"/>
      <c r="W327" s="80"/>
      <c r="X327" s="80"/>
      <c r="Y327" s="80"/>
      <c r="Z327" s="80"/>
    </row>
    <row r="328" ht="15.75" customHeight="1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80"/>
      <c r="Q328" s="80"/>
      <c r="R328" s="80"/>
      <c r="S328" s="80"/>
      <c r="T328" s="80"/>
      <c r="U328" s="80"/>
      <c r="V328" s="80"/>
      <c r="W328" s="80"/>
      <c r="X328" s="80"/>
      <c r="Y328" s="80"/>
      <c r="Z328" s="80"/>
    </row>
    <row r="329" ht="15.75" customHeight="1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80"/>
      <c r="Q329" s="80"/>
      <c r="R329" s="80"/>
      <c r="S329" s="80"/>
      <c r="T329" s="80"/>
      <c r="U329" s="80"/>
      <c r="V329" s="80"/>
      <c r="W329" s="80"/>
      <c r="X329" s="80"/>
      <c r="Y329" s="80"/>
      <c r="Z329" s="80"/>
    </row>
    <row r="330" ht="15.75" customHeight="1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80"/>
      <c r="Q330" s="80"/>
      <c r="R330" s="80"/>
      <c r="S330" s="80"/>
      <c r="T330" s="80"/>
      <c r="U330" s="80"/>
      <c r="V330" s="80"/>
      <c r="W330" s="80"/>
      <c r="X330" s="80"/>
      <c r="Y330" s="80"/>
      <c r="Z330" s="80"/>
    </row>
    <row r="331" ht="15.75" customHeight="1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80"/>
      <c r="Q331" s="80"/>
      <c r="R331" s="80"/>
      <c r="S331" s="80"/>
      <c r="T331" s="80"/>
      <c r="U331" s="80"/>
      <c r="V331" s="80"/>
      <c r="W331" s="80"/>
      <c r="X331" s="80"/>
      <c r="Y331" s="80"/>
      <c r="Z331" s="80"/>
    </row>
    <row r="332" ht="15.75" customHeight="1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80"/>
      <c r="Q332" s="80"/>
      <c r="R332" s="80"/>
      <c r="S332" s="80"/>
      <c r="T332" s="80"/>
      <c r="U332" s="80"/>
      <c r="V332" s="80"/>
      <c r="W332" s="80"/>
      <c r="X332" s="80"/>
      <c r="Y332" s="80"/>
      <c r="Z332" s="80"/>
    </row>
    <row r="333" ht="15.75" customHeight="1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80"/>
      <c r="Q333" s="80"/>
      <c r="R333" s="80"/>
      <c r="S333" s="80"/>
      <c r="T333" s="80"/>
      <c r="U333" s="80"/>
      <c r="V333" s="80"/>
      <c r="W333" s="80"/>
      <c r="X333" s="80"/>
      <c r="Y333" s="80"/>
      <c r="Z333" s="80"/>
    </row>
    <row r="334" ht="15.75" customHeight="1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80"/>
      <c r="Q334" s="80"/>
      <c r="R334" s="80"/>
      <c r="S334" s="80"/>
      <c r="T334" s="80"/>
      <c r="U334" s="80"/>
      <c r="V334" s="80"/>
      <c r="W334" s="80"/>
      <c r="X334" s="80"/>
      <c r="Y334" s="80"/>
      <c r="Z334" s="80"/>
    </row>
    <row r="335" ht="15.75" customHeight="1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80"/>
      <c r="Q335" s="80"/>
      <c r="R335" s="80"/>
      <c r="S335" s="80"/>
      <c r="T335" s="80"/>
      <c r="U335" s="80"/>
      <c r="V335" s="80"/>
      <c r="W335" s="80"/>
      <c r="X335" s="80"/>
      <c r="Y335" s="80"/>
      <c r="Z335" s="80"/>
    </row>
    <row r="336" ht="15.75" customHeight="1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80"/>
      <c r="Q336" s="80"/>
      <c r="R336" s="80"/>
      <c r="S336" s="80"/>
      <c r="T336" s="80"/>
      <c r="U336" s="80"/>
      <c r="V336" s="80"/>
      <c r="W336" s="80"/>
      <c r="X336" s="80"/>
      <c r="Y336" s="80"/>
      <c r="Z336" s="80"/>
    </row>
    <row r="337" ht="15.75" customHeight="1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80"/>
      <c r="Q337" s="80"/>
      <c r="R337" s="80"/>
      <c r="S337" s="80"/>
      <c r="T337" s="80"/>
      <c r="U337" s="80"/>
      <c r="V337" s="80"/>
      <c r="W337" s="80"/>
      <c r="X337" s="80"/>
      <c r="Y337" s="80"/>
      <c r="Z337" s="80"/>
    </row>
    <row r="338" ht="15.75" customHeight="1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80"/>
      <c r="Q338" s="80"/>
      <c r="R338" s="80"/>
      <c r="S338" s="80"/>
      <c r="T338" s="80"/>
      <c r="U338" s="80"/>
      <c r="V338" s="80"/>
      <c r="W338" s="80"/>
      <c r="X338" s="80"/>
      <c r="Y338" s="80"/>
      <c r="Z338" s="80"/>
    </row>
    <row r="339" ht="15.75" customHeight="1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80"/>
      <c r="Q339" s="80"/>
      <c r="R339" s="80"/>
      <c r="S339" s="80"/>
      <c r="T339" s="80"/>
      <c r="U339" s="80"/>
      <c r="V339" s="80"/>
      <c r="W339" s="80"/>
      <c r="X339" s="80"/>
      <c r="Y339" s="80"/>
      <c r="Z339" s="80"/>
    </row>
    <row r="340" ht="15.75" customHeight="1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80"/>
      <c r="Q340" s="80"/>
      <c r="R340" s="80"/>
      <c r="S340" s="80"/>
      <c r="T340" s="80"/>
      <c r="U340" s="80"/>
      <c r="V340" s="80"/>
      <c r="W340" s="80"/>
      <c r="X340" s="80"/>
      <c r="Y340" s="80"/>
      <c r="Z340" s="80"/>
    </row>
    <row r="341" ht="15.75" customHeight="1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80"/>
      <c r="Q341" s="80"/>
      <c r="R341" s="80"/>
      <c r="S341" s="80"/>
      <c r="T341" s="80"/>
      <c r="U341" s="80"/>
      <c r="V341" s="80"/>
      <c r="W341" s="80"/>
      <c r="X341" s="80"/>
      <c r="Y341" s="80"/>
      <c r="Z341" s="80"/>
    </row>
    <row r="342" ht="15.75" customHeight="1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80"/>
      <c r="Q342" s="80"/>
      <c r="R342" s="80"/>
      <c r="S342" s="80"/>
      <c r="T342" s="80"/>
      <c r="U342" s="80"/>
      <c r="V342" s="80"/>
      <c r="W342" s="80"/>
      <c r="X342" s="80"/>
      <c r="Y342" s="80"/>
      <c r="Z342" s="80"/>
    </row>
    <row r="343" ht="15.75" customHeight="1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80"/>
      <c r="Q343" s="80"/>
      <c r="R343" s="80"/>
      <c r="S343" s="80"/>
      <c r="T343" s="80"/>
      <c r="U343" s="80"/>
      <c r="V343" s="80"/>
      <c r="W343" s="80"/>
      <c r="X343" s="80"/>
      <c r="Y343" s="80"/>
      <c r="Z343" s="80"/>
    </row>
    <row r="344" ht="15.75" customHeight="1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80"/>
      <c r="Q344" s="80"/>
      <c r="R344" s="80"/>
      <c r="S344" s="80"/>
      <c r="T344" s="80"/>
      <c r="U344" s="80"/>
      <c r="V344" s="80"/>
      <c r="W344" s="80"/>
      <c r="X344" s="80"/>
      <c r="Y344" s="80"/>
      <c r="Z344" s="80"/>
    </row>
    <row r="345" ht="15.75" customHeight="1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80"/>
      <c r="Q345" s="80"/>
      <c r="R345" s="80"/>
      <c r="S345" s="80"/>
      <c r="T345" s="80"/>
      <c r="U345" s="80"/>
      <c r="V345" s="80"/>
      <c r="W345" s="80"/>
      <c r="X345" s="80"/>
      <c r="Y345" s="80"/>
      <c r="Z345" s="80"/>
    </row>
    <row r="346" ht="15.75" customHeight="1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80"/>
      <c r="Q346" s="80"/>
      <c r="R346" s="80"/>
      <c r="S346" s="80"/>
      <c r="T346" s="80"/>
      <c r="U346" s="80"/>
      <c r="V346" s="80"/>
      <c r="W346" s="80"/>
      <c r="X346" s="80"/>
      <c r="Y346" s="80"/>
      <c r="Z346" s="80"/>
    </row>
    <row r="347" ht="15.75" customHeight="1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80"/>
      <c r="Q347" s="80"/>
      <c r="R347" s="80"/>
      <c r="S347" s="80"/>
      <c r="T347" s="80"/>
      <c r="U347" s="80"/>
      <c r="V347" s="80"/>
      <c r="W347" s="80"/>
      <c r="X347" s="80"/>
      <c r="Y347" s="80"/>
      <c r="Z347" s="80"/>
    </row>
    <row r="348" ht="15.75" customHeight="1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80"/>
      <c r="Q348" s="80"/>
      <c r="R348" s="80"/>
      <c r="S348" s="80"/>
      <c r="T348" s="80"/>
      <c r="U348" s="80"/>
      <c r="V348" s="80"/>
      <c r="W348" s="80"/>
      <c r="X348" s="80"/>
      <c r="Y348" s="80"/>
      <c r="Z348" s="80"/>
    </row>
    <row r="349" ht="15.75" customHeight="1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80"/>
      <c r="Q349" s="80"/>
      <c r="R349" s="80"/>
      <c r="S349" s="80"/>
      <c r="T349" s="80"/>
      <c r="U349" s="80"/>
      <c r="V349" s="80"/>
      <c r="W349" s="80"/>
      <c r="X349" s="80"/>
      <c r="Y349" s="80"/>
      <c r="Z349" s="80"/>
    </row>
    <row r="350" ht="15.75" customHeight="1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80"/>
      <c r="Q350" s="80"/>
      <c r="R350" s="80"/>
      <c r="S350" s="80"/>
      <c r="T350" s="80"/>
      <c r="U350" s="80"/>
      <c r="V350" s="80"/>
      <c r="W350" s="80"/>
      <c r="X350" s="80"/>
      <c r="Y350" s="80"/>
      <c r="Z350" s="80"/>
    </row>
    <row r="351" ht="15.75" customHeight="1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80"/>
      <c r="Q351" s="80"/>
      <c r="R351" s="80"/>
      <c r="S351" s="80"/>
      <c r="T351" s="80"/>
      <c r="U351" s="80"/>
      <c r="V351" s="80"/>
      <c r="W351" s="80"/>
      <c r="X351" s="80"/>
      <c r="Y351" s="80"/>
      <c r="Z351" s="80"/>
    </row>
    <row r="352" ht="15.75" customHeight="1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80"/>
      <c r="Q352" s="80"/>
      <c r="R352" s="80"/>
      <c r="S352" s="80"/>
      <c r="T352" s="80"/>
      <c r="U352" s="80"/>
      <c r="V352" s="80"/>
      <c r="W352" s="80"/>
      <c r="X352" s="80"/>
      <c r="Y352" s="80"/>
      <c r="Z352" s="80"/>
    </row>
    <row r="353" ht="15.75" customHeight="1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80"/>
      <c r="Q353" s="80"/>
      <c r="R353" s="80"/>
      <c r="S353" s="80"/>
      <c r="T353" s="80"/>
      <c r="U353" s="80"/>
      <c r="V353" s="80"/>
      <c r="W353" s="80"/>
      <c r="X353" s="80"/>
      <c r="Y353" s="80"/>
      <c r="Z353" s="80"/>
    </row>
    <row r="354" ht="15.75" customHeight="1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80"/>
      <c r="Q354" s="80"/>
      <c r="R354" s="80"/>
      <c r="S354" s="80"/>
      <c r="T354" s="80"/>
      <c r="U354" s="80"/>
      <c r="V354" s="80"/>
      <c r="W354" s="80"/>
      <c r="X354" s="80"/>
      <c r="Y354" s="80"/>
      <c r="Z354" s="80"/>
    </row>
    <row r="355" ht="15.75" customHeight="1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80"/>
      <c r="Q355" s="80"/>
      <c r="R355" s="80"/>
      <c r="S355" s="80"/>
      <c r="T355" s="80"/>
      <c r="U355" s="80"/>
      <c r="V355" s="80"/>
      <c r="W355" s="80"/>
      <c r="X355" s="80"/>
      <c r="Y355" s="80"/>
      <c r="Z355" s="80"/>
    </row>
    <row r="356" ht="15.75" customHeight="1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80"/>
      <c r="Q356" s="80"/>
      <c r="R356" s="80"/>
      <c r="S356" s="80"/>
      <c r="T356" s="80"/>
      <c r="U356" s="80"/>
      <c r="V356" s="80"/>
      <c r="W356" s="80"/>
      <c r="X356" s="80"/>
      <c r="Y356" s="80"/>
      <c r="Z356" s="80"/>
    </row>
    <row r="357" ht="15.75" customHeight="1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80"/>
      <c r="Q357" s="80"/>
      <c r="R357" s="80"/>
      <c r="S357" s="80"/>
      <c r="T357" s="80"/>
      <c r="U357" s="80"/>
      <c r="V357" s="80"/>
      <c r="W357" s="80"/>
      <c r="X357" s="80"/>
      <c r="Y357" s="80"/>
      <c r="Z357" s="80"/>
    </row>
    <row r="358" ht="15.75" customHeight="1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80"/>
      <c r="Q358" s="80"/>
      <c r="R358" s="80"/>
      <c r="S358" s="80"/>
      <c r="T358" s="80"/>
      <c r="U358" s="80"/>
      <c r="V358" s="80"/>
      <c r="W358" s="80"/>
      <c r="X358" s="80"/>
      <c r="Y358" s="80"/>
      <c r="Z358" s="80"/>
    </row>
    <row r="359" ht="15.75" customHeight="1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80"/>
      <c r="Q359" s="80"/>
      <c r="R359" s="80"/>
      <c r="S359" s="80"/>
      <c r="T359" s="80"/>
      <c r="U359" s="80"/>
      <c r="V359" s="80"/>
      <c r="W359" s="80"/>
      <c r="X359" s="80"/>
      <c r="Y359" s="80"/>
      <c r="Z359" s="80"/>
    </row>
    <row r="360" ht="15.75" customHeight="1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80"/>
      <c r="Q360" s="80"/>
      <c r="R360" s="80"/>
      <c r="S360" s="80"/>
      <c r="T360" s="80"/>
      <c r="U360" s="80"/>
      <c r="V360" s="80"/>
      <c r="W360" s="80"/>
      <c r="X360" s="80"/>
      <c r="Y360" s="80"/>
      <c r="Z360" s="80"/>
    </row>
    <row r="361" ht="15.75" customHeight="1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80"/>
      <c r="Q361" s="80"/>
      <c r="R361" s="80"/>
      <c r="S361" s="80"/>
      <c r="T361" s="80"/>
      <c r="U361" s="80"/>
      <c r="V361" s="80"/>
      <c r="W361" s="80"/>
      <c r="X361" s="80"/>
      <c r="Y361" s="80"/>
      <c r="Z361" s="80"/>
    </row>
    <row r="362" ht="15.75" customHeight="1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80"/>
      <c r="Q362" s="80"/>
      <c r="R362" s="80"/>
      <c r="S362" s="80"/>
      <c r="T362" s="80"/>
      <c r="U362" s="80"/>
      <c r="V362" s="80"/>
      <c r="W362" s="80"/>
      <c r="X362" s="80"/>
      <c r="Y362" s="80"/>
      <c r="Z362" s="80"/>
    </row>
    <row r="363" ht="15.75" customHeight="1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80"/>
      <c r="Q363" s="80"/>
      <c r="R363" s="80"/>
      <c r="S363" s="80"/>
      <c r="T363" s="80"/>
      <c r="U363" s="80"/>
      <c r="V363" s="80"/>
      <c r="W363" s="80"/>
      <c r="X363" s="80"/>
      <c r="Y363" s="80"/>
      <c r="Z363" s="80"/>
    </row>
    <row r="364" ht="15.75" customHeight="1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80"/>
      <c r="Q364" s="80"/>
      <c r="R364" s="80"/>
      <c r="S364" s="80"/>
      <c r="T364" s="80"/>
      <c r="U364" s="80"/>
      <c r="V364" s="80"/>
      <c r="W364" s="80"/>
      <c r="X364" s="80"/>
      <c r="Y364" s="80"/>
      <c r="Z364" s="80"/>
    </row>
    <row r="365" ht="15.75" customHeight="1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80"/>
      <c r="Q365" s="80"/>
      <c r="R365" s="80"/>
      <c r="S365" s="80"/>
      <c r="T365" s="80"/>
      <c r="U365" s="80"/>
      <c r="V365" s="80"/>
      <c r="W365" s="80"/>
      <c r="X365" s="80"/>
      <c r="Y365" s="80"/>
      <c r="Z365" s="80"/>
    </row>
    <row r="366" ht="15.75" customHeight="1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80"/>
      <c r="Q366" s="80"/>
      <c r="R366" s="80"/>
      <c r="S366" s="80"/>
      <c r="T366" s="80"/>
      <c r="U366" s="80"/>
      <c r="V366" s="80"/>
      <c r="W366" s="80"/>
      <c r="X366" s="80"/>
      <c r="Y366" s="80"/>
      <c r="Z366" s="80"/>
    </row>
    <row r="367" ht="15.75" customHeight="1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80"/>
      <c r="Q367" s="80"/>
      <c r="R367" s="80"/>
      <c r="S367" s="80"/>
      <c r="T367" s="80"/>
      <c r="U367" s="80"/>
      <c r="V367" s="80"/>
      <c r="W367" s="80"/>
      <c r="X367" s="80"/>
      <c r="Y367" s="80"/>
      <c r="Z367" s="80"/>
    </row>
    <row r="368" ht="15.75" customHeight="1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80"/>
      <c r="Q368" s="80"/>
      <c r="R368" s="80"/>
      <c r="S368" s="80"/>
      <c r="T368" s="80"/>
      <c r="U368" s="80"/>
      <c r="V368" s="80"/>
      <c r="W368" s="80"/>
      <c r="X368" s="80"/>
      <c r="Y368" s="80"/>
      <c r="Z368" s="80"/>
    </row>
    <row r="369" ht="15.75" customHeight="1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80"/>
      <c r="Q369" s="80"/>
      <c r="R369" s="80"/>
      <c r="S369" s="80"/>
      <c r="T369" s="80"/>
      <c r="U369" s="80"/>
      <c r="V369" s="80"/>
      <c r="W369" s="80"/>
      <c r="X369" s="80"/>
      <c r="Y369" s="80"/>
      <c r="Z369" s="80"/>
    </row>
    <row r="370" ht="15.75" customHeight="1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80"/>
      <c r="Q370" s="80"/>
      <c r="R370" s="80"/>
      <c r="S370" s="80"/>
      <c r="T370" s="80"/>
      <c r="U370" s="80"/>
      <c r="V370" s="80"/>
      <c r="W370" s="80"/>
      <c r="X370" s="80"/>
      <c r="Y370" s="80"/>
      <c r="Z370" s="80"/>
    </row>
    <row r="371" ht="15.75" customHeight="1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80"/>
      <c r="Q371" s="80"/>
      <c r="R371" s="80"/>
      <c r="S371" s="80"/>
      <c r="T371" s="80"/>
      <c r="U371" s="80"/>
      <c r="V371" s="80"/>
      <c r="W371" s="80"/>
      <c r="X371" s="80"/>
      <c r="Y371" s="80"/>
      <c r="Z371" s="80"/>
    </row>
    <row r="372" ht="15.75" customHeight="1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80"/>
      <c r="Q372" s="80"/>
      <c r="R372" s="80"/>
      <c r="S372" s="80"/>
      <c r="T372" s="80"/>
      <c r="U372" s="80"/>
      <c r="V372" s="80"/>
      <c r="W372" s="80"/>
      <c r="X372" s="80"/>
      <c r="Y372" s="80"/>
      <c r="Z372" s="80"/>
    </row>
    <row r="373" ht="15.75" customHeight="1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80"/>
      <c r="Q373" s="80"/>
      <c r="R373" s="80"/>
      <c r="S373" s="80"/>
      <c r="T373" s="80"/>
      <c r="U373" s="80"/>
      <c r="V373" s="80"/>
      <c r="W373" s="80"/>
      <c r="X373" s="80"/>
      <c r="Y373" s="80"/>
      <c r="Z373" s="80"/>
    </row>
    <row r="374" ht="15.75" customHeight="1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80"/>
      <c r="Q374" s="80"/>
      <c r="R374" s="80"/>
      <c r="S374" s="80"/>
      <c r="T374" s="80"/>
      <c r="U374" s="80"/>
      <c r="V374" s="80"/>
      <c r="W374" s="80"/>
      <c r="X374" s="80"/>
      <c r="Y374" s="80"/>
      <c r="Z374" s="80"/>
    </row>
    <row r="375" ht="15.75" customHeight="1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80"/>
      <c r="Q375" s="80"/>
      <c r="R375" s="80"/>
      <c r="S375" s="80"/>
      <c r="T375" s="80"/>
      <c r="U375" s="80"/>
      <c r="V375" s="80"/>
      <c r="W375" s="80"/>
      <c r="X375" s="80"/>
      <c r="Y375" s="80"/>
      <c r="Z375" s="80"/>
    </row>
    <row r="376" ht="15.75" customHeight="1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80"/>
      <c r="Q376" s="80"/>
      <c r="R376" s="80"/>
      <c r="S376" s="80"/>
      <c r="T376" s="80"/>
      <c r="U376" s="80"/>
      <c r="V376" s="80"/>
      <c r="W376" s="80"/>
      <c r="X376" s="80"/>
      <c r="Y376" s="80"/>
      <c r="Z376" s="80"/>
    </row>
    <row r="377" ht="15.75" customHeight="1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80"/>
      <c r="Q377" s="80"/>
      <c r="R377" s="80"/>
      <c r="S377" s="80"/>
      <c r="T377" s="80"/>
      <c r="U377" s="80"/>
      <c r="V377" s="80"/>
      <c r="W377" s="80"/>
      <c r="X377" s="80"/>
      <c r="Y377" s="80"/>
      <c r="Z377" s="80"/>
    </row>
    <row r="378" ht="15.75" customHeight="1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80"/>
      <c r="Q378" s="80"/>
      <c r="R378" s="80"/>
      <c r="S378" s="80"/>
      <c r="T378" s="80"/>
      <c r="U378" s="80"/>
      <c r="V378" s="80"/>
      <c r="W378" s="80"/>
      <c r="X378" s="80"/>
      <c r="Y378" s="80"/>
      <c r="Z378" s="80"/>
    </row>
    <row r="379" ht="15.75" customHeight="1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80"/>
      <c r="Q379" s="80"/>
      <c r="R379" s="80"/>
      <c r="S379" s="80"/>
      <c r="T379" s="80"/>
      <c r="U379" s="80"/>
      <c r="V379" s="80"/>
      <c r="W379" s="80"/>
      <c r="X379" s="80"/>
      <c r="Y379" s="80"/>
      <c r="Z379" s="80"/>
    </row>
    <row r="380" ht="15.75" customHeight="1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80"/>
      <c r="Q380" s="80"/>
      <c r="R380" s="80"/>
      <c r="S380" s="80"/>
      <c r="T380" s="80"/>
      <c r="U380" s="80"/>
      <c r="V380" s="80"/>
      <c r="W380" s="80"/>
      <c r="X380" s="80"/>
      <c r="Y380" s="80"/>
      <c r="Z380" s="80"/>
    </row>
    <row r="381" ht="15.75" customHeight="1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80"/>
      <c r="Q381" s="80"/>
      <c r="R381" s="80"/>
      <c r="S381" s="80"/>
      <c r="T381" s="80"/>
      <c r="U381" s="80"/>
      <c r="V381" s="80"/>
      <c r="W381" s="80"/>
      <c r="X381" s="80"/>
      <c r="Y381" s="80"/>
      <c r="Z381" s="80"/>
    </row>
    <row r="382" ht="15.75" customHeight="1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80"/>
      <c r="Q382" s="80"/>
      <c r="R382" s="80"/>
      <c r="S382" s="80"/>
      <c r="T382" s="80"/>
      <c r="U382" s="80"/>
      <c r="V382" s="80"/>
      <c r="W382" s="80"/>
      <c r="X382" s="80"/>
      <c r="Y382" s="80"/>
      <c r="Z382" s="80"/>
    </row>
    <row r="383" ht="15.75" customHeight="1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80"/>
      <c r="Q383" s="80"/>
      <c r="R383" s="80"/>
      <c r="S383" s="80"/>
      <c r="T383" s="80"/>
      <c r="U383" s="80"/>
      <c r="V383" s="80"/>
      <c r="W383" s="80"/>
      <c r="X383" s="80"/>
      <c r="Y383" s="80"/>
      <c r="Z383" s="80"/>
    </row>
    <row r="384" ht="15.75" customHeight="1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80"/>
      <c r="Q384" s="80"/>
      <c r="R384" s="80"/>
      <c r="S384" s="80"/>
      <c r="T384" s="80"/>
      <c r="U384" s="80"/>
      <c r="V384" s="80"/>
      <c r="W384" s="80"/>
      <c r="X384" s="80"/>
      <c r="Y384" s="80"/>
      <c r="Z384" s="80"/>
    </row>
    <row r="385" ht="15.75" customHeight="1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80"/>
      <c r="Q385" s="80"/>
      <c r="R385" s="80"/>
      <c r="S385" s="80"/>
      <c r="T385" s="80"/>
      <c r="U385" s="80"/>
      <c r="V385" s="80"/>
      <c r="W385" s="80"/>
      <c r="X385" s="80"/>
      <c r="Y385" s="80"/>
      <c r="Z385" s="80"/>
    </row>
    <row r="386" ht="15.75" customHeight="1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80"/>
      <c r="Q386" s="80"/>
      <c r="R386" s="80"/>
      <c r="S386" s="80"/>
      <c r="T386" s="80"/>
      <c r="U386" s="80"/>
      <c r="V386" s="80"/>
      <c r="W386" s="80"/>
      <c r="X386" s="80"/>
      <c r="Y386" s="80"/>
      <c r="Z386" s="80"/>
    </row>
    <row r="387" ht="15.75" customHeight="1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80"/>
      <c r="Q387" s="80"/>
      <c r="R387" s="80"/>
      <c r="S387" s="80"/>
      <c r="T387" s="80"/>
      <c r="U387" s="80"/>
      <c r="V387" s="80"/>
      <c r="W387" s="80"/>
      <c r="X387" s="80"/>
      <c r="Y387" s="80"/>
      <c r="Z387" s="80"/>
    </row>
    <row r="388" ht="15.75" customHeight="1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80"/>
      <c r="Q388" s="80"/>
      <c r="R388" s="80"/>
      <c r="S388" s="80"/>
      <c r="T388" s="80"/>
      <c r="U388" s="80"/>
      <c r="V388" s="80"/>
      <c r="W388" s="80"/>
      <c r="X388" s="80"/>
      <c r="Y388" s="80"/>
      <c r="Z388" s="80"/>
    </row>
    <row r="389" ht="15.75" customHeight="1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80"/>
      <c r="Q389" s="80"/>
      <c r="R389" s="80"/>
      <c r="S389" s="80"/>
      <c r="T389" s="80"/>
      <c r="U389" s="80"/>
      <c r="V389" s="80"/>
      <c r="W389" s="80"/>
      <c r="X389" s="80"/>
      <c r="Y389" s="80"/>
      <c r="Z389" s="80"/>
    </row>
    <row r="390" ht="15.75" customHeight="1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80"/>
      <c r="Q390" s="80"/>
      <c r="R390" s="80"/>
      <c r="S390" s="80"/>
      <c r="T390" s="80"/>
      <c r="U390" s="80"/>
      <c r="V390" s="80"/>
      <c r="W390" s="80"/>
      <c r="X390" s="80"/>
      <c r="Y390" s="80"/>
      <c r="Z390" s="80"/>
    </row>
    <row r="391" ht="15.75" customHeight="1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80"/>
      <c r="Q391" s="80"/>
      <c r="R391" s="80"/>
      <c r="S391" s="80"/>
      <c r="T391" s="80"/>
      <c r="U391" s="80"/>
      <c r="V391" s="80"/>
      <c r="W391" s="80"/>
      <c r="X391" s="80"/>
      <c r="Y391" s="80"/>
      <c r="Z391" s="80"/>
    </row>
    <row r="392" ht="15.75" customHeight="1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80"/>
      <c r="Q392" s="80"/>
      <c r="R392" s="80"/>
      <c r="S392" s="80"/>
      <c r="T392" s="80"/>
      <c r="U392" s="80"/>
      <c r="V392" s="80"/>
      <c r="W392" s="80"/>
      <c r="X392" s="80"/>
      <c r="Y392" s="80"/>
      <c r="Z392" s="80"/>
    </row>
    <row r="393" ht="15.75" customHeight="1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80"/>
      <c r="Q393" s="80"/>
      <c r="R393" s="80"/>
      <c r="S393" s="80"/>
      <c r="T393" s="80"/>
      <c r="U393" s="80"/>
      <c r="V393" s="80"/>
      <c r="W393" s="80"/>
      <c r="X393" s="80"/>
      <c r="Y393" s="80"/>
      <c r="Z393" s="80"/>
    </row>
    <row r="394" ht="15.75" customHeight="1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80"/>
      <c r="Q394" s="80"/>
      <c r="R394" s="80"/>
      <c r="S394" s="80"/>
      <c r="T394" s="80"/>
      <c r="U394" s="80"/>
      <c r="V394" s="80"/>
      <c r="W394" s="80"/>
      <c r="X394" s="80"/>
      <c r="Y394" s="80"/>
      <c r="Z394" s="80"/>
    </row>
    <row r="395" ht="15.75" customHeight="1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80"/>
      <c r="Q395" s="80"/>
      <c r="R395" s="80"/>
      <c r="S395" s="80"/>
      <c r="T395" s="80"/>
      <c r="U395" s="80"/>
      <c r="V395" s="80"/>
      <c r="W395" s="80"/>
      <c r="X395" s="80"/>
      <c r="Y395" s="80"/>
      <c r="Z395" s="80"/>
    </row>
    <row r="396" ht="15.75" customHeight="1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80"/>
      <c r="Q396" s="80"/>
      <c r="R396" s="80"/>
      <c r="S396" s="80"/>
      <c r="T396" s="80"/>
      <c r="U396" s="80"/>
      <c r="V396" s="80"/>
      <c r="W396" s="80"/>
      <c r="X396" s="80"/>
      <c r="Y396" s="80"/>
      <c r="Z396" s="80"/>
    </row>
    <row r="397" ht="15.75" customHeight="1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80"/>
      <c r="Q397" s="80"/>
      <c r="R397" s="80"/>
      <c r="S397" s="80"/>
      <c r="T397" s="80"/>
      <c r="U397" s="80"/>
      <c r="V397" s="80"/>
      <c r="W397" s="80"/>
      <c r="X397" s="80"/>
      <c r="Y397" s="80"/>
      <c r="Z397" s="80"/>
    </row>
    <row r="398" ht="15.75" customHeight="1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80"/>
      <c r="Q398" s="80"/>
      <c r="R398" s="80"/>
      <c r="S398" s="80"/>
      <c r="T398" s="80"/>
      <c r="U398" s="80"/>
      <c r="V398" s="80"/>
      <c r="W398" s="80"/>
      <c r="X398" s="80"/>
      <c r="Y398" s="80"/>
      <c r="Z398" s="80"/>
    </row>
    <row r="399" ht="15.75" customHeight="1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80"/>
      <c r="Q399" s="80"/>
      <c r="R399" s="80"/>
      <c r="S399" s="80"/>
      <c r="T399" s="80"/>
      <c r="U399" s="80"/>
      <c r="V399" s="80"/>
      <c r="W399" s="80"/>
      <c r="X399" s="80"/>
      <c r="Y399" s="80"/>
      <c r="Z399" s="80"/>
    </row>
    <row r="400" ht="15.75" customHeight="1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80"/>
      <c r="Q400" s="80"/>
      <c r="R400" s="80"/>
      <c r="S400" s="80"/>
      <c r="T400" s="80"/>
      <c r="U400" s="80"/>
      <c r="V400" s="80"/>
      <c r="W400" s="80"/>
      <c r="X400" s="80"/>
      <c r="Y400" s="80"/>
      <c r="Z400" s="80"/>
    </row>
    <row r="401" ht="15.75" customHeight="1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80"/>
      <c r="Q401" s="80"/>
      <c r="R401" s="80"/>
      <c r="S401" s="80"/>
      <c r="T401" s="80"/>
      <c r="U401" s="80"/>
      <c r="V401" s="80"/>
      <c r="W401" s="80"/>
      <c r="X401" s="80"/>
      <c r="Y401" s="80"/>
      <c r="Z401" s="80"/>
    </row>
    <row r="402" ht="15.75" customHeight="1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80"/>
      <c r="Q402" s="80"/>
      <c r="R402" s="80"/>
      <c r="S402" s="80"/>
      <c r="T402" s="80"/>
      <c r="U402" s="80"/>
      <c r="V402" s="80"/>
      <c r="W402" s="80"/>
      <c r="X402" s="80"/>
      <c r="Y402" s="80"/>
      <c r="Z402" s="80"/>
    </row>
    <row r="403" ht="15.75" customHeight="1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80"/>
      <c r="Q403" s="80"/>
      <c r="R403" s="80"/>
      <c r="S403" s="80"/>
      <c r="T403" s="80"/>
      <c r="U403" s="80"/>
      <c r="V403" s="80"/>
      <c r="W403" s="80"/>
      <c r="X403" s="80"/>
      <c r="Y403" s="80"/>
      <c r="Z403" s="80"/>
    </row>
    <row r="404" ht="15.75" customHeight="1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80"/>
      <c r="Q404" s="80"/>
      <c r="R404" s="80"/>
      <c r="S404" s="80"/>
      <c r="T404" s="80"/>
      <c r="U404" s="80"/>
      <c r="V404" s="80"/>
      <c r="W404" s="80"/>
      <c r="X404" s="80"/>
      <c r="Y404" s="80"/>
      <c r="Z404" s="80"/>
    </row>
    <row r="405" ht="15.75" customHeight="1">
      <c r="A405" s="80"/>
      <c r="B405" s="80"/>
      <c r="C405" s="80"/>
      <c r="D405" s="80"/>
      <c r="E405" s="80"/>
      <c r="F405" s="80"/>
      <c r="G405" s="80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</row>
    <row r="406" ht="15.75" customHeight="1">
      <c r="A406" s="80"/>
      <c r="B406" s="80"/>
      <c r="C406" s="80"/>
      <c r="D406" s="80"/>
      <c r="E406" s="80"/>
      <c r="F406" s="80"/>
      <c r="G406" s="80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</row>
    <row r="407" ht="15.75" customHeight="1">
      <c r="A407" s="80"/>
      <c r="B407" s="80"/>
      <c r="C407" s="80"/>
      <c r="D407" s="80"/>
      <c r="E407" s="80"/>
      <c r="F407" s="80"/>
      <c r="G407" s="80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</row>
    <row r="408" ht="15.75" customHeight="1">
      <c r="A408" s="80"/>
      <c r="B408" s="80"/>
      <c r="C408" s="80"/>
      <c r="D408" s="80"/>
      <c r="E408" s="80"/>
      <c r="F408" s="80"/>
      <c r="G408" s="80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</row>
    <row r="409" ht="15.75" customHeight="1">
      <c r="A409" s="80"/>
      <c r="B409" s="80"/>
      <c r="C409" s="80"/>
      <c r="D409" s="80"/>
      <c r="E409" s="80"/>
      <c r="F409" s="80"/>
      <c r="G409" s="80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</row>
    <row r="410" ht="15.75" customHeight="1">
      <c r="A410" s="80"/>
      <c r="B410" s="80"/>
      <c r="C410" s="80"/>
      <c r="D410" s="80"/>
      <c r="E410" s="80"/>
      <c r="F410" s="80"/>
      <c r="G410" s="80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</row>
    <row r="411" ht="15.75" customHeight="1">
      <c r="A411" s="80"/>
      <c r="B411" s="80"/>
      <c r="C411" s="80"/>
      <c r="D411" s="80"/>
      <c r="E411" s="80"/>
      <c r="F411" s="80"/>
      <c r="G411" s="80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</row>
    <row r="412" ht="15.75" customHeight="1">
      <c r="A412" s="80"/>
      <c r="B412" s="80"/>
      <c r="C412" s="80"/>
      <c r="D412" s="80"/>
      <c r="E412" s="80"/>
      <c r="F412" s="80"/>
      <c r="G412" s="80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</row>
    <row r="413" ht="15.75" customHeight="1">
      <c r="A413" s="80"/>
      <c r="B413" s="80"/>
      <c r="C413" s="80"/>
      <c r="D413" s="80"/>
      <c r="E413" s="80"/>
      <c r="F413" s="80"/>
      <c r="G413" s="80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</row>
    <row r="414" ht="15.75" customHeight="1">
      <c r="A414" s="80"/>
      <c r="B414" s="80"/>
      <c r="C414" s="80"/>
      <c r="D414" s="80"/>
      <c r="E414" s="80"/>
      <c r="F414" s="80"/>
      <c r="G414" s="80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</row>
    <row r="415" ht="15.75" customHeight="1">
      <c r="A415" s="80"/>
      <c r="B415" s="80"/>
      <c r="C415" s="80"/>
      <c r="D415" s="80"/>
      <c r="E415" s="80"/>
      <c r="F415" s="80"/>
      <c r="G415" s="80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</row>
    <row r="416" ht="15.75" customHeight="1">
      <c r="A416" s="80"/>
      <c r="B416" s="80"/>
      <c r="C416" s="80"/>
      <c r="D416" s="80"/>
      <c r="E416" s="80"/>
      <c r="F416" s="80"/>
      <c r="G416" s="80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</row>
    <row r="417" ht="15.75" customHeight="1">
      <c r="A417" s="80"/>
      <c r="B417" s="80"/>
      <c r="C417" s="80"/>
      <c r="D417" s="80"/>
      <c r="E417" s="80"/>
      <c r="F417" s="80"/>
      <c r="G417" s="80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</row>
    <row r="418" ht="15.75" customHeight="1">
      <c r="A418" s="80"/>
      <c r="B418" s="80"/>
      <c r="C418" s="80"/>
      <c r="D418" s="80"/>
      <c r="E418" s="80"/>
      <c r="F418" s="80"/>
      <c r="G418" s="80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</row>
    <row r="419" ht="15.75" customHeight="1">
      <c r="A419" s="80"/>
      <c r="B419" s="80"/>
      <c r="C419" s="80"/>
      <c r="D419" s="80"/>
      <c r="E419" s="80"/>
      <c r="F419" s="80"/>
      <c r="G419" s="80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</row>
    <row r="420" ht="15.75" customHeight="1">
      <c r="A420" s="80"/>
      <c r="B420" s="80"/>
      <c r="C420" s="80"/>
      <c r="D420" s="80"/>
      <c r="E420" s="80"/>
      <c r="F420" s="80"/>
      <c r="G420" s="80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</row>
    <row r="421" ht="15.75" customHeight="1">
      <c r="A421" s="80"/>
      <c r="B421" s="80"/>
      <c r="C421" s="80"/>
      <c r="D421" s="80"/>
      <c r="E421" s="80"/>
      <c r="F421" s="80"/>
      <c r="G421" s="80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</row>
    <row r="422" ht="15.75" customHeight="1">
      <c r="A422" s="80"/>
      <c r="B422" s="80"/>
      <c r="C422" s="80"/>
      <c r="D422" s="80"/>
      <c r="E422" s="80"/>
      <c r="F422" s="80"/>
      <c r="G422" s="80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</row>
    <row r="423" ht="15.75" customHeight="1">
      <c r="A423" s="80"/>
      <c r="B423" s="80"/>
      <c r="C423" s="80"/>
      <c r="D423" s="80"/>
      <c r="E423" s="80"/>
      <c r="F423" s="80"/>
      <c r="G423" s="80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</row>
    <row r="424" ht="15.75" customHeight="1">
      <c r="A424" s="80"/>
      <c r="B424" s="80"/>
      <c r="C424" s="80"/>
      <c r="D424" s="80"/>
      <c r="E424" s="80"/>
      <c r="F424" s="80"/>
      <c r="G424" s="80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</row>
    <row r="425" ht="15.75" customHeight="1">
      <c r="A425" s="80"/>
      <c r="B425" s="80"/>
      <c r="C425" s="80"/>
      <c r="D425" s="80"/>
      <c r="E425" s="80"/>
      <c r="F425" s="80"/>
      <c r="G425" s="80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</row>
    <row r="426" ht="15.75" customHeight="1">
      <c r="A426" s="80"/>
      <c r="B426" s="80"/>
      <c r="C426" s="80"/>
      <c r="D426" s="80"/>
      <c r="E426" s="80"/>
      <c r="F426" s="80"/>
      <c r="G426" s="80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</row>
    <row r="427" ht="15.75" customHeight="1">
      <c r="A427" s="80"/>
      <c r="B427" s="80"/>
      <c r="C427" s="80"/>
      <c r="D427" s="80"/>
      <c r="E427" s="80"/>
      <c r="F427" s="80"/>
      <c r="G427" s="80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</row>
    <row r="428" ht="15.75" customHeight="1">
      <c r="A428" s="80"/>
      <c r="B428" s="80"/>
      <c r="C428" s="80"/>
      <c r="D428" s="80"/>
      <c r="E428" s="80"/>
      <c r="F428" s="80"/>
      <c r="G428" s="80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</row>
    <row r="429" ht="15.75" customHeight="1">
      <c r="A429" s="80"/>
      <c r="B429" s="80"/>
      <c r="C429" s="80"/>
      <c r="D429" s="80"/>
      <c r="E429" s="80"/>
      <c r="F429" s="80"/>
      <c r="G429" s="80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</row>
    <row r="430" ht="15.75" customHeight="1">
      <c r="A430" s="80"/>
      <c r="B430" s="80"/>
      <c r="C430" s="80"/>
      <c r="D430" s="80"/>
      <c r="E430" s="80"/>
      <c r="F430" s="80"/>
      <c r="G430" s="80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</row>
    <row r="431" ht="15.75" customHeight="1">
      <c r="A431" s="80"/>
      <c r="B431" s="80"/>
      <c r="C431" s="80"/>
      <c r="D431" s="80"/>
      <c r="E431" s="80"/>
      <c r="F431" s="80"/>
      <c r="G431" s="80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</row>
    <row r="432" ht="15.75" customHeight="1">
      <c r="A432" s="80"/>
      <c r="B432" s="80"/>
      <c r="C432" s="80"/>
      <c r="D432" s="80"/>
      <c r="E432" s="80"/>
      <c r="F432" s="80"/>
      <c r="G432" s="80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</row>
    <row r="433" ht="15.75" customHeight="1">
      <c r="A433" s="80"/>
      <c r="B433" s="80"/>
      <c r="C433" s="80"/>
      <c r="D433" s="80"/>
      <c r="E433" s="80"/>
      <c r="F433" s="80"/>
      <c r="G433" s="80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</row>
    <row r="434" ht="15.75" customHeight="1">
      <c r="A434" s="80"/>
      <c r="B434" s="80"/>
      <c r="C434" s="80"/>
      <c r="D434" s="80"/>
      <c r="E434" s="80"/>
      <c r="F434" s="80"/>
      <c r="G434" s="80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</row>
    <row r="435" ht="15.75" customHeight="1">
      <c r="A435" s="80"/>
      <c r="B435" s="80"/>
      <c r="C435" s="80"/>
      <c r="D435" s="80"/>
      <c r="E435" s="80"/>
      <c r="F435" s="80"/>
      <c r="G435" s="80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</row>
    <row r="436" ht="15.75" customHeight="1">
      <c r="A436" s="80"/>
      <c r="B436" s="80"/>
      <c r="C436" s="80"/>
      <c r="D436" s="80"/>
      <c r="E436" s="80"/>
      <c r="F436" s="80"/>
      <c r="G436" s="80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</row>
    <row r="437" ht="15.75" customHeight="1">
      <c r="A437" s="80"/>
      <c r="B437" s="80"/>
      <c r="C437" s="80"/>
      <c r="D437" s="80"/>
      <c r="E437" s="80"/>
      <c r="F437" s="80"/>
      <c r="G437" s="80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</row>
    <row r="438" ht="15.75" customHeight="1">
      <c r="A438" s="80"/>
      <c r="B438" s="80"/>
      <c r="C438" s="80"/>
      <c r="D438" s="80"/>
      <c r="E438" s="80"/>
      <c r="F438" s="80"/>
      <c r="G438" s="80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</row>
    <row r="439" ht="15.75" customHeight="1">
      <c r="A439" s="80"/>
      <c r="B439" s="80"/>
      <c r="C439" s="80"/>
      <c r="D439" s="80"/>
      <c r="E439" s="80"/>
      <c r="F439" s="80"/>
      <c r="G439" s="80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</row>
    <row r="440" ht="15.75" customHeight="1">
      <c r="A440" s="80"/>
      <c r="B440" s="80"/>
      <c r="C440" s="80"/>
      <c r="D440" s="80"/>
      <c r="E440" s="80"/>
      <c r="F440" s="80"/>
      <c r="G440" s="80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</row>
    <row r="441" ht="15.75" customHeight="1">
      <c r="A441" s="80"/>
      <c r="B441" s="80"/>
      <c r="C441" s="80"/>
      <c r="D441" s="80"/>
      <c r="E441" s="80"/>
      <c r="F441" s="80"/>
      <c r="G441" s="80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</row>
    <row r="442" ht="15.75" customHeight="1">
      <c r="A442" s="80"/>
      <c r="B442" s="80"/>
      <c r="C442" s="80"/>
      <c r="D442" s="80"/>
      <c r="E442" s="80"/>
      <c r="F442" s="80"/>
      <c r="G442" s="80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</row>
    <row r="443" ht="15.75" customHeight="1">
      <c r="A443" s="80"/>
      <c r="B443" s="80"/>
      <c r="C443" s="80"/>
      <c r="D443" s="80"/>
      <c r="E443" s="80"/>
      <c r="F443" s="80"/>
      <c r="G443" s="80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</row>
    <row r="444" ht="15.75" customHeight="1">
      <c r="A444" s="80"/>
      <c r="B444" s="80"/>
      <c r="C444" s="80"/>
      <c r="D444" s="80"/>
      <c r="E444" s="80"/>
      <c r="F444" s="80"/>
      <c r="G444" s="80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</row>
    <row r="445" ht="15.75" customHeight="1">
      <c r="A445" s="80"/>
      <c r="B445" s="80"/>
      <c r="C445" s="80"/>
      <c r="D445" s="80"/>
      <c r="E445" s="80"/>
      <c r="F445" s="80"/>
      <c r="G445" s="80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</row>
    <row r="446" ht="15.75" customHeight="1">
      <c r="A446" s="80"/>
      <c r="B446" s="80"/>
      <c r="C446" s="80"/>
      <c r="D446" s="80"/>
      <c r="E446" s="80"/>
      <c r="F446" s="80"/>
      <c r="G446" s="80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</row>
    <row r="447" ht="15.75" customHeight="1">
      <c r="A447" s="80"/>
      <c r="B447" s="80"/>
      <c r="C447" s="80"/>
      <c r="D447" s="80"/>
      <c r="E447" s="80"/>
      <c r="F447" s="80"/>
      <c r="G447" s="80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</row>
    <row r="448" ht="15.75" customHeight="1">
      <c r="A448" s="80"/>
      <c r="B448" s="80"/>
      <c r="C448" s="80"/>
      <c r="D448" s="80"/>
      <c r="E448" s="80"/>
      <c r="F448" s="80"/>
      <c r="G448" s="80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</row>
    <row r="449" ht="15.75" customHeight="1">
      <c r="A449" s="80"/>
      <c r="B449" s="80"/>
      <c r="C449" s="80"/>
      <c r="D449" s="80"/>
      <c r="E449" s="80"/>
      <c r="F449" s="80"/>
      <c r="G449" s="80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</row>
    <row r="450" ht="15.75" customHeight="1">
      <c r="A450" s="80"/>
      <c r="B450" s="80"/>
      <c r="C450" s="80"/>
      <c r="D450" s="80"/>
      <c r="E450" s="80"/>
      <c r="F450" s="80"/>
      <c r="G450" s="80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</row>
    <row r="451" ht="15.75" customHeight="1">
      <c r="A451" s="80"/>
      <c r="B451" s="80"/>
      <c r="C451" s="80"/>
      <c r="D451" s="80"/>
      <c r="E451" s="80"/>
      <c r="F451" s="80"/>
      <c r="G451" s="80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</row>
    <row r="452" ht="15.75" customHeight="1">
      <c r="A452" s="80"/>
      <c r="B452" s="80"/>
      <c r="C452" s="80"/>
      <c r="D452" s="80"/>
      <c r="E452" s="80"/>
      <c r="F452" s="80"/>
      <c r="G452" s="80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</row>
    <row r="453" ht="15.75" customHeight="1">
      <c r="A453" s="80"/>
      <c r="B453" s="80"/>
      <c r="C453" s="80"/>
      <c r="D453" s="80"/>
      <c r="E453" s="80"/>
      <c r="F453" s="80"/>
      <c r="G453" s="80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</row>
    <row r="454" ht="15.75" customHeight="1">
      <c r="A454" s="80"/>
      <c r="B454" s="80"/>
      <c r="C454" s="80"/>
      <c r="D454" s="80"/>
      <c r="E454" s="80"/>
      <c r="F454" s="80"/>
      <c r="G454" s="80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</row>
    <row r="455" ht="15.75" customHeight="1">
      <c r="A455" s="80"/>
      <c r="B455" s="80"/>
      <c r="C455" s="80"/>
      <c r="D455" s="80"/>
      <c r="E455" s="80"/>
      <c r="F455" s="80"/>
      <c r="G455" s="80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</row>
    <row r="456" ht="15.75" customHeight="1">
      <c r="A456" s="80"/>
      <c r="B456" s="80"/>
      <c r="C456" s="80"/>
      <c r="D456" s="80"/>
      <c r="E456" s="80"/>
      <c r="F456" s="80"/>
      <c r="G456" s="80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</row>
    <row r="457" ht="15.75" customHeight="1">
      <c r="A457" s="80"/>
      <c r="B457" s="80"/>
      <c r="C457" s="80"/>
      <c r="D457" s="80"/>
      <c r="E457" s="80"/>
      <c r="F457" s="80"/>
      <c r="G457" s="80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</row>
    <row r="458" ht="15.75" customHeight="1">
      <c r="A458" s="80"/>
      <c r="B458" s="80"/>
      <c r="C458" s="80"/>
      <c r="D458" s="80"/>
      <c r="E458" s="80"/>
      <c r="F458" s="80"/>
      <c r="G458" s="80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</row>
    <row r="459" ht="15.75" customHeight="1">
      <c r="A459" s="80"/>
      <c r="B459" s="80"/>
      <c r="C459" s="80"/>
      <c r="D459" s="80"/>
      <c r="E459" s="80"/>
      <c r="F459" s="80"/>
      <c r="G459" s="80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</row>
    <row r="460" ht="15.75" customHeight="1">
      <c r="A460" s="80"/>
      <c r="B460" s="80"/>
      <c r="C460" s="80"/>
      <c r="D460" s="80"/>
      <c r="E460" s="80"/>
      <c r="F460" s="80"/>
      <c r="G460" s="80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</row>
    <row r="461" ht="15.75" customHeight="1">
      <c r="A461" s="80"/>
      <c r="B461" s="80"/>
      <c r="C461" s="80"/>
      <c r="D461" s="80"/>
      <c r="E461" s="80"/>
      <c r="F461" s="80"/>
      <c r="G461" s="80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</row>
    <row r="462" ht="15.75" customHeight="1">
      <c r="A462" s="80"/>
      <c r="B462" s="80"/>
      <c r="C462" s="80"/>
      <c r="D462" s="80"/>
      <c r="E462" s="80"/>
      <c r="F462" s="80"/>
      <c r="G462" s="80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</row>
    <row r="463" ht="15.75" customHeight="1">
      <c r="A463" s="80"/>
      <c r="B463" s="80"/>
      <c r="C463" s="80"/>
      <c r="D463" s="80"/>
      <c r="E463" s="80"/>
      <c r="F463" s="80"/>
      <c r="G463" s="80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</row>
    <row r="464" ht="15.75" customHeight="1">
      <c r="A464" s="80"/>
      <c r="B464" s="80"/>
      <c r="C464" s="80"/>
      <c r="D464" s="80"/>
      <c r="E464" s="80"/>
      <c r="F464" s="80"/>
      <c r="G464" s="80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</row>
    <row r="465" ht="15.75" customHeight="1">
      <c r="A465" s="80"/>
      <c r="B465" s="80"/>
      <c r="C465" s="80"/>
      <c r="D465" s="80"/>
      <c r="E465" s="80"/>
      <c r="F465" s="80"/>
      <c r="G465" s="80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</row>
    <row r="466" ht="15.75" customHeight="1">
      <c r="A466" s="80"/>
      <c r="B466" s="80"/>
      <c r="C466" s="80"/>
      <c r="D466" s="80"/>
      <c r="E466" s="80"/>
      <c r="F466" s="80"/>
      <c r="G466" s="80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</row>
    <row r="467" ht="15.75" customHeight="1">
      <c r="A467" s="80"/>
      <c r="B467" s="80"/>
      <c r="C467" s="80"/>
      <c r="D467" s="80"/>
      <c r="E467" s="80"/>
      <c r="F467" s="80"/>
      <c r="G467" s="80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</row>
    <row r="468" ht="15.75" customHeight="1">
      <c r="A468" s="80"/>
      <c r="B468" s="80"/>
      <c r="C468" s="80"/>
      <c r="D468" s="80"/>
      <c r="E468" s="80"/>
      <c r="F468" s="80"/>
      <c r="G468" s="80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</row>
    <row r="469" ht="15.75" customHeight="1">
      <c r="A469" s="80"/>
      <c r="B469" s="80"/>
      <c r="C469" s="80"/>
      <c r="D469" s="80"/>
      <c r="E469" s="80"/>
      <c r="F469" s="80"/>
      <c r="G469" s="80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</row>
    <row r="470" ht="15.75" customHeight="1">
      <c r="A470" s="80"/>
      <c r="B470" s="80"/>
      <c r="C470" s="80"/>
      <c r="D470" s="80"/>
      <c r="E470" s="80"/>
      <c r="F470" s="80"/>
      <c r="G470" s="80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</row>
    <row r="471" ht="15.75" customHeight="1">
      <c r="A471" s="80"/>
      <c r="B471" s="80"/>
      <c r="C471" s="80"/>
      <c r="D471" s="80"/>
      <c r="E471" s="80"/>
      <c r="F471" s="80"/>
      <c r="G471" s="80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</row>
    <row r="472" ht="15.75" customHeight="1">
      <c r="A472" s="80"/>
      <c r="B472" s="80"/>
      <c r="C472" s="80"/>
      <c r="D472" s="80"/>
      <c r="E472" s="80"/>
      <c r="F472" s="80"/>
      <c r="G472" s="80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</row>
    <row r="473" ht="15.75" customHeight="1">
      <c r="A473" s="80"/>
      <c r="B473" s="80"/>
      <c r="C473" s="80"/>
      <c r="D473" s="80"/>
      <c r="E473" s="80"/>
      <c r="F473" s="80"/>
      <c r="G473" s="80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</row>
    <row r="474" ht="15.75" customHeight="1">
      <c r="A474" s="80"/>
      <c r="B474" s="80"/>
      <c r="C474" s="80"/>
      <c r="D474" s="80"/>
      <c r="E474" s="80"/>
      <c r="F474" s="80"/>
      <c r="G474" s="80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</row>
    <row r="475" ht="15.75" customHeight="1">
      <c r="A475" s="80"/>
      <c r="B475" s="80"/>
      <c r="C475" s="80"/>
      <c r="D475" s="80"/>
      <c r="E475" s="80"/>
      <c r="F475" s="80"/>
      <c r="G475" s="80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</row>
    <row r="476" ht="15.75" customHeight="1">
      <c r="A476" s="80"/>
      <c r="B476" s="80"/>
      <c r="C476" s="80"/>
      <c r="D476" s="80"/>
      <c r="E476" s="80"/>
      <c r="F476" s="80"/>
      <c r="G476" s="80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</row>
    <row r="477" ht="15.75" customHeight="1">
      <c r="A477" s="80"/>
      <c r="B477" s="80"/>
      <c r="C477" s="80"/>
      <c r="D477" s="80"/>
      <c r="E477" s="80"/>
      <c r="F477" s="80"/>
      <c r="G477" s="80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</row>
    <row r="478" ht="15.75" customHeight="1">
      <c r="A478" s="80"/>
      <c r="B478" s="80"/>
      <c r="C478" s="80"/>
      <c r="D478" s="80"/>
      <c r="E478" s="80"/>
      <c r="F478" s="80"/>
      <c r="G478" s="80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</row>
    <row r="479" ht="15.75" customHeight="1">
      <c r="A479" s="80"/>
      <c r="B479" s="80"/>
      <c r="C479" s="80"/>
      <c r="D479" s="80"/>
      <c r="E479" s="80"/>
      <c r="F479" s="80"/>
      <c r="G479" s="80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</row>
    <row r="480" ht="15.75" customHeight="1">
      <c r="A480" s="80"/>
      <c r="B480" s="80"/>
      <c r="C480" s="80"/>
      <c r="D480" s="80"/>
      <c r="E480" s="80"/>
      <c r="F480" s="80"/>
      <c r="G480" s="80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</row>
    <row r="481" ht="15.75" customHeight="1">
      <c r="A481" s="80"/>
      <c r="B481" s="80"/>
      <c r="C481" s="80"/>
      <c r="D481" s="80"/>
      <c r="E481" s="80"/>
      <c r="F481" s="80"/>
      <c r="G481" s="80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</row>
    <row r="482" ht="15.75" customHeight="1">
      <c r="A482" s="80"/>
      <c r="B482" s="80"/>
      <c r="C482" s="80"/>
      <c r="D482" s="80"/>
      <c r="E482" s="80"/>
      <c r="F482" s="80"/>
      <c r="G482" s="80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</row>
    <row r="483" ht="15.75" customHeight="1">
      <c r="A483" s="80"/>
      <c r="B483" s="80"/>
      <c r="C483" s="80"/>
      <c r="D483" s="80"/>
      <c r="E483" s="80"/>
      <c r="F483" s="80"/>
      <c r="G483" s="80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</row>
    <row r="484" ht="15.75" customHeight="1">
      <c r="A484" s="80"/>
      <c r="B484" s="80"/>
      <c r="C484" s="80"/>
      <c r="D484" s="80"/>
      <c r="E484" s="80"/>
      <c r="F484" s="80"/>
      <c r="G484" s="80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</row>
    <row r="485" ht="15.75" customHeight="1">
      <c r="A485" s="80"/>
      <c r="B485" s="80"/>
      <c r="C485" s="80"/>
      <c r="D485" s="80"/>
      <c r="E485" s="80"/>
      <c r="F485" s="80"/>
      <c r="G485" s="80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</row>
    <row r="486" ht="15.75" customHeight="1">
      <c r="A486" s="80"/>
      <c r="B486" s="80"/>
      <c r="C486" s="80"/>
      <c r="D486" s="80"/>
      <c r="E486" s="80"/>
      <c r="F486" s="80"/>
      <c r="G486" s="80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</row>
    <row r="487" ht="15.75" customHeight="1">
      <c r="A487" s="80"/>
      <c r="B487" s="80"/>
      <c r="C487" s="80"/>
      <c r="D487" s="80"/>
      <c r="E487" s="80"/>
      <c r="F487" s="80"/>
      <c r="G487" s="80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</row>
    <row r="488" ht="15.75" customHeight="1">
      <c r="A488" s="80"/>
      <c r="B488" s="80"/>
      <c r="C488" s="80"/>
      <c r="D488" s="80"/>
      <c r="E488" s="80"/>
      <c r="F488" s="80"/>
      <c r="G488" s="80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</row>
    <row r="489" ht="15.75" customHeight="1">
      <c r="A489" s="80"/>
      <c r="B489" s="80"/>
      <c r="C489" s="80"/>
      <c r="D489" s="80"/>
      <c r="E489" s="80"/>
      <c r="F489" s="80"/>
      <c r="G489" s="80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</row>
    <row r="490" ht="15.75" customHeight="1">
      <c r="A490" s="80"/>
      <c r="B490" s="80"/>
      <c r="C490" s="80"/>
      <c r="D490" s="80"/>
      <c r="E490" s="80"/>
      <c r="F490" s="80"/>
      <c r="G490" s="80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</row>
    <row r="491" ht="15.75" customHeight="1">
      <c r="A491" s="80"/>
      <c r="B491" s="80"/>
      <c r="C491" s="80"/>
      <c r="D491" s="80"/>
      <c r="E491" s="80"/>
      <c r="F491" s="80"/>
      <c r="G491" s="80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</row>
    <row r="492" ht="15.75" customHeight="1">
      <c r="A492" s="80"/>
      <c r="B492" s="80"/>
      <c r="C492" s="80"/>
      <c r="D492" s="80"/>
      <c r="E492" s="80"/>
      <c r="F492" s="80"/>
      <c r="G492" s="80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</row>
    <row r="493" ht="15.75" customHeight="1">
      <c r="A493" s="80"/>
      <c r="B493" s="80"/>
      <c r="C493" s="80"/>
      <c r="D493" s="80"/>
      <c r="E493" s="80"/>
      <c r="F493" s="80"/>
      <c r="G493" s="80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</row>
    <row r="494" ht="15.75" customHeight="1">
      <c r="A494" s="80"/>
      <c r="B494" s="80"/>
      <c r="C494" s="80"/>
      <c r="D494" s="80"/>
      <c r="E494" s="80"/>
      <c r="F494" s="80"/>
      <c r="G494" s="80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</row>
    <row r="495" ht="15.75" customHeight="1">
      <c r="A495" s="80"/>
      <c r="B495" s="80"/>
      <c r="C495" s="80"/>
      <c r="D495" s="80"/>
      <c r="E495" s="80"/>
      <c r="F495" s="80"/>
      <c r="G495" s="80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</row>
    <row r="496" ht="15.75" customHeight="1">
      <c r="A496" s="80"/>
      <c r="B496" s="80"/>
      <c r="C496" s="80"/>
      <c r="D496" s="80"/>
      <c r="E496" s="80"/>
      <c r="F496" s="80"/>
      <c r="G496" s="80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</row>
    <row r="497" ht="15.75" customHeight="1">
      <c r="A497" s="80"/>
      <c r="B497" s="80"/>
      <c r="C497" s="80"/>
      <c r="D497" s="80"/>
      <c r="E497" s="80"/>
      <c r="F497" s="80"/>
      <c r="G497" s="80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</row>
    <row r="498" ht="15.75" customHeight="1">
      <c r="A498" s="80"/>
      <c r="B498" s="80"/>
      <c r="C498" s="80"/>
      <c r="D498" s="80"/>
      <c r="E498" s="80"/>
      <c r="F498" s="80"/>
      <c r="G498" s="80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</row>
    <row r="499" ht="15.75" customHeight="1">
      <c r="A499" s="80"/>
      <c r="B499" s="80"/>
      <c r="C499" s="80"/>
      <c r="D499" s="80"/>
      <c r="E499" s="80"/>
      <c r="F499" s="80"/>
      <c r="G499" s="80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</row>
    <row r="500" ht="15.75" customHeight="1">
      <c r="A500" s="80"/>
      <c r="B500" s="80"/>
      <c r="C500" s="80"/>
      <c r="D500" s="80"/>
      <c r="E500" s="80"/>
      <c r="F500" s="80"/>
      <c r="G500" s="80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</row>
    <row r="501" ht="15.75" customHeight="1">
      <c r="A501" s="80"/>
      <c r="B501" s="80"/>
      <c r="C501" s="80"/>
      <c r="D501" s="80"/>
      <c r="E501" s="80"/>
      <c r="F501" s="80"/>
      <c r="G501" s="80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</row>
    <row r="502" ht="15.75" customHeight="1">
      <c r="A502" s="80"/>
      <c r="B502" s="80"/>
      <c r="C502" s="80"/>
      <c r="D502" s="80"/>
      <c r="E502" s="80"/>
      <c r="F502" s="80"/>
      <c r="G502" s="80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</row>
    <row r="503" ht="15.75" customHeight="1">
      <c r="A503" s="80"/>
      <c r="B503" s="80"/>
      <c r="C503" s="80"/>
      <c r="D503" s="80"/>
      <c r="E503" s="80"/>
      <c r="F503" s="80"/>
      <c r="G503" s="80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</row>
    <row r="504" ht="15.75" customHeight="1">
      <c r="A504" s="80"/>
      <c r="B504" s="80"/>
      <c r="C504" s="80"/>
      <c r="D504" s="80"/>
      <c r="E504" s="80"/>
      <c r="F504" s="80"/>
      <c r="G504" s="80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</row>
    <row r="505" ht="15.75" customHeight="1">
      <c r="A505" s="80"/>
      <c r="B505" s="80"/>
      <c r="C505" s="80"/>
      <c r="D505" s="80"/>
      <c r="E505" s="80"/>
      <c r="F505" s="80"/>
      <c r="G505" s="80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</row>
    <row r="506" ht="15.75" customHeight="1">
      <c r="A506" s="80"/>
      <c r="B506" s="80"/>
      <c r="C506" s="80"/>
      <c r="D506" s="80"/>
      <c r="E506" s="80"/>
      <c r="F506" s="80"/>
      <c r="G506" s="80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</row>
    <row r="507" ht="15.75" customHeight="1">
      <c r="A507" s="80"/>
      <c r="B507" s="80"/>
      <c r="C507" s="80"/>
      <c r="D507" s="80"/>
      <c r="E507" s="80"/>
      <c r="F507" s="80"/>
      <c r="G507" s="80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</row>
    <row r="508" ht="15.75" customHeight="1">
      <c r="A508" s="80"/>
      <c r="B508" s="80"/>
      <c r="C508" s="80"/>
      <c r="D508" s="80"/>
      <c r="E508" s="80"/>
      <c r="F508" s="80"/>
      <c r="G508" s="80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</row>
    <row r="509" ht="15.75" customHeight="1">
      <c r="A509" s="80"/>
      <c r="B509" s="80"/>
      <c r="C509" s="80"/>
      <c r="D509" s="80"/>
      <c r="E509" s="80"/>
      <c r="F509" s="80"/>
      <c r="G509" s="80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</row>
    <row r="510" ht="15.75" customHeight="1">
      <c r="A510" s="80"/>
      <c r="B510" s="80"/>
      <c r="C510" s="80"/>
      <c r="D510" s="80"/>
      <c r="E510" s="80"/>
      <c r="F510" s="80"/>
      <c r="G510" s="80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</row>
    <row r="511" ht="15.75" customHeight="1">
      <c r="A511" s="80"/>
      <c r="B511" s="80"/>
      <c r="C511" s="80"/>
      <c r="D511" s="80"/>
      <c r="E511" s="80"/>
      <c r="F511" s="80"/>
      <c r="G511" s="80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</row>
    <row r="512" ht="15.75" customHeight="1">
      <c r="A512" s="80"/>
      <c r="B512" s="80"/>
      <c r="C512" s="80"/>
      <c r="D512" s="80"/>
      <c r="E512" s="80"/>
      <c r="F512" s="80"/>
      <c r="G512" s="80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</row>
    <row r="513" ht="15.75" customHeight="1">
      <c r="A513" s="80"/>
      <c r="B513" s="80"/>
      <c r="C513" s="80"/>
      <c r="D513" s="80"/>
      <c r="E513" s="80"/>
      <c r="F513" s="80"/>
      <c r="G513" s="80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</row>
    <row r="514" ht="15.75" customHeight="1">
      <c r="A514" s="80"/>
      <c r="B514" s="80"/>
      <c r="C514" s="80"/>
      <c r="D514" s="80"/>
      <c r="E514" s="80"/>
      <c r="F514" s="80"/>
      <c r="G514" s="80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</row>
    <row r="515" ht="15.75" customHeight="1">
      <c r="A515" s="80"/>
      <c r="B515" s="80"/>
      <c r="C515" s="80"/>
      <c r="D515" s="80"/>
      <c r="E515" s="80"/>
      <c r="F515" s="80"/>
      <c r="G515" s="80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</row>
    <row r="516" ht="15.75" customHeight="1">
      <c r="A516" s="80"/>
      <c r="B516" s="80"/>
      <c r="C516" s="80"/>
      <c r="D516" s="80"/>
      <c r="E516" s="80"/>
      <c r="F516" s="80"/>
      <c r="G516" s="80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</row>
    <row r="517" ht="15.75" customHeight="1">
      <c r="A517" s="80"/>
      <c r="B517" s="80"/>
      <c r="C517" s="80"/>
      <c r="D517" s="80"/>
      <c r="E517" s="80"/>
      <c r="F517" s="80"/>
      <c r="G517" s="80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</row>
    <row r="518" ht="15.75" customHeight="1">
      <c r="A518" s="80"/>
      <c r="B518" s="80"/>
      <c r="C518" s="80"/>
      <c r="D518" s="80"/>
      <c r="E518" s="80"/>
      <c r="F518" s="80"/>
      <c r="G518" s="80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</row>
    <row r="519" ht="15.75" customHeight="1">
      <c r="A519" s="80"/>
      <c r="B519" s="80"/>
      <c r="C519" s="80"/>
      <c r="D519" s="80"/>
      <c r="E519" s="80"/>
      <c r="F519" s="80"/>
      <c r="G519" s="80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</row>
    <row r="520" ht="15.75" customHeight="1">
      <c r="A520" s="80"/>
      <c r="B520" s="80"/>
      <c r="C520" s="80"/>
      <c r="D520" s="80"/>
      <c r="E520" s="80"/>
      <c r="F520" s="80"/>
      <c r="G520" s="80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</row>
    <row r="521" ht="15.75" customHeight="1">
      <c r="A521" s="80"/>
      <c r="B521" s="80"/>
      <c r="C521" s="80"/>
      <c r="D521" s="80"/>
      <c r="E521" s="80"/>
      <c r="F521" s="80"/>
      <c r="G521" s="80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</row>
    <row r="522" ht="15.75" customHeight="1">
      <c r="A522" s="80"/>
      <c r="B522" s="80"/>
      <c r="C522" s="80"/>
      <c r="D522" s="80"/>
      <c r="E522" s="80"/>
      <c r="F522" s="80"/>
      <c r="G522" s="80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</row>
    <row r="523" ht="15.75" customHeight="1">
      <c r="A523" s="80"/>
      <c r="B523" s="80"/>
      <c r="C523" s="80"/>
      <c r="D523" s="80"/>
      <c r="E523" s="80"/>
      <c r="F523" s="80"/>
      <c r="G523" s="80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</row>
    <row r="524" ht="15.75" customHeight="1">
      <c r="A524" s="80"/>
      <c r="B524" s="80"/>
      <c r="C524" s="80"/>
      <c r="D524" s="80"/>
      <c r="E524" s="80"/>
      <c r="F524" s="80"/>
      <c r="G524" s="80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</row>
    <row r="525" ht="15.75" customHeight="1">
      <c r="A525" s="80"/>
      <c r="B525" s="80"/>
      <c r="C525" s="80"/>
      <c r="D525" s="80"/>
      <c r="E525" s="80"/>
      <c r="F525" s="80"/>
      <c r="G525" s="80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</row>
    <row r="526" ht="15.75" customHeight="1">
      <c r="A526" s="80"/>
      <c r="B526" s="80"/>
      <c r="C526" s="80"/>
      <c r="D526" s="80"/>
      <c r="E526" s="80"/>
      <c r="F526" s="80"/>
      <c r="G526" s="80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</row>
    <row r="527" ht="15.75" customHeight="1">
      <c r="A527" s="80"/>
      <c r="B527" s="80"/>
      <c r="C527" s="80"/>
      <c r="D527" s="80"/>
      <c r="E527" s="80"/>
      <c r="F527" s="80"/>
      <c r="G527" s="80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</row>
    <row r="528" ht="15.75" customHeight="1">
      <c r="A528" s="80"/>
      <c r="B528" s="80"/>
      <c r="C528" s="80"/>
      <c r="D528" s="80"/>
      <c r="E528" s="80"/>
      <c r="F528" s="80"/>
      <c r="G528" s="80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</row>
    <row r="529" ht="15.75" customHeight="1">
      <c r="A529" s="80"/>
      <c r="B529" s="80"/>
      <c r="C529" s="80"/>
      <c r="D529" s="80"/>
      <c r="E529" s="80"/>
      <c r="F529" s="80"/>
      <c r="G529" s="80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</row>
    <row r="530" ht="15.75" customHeight="1">
      <c r="A530" s="80"/>
      <c r="B530" s="80"/>
      <c r="C530" s="80"/>
      <c r="D530" s="80"/>
      <c r="E530" s="80"/>
      <c r="F530" s="80"/>
      <c r="G530" s="80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</row>
    <row r="531" ht="15.75" customHeight="1">
      <c r="A531" s="80"/>
      <c r="B531" s="80"/>
      <c r="C531" s="80"/>
      <c r="D531" s="80"/>
      <c r="E531" s="80"/>
      <c r="F531" s="80"/>
      <c r="G531" s="80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</row>
    <row r="532" ht="15.75" customHeight="1">
      <c r="A532" s="80"/>
      <c r="B532" s="80"/>
      <c r="C532" s="80"/>
      <c r="D532" s="80"/>
      <c r="E532" s="80"/>
      <c r="F532" s="80"/>
      <c r="G532" s="80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</row>
    <row r="533" ht="15.75" customHeight="1">
      <c r="A533" s="80"/>
      <c r="B533" s="80"/>
      <c r="C533" s="80"/>
      <c r="D533" s="80"/>
      <c r="E533" s="80"/>
      <c r="F533" s="80"/>
      <c r="G533" s="80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</row>
    <row r="534" ht="15.75" customHeight="1">
      <c r="A534" s="80"/>
      <c r="B534" s="80"/>
      <c r="C534" s="80"/>
      <c r="D534" s="80"/>
      <c r="E534" s="80"/>
      <c r="F534" s="80"/>
      <c r="G534" s="80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</row>
    <row r="535" ht="15.75" customHeight="1">
      <c r="A535" s="80"/>
      <c r="B535" s="80"/>
      <c r="C535" s="80"/>
      <c r="D535" s="80"/>
      <c r="E535" s="80"/>
      <c r="F535" s="80"/>
      <c r="G535" s="80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</row>
    <row r="536" ht="15.75" customHeight="1">
      <c r="A536" s="80"/>
      <c r="B536" s="80"/>
      <c r="C536" s="80"/>
      <c r="D536" s="80"/>
      <c r="E536" s="80"/>
      <c r="F536" s="80"/>
      <c r="G536" s="80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</row>
    <row r="537" ht="15.75" customHeight="1">
      <c r="A537" s="80"/>
      <c r="B537" s="80"/>
      <c r="C537" s="80"/>
      <c r="D537" s="80"/>
      <c r="E537" s="80"/>
      <c r="F537" s="80"/>
      <c r="G537" s="80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</row>
    <row r="538" ht="15.75" customHeight="1">
      <c r="A538" s="80"/>
      <c r="B538" s="80"/>
      <c r="C538" s="80"/>
      <c r="D538" s="80"/>
      <c r="E538" s="80"/>
      <c r="F538" s="80"/>
      <c r="G538" s="80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</row>
    <row r="539" ht="15.75" customHeight="1">
      <c r="A539" s="80"/>
      <c r="B539" s="80"/>
      <c r="C539" s="80"/>
      <c r="D539" s="80"/>
      <c r="E539" s="80"/>
      <c r="F539" s="80"/>
      <c r="G539" s="80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</row>
    <row r="540" ht="15.75" customHeight="1">
      <c r="A540" s="80"/>
      <c r="B540" s="80"/>
      <c r="C540" s="80"/>
      <c r="D540" s="80"/>
      <c r="E540" s="80"/>
      <c r="F540" s="80"/>
      <c r="G540" s="80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</row>
    <row r="541" ht="15.75" customHeight="1">
      <c r="A541" s="80"/>
      <c r="B541" s="80"/>
      <c r="C541" s="80"/>
      <c r="D541" s="80"/>
      <c r="E541" s="80"/>
      <c r="F541" s="80"/>
      <c r="G541" s="80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</row>
    <row r="542" ht="15.75" customHeight="1">
      <c r="A542" s="80"/>
      <c r="B542" s="80"/>
      <c r="C542" s="80"/>
      <c r="D542" s="80"/>
      <c r="E542" s="80"/>
      <c r="F542" s="80"/>
      <c r="G542" s="80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</row>
    <row r="543" ht="15.75" customHeight="1">
      <c r="A543" s="80"/>
      <c r="B543" s="80"/>
      <c r="C543" s="80"/>
      <c r="D543" s="80"/>
      <c r="E543" s="80"/>
      <c r="F543" s="80"/>
      <c r="G543" s="80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</row>
    <row r="544" ht="15.75" customHeight="1">
      <c r="A544" s="80"/>
      <c r="B544" s="80"/>
      <c r="C544" s="80"/>
      <c r="D544" s="80"/>
      <c r="E544" s="80"/>
      <c r="F544" s="80"/>
      <c r="G544" s="80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</row>
    <row r="545" ht="15.75" customHeight="1">
      <c r="A545" s="80"/>
      <c r="B545" s="80"/>
      <c r="C545" s="80"/>
      <c r="D545" s="80"/>
      <c r="E545" s="80"/>
      <c r="F545" s="80"/>
      <c r="G545" s="80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</row>
    <row r="546" ht="15.75" customHeight="1">
      <c r="A546" s="80"/>
      <c r="B546" s="80"/>
      <c r="C546" s="80"/>
      <c r="D546" s="80"/>
      <c r="E546" s="80"/>
      <c r="F546" s="80"/>
      <c r="G546" s="80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</row>
    <row r="547" ht="15.75" customHeight="1">
      <c r="A547" s="80"/>
      <c r="B547" s="80"/>
      <c r="C547" s="80"/>
      <c r="D547" s="80"/>
      <c r="E547" s="80"/>
      <c r="F547" s="80"/>
      <c r="G547" s="80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</row>
    <row r="548" ht="15.75" customHeight="1">
      <c r="A548" s="80"/>
      <c r="B548" s="80"/>
      <c r="C548" s="80"/>
      <c r="D548" s="80"/>
      <c r="E548" s="80"/>
      <c r="F548" s="80"/>
      <c r="G548" s="80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</row>
    <row r="549" ht="15.75" customHeight="1">
      <c r="A549" s="80"/>
      <c r="B549" s="80"/>
      <c r="C549" s="80"/>
      <c r="D549" s="80"/>
      <c r="E549" s="80"/>
      <c r="F549" s="80"/>
      <c r="G549" s="80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</row>
    <row r="550" ht="15.75" customHeight="1">
      <c r="A550" s="80"/>
      <c r="B550" s="80"/>
      <c r="C550" s="80"/>
      <c r="D550" s="80"/>
      <c r="E550" s="80"/>
      <c r="F550" s="80"/>
      <c r="G550" s="80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</row>
    <row r="551" ht="15.75" customHeight="1">
      <c r="A551" s="80"/>
      <c r="B551" s="80"/>
      <c r="C551" s="80"/>
      <c r="D551" s="80"/>
      <c r="E551" s="80"/>
      <c r="F551" s="80"/>
      <c r="G551" s="80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</row>
    <row r="552" ht="15.75" customHeight="1">
      <c r="A552" s="80"/>
      <c r="B552" s="80"/>
      <c r="C552" s="80"/>
      <c r="D552" s="80"/>
      <c r="E552" s="80"/>
      <c r="F552" s="80"/>
      <c r="G552" s="80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</row>
    <row r="553" ht="15.75" customHeight="1">
      <c r="A553" s="80"/>
      <c r="B553" s="80"/>
      <c r="C553" s="80"/>
      <c r="D553" s="80"/>
      <c r="E553" s="80"/>
      <c r="F553" s="80"/>
      <c r="G553" s="80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</row>
    <row r="554" ht="15.75" customHeight="1">
      <c r="A554" s="80"/>
      <c r="B554" s="80"/>
      <c r="C554" s="80"/>
      <c r="D554" s="80"/>
      <c r="E554" s="80"/>
      <c r="F554" s="80"/>
      <c r="G554" s="80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</row>
    <row r="555" ht="15.75" customHeight="1">
      <c r="A555" s="80"/>
      <c r="B555" s="80"/>
      <c r="C555" s="80"/>
      <c r="D555" s="80"/>
      <c r="E555" s="80"/>
      <c r="F555" s="80"/>
      <c r="G555" s="80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</row>
    <row r="556" ht="15.75" customHeight="1">
      <c r="A556" s="80"/>
      <c r="B556" s="80"/>
      <c r="C556" s="80"/>
      <c r="D556" s="80"/>
      <c r="E556" s="80"/>
      <c r="F556" s="80"/>
      <c r="G556" s="80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</row>
    <row r="557" ht="15.75" customHeight="1">
      <c r="A557" s="80"/>
      <c r="B557" s="80"/>
      <c r="C557" s="80"/>
      <c r="D557" s="80"/>
      <c r="E557" s="80"/>
      <c r="F557" s="80"/>
      <c r="G557" s="80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</row>
    <row r="558" ht="15.75" customHeight="1">
      <c r="A558" s="80"/>
      <c r="B558" s="80"/>
      <c r="C558" s="80"/>
      <c r="D558" s="80"/>
      <c r="E558" s="80"/>
      <c r="F558" s="80"/>
      <c r="G558" s="80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</row>
    <row r="559" ht="15.75" customHeight="1">
      <c r="A559" s="80"/>
      <c r="B559" s="80"/>
      <c r="C559" s="80"/>
      <c r="D559" s="80"/>
      <c r="E559" s="80"/>
      <c r="F559" s="80"/>
      <c r="G559" s="80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</row>
    <row r="560" ht="15.75" customHeight="1">
      <c r="A560" s="80"/>
      <c r="B560" s="80"/>
      <c r="C560" s="80"/>
      <c r="D560" s="80"/>
      <c r="E560" s="80"/>
      <c r="F560" s="80"/>
      <c r="G560" s="80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</row>
    <row r="561" ht="15.75" customHeight="1">
      <c r="A561" s="80"/>
      <c r="B561" s="80"/>
      <c r="C561" s="80"/>
      <c r="D561" s="80"/>
      <c r="E561" s="80"/>
      <c r="F561" s="80"/>
      <c r="G561" s="80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</row>
    <row r="562" ht="15.75" customHeight="1">
      <c r="A562" s="80"/>
      <c r="B562" s="80"/>
      <c r="C562" s="80"/>
      <c r="D562" s="80"/>
      <c r="E562" s="80"/>
      <c r="F562" s="80"/>
      <c r="G562" s="80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</row>
    <row r="563" ht="15.75" customHeight="1">
      <c r="A563" s="80"/>
      <c r="B563" s="80"/>
      <c r="C563" s="80"/>
      <c r="D563" s="80"/>
      <c r="E563" s="80"/>
      <c r="F563" s="80"/>
      <c r="G563" s="80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</row>
    <row r="564" ht="15.75" customHeight="1">
      <c r="A564" s="80"/>
      <c r="B564" s="80"/>
      <c r="C564" s="80"/>
      <c r="D564" s="80"/>
      <c r="E564" s="80"/>
      <c r="F564" s="80"/>
      <c r="G564" s="80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</row>
    <row r="565" ht="15.75" customHeight="1">
      <c r="A565" s="80"/>
      <c r="B565" s="80"/>
      <c r="C565" s="80"/>
      <c r="D565" s="80"/>
      <c r="E565" s="80"/>
      <c r="F565" s="80"/>
      <c r="G565" s="80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</row>
    <row r="566" ht="15.75" customHeight="1">
      <c r="A566" s="80"/>
      <c r="B566" s="80"/>
      <c r="C566" s="80"/>
      <c r="D566" s="80"/>
      <c r="E566" s="80"/>
      <c r="F566" s="80"/>
      <c r="G566" s="80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</row>
    <row r="567" ht="15.75" customHeight="1">
      <c r="A567" s="80"/>
      <c r="B567" s="80"/>
      <c r="C567" s="80"/>
      <c r="D567" s="80"/>
      <c r="E567" s="80"/>
      <c r="F567" s="80"/>
      <c r="G567" s="80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</row>
    <row r="568" ht="15.75" customHeight="1">
      <c r="A568" s="80"/>
      <c r="B568" s="80"/>
      <c r="C568" s="80"/>
      <c r="D568" s="80"/>
      <c r="E568" s="80"/>
      <c r="F568" s="80"/>
      <c r="G568" s="80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</row>
    <row r="569" ht="15.75" customHeight="1">
      <c r="A569" s="80"/>
      <c r="B569" s="80"/>
      <c r="C569" s="80"/>
      <c r="D569" s="80"/>
      <c r="E569" s="80"/>
      <c r="F569" s="80"/>
      <c r="G569" s="80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</row>
    <row r="570" ht="15.75" customHeight="1">
      <c r="A570" s="80"/>
      <c r="B570" s="80"/>
      <c r="C570" s="80"/>
      <c r="D570" s="80"/>
      <c r="E570" s="80"/>
      <c r="F570" s="80"/>
      <c r="G570" s="80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</row>
    <row r="571" ht="15.75" customHeight="1">
      <c r="A571" s="80"/>
      <c r="B571" s="80"/>
      <c r="C571" s="80"/>
      <c r="D571" s="80"/>
      <c r="E571" s="80"/>
      <c r="F571" s="80"/>
      <c r="G571" s="80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</row>
    <row r="572" ht="15.75" customHeight="1">
      <c r="A572" s="80"/>
      <c r="B572" s="80"/>
      <c r="C572" s="80"/>
      <c r="D572" s="80"/>
      <c r="E572" s="80"/>
      <c r="F572" s="80"/>
      <c r="G572" s="80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</row>
    <row r="573" ht="15.75" customHeight="1">
      <c r="A573" s="80"/>
      <c r="B573" s="80"/>
      <c r="C573" s="80"/>
      <c r="D573" s="80"/>
      <c r="E573" s="80"/>
      <c r="F573" s="80"/>
      <c r="G573" s="80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</row>
    <row r="574" ht="15.75" customHeight="1">
      <c r="A574" s="80"/>
      <c r="B574" s="80"/>
      <c r="C574" s="80"/>
      <c r="D574" s="80"/>
      <c r="E574" s="80"/>
      <c r="F574" s="80"/>
      <c r="G574" s="80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</row>
    <row r="575" ht="15.75" customHeight="1">
      <c r="A575" s="80"/>
      <c r="B575" s="80"/>
      <c r="C575" s="80"/>
      <c r="D575" s="80"/>
      <c r="E575" s="80"/>
      <c r="F575" s="80"/>
      <c r="G575" s="80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</row>
    <row r="576" ht="15.75" customHeight="1">
      <c r="A576" s="80"/>
      <c r="B576" s="80"/>
      <c r="C576" s="80"/>
      <c r="D576" s="80"/>
      <c r="E576" s="80"/>
      <c r="F576" s="80"/>
      <c r="G576" s="80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</row>
    <row r="577" ht="15.75" customHeight="1">
      <c r="A577" s="80"/>
      <c r="B577" s="80"/>
      <c r="C577" s="80"/>
      <c r="D577" s="80"/>
      <c r="E577" s="80"/>
      <c r="F577" s="80"/>
      <c r="G577" s="80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</row>
    <row r="578" ht="15.75" customHeight="1">
      <c r="A578" s="80"/>
      <c r="B578" s="80"/>
      <c r="C578" s="80"/>
      <c r="D578" s="80"/>
      <c r="E578" s="80"/>
      <c r="F578" s="80"/>
      <c r="G578" s="80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</row>
    <row r="579" ht="15.75" customHeight="1">
      <c r="A579" s="80"/>
      <c r="B579" s="80"/>
      <c r="C579" s="80"/>
      <c r="D579" s="80"/>
      <c r="E579" s="80"/>
      <c r="F579" s="80"/>
      <c r="G579" s="80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</row>
    <row r="580" ht="15.75" customHeight="1">
      <c r="A580" s="80"/>
      <c r="B580" s="80"/>
      <c r="C580" s="80"/>
      <c r="D580" s="80"/>
      <c r="E580" s="80"/>
      <c r="F580" s="80"/>
      <c r="G580" s="80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</row>
    <row r="581" ht="15.75" customHeight="1">
      <c r="A581" s="80"/>
      <c r="B581" s="80"/>
      <c r="C581" s="80"/>
      <c r="D581" s="80"/>
      <c r="E581" s="80"/>
      <c r="F581" s="80"/>
      <c r="G581" s="80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</row>
    <row r="582" ht="15.75" customHeight="1">
      <c r="A582" s="80"/>
      <c r="B582" s="80"/>
      <c r="C582" s="80"/>
      <c r="D582" s="80"/>
      <c r="E582" s="80"/>
      <c r="F582" s="80"/>
      <c r="G582" s="80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</row>
    <row r="583" ht="15.75" customHeight="1">
      <c r="A583" s="80"/>
      <c r="B583" s="80"/>
      <c r="C583" s="80"/>
      <c r="D583" s="80"/>
      <c r="E583" s="80"/>
      <c r="F583" s="80"/>
      <c r="G583" s="80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</row>
    <row r="584" ht="15.75" customHeight="1">
      <c r="A584" s="80"/>
      <c r="B584" s="80"/>
      <c r="C584" s="80"/>
      <c r="D584" s="80"/>
      <c r="E584" s="80"/>
      <c r="F584" s="80"/>
      <c r="G584" s="80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</row>
    <row r="585" ht="15.75" customHeight="1">
      <c r="A585" s="80"/>
      <c r="B585" s="80"/>
      <c r="C585" s="80"/>
      <c r="D585" s="80"/>
      <c r="E585" s="80"/>
      <c r="F585" s="80"/>
      <c r="G585" s="80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</row>
    <row r="586" ht="15.75" customHeight="1">
      <c r="A586" s="80"/>
      <c r="B586" s="80"/>
      <c r="C586" s="80"/>
      <c r="D586" s="80"/>
      <c r="E586" s="80"/>
      <c r="F586" s="80"/>
      <c r="G586" s="80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</row>
    <row r="587" ht="15.75" customHeight="1">
      <c r="A587" s="80"/>
      <c r="B587" s="80"/>
      <c r="C587" s="80"/>
      <c r="D587" s="80"/>
      <c r="E587" s="80"/>
      <c r="F587" s="80"/>
      <c r="G587" s="80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</row>
    <row r="588" ht="15.75" customHeight="1">
      <c r="A588" s="80"/>
      <c r="B588" s="80"/>
      <c r="C588" s="80"/>
      <c r="D588" s="80"/>
      <c r="E588" s="80"/>
      <c r="F588" s="80"/>
      <c r="G588" s="80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</row>
    <row r="589" ht="15.75" customHeight="1">
      <c r="A589" s="80"/>
      <c r="B589" s="80"/>
      <c r="C589" s="80"/>
      <c r="D589" s="80"/>
      <c r="E589" s="80"/>
      <c r="F589" s="80"/>
      <c r="G589" s="80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</row>
    <row r="590" ht="15.75" customHeight="1">
      <c r="A590" s="80"/>
      <c r="B590" s="80"/>
      <c r="C590" s="80"/>
      <c r="D590" s="80"/>
      <c r="E590" s="80"/>
      <c r="F590" s="80"/>
      <c r="G590" s="80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</row>
    <row r="591" ht="15.75" customHeight="1">
      <c r="A591" s="80"/>
      <c r="B591" s="80"/>
      <c r="C591" s="80"/>
      <c r="D591" s="80"/>
      <c r="E591" s="80"/>
      <c r="F591" s="80"/>
      <c r="G591" s="80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</row>
    <row r="592" ht="15.75" customHeight="1">
      <c r="A592" s="80"/>
      <c r="B592" s="80"/>
      <c r="C592" s="80"/>
      <c r="D592" s="80"/>
      <c r="E592" s="80"/>
      <c r="F592" s="80"/>
      <c r="G592" s="80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</row>
    <row r="593" ht="15.75" customHeight="1">
      <c r="A593" s="80"/>
      <c r="B593" s="80"/>
      <c r="C593" s="80"/>
      <c r="D593" s="80"/>
      <c r="E593" s="80"/>
      <c r="F593" s="80"/>
      <c r="G593" s="80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</row>
    <row r="594" ht="15.75" customHeight="1">
      <c r="A594" s="80"/>
      <c r="B594" s="80"/>
      <c r="C594" s="80"/>
      <c r="D594" s="80"/>
      <c r="E594" s="80"/>
      <c r="F594" s="80"/>
      <c r="G594" s="80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</row>
    <row r="595" ht="15.75" customHeight="1">
      <c r="A595" s="80"/>
      <c r="B595" s="80"/>
      <c r="C595" s="80"/>
      <c r="D595" s="80"/>
      <c r="E595" s="80"/>
      <c r="F595" s="80"/>
      <c r="G595" s="80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</row>
    <row r="596" ht="15.75" customHeight="1">
      <c r="A596" s="80"/>
      <c r="B596" s="80"/>
      <c r="C596" s="80"/>
      <c r="D596" s="80"/>
      <c r="E596" s="80"/>
      <c r="F596" s="80"/>
      <c r="G596" s="80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</row>
    <row r="597" ht="15.75" customHeight="1">
      <c r="A597" s="80"/>
      <c r="B597" s="80"/>
      <c r="C597" s="80"/>
      <c r="D597" s="80"/>
      <c r="E597" s="80"/>
      <c r="F597" s="80"/>
      <c r="G597" s="80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</row>
    <row r="598" ht="15.75" customHeight="1">
      <c r="A598" s="80"/>
      <c r="B598" s="80"/>
      <c r="C598" s="80"/>
      <c r="D598" s="80"/>
      <c r="E598" s="80"/>
      <c r="F598" s="80"/>
      <c r="G598" s="80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</row>
    <row r="599" ht="15.75" customHeight="1">
      <c r="A599" s="80"/>
      <c r="B599" s="80"/>
      <c r="C599" s="80"/>
      <c r="D599" s="80"/>
      <c r="E599" s="80"/>
      <c r="F599" s="80"/>
      <c r="G599" s="80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</row>
    <row r="600" ht="15.75" customHeight="1">
      <c r="A600" s="80"/>
      <c r="B600" s="80"/>
      <c r="C600" s="80"/>
      <c r="D600" s="80"/>
      <c r="E600" s="80"/>
      <c r="F600" s="80"/>
      <c r="G600" s="80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</row>
    <row r="601" ht="15.75" customHeight="1">
      <c r="A601" s="80"/>
      <c r="B601" s="80"/>
      <c r="C601" s="80"/>
      <c r="D601" s="80"/>
      <c r="E601" s="80"/>
      <c r="F601" s="80"/>
      <c r="G601" s="80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</row>
    <row r="602" ht="15.75" customHeight="1">
      <c r="A602" s="80"/>
      <c r="B602" s="80"/>
      <c r="C602" s="80"/>
      <c r="D602" s="80"/>
      <c r="E602" s="80"/>
      <c r="F602" s="80"/>
      <c r="G602" s="80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</row>
    <row r="603" ht="15.75" customHeight="1">
      <c r="A603" s="80"/>
      <c r="B603" s="80"/>
      <c r="C603" s="80"/>
      <c r="D603" s="80"/>
      <c r="E603" s="80"/>
      <c r="F603" s="80"/>
      <c r="G603" s="80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</row>
    <row r="604" ht="15.75" customHeight="1">
      <c r="A604" s="80"/>
      <c r="B604" s="80"/>
      <c r="C604" s="80"/>
      <c r="D604" s="80"/>
      <c r="E604" s="80"/>
      <c r="F604" s="80"/>
      <c r="G604" s="80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</row>
    <row r="605" ht="15.75" customHeight="1">
      <c r="A605" s="80"/>
      <c r="B605" s="80"/>
      <c r="C605" s="80"/>
      <c r="D605" s="80"/>
      <c r="E605" s="80"/>
      <c r="F605" s="80"/>
      <c r="G605" s="80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</row>
    <row r="606" ht="15.75" customHeight="1">
      <c r="A606" s="80"/>
      <c r="B606" s="80"/>
      <c r="C606" s="80"/>
      <c r="D606" s="80"/>
      <c r="E606" s="80"/>
      <c r="F606" s="80"/>
      <c r="G606" s="80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</row>
    <row r="607" ht="15.75" customHeight="1">
      <c r="A607" s="80"/>
      <c r="B607" s="80"/>
      <c r="C607" s="80"/>
      <c r="D607" s="80"/>
      <c r="E607" s="80"/>
      <c r="F607" s="80"/>
      <c r="G607" s="80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</row>
    <row r="608" ht="15.75" customHeight="1">
      <c r="A608" s="80"/>
      <c r="B608" s="80"/>
      <c r="C608" s="80"/>
      <c r="D608" s="80"/>
      <c r="E608" s="80"/>
      <c r="F608" s="80"/>
      <c r="G608" s="80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</row>
    <row r="609" ht="15.75" customHeight="1">
      <c r="A609" s="80"/>
      <c r="B609" s="80"/>
      <c r="C609" s="80"/>
      <c r="D609" s="80"/>
      <c r="E609" s="80"/>
      <c r="F609" s="80"/>
      <c r="G609" s="80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</row>
    <row r="610" ht="15.75" customHeight="1">
      <c r="A610" s="80"/>
      <c r="B610" s="80"/>
      <c r="C610" s="80"/>
      <c r="D610" s="80"/>
      <c r="E610" s="80"/>
      <c r="F610" s="80"/>
      <c r="G610" s="80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</row>
    <row r="611" ht="15.75" customHeight="1">
      <c r="A611" s="80"/>
      <c r="B611" s="80"/>
      <c r="C611" s="80"/>
      <c r="D611" s="80"/>
      <c r="E611" s="80"/>
      <c r="F611" s="80"/>
      <c r="G611" s="80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</row>
    <row r="612" ht="15.75" customHeight="1">
      <c r="A612" s="80"/>
      <c r="B612" s="80"/>
      <c r="C612" s="80"/>
      <c r="D612" s="80"/>
      <c r="E612" s="80"/>
      <c r="F612" s="80"/>
      <c r="G612" s="80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</row>
    <row r="613" ht="15.75" customHeight="1">
      <c r="A613" s="80"/>
      <c r="B613" s="80"/>
      <c r="C613" s="80"/>
      <c r="D613" s="80"/>
      <c r="E613" s="80"/>
      <c r="F613" s="80"/>
      <c r="G613" s="80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</row>
    <row r="614" ht="15.75" customHeight="1">
      <c r="A614" s="80"/>
      <c r="B614" s="80"/>
      <c r="C614" s="80"/>
      <c r="D614" s="80"/>
      <c r="E614" s="80"/>
      <c r="F614" s="80"/>
      <c r="G614" s="80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</row>
    <row r="615" ht="15.75" customHeight="1">
      <c r="A615" s="80"/>
      <c r="B615" s="80"/>
      <c r="C615" s="80"/>
      <c r="D615" s="80"/>
      <c r="E615" s="80"/>
      <c r="F615" s="80"/>
      <c r="G615" s="80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</row>
    <row r="616" ht="15.75" customHeight="1">
      <c r="A616" s="80"/>
      <c r="B616" s="80"/>
      <c r="C616" s="80"/>
      <c r="D616" s="80"/>
      <c r="E616" s="80"/>
      <c r="F616" s="80"/>
      <c r="G616" s="80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</row>
    <row r="617" ht="15.75" customHeight="1">
      <c r="A617" s="80"/>
      <c r="B617" s="80"/>
      <c r="C617" s="80"/>
      <c r="D617" s="80"/>
      <c r="E617" s="80"/>
      <c r="F617" s="80"/>
      <c r="G617" s="80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</row>
    <row r="618" ht="15.75" customHeight="1">
      <c r="A618" s="80"/>
      <c r="B618" s="80"/>
      <c r="C618" s="80"/>
      <c r="D618" s="80"/>
      <c r="E618" s="80"/>
      <c r="F618" s="80"/>
      <c r="G618" s="80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</row>
    <row r="619" ht="15.75" customHeight="1">
      <c r="A619" s="80"/>
      <c r="B619" s="80"/>
      <c r="C619" s="80"/>
      <c r="D619" s="80"/>
      <c r="E619" s="80"/>
      <c r="F619" s="80"/>
      <c r="G619" s="80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</row>
    <row r="620" ht="15.75" customHeight="1">
      <c r="A620" s="80"/>
      <c r="B620" s="80"/>
      <c r="C620" s="80"/>
      <c r="D620" s="80"/>
      <c r="E620" s="80"/>
      <c r="F620" s="80"/>
      <c r="G620" s="80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</row>
    <row r="621" ht="15.75" customHeight="1">
      <c r="A621" s="80"/>
      <c r="B621" s="80"/>
      <c r="C621" s="80"/>
      <c r="D621" s="80"/>
      <c r="E621" s="80"/>
      <c r="F621" s="80"/>
      <c r="G621" s="80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</row>
    <row r="622" ht="15.75" customHeight="1">
      <c r="A622" s="80"/>
      <c r="B622" s="80"/>
      <c r="C622" s="80"/>
      <c r="D622" s="80"/>
      <c r="E622" s="80"/>
      <c r="F622" s="80"/>
      <c r="G622" s="80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</row>
    <row r="623" ht="15.75" customHeight="1">
      <c r="A623" s="80"/>
      <c r="B623" s="80"/>
      <c r="C623" s="80"/>
      <c r="D623" s="80"/>
      <c r="E623" s="80"/>
      <c r="F623" s="80"/>
      <c r="G623" s="80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</row>
    <row r="624" ht="15.75" customHeight="1">
      <c r="A624" s="80"/>
      <c r="B624" s="80"/>
      <c r="C624" s="80"/>
      <c r="D624" s="80"/>
      <c r="E624" s="80"/>
      <c r="F624" s="80"/>
      <c r="G624" s="80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</row>
    <row r="625" ht="15.75" customHeight="1">
      <c r="A625" s="80"/>
      <c r="B625" s="80"/>
      <c r="C625" s="80"/>
      <c r="D625" s="80"/>
      <c r="E625" s="80"/>
      <c r="F625" s="80"/>
      <c r="G625" s="80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</row>
    <row r="626" ht="15.75" customHeight="1">
      <c r="A626" s="80"/>
      <c r="B626" s="80"/>
      <c r="C626" s="80"/>
      <c r="D626" s="80"/>
      <c r="E626" s="80"/>
      <c r="F626" s="80"/>
      <c r="G626" s="80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</row>
    <row r="627" ht="15.75" customHeight="1">
      <c r="A627" s="80"/>
      <c r="B627" s="80"/>
      <c r="C627" s="80"/>
      <c r="D627" s="80"/>
      <c r="E627" s="80"/>
      <c r="F627" s="80"/>
      <c r="G627" s="80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</row>
    <row r="628" ht="15.75" customHeight="1">
      <c r="A628" s="80"/>
      <c r="B628" s="80"/>
      <c r="C628" s="80"/>
      <c r="D628" s="80"/>
      <c r="E628" s="80"/>
      <c r="F628" s="80"/>
      <c r="G628" s="80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</row>
    <row r="629" ht="15.75" customHeight="1">
      <c r="A629" s="80"/>
      <c r="B629" s="80"/>
      <c r="C629" s="80"/>
      <c r="D629" s="80"/>
      <c r="E629" s="80"/>
      <c r="F629" s="80"/>
      <c r="G629" s="80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</row>
    <row r="630" ht="15.75" customHeight="1">
      <c r="A630" s="80"/>
      <c r="B630" s="80"/>
      <c r="C630" s="80"/>
      <c r="D630" s="80"/>
      <c r="E630" s="80"/>
      <c r="F630" s="80"/>
      <c r="G630" s="80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</row>
    <row r="631" ht="15.75" customHeight="1">
      <c r="A631" s="80"/>
      <c r="B631" s="80"/>
      <c r="C631" s="80"/>
      <c r="D631" s="80"/>
      <c r="E631" s="80"/>
      <c r="F631" s="80"/>
      <c r="G631" s="80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</row>
    <row r="632" ht="15.75" customHeight="1">
      <c r="A632" s="80"/>
      <c r="B632" s="80"/>
      <c r="C632" s="80"/>
      <c r="D632" s="80"/>
      <c r="E632" s="80"/>
      <c r="F632" s="80"/>
      <c r="G632" s="80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</row>
    <row r="633" ht="15.75" customHeight="1">
      <c r="A633" s="80"/>
      <c r="B633" s="80"/>
      <c r="C633" s="80"/>
      <c r="D633" s="80"/>
      <c r="E633" s="80"/>
      <c r="F633" s="80"/>
      <c r="G633" s="80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</row>
    <row r="634" ht="15.75" customHeight="1">
      <c r="A634" s="80"/>
      <c r="B634" s="80"/>
      <c r="C634" s="80"/>
      <c r="D634" s="80"/>
      <c r="E634" s="80"/>
      <c r="F634" s="80"/>
      <c r="G634" s="80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</row>
    <row r="635" ht="15.75" customHeight="1">
      <c r="A635" s="80"/>
      <c r="B635" s="80"/>
      <c r="C635" s="80"/>
      <c r="D635" s="80"/>
      <c r="E635" s="80"/>
      <c r="F635" s="80"/>
      <c r="G635" s="80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</row>
    <row r="636" ht="15.75" customHeight="1">
      <c r="A636" s="80"/>
      <c r="B636" s="80"/>
      <c r="C636" s="80"/>
      <c r="D636" s="80"/>
      <c r="E636" s="80"/>
      <c r="F636" s="80"/>
      <c r="G636" s="80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</row>
    <row r="637" ht="15.75" customHeight="1">
      <c r="A637" s="80"/>
      <c r="B637" s="80"/>
      <c r="C637" s="80"/>
      <c r="D637" s="80"/>
      <c r="E637" s="80"/>
      <c r="F637" s="80"/>
      <c r="G637" s="80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</row>
    <row r="638" ht="15.75" customHeight="1">
      <c r="A638" s="80"/>
      <c r="B638" s="80"/>
      <c r="C638" s="80"/>
      <c r="D638" s="80"/>
      <c r="E638" s="80"/>
      <c r="F638" s="80"/>
      <c r="G638" s="80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</row>
    <row r="639" ht="15.75" customHeight="1">
      <c r="A639" s="80"/>
      <c r="B639" s="80"/>
      <c r="C639" s="80"/>
      <c r="D639" s="80"/>
      <c r="E639" s="80"/>
      <c r="F639" s="80"/>
      <c r="G639" s="80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</row>
    <row r="640" ht="15.75" customHeight="1">
      <c r="A640" s="80"/>
      <c r="B640" s="80"/>
      <c r="C640" s="80"/>
      <c r="D640" s="80"/>
      <c r="E640" s="80"/>
      <c r="F640" s="80"/>
      <c r="G640" s="80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</row>
    <row r="641" ht="15.75" customHeight="1">
      <c r="A641" s="80"/>
      <c r="B641" s="80"/>
      <c r="C641" s="80"/>
      <c r="D641" s="80"/>
      <c r="E641" s="80"/>
      <c r="F641" s="80"/>
      <c r="G641" s="80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</row>
    <row r="642" ht="15.75" customHeight="1">
      <c r="A642" s="80"/>
      <c r="B642" s="80"/>
      <c r="C642" s="80"/>
      <c r="D642" s="80"/>
      <c r="E642" s="80"/>
      <c r="F642" s="80"/>
      <c r="G642" s="80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</row>
    <row r="643" ht="15.75" customHeight="1">
      <c r="A643" s="80"/>
      <c r="B643" s="80"/>
      <c r="C643" s="80"/>
      <c r="D643" s="80"/>
      <c r="E643" s="80"/>
      <c r="F643" s="80"/>
      <c r="G643" s="80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</row>
    <row r="644" ht="15.75" customHeight="1">
      <c r="A644" s="80"/>
      <c r="B644" s="80"/>
      <c r="C644" s="80"/>
      <c r="D644" s="80"/>
      <c r="E644" s="80"/>
      <c r="F644" s="80"/>
      <c r="G644" s="80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</row>
    <row r="645" ht="15.75" customHeight="1">
      <c r="A645" s="80"/>
      <c r="B645" s="80"/>
      <c r="C645" s="80"/>
      <c r="D645" s="80"/>
      <c r="E645" s="80"/>
      <c r="F645" s="80"/>
      <c r="G645" s="80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</row>
    <row r="646" ht="15.75" customHeight="1">
      <c r="A646" s="80"/>
      <c r="B646" s="80"/>
      <c r="C646" s="80"/>
      <c r="D646" s="80"/>
      <c r="E646" s="80"/>
      <c r="F646" s="80"/>
      <c r="G646" s="80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</row>
    <row r="647" ht="15.75" customHeight="1">
      <c r="A647" s="80"/>
      <c r="B647" s="80"/>
      <c r="C647" s="80"/>
      <c r="D647" s="80"/>
      <c r="E647" s="80"/>
      <c r="F647" s="80"/>
      <c r="G647" s="80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</row>
    <row r="648" ht="15.75" customHeight="1">
      <c r="A648" s="80"/>
      <c r="B648" s="80"/>
      <c r="C648" s="80"/>
      <c r="D648" s="80"/>
      <c r="E648" s="80"/>
      <c r="F648" s="80"/>
      <c r="G648" s="80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</row>
    <row r="649" ht="15.75" customHeight="1">
      <c r="A649" s="80"/>
      <c r="B649" s="80"/>
      <c r="C649" s="80"/>
      <c r="D649" s="80"/>
      <c r="E649" s="80"/>
      <c r="F649" s="80"/>
      <c r="G649" s="80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</row>
    <row r="650" ht="15.75" customHeight="1">
      <c r="A650" s="80"/>
      <c r="B650" s="80"/>
      <c r="C650" s="80"/>
      <c r="D650" s="80"/>
      <c r="E650" s="80"/>
      <c r="F650" s="80"/>
      <c r="G650" s="80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</row>
    <row r="651" ht="15.75" customHeight="1">
      <c r="A651" s="80"/>
      <c r="B651" s="80"/>
      <c r="C651" s="80"/>
      <c r="D651" s="80"/>
      <c r="E651" s="80"/>
      <c r="F651" s="80"/>
      <c r="G651" s="80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</row>
    <row r="652" ht="15.75" customHeight="1">
      <c r="A652" s="80"/>
      <c r="B652" s="80"/>
      <c r="C652" s="80"/>
      <c r="D652" s="80"/>
      <c r="E652" s="80"/>
      <c r="F652" s="80"/>
      <c r="G652" s="80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</row>
    <row r="653" ht="15.75" customHeight="1">
      <c r="A653" s="80"/>
      <c r="B653" s="80"/>
      <c r="C653" s="80"/>
      <c r="D653" s="80"/>
      <c r="E653" s="80"/>
      <c r="F653" s="80"/>
      <c r="G653" s="80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</row>
    <row r="654" ht="15.75" customHeight="1">
      <c r="A654" s="80"/>
      <c r="B654" s="80"/>
      <c r="C654" s="80"/>
      <c r="D654" s="80"/>
      <c r="E654" s="80"/>
      <c r="F654" s="80"/>
      <c r="G654" s="80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</row>
    <row r="655" ht="15.75" customHeight="1">
      <c r="A655" s="80"/>
      <c r="B655" s="80"/>
      <c r="C655" s="80"/>
      <c r="D655" s="80"/>
      <c r="E655" s="80"/>
      <c r="F655" s="80"/>
      <c r="G655" s="80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</row>
    <row r="656" ht="15.75" customHeight="1">
      <c r="A656" s="80"/>
      <c r="B656" s="80"/>
      <c r="C656" s="80"/>
      <c r="D656" s="80"/>
      <c r="E656" s="80"/>
      <c r="F656" s="80"/>
      <c r="G656" s="80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</row>
    <row r="657" ht="15.75" customHeight="1">
      <c r="A657" s="80"/>
      <c r="B657" s="80"/>
      <c r="C657" s="80"/>
      <c r="D657" s="80"/>
      <c r="E657" s="80"/>
      <c r="F657" s="80"/>
      <c r="G657" s="80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</row>
    <row r="658" ht="15.75" customHeight="1">
      <c r="A658" s="80"/>
      <c r="B658" s="80"/>
      <c r="C658" s="80"/>
      <c r="D658" s="80"/>
      <c r="E658" s="80"/>
      <c r="F658" s="80"/>
      <c r="G658" s="80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</row>
    <row r="659" ht="15.75" customHeight="1">
      <c r="A659" s="80"/>
      <c r="B659" s="80"/>
      <c r="C659" s="80"/>
      <c r="D659" s="80"/>
      <c r="E659" s="80"/>
      <c r="F659" s="80"/>
      <c r="G659" s="80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</row>
    <row r="660" ht="15.75" customHeight="1">
      <c r="A660" s="80"/>
      <c r="B660" s="80"/>
      <c r="C660" s="80"/>
      <c r="D660" s="80"/>
      <c r="E660" s="80"/>
      <c r="F660" s="80"/>
      <c r="G660" s="80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</row>
    <row r="661" ht="15.75" customHeight="1">
      <c r="A661" s="80"/>
      <c r="B661" s="80"/>
      <c r="C661" s="80"/>
      <c r="D661" s="80"/>
      <c r="E661" s="80"/>
      <c r="F661" s="80"/>
      <c r="G661" s="80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</row>
    <row r="662" ht="15.75" customHeight="1">
      <c r="A662" s="80"/>
      <c r="B662" s="80"/>
      <c r="C662" s="80"/>
      <c r="D662" s="80"/>
      <c r="E662" s="80"/>
      <c r="F662" s="80"/>
      <c r="G662" s="80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</row>
    <row r="663" ht="15.75" customHeight="1">
      <c r="A663" s="80"/>
      <c r="B663" s="80"/>
      <c r="C663" s="80"/>
      <c r="D663" s="80"/>
      <c r="E663" s="80"/>
      <c r="F663" s="80"/>
      <c r="G663" s="80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</row>
    <row r="664" ht="15.75" customHeight="1">
      <c r="A664" s="80"/>
      <c r="B664" s="80"/>
      <c r="C664" s="80"/>
      <c r="D664" s="80"/>
      <c r="E664" s="80"/>
      <c r="F664" s="80"/>
      <c r="G664" s="80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</row>
    <row r="665" ht="15.75" customHeight="1">
      <c r="A665" s="80"/>
      <c r="B665" s="80"/>
      <c r="C665" s="80"/>
      <c r="D665" s="80"/>
      <c r="E665" s="80"/>
      <c r="F665" s="80"/>
      <c r="G665" s="80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</row>
    <row r="666" ht="15.75" customHeight="1">
      <c r="A666" s="80"/>
      <c r="B666" s="80"/>
      <c r="C666" s="80"/>
      <c r="D666" s="80"/>
      <c r="E666" s="80"/>
      <c r="F666" s="80"/>
      <c r="G666" s="80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</row>
    <row r="667" ht="15.75" customHeight="1">
      <c r="A667" s="80"/>
      <c r="B667" s="80"/>
      <c r="C667" s="80"/>
      <c r="D667" s="80"/>
      <c r="E667" s="80"/>
      <c r="F667" s="80"/>
      <c r="G667" s="80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</row>
    <row r="668" ht="15.75" customHeight="1">
      <c r="A668" s="80"/>
      <c r="B668" s="80"/>
      <c r="C668" s="80"/>
      <c r="D668" s="80"/>
      <c r="E668" s="80"/>
      <c r="F668" s="80"/>
      <c r="G668" s="80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</row>
    <row r="669" ht="15.75" customHeight="1">
      <c r="A669" s="80"/>
      <c r="B669" s="80"/>
      <c r="C669" s="80"/>
      <c r="D669" s="80"/>
      <c r="E669" s="80"/>
      <c r="F669" s="80"/>
      <c r="G669" s="80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</row>
    <row r="670" ht="15.75" customHeight="1">
      <c r="A670" s="80"/>
      <c r="B670" s="80"/>
      <c r="C670" s="80"/>
      <c r="D670" s="80"/>
      <c r="E670" s="80"/>
      <c r="F670" s="80"/>
      <c r="G670" s="80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</row>
    <row r="671" ht="15.75" customHeight="1">
      <c r="A671" s="80"/>
      <c r="B671" s="80"/>
      <c r="C671" s="80"/>
      <c r="D671" s="80"/>
      <c r="E671" s="80"/>
      <c r="F671" s="80"/>
      <c r="G671" s="80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</row>
    <row r="672" ht="15.75" customHeight="1">
      <c r="A672" s="80"/>
      <c r="B672" s="80"/>
      <c r="C672" s="80"/>
      <c r="D672" s="80"/>
      <c r="E672" s="80"/>
      <c r="F672" s="80"/>
      <c r="G672" s="80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</row>
    <row r="673" ht="15.75" customHeight="1">
      <c r="A673" s="80"/>
      <c r="B673" s="80"/>
      <c r="C673" s="80"/>
      <c r="D673" s="80"/>
      <c r="E673" s="80"/>
      <c r="F673" s="80"/>
      <c r="G673" s="80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</row>
    <row r="674" ht="15.75" customHeight="1">
      <c r="A674" s="80"/>
      <c r="B674" s="80"/>
      <c r="C674" s="80"/>
      <c r="D674" s="80"/>
      <c r="E674" s="80"/>
      <c r="F674" s="80"/>
      <c r="G674" s="80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</row>
    <row r="675" ht="15.75" customHeight="1">
      <c r="A675" s="80"/>
      <c r="B675" s="80"/>
      <c r="C675" s="80"/>
      <c r="D675" s="80"/>
      <c r="E675" s="80"/>
      <c r="F675" s="80"/>
      <c r="G675" s="80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</row>
    <row r="676" ht="15.75" customHeight="1">
      <c r="A676" s="80"/>
      <c r="B676" s="80"/>
      <c r="C676" s="80"/>
      <c r="D676" s="80"/>
      <c r="E676" s="80"/>
      <c r="F676" s="80"/>
      <c r="G676" s="80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</row>
    <row r="677" ht="15.75" customHeight="1">
      <c r="A677" s="80"/>
      <c r="B677" s="80"/>
      <c r="C677" s="80"/>
      <c r="D677" s="80"/>
      <c r="E677" s="80"/>
      <c r="F677" s="80"/>
      <c r="G677" s="80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</row>
    <row r="678" ht="15.75" customHeight="1">
      <c r="A678" s="80"/>
      <c r="B678" s="80"/>
      <c r="C678" s="80"/>
      <c r="D678" s="80"/>
      <c r="E678" s="80"/>
      <c r="F678" s="80"/>
      <c r="G678" s="80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</row>
    <row r="679" ht="15.75" customHeight="1">
      <c r="A679" s="80"/>
      <c r="B679" s="80"/>
      <c r="C679" s="80"/>
      <c r="D679" s="80"/>
      <c r="E679" s="80"/>
      <c r="F679" s="80"/>
      <c r="G679" s="80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</row>
    <row r="680" ht="15.75" customHeight="1">
      <c r="A680" s="80"/>
      <c r="B680" s="80"/>
      <c r="C680" s="80"/>
      <c r="D680" s="80"/>
      <c r="E680" s="80"/>
      <c r="F680" s="80"/>
      <c r="G680" s="80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</row>
    <row r="681" ht="15.75" customHeight="1">
      <c r="A681" s="80"/>
      <c r="B681" s="80"/>
      <c r="C681" s="80"/>
      <c r="D681" s="80"/>
      <c r="E681" s="80"/>
      <c r="F681" s="80"/>
      <c r="G681" s="80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</row>
    <row r="682" ht="15.75" customHeight="1">
      <c r="A682" s="80"/>
      <c r="B682" s="80"/>
      <c r="C682" s="80"/>
      <c r="D682" s="80"/>
      <c r="E682" s="80"/>
      <c r="F682" s="80"/>
      <c r="G682" s="80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</row>
    <row r="683" ht="15.75" customHeight="1">
      <c r="A683" s="80"/>
      <c r="B683" s="80"/>
      <c r="C683" s="80"/>
      <c r="D683" s="80"/>
      <c r="E683" s="80"/>
      <c r="F683" s="80"/>
      <c r="G683" s="80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</row>
    <row r="684" ht="15.75" customHeight="1">
      <c r="A684" s="80"/>
      <c r="B684" s="80"/>
      <c r="C684" s="80"/>
      <c r="D684" s="80"/>
      <c r="E684" s="80"/>
      <c r="F684" s="80"/>
      <c r="G684" s="80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</row>
    <row r="685" ht="15.75" customHeight="1">
      <c r="A685" s="80"/>
      <c r="B685" s="80"/>
      <c r="C685" s="80"/>
      <c r="D685" s="80"/>
      <c r="E685" s="80"/>
      <c r="F685" s="80"/>
      <c r="G685" s="80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</row>
    <row r="686" ht="15.75" customHeight="1">
      <c r="A686" s="80"/>
      <c r="B686" s="80"/>
      <c r="C686" s="80"/>
      <c r="D686" s="80"/>
      <c r="E686" s="80"/>
      <c r="F686" s="80"/>
      <c r="G686" s="80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</row>
    <row r="687" ht="15.75" customHeight="1">
      <c r="A687" s="80"/>
      <c r="B687" s="80"/>
      <c r="C687" s="80"/>
      <c r="D687" s="80"/>
      <c r="E687" s="80"/>
      <c r="F687" s="80"/>
      <c r="G687" s="80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</row>
    <row r="688" ht="15.75" customHeight="1">
      <c r="A688" s="80"/>
      <c r="B688" s="80"/>
      <c r="C688" s="80"/>
      <c r="D688" s="80"/>
      <c r="E688" s="80"/>
      <c r="F688" s="80"/>
      <c r="G688" s="80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</row>
    <row r="689" ht="15.75" customHeight="1">
      <c r="A689" s="80"/>
      <c r="B689" s="80"/>
      <c r="C689" s="80"/>
      <c r="D689" s="80"/>
      <c r="E689" s="80"/>
      <c r="F689" s="80"/>
      <c r="G689" s="80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</row>
    <row r="690" ht="15.75" customHeight="1">
      <c r="A690" s="80"/>
      <c r="B690" s="80"/>
      <c r="C690" s="80"/>
      <c r="D690" s="80"/>
      <c r="E690" s="80"/>
      <c r="F690" s="80"/>
      <c r="G690" s="80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</row>
    <row r="691" ht="15.75" customHeight="1">
      <c r="A691" s="80"/>
      <c r="B691" s="80"/>
      <c r="C691" s="80"/>
      <c r="D691" s="80"/>
      <c r="E691" s="80"/>
      <c r="F691" s="80"/>
      <c r="G691" s="80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</row>
    <row r="692" ht="15.75" customHeight="1">
      <c r="A692" s="80"/>
      <c r="B692" s="80"/>
      <c r="C692" s="80"/>
      <c r="D692" s="80"/>
      <c r="E692" s="80"/>
      <c r="F692" s="80"/>
      <c r="G692" s="80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</row>
    <row r="693" ht="15.75" customHeight="1">
      <c r="A693" s="80"/>
      <c r="B693" s="80"/>
      <c r="C693" s="80"/>
      <c r="D693" s="80"/>
      <c r="E693" s="80"/>
      <c r="F693" s="80"/>
      <c r="G693" s="80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</row>
    <row r="694" ht="15.75" customHeight="1">
      <c r="A694" s="80"/>
      <c r="B694" s="80"/>
      <c r="C694" s="80"/>
      <c r="D694" s="80"/>
      <c r="E694" s="80"/>
      <c r="F694" s="80"/>
      <c r="G694" s="80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</row>
    <row r="695" ht="15.75" customHeight="1">
      <c r="A695" s="80"/>
      <c r="B695" s="80"/>
      <c r="C695" s="80"/>
      <c r="D695" s="80"/>
      <c r="E695" s="80"/>
      <c r="F695" s="80"/>
      <c r="G695" s="80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</row>
    <row r="696" ht="15.75" customHeight="1">
      <c r="A696" s="80"/>
      <c r="B696" s="80"/>
      <c r="C696" s="80"/>
      <c r="D696" s="80"/>
      <c r="E696" s="80"/>
      <c r="F696" s="80"/>
      <c r="G696" s="80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</row>
    <row r="697" ht="15.75" customHeight="1">
      <c r="A697" s="80"/>
      <c r="B697" s="80"/>
      <c r="C697" s="80"/>
      <c r="D697" s="80"/>
      <c r="E697" s="80"/>
      <c r="F697" s="80"/>
      <c r="G697" s="80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</row>
    <row r="698" ht="15.75" customHeight="1">
      <c r="A698" s="80"/>
      <c r="B698" s="80"/>
      <c r="C698" s="80"/>
      <c r="D698" s="80"/>
      <c r="E698" s="80"/>
      <c r="F698" s="80"/>
      <c r="G698" s="80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</row>
    <row r="699" ht="15.75" customHeight="1">
      <c r="A699" s="80"/>
      <c r="B699" s="80"/>
      <c r="C699" s="80"/>
      <c r="D699" s="80"/>
      <c r="E699" s="80"/>
      <c r="F699" s="80"/>
      <c r="G699" s="80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</row>
    <row r="700" ht="15.75" customHeight="1">
      <c r="A700" s="80"/>
      <c r="B700" s="80"/>
      <c r="C700" s="80"/>
      <c r="D700" s="80"/>
      <c r="E700" s="80"/>
      <c r="F700" s="80"/>
      <c r="G700" s="80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</row>
    <row r="701" ht="15.75" customHeight="1">
      <c r="A701" s="80"/>
      <c r="B701" s="80"/>
      <c r="C701" s="80"/>
      <c r="D701" s="80"/>
      <c r="E701" s="80"/>
      <c r="F701" s="80"/>
      <c r="G701" s="80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</row>
    <row r="702" ht="15.75" customHeight="1">
      <c r="A702" s="80"/>
      <c r="B702" s="80"/>
      <c r="C702" s="80"/>
      <c r="D702" s="80"/>
      <c r="E702" s="80"/>
      <c r="F702" s="80"/>
      <c r="G702" s="80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</row>
    <row r="703" ht="15.75" customHeight="1">
      <c r="A703" s="80"/>
      <c r="B703" s="80"/>
      <c r="C703" s="80"/>
      <c r="D703" s="80"/>
      <c r="E703" s="80"/>
      <c r="F703" s="80"/>
      <c r="G703" s="80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</row>
    <row r="704" ht="15.75" customHeight="1">
      <c r="A704" s="80"/>
      <c r="B704" s="80"/>
      <c r="C704" s="80"/>
      <c r="D704" s="80"/>
      <c r="E704" s="80"/>
      <c r="F704" s="80"/>
      <c r="G704" s="80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</row>
    <row r="705" ht="15.75" customHeight="1">
      <c r="A705" s="80"/>
      <c r="B705" s="80"/>
      <c r="C705" s="80"/>
      <c r="D705" s="80"/>
      <c r="E705" s="80"/>
      <c r="F705" s="80"/>
      <c r="G705" s="80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</row>
    <row r="706" ht="15.75" customHeight="1">
      <c r="A706" s="80"/>
      <c r="B706" s="80"/>
      <c r="C706" s="80"/>
      <c r="D706" s="80"/>
      <c r="E706" s="80"/>
      <c r="F706" s="80"/>
      <c r="G706" s="80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</row>
    <row r="707" ht="15.75" customHeight="1">
      <c r="A707" s="80"/>
      <c r="B707" s="80"/>
      <c r="C707" s="80"/>
      <c r="D707" s="80"/>
      <c r="E707" s="80"/>
      <c r="F707" s="80"/>
      <c r="G707" s="80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</row>
    <row r="708" ht="15.75" customHeight="1">
      <c r="A708" s="80"/>
      <c r="B708" s="80"/>
      <c r="C708" s="80"/>
      <c r="D708" s="80"/>
      <c r="E708" s="80"/>
      <c r="F708" s="80"/>
      <c r="G708" s="80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</row>
    <row r="709" ht="15.75" customHeight="1">
      <c r="A709" s="80"/>
      <c r="B709" s="80"/>
      <c r="C709" s="80"/>
      <c r="D709" s="80"/>
      <c r="E709" s="80"/>
      <c r="F709" s="80"/>
      <c r="G709" s="80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</row>
    <row r="710" ht="15.75" customHeight="1">
      <c r="A710" s="80"/>
      <c r="B710" s="80"/>
      <c r="C710" s="80"/>
      <c r="D710" s="80"/>
      <c r="E710" s="80"/>
      <c r="F710" s="80"/>
      <c r="G710" s="80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</row>
    <row r="711" ht="15.75" customHeight="1">
      <c r="A711" s="80"/>
      <c r="B711" s="80"/>
      <c r="C711" s="80"/>
      <c r="D711" s="80"/>
      <c r="E711" s="80"/>
      <c r="F711" s="80"/>
      <c r="G711" s="80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</row>
    <row r="712" ht="15.75" customHeight="1">
      <c r="A712" s="80"/>
      <c r="B712" s="80"/>
      <c r="C712" s="80"/>
      <c r="D712" s="80"/>
      <c r="E712" s="80"/>
      <c r="F712" s="80"/>
      <c r="G712" s="80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</row>
    <row r="713" ht="15.75" customHeight="1">
      <c r="A713" s="80"/>
      <c r="B713" s="80"/>
      <c r="C713" s="80"/>
      <c r="D713" s="80"/>
      <c r="E713" s="80"/>
      <c r="F713" s="80"/>
      <c r="G713" s="80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</row>
    <row r="714" ht="15.75" customHeight="1">
      <c r="A714" s="80"/>
      <c r="B714" s="80"/>
      <c r="C714" s="80"/>
      <c r="D714" s="80"/>
      <c r="E714" s="80"/>
      <c r="F714" s="80"/>
      <c r="G714" s="80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</row>
    <row r="715" ht="15.75" customHeight="1">
      <c r="A715" s="80"/>
      <c r="B715" s="80"/>
      <c r="C715" s="80"/>
      <c r="D715" s="80"/>
      <c r="E715" s="80"/>
      <c r="F715" s="80"/>
      <c r="G715" s="80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</row>
    <row r="716" ht="15.75" customHeight="1">
      <c r="A716" s="80"/>
      <c r="B716" s="80"/>
      <c r="C716" s="80"/>
      <c r="D716" s="80"/>
      <c r="E716" s="80"/>
      <c r="F716" s="80"/>
      <c r="G716" s="80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</row>
    <row r="717" ht="15.75" customHeight="1">
      <c r="A717" s="80"/>
      <c r="B717" s="80"/>
      <c r="C717" s="80"/>
      <c r="D717" s="80"/>
      <c r="E717" s="80"/>
      <c r="F717" s="80"/>
      <c r="G717" s="80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</row>
    <row r="718" ht="15.75" customHeight="1">
      <c r="A718" s="80"/>
      <c r="B718" s="80"/>
      <c r="C718" s="80"/>
      <c r="D718" s="80"/>
      <c r="E718" s="80"/>
      <c r="F718" s="80"/>
      <c r="G718" s="80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</row>
    <row r="719" ht="15.75" customHeight="1">
      <c r="A719" s="80"/>
      <c r="B719" s="80"/>
      <c r="C719" s="80"/>
      <c r="D719" s="80"/>
      <c r="E719" s="80"/>
      <c r="F719" s="80"/>
      <c r="G719" s="80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</row>
    <row r="720" ht="15.75" customHeight="1">
      <c r="A720" s="80"/>
      <c r="B720" s="80"/>
      <c r="C720" s="80"/>
      <c r="D720" s="80"/>
      <c r="E720" s="80"/>
      <c r="F720" s="80"/>
      <c r="G720" s="80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</row>
    <row r="721" ht="15.75" customHeight="1">
      <c r="A721" s="80"/>
      <c r="B721" s="80"/>
      <c r="C721" s="80"/>
      <c r="D721" s="80"/>
      <c r="E721" s="80"/>
      <c r="F721" s="80"/>
      <c r="G721" s="80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</row>
    <row r="722" ht="15.75" customHeight="1">
      <c r="A722" s="80"/>
      <c r="B722" s="80"/>
      <c r="C722" s="80"/>
      <c r="D722" s="80"/>
      <c r="E722" s="80"/>
      <c r="F722" s="80"/>
      <c r="G722" s="80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</row>
    <row r="723" ht="15.75" customHeight="1">
      <c r="A723" s="80"/>
      <c r="B723" s="80"/>
      <c r="C723" s="80"/>
      <c r="D723" s="80"/>
      <c r="E723" s="80"/>
      <c r="F723" s="80"/>
      <c r="G723" s="80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</row>
    <row r="724" ht="15.75" customHeight="1">
      <c r="A724" s="80"/>
      <c r="B724" s="80"/>
      <c r="C724" s="80"/>
      <c r="D724" s="80"/>
      <c r="E724" s="80"/>
      <c r="F724" s="80"/>
      <c r="G724" s="80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</row>
    <row r="725" ht="15.75" customHeight="1">
      <c r="A725" s="80"/>
      <c r="B725" s="80"/>
      <c r="C725" s="80"/>
      <c r="D725" s="80"/>
      <c r="E725" s="80"/>
      <c r="F725" s="80"/>
      <c r="G725" s="80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</row>
    <row r="726" ht="15.75" customHeight="1">
      <c r="A726" s="80"/>
      <c r="B726" s="80"/>
      <c r="C726" s="80"/>
      <c r="D726" s="80"/>
      <c r="E726" s="80"/>
      <c r="F726" s="80"/>
      <c r="G726" s="80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</row>
    <row r="727" ht="15.75" customHeight="1">
      <c r="A727" s="80"/>
      <c r="B727" s="80"/>
      <c r="C727" s="80"/>
      <c r="D727" s="80"/>
      <c r="E727" s="80"/>
      <c r="F727" s="80"/>
      <c r="G727" s="80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</row>
    <row r="728" ht="15.75" customHeight="1">
      <c r="A728" s="80"/>
      <c r="B728" s="80"/>
      <c r="C728" s="80"/>
      <c r="D728" s="80"/>
      <c r="E728" s="80"/>
      <c r="F728" s="80"/>
      <c r="G728" s="80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</row>
    <row r="729" ht="15.75" customHeight="1">
      <c r="A729" s="80"/>
      <c r="B729" s="80"/>
      <c r="C729" s="80"/>
      <c r="D729" s="80"/>
      <c r="E729" s="80"/>
      <c r="F729" s="80"/>
      <c r="G729" s="80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</row>
    <row r="730" ht="15.75" customHeight="1">
      <c r="A730" s="80"/>
      <c r="B730" s="80"/>
      <c r="C730" s="80"/>
      <c r="D730" s="80"/>
      <c r="E730" s="80"/>
      <c r="F730" s="80"/>
      <c r="G730" s="80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</row>
    <row r="731" ht="15.75" customHeight="1">
      <c r="A731" s="80"/>
      <c r="B731" s="80"/>
      <c r="C731" s="80"/>
      <c r="D731" s="80"/>
      <c r="E731" s="80"/>
      <c r="F731" s="80"/>
      <c r="G731" s="80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</row>
    <row r="732" ht="15.75" customHeight="1">
      <c r="A732" s="80"/>
      <c r="B732" s="80"/>
      <c r="C732" s="80"/>
      <c r="D732" s="80"/>
      <c r="E732" s="80"/>
      <c r="F732" s="80"/>
      <c r="G732" s="80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</row>
    <row r="733" ht="15.75" customHeight="1">
      <c r="A733" s="80"/>
      <c r="B733" s="80"/>
      <c r="C733" s="80"/>
      <c r="D733" s="80"/>
      <c r="E733" s="80"/>
      <c r="F733" s="80"/>
      <c r="G733" s="80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</row>
    <row r="734" ht="15.75" customHeight="1">
      <c r="A734" s="80"/>
      <c r="B734" s="80"/>
      <c r="C734" s="80"/>
      <c r="D734" s="80"/>
      <c r="E734" s="80"/>
      <c r="F734" s="80"/>
      <c r="G734" s="80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</row>
    <row r="735" ht="15.75" customHeight="1">
      <c r="A735" s="80"/>
      <c r="B735" s="80"/>
      <c r="C735" s="80"/>
      <c r="D735" s="80"/>
      <c r="E735" s="80"/>
      <c r="F735" s="80"/>
      <c r="G735" s="80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</row>
    <row r="736" ht="15.75" customHeight="1">
      <c r="A736" s="80"/>
      <c r="B736" s="80"/>
      <c r="C736" s="80"/>
      <c r="D736" s="80"/>
      <c r="E736" s="80"/>
      <c r="F736" s="80"/>
      <c r="G736" s="80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</row>
    <row r="737" ht="15.75" customHeight="1">
      <c r="A737" s="80"/>
      <c r="B737" s="80"/>
      <c r="C737" s="80"/>
      <c r="D737" s="80"/>
      <c r="E737" s="80"/>
      <c r="F737" s="80"/>
      <c r="G737" s="80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</row>
    <row r="738" ht="15.75" customHeight="1">
      <c r="A738" s="80"/>
      <c r="B738" s="80"/>
      <c r="C738" s="80"/>
      <c r="D738" s="80"/>
      <c r="E738" s="80"/>
      <c r="F738" s="80"/>
      <c r="G738" s="80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</row>
    <row r="739" ht="15.75" customHeight="1">
      <c r="A739" s="80"/>
      <c r="B739" s="80"/>
      <c r="C739" s="80"/>
      <c r="D739" s="80"/>
      <c r="E739" s="80"/>
      <c r="F739" s="80"/>
      <c r="G739" s="80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</row>
    <row r="740" ht="15.75" customHeight="1">
      <c r="A740" s="80"/>
      <c r="B740" s="80"/>
      <c r="C740" s="80"/>
      <c r="D740" s="80"/>
      <c r="E740" s="80"/>
      <c r="F740" s="80"/>
      <c r="G740" s="80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</row>
    <row r="741" ht="15.75" customHeight="1">
      <c r="A741" s="80"/>
      <c r="B741" s="80"/>
      <c r="C741" s="80"/>
      <c r="D741" s="80"/>
      <c r="E741" s="80"/>
      <c r="F741" s="80"/>
      <c r="G741" s="80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</row>
    <row r="742" ht="15.75" customHeight="1">
      <c r="A742" s="80"/>
      <c r="B742" s="80"/>
      <c r="C742" s="80"/>
      <c r="D742" s="80"/>
      <c r="E742" s="80"/>
      <c r="F742" s="80"/>
      <c r="G742" s="80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</row>
    <row r="743" ht="15.75" customHeight="1">
      <c r="A743" s="80"/>
      <c r="B743" s="80"/>
      <c r="C743" s="80"/>
      <c r="D743" s="80"/>
      <c r="E743" s="80"/>
      <c r="F743" s="80"/>
      <c r="G743" s="80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</row>
    <row r="744" ht="15.75" customHeight="1">
      <c r="A744" s="80"/>
      <c r="B744" s="80"/>
      <c r="C744" s="80"/>
      <c r="D744" s="80"/>
      <c r="E744" s="80"/>
      <c r="F744" s="80"/>
      <c r="G744" s="80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</row>
    <row r="745" ht="15.75" customHeight="1">
      <c r="A745" s="80"/>
      <c r="B745" s="80"/>
      <c r="C745" s="80"/>
      <c r="D745" s="80"/>
      <c r="E745" s="80"/>
      <c r="F745" s="80"/>
      <c r="G745" s="80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</row>
    <row r="746" ht="15.75" customHeight="1">
      <c r="A746" s="80"/>
      <c r="B746" s="80"/>
      <c r="C746" s="80"/>
      <c r="D746" s="80"/>
      <c r="E746" s="80"/>
      <c r="F746" s="80"/>
      <c r="G746" s="80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</row>
    <row r="747" ht="15.75" customHeight="1">
      <c r="A747" s="80"/>
      <c r="B747" s="80"/>
      <c r="C747" s="80"/>
      <c r="D747" s="80"/>
      <c r="E747" s="80"/>
      <c r="F747" s="80"/>
      <c r="G747" s="80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</row>
    <row r="748" ht="15.75" customHeight="1">
      <c r="A748" s="80"/>
      <c r="B748" s="80"/>
      <c r="C748" s="80"/>
      <c r="D748" s="80"/>
      <c r="E748" s="80"/>
      <c r="F748" s="80"/>
      <c r="G748" s="80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</row>
    <row r="749" ht="15.75" customHeight="1">
      <c r="A749" s="80"/>
      <c r="B749" s="80"/>
      <c r="C749" s="80"/>
      <c r="D749" s="80"/>
      <c r="E749" s="80"/>
      <c r="F749" s="80"/>
      <c r="G749" s="80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</row>
    <row r="750" ht="15.75" customHeight="1">
      <c r="A750" s="80"/>
      <c r="B750" s="80"/>
      <c r="C750" s="80"/>
      <c r="D750" s="80"/>
      <c r="E750" s="80"/>
      <c r="F750" s="80"/>
      <c r="G750" s="80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</row>
    <row r="751" ht="15.75" customHeight="1">
      <c r="A751" s="80"/>
      <c r="B751" s="80"/>
      <c r="C751" s="80"/>
      <c r="D751" s="80"/>
      <c r="E751" s="80"/>
      <c r="F751" s="80"/>
      <c r="G751" s="80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</row>
    <row r="752" ht="15.75" customHeight="1">
      <c r="A752" s="80"/>
      <c r="B752" s="80"/>
      <c r="C752" s="80"/>
      <c r="D752" s="80"/>
      <c r="E752" s="80"/>
      <c r="F752" s="80"/>
      <c r="G752" s="80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</row>
    <row r="753" ht="15.75" customHeight="1">
      <c r="A753" s="80"/>
      <c r="B753" s="80"/>
      <c r="C753" s="80"/>
      <c r="D753" s="80"/>
      <c r="E753" s="80"/>
      <c r="F753" s="80"/>
      <c r="G753" s="80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</row>
    <row r="754" ht="15.75" customHeight="1">
      <c r="A754" s="80"/>
      <c r="B754" s="80"/>
      <c r="C754" s="80"/>
      <c r="D754" s="80"/>
      <c r="E754" s="80"/>
      <c r="F754" s="80"/>
      <c r="G754" s="80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</row>
    <row r="755" ht="15.75" customHeight="1">
      <c r="A755" s="80"/>
      <c r="B755" s="80"/>
      <c r="C755" s="80"/>
      <c r="D755" s="80"/>
      <c r="E755" s="80"/>
      <c r="F755" s="80"/>
      <c r="G755" s="80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</row>
    <row r="756" ht="15.75" customHeight="1">
      <c r="A756" s="80"/>
      <c r="B756" s="80"/>
      <c r="C756" s="80"/>
      <c r="D756" s="80"/>
      <c r="E756" s="80"/>
      <c r="F756" s="80"/>
      <c r="G756" s="80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</row>
    <row r="757" ht="15.75" customHeight="1">
      <c r="A757" s="80"/>
      <c r="B757" s="80"/>
      <c r="C757" s="80"/>
      <c r="D757" s="80"/>
      <c r="E757" s="80"/>
      <c r="F757" s="80"/>
      <c r="G757" s="80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</row>
    <row r="758" ht="15.75" customHeight="1">
      <c r="A758" s="80"/>
      <c r="B758" s="80"/>
      <c r="C758" s="80"/>
      <c r="D758" s="80"/>
      <c r="E758" s="80"/>
      <c r="F758" s="80"/>
      <c r="G758" s="80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</row>
    <row r="759" ht="15.75" customHeight="1">
      <c r="A759" s="80"/>
      <c r="B759" s="80"/>
      <c r="C759" s="80"/>
      <c r="D759" s="80"/>
      <c r="E759" s="80"/>
      <c r="F759" s="80"/>
      <c r="G759" s="80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</row>
    <row r="760" ht="15.75" customHeight="1">
      <c r="A760" s="80"/>
      <c r="B760" s="80"/>
      <c r="C760" s="80"/>
      <c r="D760" s="80"/>
      <c r="E760" s="80"/>
      <c r="F760" s="80"/>
      <c r="G760" s="80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</row>
    <row r="761" ht="15.75" customHeight="1">
      <c r="A761" s="80"/>
      <c r="B761" s="80"/>
      <c r="C761" s="80"/>
      <c r="D761" s="80"/>
      <c r="E761" s="80"/>
      <c r="F761" s="80"/>
      <c r="G761" s="80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</row>
    <row r="762" ht="15.75" customHeight="1">
      <c r="A762" s="80"/>
      <c r="B762" s="80"/>
      <c r="C762" s="80"/>
      <c r="D762" s="80"/>
      <c r="E762" s="80"/>
      <c r="F762" s="80"/>
      <c r="G762" s="80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</row>
    <row r="763" ht="15.75" customHeight="1">
      <c r="A763" s="80"/>
      <c r="B763" s="80"/>
      <c r="C763" s="80"/>
      <c r="D763" s="80"/>
      <c r="E763" s="80"/>
      <c r="F763" s="80"/>
      <c r="G763" s="80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</row>
    <row r="764" ht="15.75" customHeight="1">
      <c r="A764" s="80"/>
      <c r="B764" s="80"/>
      <c r="C764" s="80"/>
      <c r="D764" s="80"/>
      <c r="E764" s="80"/>
      <c r="F764" s="80"/>
      <c r="G764" s="80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</row>
    <row r="765" ht="15.75" customHeight="1">
      <c r="A765" s="80"/>
      <c r="B765" s="80"/>
      <c r="C765" s="80"/>
      <c r="D765" s="80"/>
      <c r="E765" s="80"/>
      <c r="F765" s="80"/>
      <c r="G765" s="80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</row>
    <row r="766" ht="15.75" customHeight="1">
      <c r="A766" s="80"/>
      <c r="B766" s="80"/>
      <c r="C766" s="80"/>
      <c r="D766" s="80"/>
      <c r="E766" s="80"/>
      <c r="F766" s="80"/>
      <c r="G766" s="80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</row>
    <row r="767" ht="15.75" customHeight="1">
      <c r="A767" s="80"/>
      <c r="B767" s="80"/>
      <c r="C767" s="80"/>
      <c r="D767" s="80"/>
      <c r="E767" s="80"/>
      <c r="F767" s="80"/>
      <c r="G767" s="80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</row>
    <row r="768" ht="15.75" customHeight="1">
      <c r="A768" s="80"/>
      <c r="B768" s="80"/>
      <c r="C768" s="80"/>
      <c r="D768" s="80"/>
      <c r="E768" s="80"/>
      <c r="F768" s="80"/>
      <c r="G768" s="80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</row>
    <row r="769" ht="15.75" customHeight="1">
      <c r="A769" s="80"/>
      <c r="B769" s="80"/>
      <c r="C769" s="80"/>
      <c r="D769" s="80"/>
      <c r="E769" s="80"/>
      <c r="F769" s="80"/>
      <c r="G769" s="80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</row>
    <row r="770" ht="15.75" customHeight="1">
      <c r="A770" s="80"/>
      <c r="B770" s="80"/>
      <c r="C770" s="80"/>
      <c r="D770" s="80"/>
      <c r="E770" s="80"/>
      <c r="F770" s="80"/>
      <c r="G770" s="80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</row>
    <row r="771" ht="15.75" customHeight="1">
      <c r="A771" s="80"/>
      <c r="B771" s="80"/>
      <c r="C771" s="80"/>
      <c r="D771" s="80"/>
      <c r="E771" s="80"/>
      <c r="F771" s="80"/>
      <c r="G771" s="80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</row>
    <row r="772" ht="15.75" customHeight="1">
      <c r="A772" s="80"/>
      <c r="B772" s="80"/>
      <c r="C772" s="80"/>
      <c r="D772" s="80"/>
      <c r="E772" s="80"/>
      <c r="F772" s="80"/>
      <c r="G772" s="80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</row>
    <row r="773" ht="15.75" customHeight="1">
      <c r="A773" s="80"/>
      <c r="B773" s="80"/>
      <c r="C773" s="80"/>
      <c r="D773" s="80"/>
      <c r="E773" s="80"/>
      <c r="F773" s="80"/>
      <c r="G773" s="80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</row>
    <row r="774" ht="15.75" customHeight="1">
      <c r="A774" s="80"/>
      <c r="B774" s="80"/>
      <c r="C774" s="80"/>
      <c r="D774" s="80"/>
      <c r="E774" s="80"/>
      <c r="F774" s="80"/>
      <c r="G774" s="80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</row>
    <row r="775" ht="15.75" customHeight="1">
      <c r="A775" s="80"/>
      <c r="B775" s="80"/>
      <c r="C775" s="80"/>
      <c r="D775" s="80"/>
      <c r="E775" s="80"/>
      <c r="F775" s="80"/>
      <c r="G775" s="80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</row>
    <row r="776" ht="15.75" customHeight="1">
      <c r="A776" s="80"/>
      <c r="B776" s="80"/>
      <c r="C776" s="80"/>
      <c r="D776" s="80"/>
      <c r="E776" s="80"/>
      <c r="F776" s="80"/>
      <c r="G776" s="80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</row>
    <row r="777" ht="15.75" customHeight="1">
      <c r="A777" s="80"/>
      <c r="B777" s="80"/>
      <c r="C777" s="80"/>
      <c r="D777" s="80"/>
      <c r="E777" s="80"/>
      <c r="F777" s="80"/>
      <c r="G777" s="80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</row>
    <row r="778" ht="15.75" customHeight="1">
      <c r="A778" s="80"/>
      <c r="B778" s="80"/>
      <c r="C778" s="80"/>
      <c r="D778" s="80"/>
      <c r="E778" s="80"/>
      <c r="F778" s="80"/>
      <c r="G778" s="80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</row>
    <row r="779" ht="15.75" customHeight="1">
      <c r="A779" s="80"/>
      <c r="B779" s="80"/>
      <c r="C779" s="80"/>
      <c r="D779" s="80"/>
      <c r="E779" s="80"/>
      <c r="F779" s="80"/>
      <c r="G779" s="80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</row>
    <row r="780" ht="15.75" customHeight="1">
      <c r="A780" s="80"/>
      <c r="B780" s="80"/>
      <c r="C780" s="80"/>
      <c r="D780" s="80"/>
      <c r="E780" s="80"/>
      <c r="F780" s="80"/>
      <c r="G780" s="80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</row>
    <row r="781" ht="15.75" customHeight="1">
      <c r="A781" s="80"/>
      <c r="B781" s="80"/>
      <c r="C781" s="80"/>
      <c r="D781" s="80"/>
      <c r="E781" s="80"/>
      <c r="F781" s="80"/>
      <c r="G781" s="80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</row>
    <row r="782" ht="15.75" customHeight="1">
      <c r="A782" s="80"/>
      <c r="B782" s="80"/>
      <c r="C782" s="80"/>
      <c r="D782" s="80"/>
      <c r="E782" s="80"/>
      <c r="F782" s="80"/>
      <c r="G782" s="80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</row>
    <row r="783" ht="15.75" customHeight="1">
      <c r="A783" s="80"/>
      <c r="B783" s="80"/>
      <c r="C783" s="80"/>
      <c r="D783" s="80"/>
      <c r="E783" s="80"/>
      <c r="F783" s="80"/>
      <c r="G783" s="80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</row>
    <row r="784" ht="15.75" customHeight="1">
      <c r="A784" s="80"/>
      <c r="B784" s="80"/>
      <c r="C784" s="80"/>
      <c r="D784" s="80"/>
      <c r="E784" s="80"/>
      <c r="F784" s="80"/>
      <c r="G784" s="80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</row>
    <row r="785" ht="15.75" customHeight="1">
      <c r="A785" s="80"/>
      <c r="B785" s="80"/>
      <c r="C785" s="80"/>
      <c r="D785" s="80"/>
      <c r="E785" s="80"/>
      <c r="F785" s="80"/>
      <c r="G785" s="80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</row>
    <row r="786" ht="15.75" customHeight="1">
      <c r="A786" s="80"/>
      <c r="B786" s="80"/>
      <c r="C786" s="80"/>
      <c r="D786" s="80"/>
      <c r="E786" s="80"/>
      <c r="F786" s="80"/>
      <c r="G786" s="80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</row>
    <row r="787" ht="15.75" customHeight="1">
      <c r="A787" s="80"/>
      <c r="B787" s="80"/>
      <c r="C787" s="80"/>
      <c r="D787" s="80"/>
      <c r="E787" s="80"/>
      <c r="F787" s="80"/>
      <c r="G787" s="80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</row>
    <row r="788" ht="15.75" customHeight="1">
      <c r="A788" s="80"/>
      <c r="B788" s="80"/>
      <c r="C788" s="80"/>
      <c r="D788" s="80"/>
      <c r="E788" s="80"/>
      <c r="F788" s="80"/>
      <c r="G788" s="80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</row>
    <row r="789" ht="15.75" customHeight="1">
      <c r="A789" s="80"/>
      <c r="B789" s="80"/>
      <c r="C789" s="80"/>
      <c r="D789" s="80"/>
      <c r="E789" s="80"/>
      <c r="F789" s="80"/>
      <c r="G789" s="80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</row>
    <row r="790" ht="15.75" customHeight="1">
      <c r="A790" s="80"/>
      <c r="B790" s="80"/>
      <c r="C790" s="80"/>
      <c r="D790" s="80"/>
      <c r="E790" s="80"/>
      <c r="F790" s="80"/>
      <c r="G790" s="80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</row>
    <row r="791" ht="15.75" customHeight="1">
      <c r="A791" s="80"/>
      <c r="B791" s="80"/>
      <c r="C791" s="80"/>
      <c r="D791" s="80"/>
      <c r="E791" s="80"/>
      <c r="F791" s="80"/>
      <c r="G791" s="80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</row>
    <row r="792" ht="15.75" customHeight="1">
      <c r="A792" s="80"/>
      <c r="B792" s="80"/>
      <c r="C792" s="80"/>
      <c r="D792" s="80"/>
      <c r="E792" s="80"/>
      <c r="F792" s="80"/>
      <c r="G792" s="80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</row>
    <row r="793" ht="15.75" customHeight="1">
      <c r="A793" s="80"/>
      <c r="B793" s="80"/>
      <c r="C793" s="80"/>
      <c r="D793" s="80"/>
      <c r="E793" s="80"/>
      <c r="F793" s="80"/>
      <c r="G793" s="80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</row>
    <row r="794" ht="15.75" customHeight="1">
      <c r="A794" s="80"/>
      <c r="B794" s="80"/>
      <c r="C794" s="80"/>
      <c r="D794" s="80"/>
      <c r="E794" s="80"/>
      <c r="F794" s="80"/>
      <c r="G794" s="80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</row>
    <row r="795" ht="15.75" customHeight="1">
      <c r="A795" s="80"/>
      <c r="B795" s="80"/>
      <c r="C795" s="80"/>
      <c r="D795" s="80"/>
      <c r="E795" s="80"/>
      <c r="F795" s="80"/>
      <c r="G795" s="80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</row>
    <row r="796" ht="15.75" customHeight="1">
      <c r="A796" s="80"/>
      <c r="B796" s="80"/>
      <c r="C796" s="80"/>
      <c r="D796" s="80"/>
      <c r="E796" s="80"/>
      <c r="F796" s="80"/>
      <c r="G796" s="80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</row>
    <row r="797" ht="15.75" customHeight="1">
      <c r="A797" s="80"/>
      <c r="B797" s="80"/>
      <c r="C797" s="80"/>
      <c r="D797" s="80"/>
      <c r="E797" s="80"/>
      <c r="F797" s="80"/>
      <c r="G797" s="80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</row>
    <row r="798" ht="15.75" customHeight="1">
      <c r="A798" s="80"/>
      <c r="B798" s="80"/>
      <c r="C798" s="80"/>
      <c r="D798" s="80"/>
      <c r="E798" s="80"/>
      <c r="F798" s="80"/>
      <c r="G798" s="80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</row>
    <row r="799" ht="15.75" customHeight="1">
      <c r="A799" s="80"/>
      <c r="B799" s="80"/>
      <c r="C799" s="80"/>
      <c r="D799" s="80"/>
      <c r="E799" s="80"/>
      <c r="F799" s="80"/>
      <c r="G799" s="80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</row>
    <row r="800" ht="15.75" customHeight="1">
      <c r="A800" s="80"/>
      <c r="B800" s="80"/>
      <c r="C800" s="80"/>
      <c r="D800" s="80"/>
      <c r="E800" s="80"/>
      <c r="F800" s="80"/>
      <c r="G800" s="80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</row>
    <row r="801" ht="15.75" customHeight="1">
      <c r="A801" s="80"/>
      <c r="B801" s="80"/>
      <c r="C801" s="80"/>
      <c r="D801" s="80"/>
      <c r="E801" s="80"/>
      <c r="F801" s="80"/>
      <c r="G801" s="80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</row>
    <row r="802" ht="15.75" customHeight="1">
      <c r="A802" s="80"/>
      <c r="B802" s="80"/>
      <c r="C802" s="80"/>
      <c r="D802" s="80"/>
      <c r="E802" s="80"/>
      <c r="F802" s="80"/>
      <c r="G802" s="80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</row>
    <row r="803" ht="15.75" customHeight="1">
      <c r="A803" s="80"/>
      <c r="B803" s="80"/>
      <c r="C803" s="80"/>
      <c r="D803" s="80"/>
      <c r="E803" s="80"/>
      <c r="F803" s="80"/>
      <c r="G803" s="80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</row>
    <row r="804" ht="15.75" customHeight="1">
      <c r="A804" s="80"/>
      <c r="B804" s="80"/>
      <c r="C804" s="80"/>
      <c r="D804" s="80"/>
      <c r="E804" s="80"/>
      <c r="F804" s="80"/>
      <c r="G804" s="80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</row>
    <row r="805" ht="15.75" customHeight="1">
      <c r="A805" s="80"/>
      <c r="B805" s="80"/>
      <c r="C805" s="80"/>
      <c r="D805" s="80"/>
      <c r="E805" s="80"/>
      <c r="F805" s="80"/>
      <c r="G805" s="80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</row>
    <row r="806" ht="15.75" customHeight="1">
      <c r="A806" s="80"/>
      <c r="B806" s="80"/>
      <c r="C806" s="80"/>
      <c r="D806" s="80"/>
      <c r="E806" s="80"/>
      <c r="F806" s="80"/>
      <c r="G806" s="80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</row>
    <row r="807" ht="15.75" customHeight="1">
      <c r="A807" s="80"/>
      <c r="B807" s="80"/>
      <c r="C807" s="80"/>
      <c r="D807" s="80"/>
      <c r="E807" s="80"/>
      <c r="F807" s="80"/>
      <c r="G807" s="80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</row>
    <row r="808" ht="15.75" customHeight="1">
      <c r="A808" s="80"/>
      <c r="B808" s="80"/>
      <c r="C808" s="80"/>
      <c r="D808" s="80"/>
      <c r="E808" s="80"/>
      <c r="F808" s="80"/>
      <c r="G808" s="80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</row>
    <row r="809" ht="15.75" customHeight="1">
      <c r="A809" s="80"/>
      <c r="B809" s="80"/>
      <c r="C809" s="80"/>
      <c r="D809" s="80"/>
      <c r="E809" s="80"/>
      <c r="F809" s="80"/>
      <c r="G809" s="80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</row>
    <row r="810" ht="15.75" customHeight="1">
      <c r="A810" s="80"/>
      <c r="B810" s="80"/>
      <c r="C810" s="80"/>
      <c r="D810" s="80"/>
      <c r="E810" s="80"/>
      <c r="F810" s="80"/>
      <c r="G810" s="80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</row>
    <row r="811" ht="15.75" customHeight="1">
      <c r="A811" s="80"/>
      <c r="B811" s="80"/>
      <c r="C811" s="80"/>
      <c r="D811" s="80"/>
      <c r="E811" s="80"/>
      <c r="F811" s="80"/>
      <c r="G811" s="80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</row>
    <row r="812" ht="15.75" customHeight="1">
      <c r="A812" s="80"/>
      <c r="B812" s="80"/>
      <c r="C812" s="80"/>
      <c r="D812" s="80"/>
      <c r="E812" s="80"/>
      <c r="F812" s="80"/>
      <c r="G812" s="80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</row>
    <row r="813" ht="15.75" customHeight="1">
      <c r="A813" s="80"/>
      <c r="B813" s="80"/>
      <c r="C813" s="80"/>
      <c r="D813" s="80"/>
      <c r="E813" s="80"/>
      <c r="F813" s="80"/>
      <c r="G813" s="80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</row>
    <row r="814" ht="15.75" customHeight="1">
      <c r="A814" s="80"/>
      <c r="B814" s="80"/>
      <c r="C814" s="80"/>
      <c r="D814" s="80"/>
      <c r="E814" s="80"/>
      <c r="F814" s="80"/>
      <c r="G814" s="80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</row>
    <row r="815" ht="15.75" customHeight="1">
      <c r="A815" s="80"/>
      <c r="B815" s="80"/>
      <c r="C815" s="80"/>
      <c r="D815" s="80"/>
      <c r="E815" s="80"/>
      <c r="F815" s="80"/>
      <c r="G815" s="80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</row>
    <row r="816" ht="15.75" customHeight="1">
      <c r="A816" s="80"/>
      <c r="B816" s="80"/>
      <c r="C816" s="80"/>
      <c r="D816" s="80"/>
      <c r="E816" s="80"/>
      <c r="F816" s="80"/>
      <c r="G816" s="80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</row>
    <row r="817" ht="15.75" customHeight="1">
      <c r="A817" s="80"/>
      <c r="B817" s="80"/>
      <c r="C817" s="80"/>
      <c r="D817" s="80"/>
      <c r="E817" s="80"/>
      <c r="F817" s="80"/>
      <c r="G817" s="80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</row>
    <row r="818" ht="15.75" customHeight="1">
      <c r="A818" s="80"/>
      <c r="B818" s="80"/>
      <c r="C818" s="80"/>
      <c r="D818" s="80"/>
      <c r="E818" s="80"/>
      <c r="F818" s="80"/>
      <c r="G818" s="80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</row>
    <row r="819" ht="15.75" customHeight="1">
      <c r="A819" s="80"/>
      <c r="B819" s="80"/>
      <c r="C819" s="80"/>
      <c r="D819" s="80"/>
      <c r="E819" s="80"/>
      <c r="F819" s="80"/>
      <c r="G819" s="80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</row>
    <row r="820" ht="15.75" customHeight="1">
      <c r="A820" s="80"/>
      <c r="B820" s="80"/>
      <c r="C820" s="80"/>
      <c r="D820" s="80"/>
      <c r="E820" s="80"/>
      <c r="F820" s="80"/>
      <c r="G820" s="80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</row>
    <row r="821" ht="15.75" customHeight="1">
      <c r="A821" s="80"/>
      <c r="B821" s="80"/>
      <c r="C821" s="80"/>
      <c r="D821" s="80"/>
      <c r="E821" s="80"/>
      <c r="F821" s="80"/>
      <c r="G821" s="80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</row>
    <row r="822" ht="15.75" customHeight="1">
      <c r="A822" s="80"/>
      <c r="B822" s="80"/>
      <c r="C822" s="80"/>
      <c r="D822" s="80"/>
      <c r="E822" s="80"/>
      <c r="F822" s="80"/>
      <c r="G822" s="80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</row>
    <row r="823" ht="15.75" customHeight="1">
      <c r="A823" s="80"/>
      <c r="B823" s="80"/>
      <c r="C823" s="80"/>
      <c r="D823" s="80"/>
      <c r="E823" s="80"/>
      <c r="F823" s="80"/>
      <c r="G823" s="80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</row>
    <row r="824" ht="15.75" customHeight="1">
      <c r="A824" s="80"/>
      <c r="B824" s="80"/>
      <c r="C824" s="80"/>
      <c r="D824" s="80"/>
      <c r="E824" s="80"/>
      <c r="F824" s="80"/>
      <c r="G824" s="80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</row>
    <row r="825" ht="15.75" customHeight="1">
      <c r="A825" s="80"/>
      <c r="B825" s="80"/>
      <c r="C825" s="80"/>
      <c r="D825" s="80"/>
      <c r="E825" s="80"/>
      <c r="F825" s="80"/>
      <c r="G825" s="80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</row>
    <row r="826" ht="15.75" customHeight="1">
      <c r="A826" s="80"/>
      <c r="B826" s="80"/>
      <c r="C826" s="80"/>
      <c r="D826" s="80"/>
      <c r="E826" s="80"/>
      <c r="F826" s="80"/>
      <c r="G826" s="80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</row>
    <row r="827" ht="15.75" customHeight="1">
      <c r="A827" s="80"/>
      <c r="B827" s="80"/>
      <c r="C827" s="80"/>
      <c r="D827" s="80"/>
      <c r="E827" s="80"/>
      <c r="F827" s="80"/>
      <c r="G827" s="80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</row>
    <row r="828" ht="15.75" customHeight="1">
      <c r="A828" s="80"/>
      <c r="B828" s="80"/>
      <c r="C828" s="80"/>
      <c r="D828" s="80"/>
      <c r="E828" s="80"/>
      <c r="F828" s="80"/>
      <c r="G828" s="80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</row>
    <row r="829" ht="15.75" customHeight="1">
      <c r="A829" s="80"/>
      <c r="B829" s="80"/>
      <c r="C829" s="80"/>
      <c r="D829" s="80"/>
      <c r="E829" s="80"/>
      <c r="F829" s="80"/>
      <c r="G829" s="80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</row>
    <row r="830" ht="15.75" customHeight="1">
      <c r="A830" s="80"/>
      <c r="B830" s="80"/>
      <c r="C830" s="80"/>
      <c r="D830" s="80"/>
      <c r="E830" s="80"/>
      <c r="F830" s="80"/>
      <c r="G830" s="80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</row>
    <row r="831" ht="15.75" customHeight="1">
      <c r="A831" s="80"/>
      <c r="B831" s="80"/>
      <c r="C831" s="80"/>
      <c r="D831" s="80"/>
      <c r="E831" s="80"/>
      <c r="F831" s="80"/>
      <c r="G831" s="80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</row>
    <row r="832" ht="15.75" customHeight="1">
      <c r="A832" s="80"/>
      <c r="B832" s="80"/>
      <c r="C832" s="80"/>
      <c r="D832" s="80"/>
      <c r="E832" s="80"/>
      <c r="F832" s="80"/>
      <c r="G832" s="80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</row>
    <row r="833" ht="15.75" customHeight="1">
      <c r="A833" s="80"/>
      <c r="B833" s="80"/>
      <c r="C833" s="80"/>
      <c r="D833" s="80"/>
      <c r="E833" s="80"/>
      <c r="F833" s="80"/>
      <c r="G833" s="80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</row>
    <row r="834" ht="15.75" customHeight="1">
      <c r="A834" s="80"/>
      <c r="B834" s="80"/>
      <c r="C834" s="80"/>
      <c r="D834" s="80"/>
      <c r="E834" s="80"/>
      <c r="F834" s="80"/>
      <c r="G834" s="80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</row>
    <row r="835" ht="15.75" customHeight="1">
      <c r="A835" s="80"/>
      <c r="B835" s="80"/>
      <c r="C835" s="80"/>
      <c r="D835" s="80"/>
      <c r="E835" s="80"/>
      <c r="F835" s="80"/>
      <c r="G835" s="80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</row>
    <row r="836" ht="15.75" customHeight="1">
      <c r="A836" s="80"/>
      <c r="B836" s="80"/>
      <c r="C836" s="80"/>
      <c r="D836" s="80"/>
      <c r="E836" s="80"/>
      <c r="F836" s="80"/>
      <c r="G836" s="80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</row>
    <row r="837" ht="15.75" customHeight="1">
      <c r="A837" s="80"/>
      <c r="B837" s="80"/>
      <c r="C837" s="80"/>
      <c r="D837" s="80"/>
      <c r="E837" s="80"/>
      <c r="F837" s="80"/>
      <c r="G837" s="80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</row>
    <row r="838" ht="15.75" customHeight="1">
      <c r="A838" s="80"/>
      <c r="B838" s="80"/>
      <c r="C838" s="80"/>
      <c r="D838" s="80"/>
      <c r="E838" s="80"/>
      <c r="F838" s="80"/>
      <c r="G838" s="80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</row>
    <row r="839" ht="15.75" customHeight="1">
      <c r="A839" s="80"/>
      <c r="B839" s="80"/>
      <c r="C839" s="80"/>
      <c r="D839" s="80"/>
      <c r="E839" s="80"/>
      <c r="F839" s="80"/>
      <c r="G839" s="80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</row>
    <row r="840" ht="15.75" customHeight="1">
      <c r="A840" s="80"/>
      <c r="B840" s="80"/>
      <c r="C840" s="80"/>
      <c r="D840" s="80"/>
      <c r="E840" s="80"/>
      <c r="F840" s="80"/>
      <c r="G840" s="80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</row>
    <row r="841" ht="15.75" customHeight="1">
      <c r="A841" s="80"/>
      <c r="B841" s="80"/>
      <c r="C841" s="80"/>
      <c r="D841" s="80"/>
      <c r="E841" s="80"/>
      <c r="F841" s="80"/>
      <c r="G841" s="80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</row>
    <row r="842" ht="15.75" customHeight="1">
      <c r="A842" s="80"/>
      <c r="B842" s="80"/>
      <c r="C842" s="80"/>
      <c r="D842" s="80"/>
      <c r="E842" s="80"/>
      <c r="F842" s="80"/>
      <c r="G842" s="80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</row>
    <row r="843" ht="15.75" customHeight="1">
      <c r="A843" s="80"/>
      <c r="B843" s="80"/>
      <c r="C843" s="80"/>
      <c r="D843" s="80"/>
      <c r="E843" s="80"/>
      <c r="F843" s="80"/>
      <c r="G843" s="80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</row>
    <row r="844" ht="15.75" customHeight="1">
      <c r="A844" s="80"/>
      <c r="B844" s="80"/>
      <c r="C844" s="80"/>
      <c r="D844" s="80"/>
      <c r="E844" s="80"/>
      <c r="F844" s="80"/>
      <c r="G844" s="80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</row>
    <row r="845" ht="15.75" customHeight="1">
      <c r="A845" s="80"/>
      <c r="B845" s="80"/>
      <c r="C845" s="80"/>
      <c r="D845" s="80"/>
      <c r="E845" s="80"/>
      <c r="F845" s="80"/>
      <c r="G845" s="80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</row>
    <row r="846" ht="15.75" customHeight="1">
      <c r="A846" s="80"/>
      <c r="B846" s="80"/>
      <c r="C846" s="80"/>
      <c r="D846" s="80"/>
      <c r="E846" s="80"/>
      <c r="F846" s="80"/>
      <c r="G846" s="80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</row>
    <row r="847" ht="15.75" customHeight="1">
      <c r="A847" s="80"/>
      <c r="B847" s="80"/>
      <c r="C847" s="80"/>
      <c r="D847" s="80"/>
      <c r="E847" s="80"/>
      <c r="F847" s="80"/>
      <c r="G847" s="80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</row>
    <row r="848" ht="15.75" customHeight="1">
      <c r="A848" s="80"/>
      <c r="B848" s="80"/>
      <c r="C848" s="80"/>
      <c r="D848" s="80"/>
      <c r="E848" s="80"/>
      <c r="F848" s="80"/>
      <c r="G848" s="80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</row>
    <row r="849" ht="15.75" customHeight="1">
      <c r="A849" s="80"/>
      <c r="B849" s="80"/>
      <c r="C849" s="80"/>
      <c r="D849" s="80"/>
      <c r="E849" s="80"/>
      <c r="F849" s="80"/>
      <c r="G849" s="80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</row>
    <row r="850" ht="15.75" customHeight="1">
      <c r="A850" s="80"/>
      <c r="B850" s="80"/>
      <c r="C850" s="80"/>
      <c r="D850" s="80"/>
      <c r="E850" s="80"/>
      <c r="F850" s="80"/>
      <c r="G850" s="80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</row>
    <row r="851" ht="15.75" customHeight="1">
      <c r="A851" s="80"/>
      <c r="B851" s="80"/>
      <c r="C851" s="80"/>
      <c r="D851" s="80"/>
      <c r="E851" s="80"/>
      <c r="F851" s="80"/>
      <c r="G851" s="80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</row>
    <row r="852" ht="15.75" customHeight="1">
      <c r="A852" s="80"/>
      <c r="B852" s="80"/>
      <c r="C852" s="80"/>
      <c r="D852" s="80"/>
      <c r="E852" s="80"/>
      <c r="F852" s="80"/>
      <c r="G852" s="80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</row>
    <row r="853" ht="15.75" customHeight="1">
      <c r="A853" s="80"/>
      <c r="B853" s="80"/>
      <c r="C853" s="80"/>
      <c r="D853" s="80"/>
      <c r="E853" s="80"/>
      <c r="F853" s="80"/>
      <c r="G853" s="80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</row>
    <row r="854" ht="15.75" customHeight="1">
      <c r="A854" s="80"/>
      <c r="B854" s="80"/>
      <c r="C854" s="80"/>
      <c r="D854" s="80"/>
      <c r="E854" s="80"/>
      <c r="F854" s="80"/>
      <c r="G854" s="80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</row>
    <row r="855" ht="15.75" customHeight="1">
      <c r="A855" s="80"/>
      <c r="B855" s="80"/>
      <c r="C855" s="80"/>
      <c r="D855" s="80"/>
      <c r="E855" s="80"/>
      <c r="F855" s="80"/>
      <c r="G855" s="80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</row>
    <row r="856" ht="15.75" customHeight="1">
      <c r="A856" s="80"/>
      <c r="B856" s="80"/>
      <c r="C856" s="80"/>
      <c r="D856" s="80"/>
      <c r="E856" s="80"/>
      <c r="F856" s="80"/>
      <c r="G856" s="80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</row>
    <row r="857" ht="15.75" customHeight="1">
      <c r="A857" s="80"/>
      <c r="B857" s="80"/>
      <c r="C857" s="80"/>
      <c r="D857" s="80"/>
      <c r="E857" s="80"/>
      <c r="F857" s="80"/>
      <c r="G857" s="80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</row>
    <row r="858" ht="15.75" customHeight="1">
      <c r="A858" s="80"/>
      <c r="B858" s="80"/>
      <c r="C858" s="80"/>
      <c r="D858" s="80"/>
      <c r="E858" s="80"/>
      <c r="F858" s="80"/>
      <c r="G858" s="80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</row>
    <row r="859" ht="15.75" customHeight="1">
      <c r="A859" s="80"/>
      <c r="B859" s="80"/>
      <c r="C859" s="80"/>
      <c r="D859" s="80"/>
      <c r="E859" s="80"/>
      <c r="F859" s="80"/>
      <c r="G859" s="80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</row>
    <row r="860" ht="15.75" customHeight="1">
      <c r="A860" s="80"/>
      <c r="B860" s="80"/>
      <c r="C860" s="80"/>
      <c r="D860" s="80"/>
      <c r="E860" s="80"/>
      <c r="F860" s="80"/>
      <c r="G860" s="80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</row>
    <row r="861" ht="15.75" customHeight="1">
      <c r="A861" s="80"/>
      <c r="B861" s="80"/>
      <c r="C861" s="80"/>
      <c r="D861" s="80"/>
      <c r="E861" s="80"/>
      <c r="F861" s="80"/>
      <c r="G861" s="80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</row>
    <row r="862" ht="15.75" customHeight="1">
      <c r="A862" s="80"/>
      <c r="B862" s="80"/>
      <c r="C862" s="80"/>
      <c r="D862" s="80"/>
      <c r="E862" s="80"/>
      <c r="F862" s="80"/>
      <c r="G862" s="80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</row>
    <row r="863" ht="15.75" customHeight="1">
      <c r="A863" s="80"/>
      <c r="B863" s="80"/>
      <c r="C863" s="80"/>
      <c r="D863" s="80"/>
      <c r="E863" s="80"/>
      <c r="F863" s="80"/>
      <c r="G863" s="80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</row>
    <row r="864" ht="15.75" customHeight="1">
      <c r="A864" s="80"/>
      <c r="B864" s="80"/>
      <c r="C864" s="80"/>
      <c r="D864" s="80"/>
      <c r="E864" s="80"/>
      <c r="F864" s="80"/>
      <c r="G864" s="80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</row>
    <row r="865" ht="15.75" customHeight="1">
      <c r="A865" s="80"/>
      <c r="B865" s="80"/>
      <c r="C865" s="80"/>
      <c r="D865" s="80"/>
      <c r="E865" s="80"/>
      <c r="F865" s="80"/>
      <c r="G865" s="80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</row>
    <row r="866" ht="15.75" customHeight="1">
      <c r="A866" s="80"/>
      <c r="B866" s="80"/>
      <c r="C866" s="80"/>
      <c r="D866" s="80"/>
      <c r="E866" s="80"/>
      <c r="F866" s="80"/>
      <c r="G866" s="80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</row>
    <row r="867" ht="15.75" customHeight="1">
      <c r="A867" s="80"/>
      <c r="B867" s="80"/>
      <c r="C867" s="80"/>
      <c r="D867" s="80"/>
      <c r="E867" s="80"/>
      <c r="F867" s="80"/>
      <c r="G867" s="80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</row>
    <row r="868" ht="15.75" customHeight="1">
      <c r="A868" s="80"/>
      <c r="B868" s="80"/>
      <c r="C868" s="80"/>
      <c r="D868" s="80"/>
      <c r="E868" s="80"/>
      <c r="F868" s="80"/>
      <c r="G868" s="80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</row>
    <row r="869" ht="15.75" customHeight="1">
      <c r="A869" s="80"/>
      <c r="B869" s="80"/>
      <c r="C869" s="80"/>
      <c r="D869" s="80"/>
      <c r="E869" s="80"/>
      <c r="F869" s="80"/>
      <c r="G869" s="80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</row>
    <row r="870" ht="15.75" customHeight="1">
      <c r="A870" s="80"/>
      <c r="B870" s="80"/>
      <c r="C870" s="80"/>
      <c r="D870" s="80"/>
      <c r="E870" s="80"/>
      <c r="F870" s="80"/>
      <c r="G870" s="80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</row>
    <row r="871" ht="15.75" customHeight="1">
      <c r="A871" s="80"/>
      <c r="B871" s="80"/>
      <c r="C871" s="80"/>
      <c r="D871" s="80"/>
      <c r="E871" s="80"/>
      <c r="F871" s="80"/>
      <c r="G871" s="80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</row>
    <row r="872" ht="15.75" customHeight="1">
      <c r="A872" s="80"/>
      <c r="B872" s="80"/>
      <c r="C872" s="80"/>
      <c r="D872" s="80"/>
      <c r="E872" s="80"/>
      <c r="F872" s="80"/>
      <c r="G872" s="80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</row>
    <row r="873" ht="15.75" customHeight="1">
      <c r="A873" s="80"/>
      <c r="B873" s="80"/>
      <c r="C873" s="80"/>
      <c r="D873" s="80"/>
      <c r="E873" s="80"/>
      <c r="F873" s="80"/>
      <c r="G873" s="80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</row>
    <row r="874" ht="15.75" customHeight="1">
      <c r="A874" s="80"/>
      <c r="B874" s="80"/>
      <c r="C874" s="80"/>
      <c r="D874" s="80"/>
      <c r="E874" s="80"/>
      <c r="F874" s="80"/>
      <c r="G874" s="80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</row>
    <row r="875" ht="15.75" customHeight="1">
      <c r="A875" s="80"/>
      <c r="B875" s="80"/>
      <c r="C875" s="80"/>
      <c r="D875" s="80"/>
      <c r="E875" s="80"/>
      <c r="F875" s="80"/>
      <c r="G875" s="80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</row>
    <row r="876" ht="15.75" customHeight="1">
      <c r="A876" s="80"/>
      <c r="B876" s="80"/>
      <c r="C876" s="80"/>
      <c r="D876" s="80"/>
      <c r="E876" s="80"/>
      <c r="F876" s="80"/>
      <c r="G876" s="80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</row>
    <row r="877" ht="15.75" customHeight="1">
      <c r="A877" s="80"/>
      <c r="B877" s="80"/>
      <c r="C877" s="80"/>
      <c r="D877" s="80"/>
      <c r="E877" s="80"/>
      <c r="F877" s="80"/>
      <c r="G877" s="80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</row>
    <row r="878" ht="15.75" customHeight="1">
      <c r="A878" s="80"/>
      <c r="B878" s="80"/>
      <c r="C878" s="80"/>
      <c r="D878" s="80"/>
      <c r="E878" s="80"/>
      <c r="F878" s="80"/>
      <c r="G878" s="80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</row>
    <row r="879" ht="15.75" customHeight="1">
      <c r="A879" s="80"/>
      <c r="B879" s="80"/>
      <c r="C879" s="80"/>
      <c r="D879" s="80"/>
      <c r="E879" s="80"/>
      <c r="F879" s="80"/>
      <c r="G879" s="80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</row>
    <row r="880" ht="15.75" customHeight="1">
      <c r="A880" s="80"/>
      <c r="B880" s="80"/>
      <c r="C880" s="80"/>
      <c r="D880" s="80"/>
      <c r="E880" s="80"/>
      <c r="F880" s="80"/>
      <c r="G880" s="80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</row>
    <row r="881" ht="15.75" customHeight="1">
      <c r="A881" s="80"/>
      <c r="B881" s="80"/>
      <c r="C881" s="80"/>
      <c r="D881" s="80"/>
      <c r="E881" s="80"/>
      <c r="F881" s="80"/>
      <c r="G881" s="80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</row>
    <row r="882" ht="15.75" customHeight="1">
      <c r="A882" s="80"/>
      <c r="B882" s="80"/>
      <c r="C882" s="80"/>
      <c r="D882" s="80"/>
      <c r="E882" s="80"/>
      <c r="F882" s="80"/>
      <c r="G882" s="80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</row>
    <row r="883" ht="15.75" customHeight="1">
      <c r="A883" s="80"/>
      <c r="B883" s="80"/>
      <c r="C883" s="80"/>
      <c r="D883" s="80"/>
      <c r="E883" s="80"/>
      <c r="F883" s="80"/>
      <c r="G883" s="80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</row>
    <row r="884" ht="15.75" customHeight="1">
      <c r="A884" s="80"/>
      <c r="B884" s="80"/>
      <c r="C884" s="80"/>
      <c r="D884" s="80"/>
      <c r="E884" s="80"/>
      <c r="F884" s="80"/>
      <c r="G884" s="80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</row>
    <row r="885" ht="15.75" customHeight="1">
      <c r="A885" s="80"/>
      <c r="B885" s="80"/>
      <c r="C885" s="80"/>
      <c r="D885" s="80"/>
      <c r="E885" s="80"/>
      <c r="F885" s="80"/>
      <c r="G885" s="80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</row>
    <row r="886" ht="15.75" customHeight="1">
      <c r="A886" s="80"/>
      <c r="B886" s="80"/>
      <c r="C886" s="80"/>
      <c r="D886" s="80"/>
      <c r="E886" s="80"/>
      <c r="F886" s="80"/>
      <c r="G886" s="80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</row>
    <row r="887" ht="15.75" customHeight="1">
      <c r="A887" s="80"/>
      <c r="B887" s="80"/>
      <c r="C887" s="80"/>
      <c r="D887" s="80"/>
      <c r="E887" s="80"/>
      <c r="F887" s="80"/>
      <c r="G887" s="80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</row>
    <row r="888" ht="15.75" customHeight="1">
      <c r="A888" s="80"/>
      <c r="B888" s="80"/>
      <c r="C888" s="80"/>
      <c r="D888" s="80"/>
      <c r="E888" s="80"/>
      <c r="F888" s="80"/>
      <c r="G888" s="80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</row>
    <row r="889" ht="15.75" customHeight="1">
      <c r="A889" s="80"/>
      <c r="B889" s="80"/>
      <c r="C889" s="80"/>
      <c r="D889" s="80"/>
      <c r="E889" s="80"/>
      <c r="F889" s="80"/>
      <c r="G889" s="80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</row>
    <row r="890" ht="15.75" customHeight="1">
      <c r="A890" s="80"/>
      <c r="B890" s="80"/>
      <c r="C890" s="80"/>
      <c r="D890" s="80"/>
      <c r="E890" s="80"/>
      <c r="F890" s="80"/>
      <c r="G890" s="80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</row>
    <row r="891" ht="15.75" customHeight="1">
      <c r="A891" s="80"/>
      <c r="B891" s="80"/>
      <c r="C891" s="80"/>
      <c r="D891" s="80"/>
      <c r="E891" s="80"/>
      <c r="F891" s="80"/>
      <c r="G891" s="80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</row>
    <row r="892" ht="15.75" customHeight="1">
      <c r="A892" s="80"/>
      <c r="B892" s="80"/>
      <c r="C892" s="80"/>
      <c r="D892" s="80"/>
      <c r="E892" s="80"/>
      <c r="F892" s="80"/>
      <c r="G892" s="80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</row>
    <row r="893" ht="15.75" customHeight="1">
      <c r="A893" s="80"/>
      <c r="B893" s="80"/>
      <c r="C893" s="80"/>
      <c r="D893" s="80"/>
      <c r="E893" s="80"/>
      <c r="F893" s="80"/>
      <c r="G893" s="80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</row>
    <row r="894" ht="15.75" customHeight="1">
      <c r="A894" s="80"/>
      <c r="B894" s="80"/>
      <c r="C894" s="80"/>
      <c r="D894" s="80"/>
      <c r="E894" s="80"/>
      <c r="F894" s="80"/>
      <c r="G894" s="80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</row>
    <row r="895" ht="15.75" customHeight="1">
      <c r="A895" s="80"/>
      <c r="B895" s="80"/>
      <c r="C895" s="80"/>
      <c r="D895" s="80"/>
      <c r="E895" s="80"/>
      <c r="F895" s="80"/>
      <c r="G895" s="80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</row>
    <row r="896" ht="15.75" customHeight="1">
      <c r="A896" s="80"/>
      <c r="B896" s="80"/>
      <c r="C896" s="80"/>
      <c r="D896" s="80"/>
      <c r="E896" s="80"/>
      <c r="F896" s="80"/>
      <c r="G896" s="80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</row>
    <row r="897" ht="15.75" customHeight="1">
      <c r="A897" s="80"/>
      <c r="B897" s="80"/>
      <c r="C897" s="80"/>
      <c r="D897" s="80"/>
      <c r="E897" s="80"/>
      <c r="F897" s="80"/>
      <c r="G897" s="80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</row>
    <row r="898" ht="15.75" customHeight="1">
      <c r="A898" s="80"/>
      <c r="B898" s="80"/>
      <c r="C898" s="80"/>
      <c r="D898" s="80"/>
      <c r="E898" s="80"/>
      <c r="F898" s="80"/>
      <c r="G898" s="80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</row>
    <row r="899" ht="15.75" customHeight="1">
      <c r="A899" s="80"/>
      <c r="B899" s="80"/>
      <c r="C899" s="80"/>
      <c r="D899" s="80"/>
      <c r="E899" s="80"/>
      <c r="F899" s="80"/>
      <c r="G899" s="80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</row>
    <row r="900" ht="15.75" customHeight="1">
      <c r="A900" s="80"/>
      <c r="B900" s="80"/>
      <c r="C900" s="80"/>
      <c r="D900" s="80"/>
      <c r="E900" s="80"/>
      <c r="F900" s="80"/>
      <c r="G900" s="80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</row>
    <row r="901" ht="15.75" customHeight="1">
      <c r="A901" s="80"/>
      <c r="B901" s="80"/>
      <c r="C901" s="80"/>
      <c r="D901" s="80"/>
      <c r="E901" s="80"/>
      <c r="F901" s="80"/>
      <c r="G901" s="80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</row>
    <row r="902" ht="15.75" customHeight="1">
      <c r="A902" s="80"/>
      <c r="B902" s="80"/>
      <c r="C902" s="80"/>
      <c r="D902" s="80"/>
      <c r="E902" s="80"/>
      <c r="F902" s="80"/>
      <c r="G902" s="80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</row>
    <row r="903" ht="15.75" customHeight="1">
      <c r="A903" s="80"/>
      <c r="B903" s="80"/>
      <c r="C903" s="80"/>
      <c r="D903" s="80"/>
      <c r="E903" s="80"/>
      <c r="F903" s="80"/>
      <c r="G903" s="80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</row>
    <row r="904" ht="15.75" customHeight="1">
      <c r="A904" s="80"/>
      <c r="B904" s="80"/>
      <c r="C904" s="80"/>
      <c r="D904" s="80"/>
      <c r="E904" s="80"/>
      <c r="F904" s="80"/>
      <c r="G904" s="80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</row>
    <row r="905" ht="15.75" customHeight="1">
      <c r="A905" s="80"/>
      <c r="B905" s="80"/>
      <c r="C905" s="80"/>
      <c r="D905" s="80"/>
      <c r="E905" s="80"/>
      <c r="F905" s="80"/>
      <c r="G905" s="80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</row>
    <row r="906" ht="15.75" customHeight="1">
      <c r="A906" s="80"/>
      <c r="B906" s="80"/>
      <c r="C906" s="80"/>
      <c r="D906" s="80"/>
      <c r="E906" s="80"/>
      <c r="F906" s="80"/>
      <c r="G906" s="80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</row>
    <row r="907" ht="15.75" customHeight="1">
      <c r="A907" s="80"/>
      <c r="B907" s="80"/>
      <c r="C907" s="80"/>
      <c r="D907" s="80"/>
      <c r="E907" s="80"/>
      <c r="F907" s="80"/>
      <c r="G907" s="80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</row>
    <row r="908" ht="15.75" customHeight="1">
      <c r="A908" s="80"/>
      <c r="B908" s="80"/>
      <c r="C908" s="80"/>
      <c r="D908" s="80"/>
      <c r="E908" s="80"/>
      <c r="F908" s="80"/>
      <c r="G908" s="80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</row>
    <row r="909" ht="15.75" customHeight="1">
      <c r="A909" s="80"/>
      <c r="B909" s="80"/>
      <c r="C909" s="80"/>
      <c r="D909" s="80"/>
      <c r="E909" s="80"/>
      <c r="F909" s="80"/>
      <c r="G909" s="80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</row>
    <row r="910" ht="15.75" customHeight="1">
      <c r="A910" s="80"/>
      <c r="B910" s="80"/>
      <c r="C910" s="80"/>
      <c r="D910" s="80"/>
      <c r="E910" s="80"/>
      <c r="F910" s="80"/>
      <c r="G910" s="80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</row>
    <row r="911" ht="15.75" customHeight="1">
      <c r="A911" s="80"/>
      <c r="B911" s="80"/>
      <c r="C911" s="80"/>
      <c r="D911" s="80"/>
      <c r="E911" s="80"/>
      <c r="F911" s="80"/>
      <c r="G911" s="80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</row>
    <row r="912" ht="15.75" customHeight="1">
      <c r="A912" s="80"/>
      <c r="B912" s="80"/>
      <c r="C912" s="80"/>
      <c r="D912" s="80"/>
      <c r="E912" s="80"/>
      <c r="F912" s="80"/>
      <c r="G912" s="80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</row>
    <row r="913" ht="15.75" customHeight="1">
      <c r="A913" s="80"/>
      <c r="B913" s="80"/>
      <c r="C913" s="80"/>
      <c r="D913" s="80"/>
      <c r="E913" s="80"/>
      <c r="F913" s="80"/>
      <c r="G913" s="80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</row>
    <row r="914" ht="15.75" customHeight="1">
      <c r="A914" s="80"/>
      <c r="B914" s="80"/>
      <c r="C914" s="80"/>
      <c r="D914" s="80"/>
      <c r="E914" s="80"/>
      <c r="F914" s="80"/>
      <c r="G914" s="80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</row>
    <row r="915" ht="15.75" customHeight="1">
      <c r="A915" s="80"/>
      <c r="B915" s="80"/>
      <c r="C915" s="80"/>
      <c r="D915" s="80"/>
      <c r="E915" s="80"/>
      <c r="F915" s="80"/>
      <c r="G915" s="80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</row>
    <row r="916" ht="15.75" customHeight="1">
      <c r="A916" s="80"/>
      <c r="B916" s="80"/>
      <c r="C916" s="80"/>
      <c r="D916" s="80"/>
      <c r="E916" s="80"/>
      <c r="F916" s="80"/>
      <c r="G916" s="80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</row>
    <row r="917" ht="15.75" customHeight="1">
      <c r="A917" s="80"/>
      <c r="B917" s="80"/>
      <c r="C917" s="80"/>
      <c r="D917" s="80"/>
      <c r="E917" s="80"/>
      <c r="F917" s="80"/>
      <c r="G917" s="80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</row>
    <row r="918" ht="15.75" customHeight="1">
      <c r="A918" s="80"/>
      <c r="B918" s="80"/>
      <c r="C918" s="80"/>
      <c r="D918" s="80"/>
      <c r="E918" s="80"/>
      <c r="F918" s="80"/>
      <c r="G918" s="80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</row>
    <row r="919" ht="15.75" customHeight="1">
      <c r="A919" s="80"/>
      <c r="B919" s="80"/>
      <c r="C919" s="80"/>
      <c r="D919" s="80"/>
      <c r="E919" s="80"/>
      <c r="F919" s="80"/>
      <c r="G919" s="80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</row>
    <row r="920" ht="15.75" customHeight="1">
      <c r="A920" s="80"/>
      <c r="B920" s="80"/>
      <c r="C920" s="80"/>
      <c r="D920" s="80"/>
      <c r="E920" s="80"/>
      <c r="F920" s="80"/>
      <c r="G920" s="80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</row>
    <row r="921" ht="15.75" customHeight="1">
      <c r="A921" s="80"/>
      <c r="B921" s="80"/>
      <c r="C921" s="80"/>
      <c r="D921" s="80"/>
      <c r="E921" s="80"/>
      <c r="F921" s="80"/>
      <c r="G921" s="80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</row>
    <row r="922" ht="15.75" customHeight="1">
      <c r="A922" s="80"/>
      <c r="B922" s="80"/>
      <c r="C922" s="80"/>
      <c r="D922" s="80"/>
      <c r="E922" s="80"/>
      <c r="F922" s="80"/>
      <c r="G922" s="80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</row>
    <row r="923" ht="15.75" customHeight="1">
      <c r="A923" s="80"/>
      <c r="B923" s="80"/>
      <c r="C923" s="80"/>
      <c r="D923" s="80"/>
      <c r="E923" s="80"/>
      <c r="F923" s="80"/>
      <c r="G923" s="80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</row>
    <row r="924" ht="15.75" customHeight="1">
      <c r="A924" s="80"/>
      <c r="B924" s="80"/>
      <c r="C924" s="80"/>
      <c r="D924" s="80"/>
      <c r="E924" s="80"/>
      <c r="F924" s="80"/>
      <c r="G924" s="80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</row>
    <row r="925" ht="15.75" customHeight="1">
      <c r="A925" s="80"/>
      <c r="B925" s="80"/>
      <c r="C925" s="80"/>
      <c r="D925" s="80"/>
      <c r="E925" s="80"/>
      <c r="F925" s="80"/>
      <c r="G925" s="80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</row>
    <row r="926" ht="15.75" customHeight="1">
      <c r="A926" s="80"/>
      <c r="B926" s="80"/>
      <c r="C926" s="80"/>
      <c r="D926" s="80"/>
      <c r="E926" s="80"/>
      <c r="F926" s="80"/>
      <c r="G926" s="80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</row>
    <row r="927" ht="15.75" customHeight="1">
      <c r="A927" s="80"/>
      <c r="B927" s="80"/>
      <c r="C927" s="80"/>
      <c r="D927" s="80"/>
      <c r="E927" s="80"/>
      <c r="F927" s="80"/>
      <c r="G927" s="80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</row>
    <row r="928" ht="15.75" customHeight="1">
      <c r="A928" s="80"/>
      <c r="B928" s="80"/>
      <c r="C928" s="80"/>
      <c r="D928" s="80"/>
      <c r="E928" s="80"/>
      <c r="F928" s="80"/>
      <c r="G928" s="80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</row>
    <row r="929" ht="15.75" customHeight="1">
      <c r="A929" s="80"/>
      <c r="B929" s="80"/>
      <c r="C929" s="80"/>
      <c r="D929" s="80"/>
      <c r="E929" s="80"/>
      <c r="F929" s="80"/>
      <c r="G929" s="80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</row>
    <row r="930" ht="15.75" customHeight="1">
      <c r="A930" s="80"/>
      <c r="B930" s="80"/>
      <c r="C930" s="80"/>
      <c r="D930" s="80"/>
      <c r="E930" s="80"/>
      <c r="F930" s="80"/>
      <c r="G930" s="80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</row>
    <row r="931" ht="15.75" customHeight="1">
      <c r="A931" s="80"/>
      <c r="B931" s="80"/>
      <c r="C931" s="80"/>
      <c r="D931" s="80"/>
      <c r="E931" s="80"/>
      <c r="F931" s="80"/>
      <c r="G931" s="80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</row>
    <row r="932" ht="15.75" customHeight="1">
      <c r="A932" s="80"/>
      <c r="B932" s="80"/>
      <c r="C932" s="80"/>
      <c r="D932" s="80"/>
      <c r="E932" s="80"/>
      <c r="F932" s="80"/>
      <c r="G932" s="80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</row>
    <row r="933" ht="15.75" customHeight="1">
      <c r="A933" s="80"/>
      <c r="B933" s="80"/>
      <c r="C933" s="80"/>
      <c r="D933" s="80"/>
      <c r="E933" s="80"/>
      <c r="F933" s="80"/>
      <c r="G933" s="80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</row>
    <row r="934" ht="15.75" customHeight="1">
      <c r="A934" s="80"/>
      <c r="B934" s="80"/>
      <c r="C934" s="80"/>
      <c r="D934" s="80"/>
      <c r="E934" s="80"/>
      <c r="F934" s="80"/>
      <c r="G934" s="80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</row>
    <row r="935" ht="15.75" customHeight="1">
      <c r="A935" s="80"/>
      <c r="B935" s="80"/>
      <c r="C935" s="80"/>
      <c r="D935" s="80"/>
      <c r="E935" s="80"/>
      <c r="F935" s="80"/>
      <c r="G935" s="80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</row>
    <row r="936" ht="15.75" customHeight="1">
      <c r="A936" s="80"/>
      <c r="B936" s="80"/>
      <c r="C936" s="80"/>
      <c r="D936" s="80"/>
      <c r="E936" s="80"/>
      <c r="F936" s="80"/>
      <c r="G936" s="80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</row>
    <row r="937" ht="15.75" customHeight="1">
      <c r="A937" s="80"/>
      <c r="B937" s="80"/>
      <c r="C937" s="80"/>
      <c r="D937" s="80"/>
      <c r="E937" s="80"/>
      <c r="F937" s="80"/>
      <c r="G937" s="80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</row>
    <row r="938" ht="15.75" customHeight="1">
      <c r="A938" s="80"/>
      <c r="B938" s="80"/>
      <c r="C938" s="80"/>
      <c r="D938" s="80"/>
      <c r="E938" s="80"/>
      <c r="F938" s="80"/>
      <c r="G938" s="80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</row>
    <row r="939" ht="15.75" customHeight="1">
      <c r="A939" s="80"/>
      <c r="B939" s="80"/>
      <c r="C939" s="80"/>
      <c r="D939" s="80"/>
      <c r="E939" s="80"/>
      <c r="F939" s="80"/>
      <c r="G939" s="80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</row>
    <row r="940" ht="15.75" customHeight="1">
      <c r="A940" s="80"/>
      <c r="B940" s="80"/>
      <c r="C940" s="80"/>
      <c r="D940" s="80"/>
      <c r="E940" s="80"/>
      <c r="F940" s="80"/>
      <c r="G940" s="80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</row>
    <row r="941" ht="15.75" customHeight="1">
      <c r="A941" s="80"/>
      <c r="B941" s="80"/>
      <c r="C941" s="80"/>
      <c r="D941" s="80"/>
      <c r="E941" s="80"/>
      <c r="F941" s="80"/>
      <c r="G941" s="80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</row>
    <row r="942" ht="15.75" customHeight="1">
      <c r="A942" s="80"/>
      <c r="B942" s="80"/>
      <c r="C942" s="80"/>
      <c r="D942" s="80"/>
      <c r="E942" s="80"/>
      <c r="F942" s="80"/>
      <c r="G942" s="80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</row>
    <row r="943" ht="15.75" customHeight="1">
      <c r="A943" s="80"/>
      <c r="B943" s="80"/>
      <c r="C943" s="80"/>
      <c r="D943" s="80"/>
      <c r="E943" s="80"/>
      <c r="F943" s="80"/>
      <c r="G943" s="80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</row>
    <row r="944" ht="15.75" customHeight="1">
      <c r="A944" s="80"/>
      <c r="B944" s="80"/>
      <c r="C944" s="80"/>
      <c r="D944" s="80"/>
      <c r="E944" s="80"/>
      <c r="F944" s="80"/>
      <c r="G944" s="80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</row>
    <row r="945" ht="15.75" customHeight="1">
      <c r="A945" s="80"/>
      <c r="B945" s="80"/>
      <c r="C945" s="80"/>
      <c r="D945" s="80"/>
      <c r="E945" s="80"/>
      <c r="F945" s="80"/>
      <c r="G945" s="80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</row>
    <row r="946" ht="15.75" customHeight="1">
      <c r="A946" s="80"/>
      <c r="B946" s="80"/>
      <c r="C946" s="80"/>
      <c r="D946" s="80"/>
      <c r="E946" s="80"/>
      <c r="F946" s="80"/>
      <c r="G946" s="80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</row>
    <row r="947" ht="15.75" customHeight="1">
      <c r="A947" s="80"/>
      <c r="B947" s="80"/>
      <c r="C947" s="80"/>
      <c r="D947" s="80"/>
      <c r="E947" s="80"/>
      <c r="F947" s="80"/>
      <c r="G947" s="80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</row>
    <row r="948" ht="15.75" customHeight="1">
      <c r="A948" s="80"/>
      <c r="B948" s="80"/>
      <c r="C948" s="80"/>
      <c r="D948" s="80"/>
      <c r="E948" s="80"/>
      <c r="F948" s="80"/>
      <c r="G948" s="80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</row>
    <row r="949" ht="15.75" customHeight="1">
      <c r="A949" s="80"/>
      <c r="B949" s="80"/>
      <c r="C949" s="80"/>
      <c r="D949" s="80"/>
      <c r="E949" s="80"/>
      <c r="F949" s="80"/>
      <c r="G949" s="80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</row>
    <row r="950" ht="15.75" customHeight="1">
      <c r="A950" s="80"/>
      <c r="B950" s="80"/>
      <c r="C950" s="80"/>
      <c r="D950" s="80"/>
      <c r="E950" s="80"/>
      <c r="F950" s="80"/>
      <c r="G950" s="80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</row>
    <row r="951" ht="15.75" customHeight="1">
      <c r="A951" s="80"/>
      <c r="B951" s="80"/>
      <c r="C951" s="80"/>
      <c r="D951" s="80"/>
      <c r="E951" s="80"/>
      <c r="F951" s="80"/>
      <c r="G951" s="80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</row>
    <row r="952" ht="15.75" customHeight="1">
      <c r="A952" s="80"/>
      <c r="B952" s="80"/>
      <c r="C952" s="80"/>
      <c r="D952" s="80"/>
      <c r="E952" s="80"/>
      <c r="F952" s="80"/>
      <c r="G952" s="80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</row>
    <row r="953" ht="15.75" customHeight="1">
      <c r="A953" s="80"/>
      <c r="B953" s="80"/>
      <c r="C953" s="80"/>
      <c r="D953" s="80"/>
      <c r="E953" s="80"/>
      <c r="F953" s="80"/>
      <c r="G953" s="80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</row>
    <row r="954" ht="15.75" customHeight="1">
      <c r="A954" s="80"/>
      <c r="B954" s="80"/>
      <c r="C954" s="80"/>
      <c r="D954" s="80"/>
      <c r="E954" s="80"/>
      <c r="F954" s="80"/>
      <c r="G954" s="80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</row>
    <row r="955" ht="15.75" customHeight="1">
      <c r="A955" s="80"/>
      <c r="B955" s="80"/>
      <c r="C955" s="80"/>
      <c r="D955" s="80"/>
      <c r="E955" s="80"/>
      <c r="F955" s="80"/>
      <c r="G955" s="80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</row>
    <row r="956" ht="15.75" customHeight="1">
      <c r="A956" s="80"/>
      <c r="B956" s="80"/>
      <c r="C956" s="80"/>
      <c r="D956" s="80"/>
      <c r="E956" s="80"/>
      <c r="F956" s="80"/>
      <c r="G956" s="80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</row>
    <row r="957" ht="15.75" customHeight="1">
      <c r="A957" s="80"/>
      <c r="B957" s="80"/>
      <c r="C957" s="80"/>
      <c r="D957" s="80"/>
      <c r="E957" s="80"/>
      <c r="F957" s="80"/>
      <c r="G957" s="80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</row>
    <row r="958" ht="15.75" customHeight="1">
      <c r="A958" s="80"/>
      <c r="B958" s="80"/>
      <c r="C958" s="80"/>
      <c r="D958" s="80"/>
      <c r="E958" s="80"/>
      <c r="F958" s="80"/>
      <c r="G958" s="80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</row>
    <row r="959" ht="15.75" customHeight="1">
      <c r="A959" s="80"/>
      <c r="B959" s="80"/>
      <c r="C959" s="80"/>
      <c r="D959" s="80"/>
      <c r="E959" s="80"/>
      <c r="F959" s="80"/>
      <c r="G959" s="80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</row>
    <row r="960" ht="15.75" customHeight="1">
      <c r="A960" s="80"/>
      <c r="B960" s="80"/>
      <c r="C960" s="80"/>
      <c r="D960" s="80"/>
      <c r="E960" s="80"/>
      <c r="F960" s="80"/>
      <c r="G960" s="80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</row>
    <row r="961" ht="15.75" customHeight="1">
      <c r="A961" s="80"/>
      <c r="B961" s="80"/>
      <c r="C961" s="80"/>
      <c r="D961" s="80"/>
      <c r="E961" s="80"/>
      <c r="F961" s="80"/>
      <c r="G961" s="80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</row>
    <row r="962" ht="15.75" customHeight="1">
      <c r="A962" s="80"/>
      <c r="B962" s="80"/>
      <c r="C962" s="80"/>
      <c r="D962" s="80"/>
      <c r="E962" s="80"/>
      <c r="F962" s="80"/>
      <c r="G962" s="80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</row>
    <row r="963" ht="15.75" customHeight="1">
      <c r="A963" s="80"/>
      <c r="B963" s="80"/>
      <c r="C963" s="80"/>
      <c r="D963" s="80"/>
      <c r="E963" s="80"/>
      <c r="F963" s="80"/>
      <c r="G963" s="80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</row>
    <row r="964" ht="15.75" customHeight="1">
      <c r="A964" s="80"/>
      <c r="B964" s="80"/>
      <c r="C964" s="80"/>
      <c r="D964" s="80"/>
      <c r="E964" s="80"/>
      <c r="F964" s="80"/>
      <c r="G964" s="80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</row>
    <row r="965" ht="15.75" customHeight="1">
      <c r="A965" s="80"/>
      <c r="B965" s="80"/>
      <c r="C965" s="80"/>
      <c r="D965" s="80"/>
      <c r="E965" s="80"/>
      <c r="F965" s="80"/>
      <c r="G965" s="80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</row>
    <row r="966" ht="15.75" customHeight="1">
      <c r="A966" s="80"/>
      <c r="B966" s="80"/>
      <c r="C966" s="80"/>
      <c r="D966" s="80"/>
      <c r="E966" s="80"/>
      <c r="F966" s="80"/>
      <c r="G966" s="80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</row>
    <row r="967" ht="15.75" customHeight="1">
      <c r="A967" s="80"/>
      <c r="B967" s="80"/>
      <c r="C967" s="80"/>
      <c r="D967" s="80"/>
      <c r="E967" s="80"/>
      <c r="F967" s="80"/>
      <c r="G967" s="80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</row>
    <row r="968" ht="15.75" customHeight="1">
      <c r="A968" s="80"/>
      <c r="B968" s="80"/>
      <c r="C968" s="80"/>
      <c r="D968" s="80"/>
      <c r="E968" s="80"/>
      <c r="F968" s="80"/>
      <c r="G968" s="80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</row>
    <row r="969" ht="15.75" customHeight="1">
      <c r="A969" s="80"/>
      <c r="B969" s="80"/>
      <c r="C969" s="80"/>
      <c r="D969" s="80"/>
      <c r="E969" s="80"/>
      <c r="F969" s="80"/>
      <c r="G969" s="80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</row>
    <row r="970" ht="15.75" customHeight="1">
      <c r="A970" s="80"/>
      <c r="B970" s="80"/>
      <c r="C970" s="80"/>
      <c r="D970" s="80"/>
      <c r="E970" s="80"/>
      <c r="F970" s="80"/>
      <c r="G970" s="80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</row>
    <row r="971" ht="15.75" customHeight="1">
      <c r="A971" s="80"/>
      <c r="B971" s="80"/>
      <c r="C971" s="80"/>
      <c r="D971" s="80"/>
      <c r="E971" s="80"/>
      <c r="F971" s="80"/>
      <c r="G971" s="80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</row>
    <row r="972" ht="15.75" customHeight="1">
      <c r="A972" s="80"/>
      <c r="B972" s="80"/>
      <c r="C972" s="80"/>
      <c r="D972" s="80"/>
      <c r="E972" s="80"/>
      <c r="F972" s="80"/>
      <c r="G972" s="80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</row>
    <row r="973" ht="15.75" customHeight="1">
      <c r="A973" s="80"/>
      <c r="B973" s="80"/>
      <c r="C973" s="80"/>
      <c r="D973" s="80"/>
      <c r="E973" s="80"/>
      <c r="F973" s="80"/>
      <c r="G973" s="80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</row>
    <row r="974" ht="15.75" customHeight="1">
      <c r="A974" s="80"/>
      <c r="B974" s="80"/>
      <c r="C974" s="80"/>
      <c r="D974" s="80"/>
      <c r="E974" s="80"/>
      <c r="F974" s="80"/>
      <c r="G974" s="80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</row>
    <row r="975" ht="15.75" customHeight="1">
      <c r="A975" s="80"/>
      <c r="B975" s="80"/>
      <c r="C975" s="80"/>
      <c r="D975" s="80"/>
      <c r="E975" s="80"/>
      <c r="F975" s="80"/>
      <c r="G975" s="80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</row>
    <row r="976" ht="15.75" customHeight="1">
      <c r="A976" s="80"/>
      <c r="B976" s="80"/>
      <c r="C976" s="80"/>
      <c r="D976" s="80"/>
      <c r="E976" s="80"/>
      <c r="F976" s="80"/>
      <c r="G976" s="80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</row>
    <row r="977" ht="15.75" customHeight="1">
      <c r="A977" s="80"/>
      <c r="B977" s="80"/>
      <c r="C977" s="80"/>
      <c r="D977" s="80"/>
      <c r="E977" s="80"/>
      <c r="F977" s="80"/>
      <c r="G977" s="80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</row>
    <row r="978" ht="15.75" customHeight="1">
      <c r="A978" s="80"/>
      <c r="B978" s="80"/>
      <c r="C978" s="80"/>
      <c r="D978" s="80"/>
      <c r="E978" s="80"/>
      <c r="F978" s="80"/>
      <c r="G978" s="80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</row>
    <row r="979" ht="15.75" customHeight="1">
      <c r="A979" s="80"/>
      <c r="B979" s="80"/>
      <c r="C979" s="80"/>
      <c r="D979" s="80"/>
      <c r="E979" s="80"/>
      <c r="F979" s="80"/>
      <c r="G979" s="80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</row>
    <row r="980" ht="15.75" customHeight="1">
      <c r="A980" s="80"/>
      <c r="B980" s="80"/>
      <c r="C980" s="80"/>
      <c r="D980" s="80"/>
      <c r="E980" s="80"/>
      <c r="F980" s="80"/>
      <c r="G980" s="80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</row>
    <row r="981" ht="15.75" customHeight="1">
      <c r="A981" s="80"/>
      <c r="B981" s="80"/>
      <c r="C981" s="80"/>
      <c r="D981" s="80"/>
      <c r="E981" s="80"/>
      <c r="F981" s="80"/>
      <c r="G981" s="80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</row>
    <row r="982" ht="15.75" customHeight="1">
      <c r="A982" s="80"/>
      <c r="B982" s="80"/>
      <c r="C982" s="80"/>
      <c r="D982" s="80"/>
      <c r="E982" s="80"/>
      <c r="F982" s="80"/>
      <c r="G982" s="80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</row>
    <row r="983" ht="15.75" customHeight="1">
      <c r="A983" s="80"/>
      <c r="B983" s="80"/>
      <c r="C983" s="80"/>
      <c r="D983" s="80"/>
      <c r="E983" s="80"/>
      <c r="F983" s="80"/>
      <c r="G983" s="80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</row>
    <row r="984" ht="15.75" customHeight="1">
      <c r="A984" s="80"/>
      <c r="B984" s="80"/>
      <c r="C984" s="80"/>
      <c r="D984" s="80"/>
      <c r="E984" s="80"/>
      <c r="F984" s="80"/>
      <c r="G984" s="80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</row>
    <row r="985" ht="15.75" customHeight="1">
      <c r="A985" s="80"/>
      <c r="B985" s="80"/>
      <c r="C985" s="80"/>
      <c r="D985" s="80"/>
      <c r="E985" s="80"/>
      <c r="F985" s="80"/>
      <c r="G985" s="80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</row>
    <row r="986" ht="15.75" customHeight="1">
      <c r="A986" s="80"/>
      <c r="B986" s="80"/>
      <c r="C986" s="80"/>
      <c r="D986" s="80"/>
      <c r="E986" s="80"/>
      <c r="F986" s="80"/>
      <c r="G986" s="80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</row>
    <row r="987" ht="15.75" customHeight="1">
      <c r="A987" s="80"/>
      <c r="B987" s="80"/>
      <c r="C987" s="80"/>
      <c r="D987" s="80"/>
      <c r="E987" s="80"/>
      <c r="F987" s="80"/>
      <c r="G987" s="80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</row>
    <row r="988" ht="15.75" customHeight="1">
      <c r="A988" s="80"/>
      <c r="B988" s="80"/>
      <c r="C988" s="80"/>
      <c r="D988" s="80"/>
      <c r="E988" s="80"/>
      <c r="F988" s="80"/>
      <c r="G988" s="80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</row>
    <row r="989" ht="15.75" customHeight="1">
      <c r="A989" s="80"/>
      <c r="B989" s="80"/>
      <c r="C989" s="80"/>
      <c r="D989" s="80"/>
      <c r="E989" s="80"/>
      <c r="F989" s="80"/>
      <c r="G989" s="80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</row>
    <row r="990" ht="15.75" customHeight="1">
      <c r="A990" s="80"/>
      <c r="B990" s="80"/>
      <c r="C990" s="80"/>
      <c r="D990" s="80"/>
      <c r="E990" s="80"/>
      <c r="F990" s="80"/>
      <c r="G990" s="80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</row>
    <row r="991" ht="15.75" customHeight="1">
      <c r="A991" s="80"/>
      <c r="B991" s="80"/>
      <c r="C991" s="80"/>
      <c r="D991" s="80"/>
      <c r="E991" s="80"/>
      <c r="F991" s="80"/>
      <c r="G991" s="80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</row>
    <row r="992" ht="15.75" customHeight="1">
      <c r="A992" s="80"/>
      <c r="B992" s="80"/>
      <c r="C992" s="80"/>
      <c r="D992" s="80"/>
      <c r="E992" s="80"/>
      <c r="F992" s="80"/>
      <c r="G992" s="80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</row>
    <row r="993" ht="15.75" customHeight="1">
      <c r="A993" s="80"/>
      <c r="B993" s="80"/>
      <c r="C993" s="80"/>
      <c r="D993" s="80"/>
      <c r="E993" s="80"/>
      <c r="F993" s="80"/>
      <c r="G993" s="80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</row>
    <row r="994" ht="15.75" customHeight="1">
      <c r="A994" s="80"/>
      <c r="B994" s="80"/>
      <c r="C994" s="80"/>
      <c r="D994" s="80"/>
      <c r="E994" s="80"/>
      <c r="F994" s="80"/>
      <c r="G994" s="80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</row>
    <row r="995" ht="15.75" customHeight="1">
      <c r="A995" s="80"/>
      <c r="B995" s="80"/>
      <c r="C995" s="80"/>
      <c r="D995" s="80"/>
      <c r="E995" s="80"/>
      <c r="F995" s="80"/>
      <c r="G995" s="80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</row>
    <row r="996" ht="15.75" customHeight="1">
      <c r="A996" s="80"/>
      <c r="B996" s="80"/>
      <c r="C996" s="80"/>
      <c r="D996" s="80"/>
      <c r="E996" s="80"/>
      <c r="F996" s="80"/>
      <c r="G996" s="80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</row>
    <row r="997" ht="15.75" customHeight="1">
      <c r="A997" s="80"/>
      <c r="B997" s="80"/>
      <c r="C997" s="80"/>
      <c r="D997" s="80"/>
      <c r="E997" s="80"/>
      <c r="F997" s="80"/>
      <c r="G997" s="80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</row>
    <row r="998" ht="15.75" customHeight="1">
      <c r="A998" s="80"/>
      <c r="B998" s="80"/>
      <c r="C998" s="80"/>
      <c r="D998" s="80"/>
      <c r="E998" s="80"/>
      <c r="F998" s="80"/>
      <c r="G998" s="80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</row>
    <row r="999" ht="15.75" customHeight="1">
      <c r="A999" s="80"/>
      <c r="B999" s="80"/>
      <c r="C999" s="80"/>
      <c r="D999" s="80"/>
      <c r="E999" s="80"/>
      <c r="F999" s="80"/>
      <c r="G999" s="80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</row>
    <row r="1000" ht="15.75" customHeight="1">
      <c r="A1000" s="80"/>
      <c r="B1000" s="80"/>
      <c r="C1000" s="80"/>
      <c r="D1000" s="80"/>
      <c r="E1000" s="80"/>
      <c r="F1000" s="80"/>
      <c r="G1000" s="80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94" t="s">
        <v>92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5" t="s">
        <v>93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94</v>
      </c>
      <c r="B4" s="96">
        <f>COUNTA(Roster!A5:A204)</f>
        <v>35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95</v>
      </c>
      <c r="B5" s="96">
        <f>COUNTIF(Roster!E5:E204,"Active")</f>
        <v>35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96</v>
      </c>
      <c r="B6" s="96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97</v>
      </c>
      <c r="B7" s="96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95" t="s">
        <v>98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99</v>
      </c>
      <c r="B10" s="97">
        <f>SUMIF(Roster!E5:E204,"Active",Roster!B5:B204)</f>
        <v>1360.44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100</v>
      </c>
      <c r="B11" s="97">
        <f>SUMIFS(Transactions!F7:F996,Transactions!D7:D996,"Income",Transactions!C7:C996,"Dues")</f>
        <v>0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101</v>
      </c>
      <c r="B12" s="97">
        <f>B10-B11</f>
        <v>1360.44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102</v>
      </c>
      <c r="B13" s="97">
        <f>Transactions!A4</f>
        <v>2109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103</v>
      </c>
      <c r="B14" s="97">
        <f>Transactions!B4</f>
        <v>2510.44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48</v>
      </c>
      <c r="B15" s="97">
        <f>Transactions!C4</f>
        <v>-401.44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104</v>
      </c>
      <c r="B16" s="97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95" t="s">
        <v>105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106</v>
      </c>
      <c r="B19" s="96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107</v>
      </c>
      <c r="B20" s="96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108</v>
      </c>
      <c r="B21" s="96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109</v>
      </c>
      <c r="B22" s="96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110</v>
      </c>
      <c r="B23" s="97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111</v>
      </c>
      <c r="B24" s="97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112</v>
      </c>
      <c r="B25" s="97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113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98" t="s">
        <v>114</v>
      </c>
      <c r="B3" s="9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0" t="s">
        <v>115</v>
      </c>
      <c r="B4" s="101" t="s">
        <v>116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2" t="s">
        <v>117</v>
      </c>
      <c r="B5" s="101" t="s">
        <v>118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03" t="s">
        <v>119</v>
      </c>
      <c r="B6" s="101" t="s">
        <v>120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04"/>
      <c r="B7" s="10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98" t="s">
        <v>121</v>
      </c>
      <c r="B8" s="99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5" t="s">
        <v>122</v>
      </c>
      <c r="B9" s="101" t="s">
        <v>123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05" t="s">
        <v>124</v>
      </c>
      <c r="B10" s="101" t="s">
        <v>125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05" t="s">
        <v>126</v>
      </c>
      <c r="B11" s="101" t="s">
        <v>127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05" t="s">
        <v>128</v>
      </c>
      <c r="B12" s="101" t="s">
        <v>129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04"/>
      <c r="B13" s="101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98" t="s">
        <v>130</v>
      </c>
      <c r="B14" s="99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05" t="s">
        <v>131</v>
      </c>
      <c r="B15" s="101" t="s">
        <v>132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05" t="s">
        <v>133</v>
      </c>
      <c r="B16" s="101" t="s">
        <v>134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05" t="s">
        <v>135</v>
      </c>
      <c r="B17" s="101" t="s">
        <v>136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5" t="s">
        <v>137</v>
      </c>
      <c r="B18" s="101" t="s">
        <v>138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04"/>
      <c r="B19" s="101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98" t="s">
        <v>139</v>
      </c>
      <c r="B20" s="99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05" t="s">
        <v>140</v>
      </c>
      <c r="B21" s="101" t="s">
        <v>141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05" t="s">
        <v>142</v>
      </c>
      <c r="B22" s="101" t="s">
        <v>143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05" t="s">
        <v>144</v>
      </c>
      <c r="B23" s="101" t="s">
        <v>145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05" t="s">
        <v>146</v>
      </c>
      <c r="B24" s="101" t="s">
        <v>147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05" t="s">
        <v>148</v>
      </c>
      <c r="B25" s="101" t="s">
        <v>149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05" t="s">
        <v>150</v>
      </c>
      <c r="B26" s="101" t="s">
        <v>151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05" t="s">
        <v>152</v>
      </c>
      <c r="B27" s="101" t="s">
        <v>153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04"/>
      <c r="B28" s="101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98" t="s">
        <v>154</v>
      </c>
      <c r="B29" s="99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05" t="s">
        <v>155</v>
      </c>
      <c r="B30" s="101" t="s">
        <v>156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05" t="s">
        <v>22</v>
      </c>
      <c r="B31" s="101" t="s">
        <v>157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05" t="s">
        <v>158</v>
      </c>
      <c r="B32" s="101" t="s">
        <v>159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05" t="s">
        <v>160</v>
      </c>
      <c r="B33" s="101" t="s">
        <v>161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05" t="s">
        <v>162</v>
      </c>
      <c r="B34" s="101" t="s">
        <v>163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06" t="s">
        <v>164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07" t="s">
        <v>165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08" t="s">
        <v>166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40</v>
      </c>
      <c r="B5" s="109" t="s">
        <v>167</v>
      </c>
      <c r="C5" s="109" t="s">
        <v>4</v>
      </c>
      <c r="D5" s="109" t="s">
        <v>5</v>
      </c>
      <c r="E5" s="109" t="s">
        <v>168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169</v>
      </c>
      <c r="B6" s="111" t="s">
        <v>170</v>
      </c>
      <c r="C6" s="112" t="s">
        <v>171</v>
      </c>
      <c r="D6" s="112" t="s">
        <v>172</v>
      </c>
      <c r="E6" s="110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0" t="s">
        <v>173</v>
      </c>
      <c r="B7" s="111" t="s">
        <v>174</v>
      </c>
      <c r="C7" s="112" t="s">
        <v>175</v>
      </c>
      <c r="D7" s="112" t="s">
        <v>172</v>
      </c>
      <c r="E7" s="110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176</v>
      </c>
      <c r="B8" s="113" t="s">
        <v>177</v>
      </c>
      <c r="C8" s="114" t="s">
        <v>175</v>
      </c>
      <c r="D8" s="114" t="s">
        <v>172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178</v>
      </c>
      <c r="B9" s="113" t="s">
        <v>179</v>
      </c>
      <c r="C9" s="114" t="s">
        <v>175</v>
      </c>
      <c r="D9" s="114" t="s">
        <v>172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0" t="s">
        <v>180</v>
      </c>
      <c r="B10" s="111" t="s">
        <v>181</v>
      </c>
      <c r="C10" s="112" t="s">
        <v>175</v>
      </c>
      <c r="D10" s="112" t="s">
        <v>172</v>
      </c>
      <c r="E10" s="110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5" t="s">
        <v>182</v>
      </c>
      <c r="B11" s="116" t="s">
        <v>183</v>
      </c>
      <c r="C11" s="112" t="s">
        <v>175</v>
      </c>
      <c r="D11" s="112" t="s">
        <v>172</v>
      </c>
      <c r="E11" s="115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7" t="s">
        <v>184</v>
      </c>
      <c r="B12" s="118" t="s">
        <v>185</v>
      </c>
      <c r="C12" s="112" t="s">
        <v>175</v>
      </c>
      <c r="D12" s="112" t="s">
        <v>172</v>
      </c>
      <c r="E12" s="117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5" t="s">
        <v>186</v>
      </c>
      <c r="B13" s="116" t="s">
        <v>187</v>
      </c>
      <c r="C13" s="112" t="s">
        <v>175</v>
      </c>
      <c r="D13" s="112" t="s">
        <v>172</v>
      </c>
      <c r="E13" s="115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17" t="s">
        <v>188</v>
      </c>
      <c r="B14" s="118" t="s">
        <v>189</v>
      </c>
      <c r="C14" s="112" t="s">
        <v>175</v>
      </c>
      <c r="D14" s="112" t="s">
        <v>172</v>
      </c>
      <c r="E14" s="117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5" t="s">
        <v>62</v>
      </c>
      <c r="B15" s="119">
        <v>1762.0</v>
      </c>
      <c r="C15" s="112" t="s">
        <v>190</v>
      </c>
      <c r="D15" s="112" t="s">
        <v>172</v>
      </c>
      <c r="E15" s="115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7" t="s">
        <v>191</v>
      </c>
      <c r="B16" s="118" t="s">
        <v>192</v>
      </c>
      <c r="C16" s="112" t="s">
        <v>171</v>
      </c>
      <c r="D16" s="112" t="s">
        <v>172</v>
      </c>
      <c r="E16" s="117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5" t="s">
        <v>193</v>
      </c>
      <c r="B17" s="119" t="s">
        <v>194</v>
      </c>
      <c r="C17" s="112" t="s">
        <v>175</v>
      </c>
      <c r="D17" s="112" t="s">
        <v>172</v>
      </c>
      <c r="E17" s="115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7" t="s">
        <v>195</v>
      </c>
      <c r="B18" s="118" t="s">
        <v>196</v>
      </c>
      <c r="C18" s="112" t="s">
        <v>175</v>
      </c>
      <c r="D18" s="112" t="s">
        <v>172</v>
      </c>
      <c r="E18" s="117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5" t="s">
        <v>197</v>
      </c>
      <c r="B19" s="116" t="s">
        <v>198</v>
      </c>
      <c r="C19" s="112" t="s">
        <v>175</v>
      </c>
      <c r="D19" s="112" t="s">
        <v>172</v>
      </c>
      <c r="E19" s="115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17" t="s">
        <v>199</v>
      </c>
      <c r="B20" s="118" t="s">
        <v>200</v>
      </c>
      <c r="C20" s="112" t="s">
        <v>175</v>
      </c>
      <c r="D20" s="112" t="s">
        <v>172</v>
      </c>
      <c r="E20" s="117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5" t="s">
        <v>201</v>
      </c>
      <c r="B21" s="116" t="s">
        <v>202</v>
      </c>
      <c r="C21" s="112" t="s">
        <v>171</v>
      </c>
      <c r="D21" s="112" t="s">
        <v>172</v>
      </c>
      <c r="E21" s="115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7" t="s">
        <v>203</v>
      </c>
      <c r="B22" s="118" t="s">
        <v>204</v>
      </c>
      <c r="C22" s="112" t="s">
        <v>175</v>
      </c>
      <c r="D22" s="112" t="s">
        <v>172</v>
      </c>
      <c r="E22" s="117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5" t="s">
        <v>205</v>
      </c>
      <c r="B23" s="116" t="s">
        <v>206</v>
      </c>
      <c r="C23" s="112" t="s">
        <v>175</v>
      </c>
      <c r="D23" s="112" t="s">
        <v>172</v>
      </c>
      <c r="E23" s="11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7" t="s">
        <v>207</v>
      </c>
      <c r="B24" s="118" t="s">
        <v>208</v>
      </c>
      <c r="C24" s="112" t="s">
        <v>175</v>
      </c>
      <c r="D24" s="112" t="s">
        <v>172</v>
      </c>
      <c r="E24" s="117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5" t="s">
        <v>209</v>
      </c>
      <c r="B25" s="116" t="s">
        <v>210</v>
      </c>
      <c r="C25" s="112" t="s">
        <v>175</v>
      </c>
      <c r="D25" s="112" t="s">
        <v>172</v>
      </c>
      <c r="E25" s="11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5" t="s">
        <v>211</v>
      </c>
      <c r="B26" s="116" t="s">
        <v>212</v>
      </c>
      <c r="C26" s="112" t="s">
        <v>175</v>
      </c>
      <c r="D26" s="112" t="s">
        <v>172</v>
      </c>
      <c r="E26" s="117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7" t="s">
        <v>213</v>
      </c>
      <c r="B27" s="118" t="s">
        <v>214</v>
      </c>
      <c r="C27" s="112" t="s">
        <v>175</v>
      </c>
      <c r="D27" s="112" t="s">
        <v>172</v>
      </c>
      <c r="E27" s="11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5" t="s">
        <v>215</v>
      </c>
      <c r="B28" s="116" t="s">
        <v>216</v>
      </c>
      <c r="C28" s="112" t="s">
        <v>175</v>
      </c>
      <c r="D28" s="112" t="s">
        <v>172</v>
      </c>
      <c r="E28" s="117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17" t="s">
        <v>217</v>
      </c>
      <c r="B29" s="118" t="s">
        <v>218</v>
      </c>
      <c r="C29" s="112" t="s">
        <v>175</v>
      </c>
      <c r="D29" s="112" t="s">
        <v>172</v>
      </c>
      <c r="E29" s="115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5" t="s">
        <v>219</v>
      </c>
      <c r="B30" s="116" t="s">
        <v>220</v>
      </c>
      <c r="C30" s="112" t="s">
        <v>175</v>
      </c>
      <c r="D30" s="112" t="s">
        <v>172</v>
      </c>
      <c r="E30" s="117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7" t="s">
        <v>221</v>
      </c>
      <c r="B31" s="118" t="s">
        <v>222</v>
      </c>
      <c r="C31" s="112" t="s">
        <v>175</v>
      </c>
      <c r="D31" s="112" t="s">
        <v>172</v>
      </c>
      <c r="E31" s="115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5" t="s">
        <v>223</v>
      </c>
      <c r="B32" s="116" t="s">
        <v>224</v>
      </c>
      <c r="C32" s="112" t="s">
        <v>175</v>
      </c>
      <c r="D32" s="112" t="s">
        <v>172</v>
      </c>
      <c r="E32" s="117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7" t="s">
        <v>225</v>
      </c>
      <c r="B33" s="118" t="s">
        <v>226</v>
      </c>
      <c r="C33" s="112" t="s">
        <v>175</v>
      </c>
      <c r="D33" s="112" t="s">
        <v>172</v>
      </c>
      <c r="E33" s="11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5" t="s">
        <v>227</v>
      </c>
      <c r="B34" s="116" t="s">
        <v>228</v>
      </c>
      <c r="C34" s="112" t="s">
        <v>175</v>
      </c>
      <c r="D34" s="112" t="s">
        <v>172</v>
      </c>
      <c r="E34" s="117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17" t="s">
        <v>229</v>
      </c>
      <c r="B35" s="118" t="s">
        <v>230</v>
      </c>
      <c r="C35" s="112" t="s">
        <v>175</v>
      </c>
      <c r="D35" s="112" t="s">
        <v>172</v>
      </c>
      <c r="E35" s="11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15" t="s">
        <v>231</v>
      </c>
      <c r="B36" s="116" t="s">
        <v>232</v>
      </c>
      <c r="C36" s="112" t="s">
        <v>175</v>
      </c>
      <c r="D36" s="112" t="s">
        <v>172</v>
      </c>
      <c r="E36" s="117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17" t="s">
        <v>233</v>
      </c>
      <c r="B37" s="118" t="s">
        <v>234</v>
      </c>
      <c r="C37" s="112" t="s">
        <v>235</v>
      </c>
      <c r="D37" s="112" t="s">
        <v>172</v>
      </c>
      <c r="E37" s="11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15" t="s">
        <v>236</v>
      </c>
      <c r="B38" s="116" t="s">
        <v>237</v>
      </c>
      <c r="C38" s="112" t="s">
        <v>235</v>
      </c>
      <c r="D38" s="112" t="s">
        <v>172</v>
      </c>
      <c r="E38" s="11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17" t="s">
        <v>238</v>
      </c>
      <c r="B39" s="118" t="s">
        <v>239</v>
      </c>
      <c r="C39" s="112" t="s">
        <v>235</v>
      </c>
      <c r="D39" s="112" t="s">
        <v>172</v>
      </c>
      <c r="E39" s="11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15" t="s">
        <v>240</v>
      </c>
      <c r="B40" s="116" t="s">
        <v>241</v>
      </c>
      <c r="C40" s="120" t="s">
        <v>242</v>
      </c>
      <c r="D40" s="112" t="s">
        <v>172</v>
      </c>
      <c r="E40" s="117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15"/>
      <c r="B41" s="116"/>
      <c r="C41" s="121"/>
      <c r="D41" s="121"/>
      <c r="E41" s="11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17"/>
      <c r="B42" s="118"/>
      <c r="C42" s="122"/>
      <c r="D42" s="122"/>
      <c r="E42" s="117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15"/>
      <c r="B43" s="116"/>
      <c r="C43" s="121"/>
      <c r="D43" s="121"/>
      <c r="E43" s="115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17"/>
      <c r="B44" s="118"/>
      <c r="C44" s="122"/>
      <c r="D44" s="122"/>
      <c r="E44" s="117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15"/>
      <c r="B45" s="116"/>
      <c r="C45" s="121"/>
      <c r="D45" s="121"/>
      <c r="E45" s="11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17"/>
      <c r="B46" s="118"/>
      <c r="C46" s="122"/>
      <c r="D46" s="122"/>
      <c r="E46" s="117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15"/>
      <c r="B47" s="116"/>
      <c r="C47" s="121"/>
      <c r="D47" s="121"/>
      <c r="E47" s="11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17"/>
      <c r="B48" s="118"/>
      <c r="C48" s="122"/>
      <c r="D48" s="122"/>
      <c r="E48" s="117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15"/>
      <c r="B49" s="116"/>
      <c r="C49" s="121"/>
      <c r="D49" s="121"/>
      <c r="E49" s="115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17"/>
      <c r="B50" s="118"/>
      <c r="C50" s="122"/>
      <c r="D50" s="122"/>
      <c r="E50" s="117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15"/>
      <c r="B51" s="116"/>
      <c r="C51" s="121"/>
      <c r="D51" s="121"/>
      <c r="E51" s="115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17"/>
      <c r="B52" s="118"/>
      <c r="C52" s="122"/>
      <c r="D52" s="122"/>
      <c r="E52" s="117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15"/>
      <c r="B53" s="116"/>
      <c r="C53" s="121"/>
      <c r="D53" s="121"/>
      <c r="E53" s="11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17"/>
      <c r="B54" s="118"/>
      <c r="C54" s="122"/>
      <c r="D54" s="122"/>
      <c r="E54" s="117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15"/>
      <c r="B55" s="116"/>
      <c r="C55" s="121"/>
      <c r="D55" s="121"/>
      <c r="E55" s="11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17"/>
      <c r="B56" s="118"/>
      <c r="C56" s="122"/>
      <c r="D56" s="122"/>
      <c r="E56" s="117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15"/>
      <c r="B57" s="116"/>
      <c r="C57" s="121"/>
      <c r="D57" s="121"/>
      <c r="E57" s="115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17"/>
      <c r="B58" s="118"/>
      <c r="C58" s="122"/>
      <c r="D58" s="122"/>
      <c r="E58" s="117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15"/>
      <c r="B59" s="116"/>
      <c r="C59" s="121"/>
      <c r="D59" s="121"/>
      <c r="E59" s="11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17"/>
      <c r="B60" s="118"/>
      <c r="C60" s="122"/>
      <c r="D60" s="122"/>
      <c r="E60" s="117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15"/>
      <c r="B61" s="116"/>
      <c r="C61" s="121"/>
      <c r="D61" s="121"/>
      <c r="E61" s="115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17"/>
      <c r="B62" s="118"/>
      <c r="C62" s="122"/>
      <c r="D62" s="122"/>
      <c r="E62" s="117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15"/>
      <c r="B63" s="116"/>
      <c r="C63" s="121"/>
      <c r="D63" s="121"/>
      <c r="E63" s="115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17"/>
      <c r="B64" s="118"/>
      <c r="C64" s="122"/>
      <c r="D64" s="122"/>
      <c r="E64" s="117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15"/>
      <c r="B65" s="116"/>
      <c r="C65" s="121"/>
      <c r="D65" s="121"/>
      <c r="E65" s="115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17"/>
      <c r="B66" s="118"/>
      <c r="C66" s="122"/>
      <c r="D66" s="122"/>
      <c r="E66" s="117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15"/>
      <c r="B67" s="116"/>
      <c r="C67" s="121"/>
      <c r="D67" s="121"/>
      <c r="E67" s="115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17"/>
      <c r="B68" s="118"/>
      <c r="C68" s="122"/>
      <c r="D68" s="122"/>
      <c r="E68" s="117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15"/>
      <c r="B69" s="116"/>
      <c r="C69" s="121"/>
      <c r="D69" s="121"/>
      <c r="E69" s="115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17"/>
      <c r="B70" s="118"/>
      <c r="C70" s="122"/>
      <c r="D70" s="122"/>
      <c r="E70" s="117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15"/>
      <c r="B71" s="116"/>
      <c r="C71" s="121"/>
      <c r="D71" s="121"/>
      <c r="E71" s="115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17"/>
      <c r="B72" s="118"/>
      <c r="C72" s="122"/>
      <c r="D72" s="122"/>
      <c r="E72" s="117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15"/>
      <c r="B73" s="116"/>
      <c r="C73" s="121"/>
      <c r="D73" s="121"/>
      <c r="E73" s="115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17"/>
      <c r="B74" s="118"/>
      <c r="C74" s="122"/>
      <c r="D74" s="122"/>
      <c r="E74" s="117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15"/>
      <c r="B75" s="116"/>
      <c r="C75" s="121"/>
      <c r="D75" s="121"/>
      <c r="E75" s="115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17"/>
      <c r="B76" s="118"/>
      <c r="C76" s="122"/>
      <c r="D76" s="122"/>
      <c r="E76" s="117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15"/>
      <c r="B77" s="116"/>
      <c r="C77" s="121"/>
      <c r="D77" s="121"/>
      <c r="E77" s="115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17"/>
      <c r="B78" s="118"/>
      <c r="C78" s="122"/>
      <c r="D78" s="122"/>
      <c r="E78" s="117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15"/>
      <c r="B79" s="116"/>
      <c r="C79" s="121"/>
      <c r="D79" s="121"/>
      <c r="E79" s="115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17"/>
      <c r="B80" s="118"/>
      <c r="C80" s="122"/>
      <c r="D80" s="122"/>
      <c r="E80" s="117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15"/>
      <c r="B81" s="116"/>
      <c r="C81" s="121"/>
      <c r="D81" s="121"/>
      <c r="E81" s="115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17"/>
      <c r="B82" s="118"/>
      <c r="C82" s="122"/>
      <c r="D82" s="122"/>
      <c r="E82" s="117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15"/>
      <c r="B83" s="116"/>
      <c r="C83" s="121"/>
      <c r="D83" s="121"/>
      <c r="E83" s="115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17"/>
      <c r="B84" s="118"/>
      <c r="C84" s="122"/>
      <c r="D84" s="122"/>
      <c r="E84" s="117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15"/>
      <c r="B85" s="116"/>
      <c r="C85" s="121"/>
      <c r="D85" s="121"/>
      <c r="E85" s="115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17"/>
      <c r="B86" s="118"/>
      <c r="C86" s="122"/>
      <c r="D86" s="122"/>
      <c r="E86" s="117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15"/>
      <c r="B87" s="116"/>
      <c r="C87" s="121"/>
      <c r="D87" s="121"/>
      <c r="E87" s="115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17"/>
      <c r="B88" s="118"/>
      <c r="C88" s="122"/>
      <c r="D88" s="122"/>
      <c r="E88" s="117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15"/>
      <c r="B89" s="116"/>
      <c r="C89" s="121"/>
      <c r="D89" s="121"/>
      <c r="E89" s="115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17"/>
      <c r="B90" s="118"/>
      <c r="C90" s="122"/>
      <c r="D90" s="122"/>
      <c r="E90" s="117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15"/>
      <c r="B91" s="116"/>
      <c r="C91" s="121"/>
      <c r="D91" s="121"/>
      <c r="E91" s="115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17"/>
      <c r="B92" s="118"/>
      <c r="C92" s="122"/>
      <c r="D92" s="122"/>
      <c r="E92" s="117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15"/>
      <c r="B93" s="116"/>
      <c r="C93" s="121"/>
      <c r="D93" s="121"/>
      <c r="E93" s="115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17"/>
      <c r="B94" s="118"/>
      <c r="C94" s="122"/>
      <c r="D94" s="122"/>
      <c r="E94" s="117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15"/>
      <c r="B95" s="116"/>
      <c r="C95" s="121"/>
      <c r="D95" s="121"/>
      <c r="E95" s="115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17"/>
      <c r="B96" s="118"/>
      <c r="C96" s="122"/>
      <c r="D96" s="122"/>
      <c r="E96" s="117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15"/>
      <c r="B97" s="116"/>
      <c r="C97" s="121"/>
      <c r="D97" s="121"/>
      <c r="E97" s="115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17"/>
      <c r="B98" s="118"/>
      <c r="C98" s="122"/>
      <c r="D98" s="122"/>
      <c r="E98" s="117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15"/>
      <c r="B99" s="116"/>
      <c r="C99" s="121"/>
      <c r="D99" s="121"/>
      <c r="E99" s="115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17"/>
      <c r="B100" s="118"/>
      <c r="C100" s="122"/>
      <c r="D100" s="122"/>
      <c r="E100" s="117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15"/>
      <c r="B101" s="116"/>
      <c r="C101" s="121"/>
      <c r="D101" s="121"/>
      <c r="E101" s="115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17"/>
      <c r="B102" s="118"/>
      <c r="C102" s="122"/>
      <c r="D102" s="122"/>
      <c r="E102" s="117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15"/>
      <c r="B103" s="116"/>
      <c r="C103" s="121"/>
      <c r="D103" s="121"/>
      <c r="E103" s="115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17"/>
      <c r="B104" s="118"/>
      <c r="C104" s="122"/>
      <c r="D104" s="122"/>
      <c r="E104" s="117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15"/>
      <c r="B105" s="116"/>
      <c r="C105" s="121"/>
      <c r="D105" s="121"/>
      <c r="E105" s="115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23" t="s">
        <v>243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24" t="s">
        <v>244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25" t="s">
        <v>245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26" t="s">
        <v>17</v>
      </c>
      <c r="B4" s="126" t="s">
        <v>246</v>
      </c>
      <c r="C4" s="126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27" t="s">
        <v>32</v>
      </c>
      <c r="B5" s="128" t="s">
        <v>247</v>
      </c>
      <c r="C5" s="129" t="s">
        <v>248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0" t="s">
        <v>23</v>
      </c>
      <c r="B6" s="131" t="s">
        <v>90</v>
      </c>
      <c r="C6" s="132" t="s">
        <v>249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33"/>
      <c r="B7" s="18"/>
      <c r="C7" s="13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34"/>
      <c r="B8" s="20"/>
      <c r="C8" s="13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33"/>
      <c r="B9" s="18"/>
      <c r="C9" s="13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34"/>
      <c r="B10" s="20"/>
      <c r="C10" s="13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33"/>
      <c r="B11" s="18"/>
      <c r="C11" s="13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34"/>
      <c r="B12" s="20"/>
      <c r="C12" s="13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33"/>
      <c r="B13" s="18"/>
      <c r="C13" s="13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34"/>
      <c r="B14" s="20"/>
      <c r="C14" s="13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