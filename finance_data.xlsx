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<sst xmlns="http://schemas.openxmlformats.org/spreadsheetml/2006/main" count="448" uniqueCount="256">
  <si>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</si>
  <si>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</si>
  <si>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</si>
  <si>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</si>
  <si>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</si>
  <si>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</si>
  <si>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</si>
  <si>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</si>
  <si>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</si>
  <si>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</si>
  <si>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</si>
  <si>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</si>
  <si>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</si>
  <si>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</si>
  <si>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</si>
  <si>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</si>
  <si>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</si>
  <si>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</si>
  <si>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</si>
  <si>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</si>
  <si>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</si>
  <si>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</si>
  <si>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</si>
  <si>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</si>
  <si>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</si>
  <si>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</si>
  <si>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</si>
  <si>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</si>
  <si>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</si>
  <si>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</si>
  <si>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</si>
  <si>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</si>
  <si>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</si>
  <si>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</si>
  <si>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</si>
  <si>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</si>
  <si>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</si>
  <si>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</si>
  <si>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</si>
  <si>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</si>
  <si>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</si>
  <si>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</si>
  <si>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</si>
  <si>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</si>
  <si>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</si>
  <si>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</si>
  <si>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</si>
  <si>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</si>
  <si>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</si>
  <si>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</si>
  <si>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</si>
  <si>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</si>
  <si>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</si>
  <si>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</si>
  <si>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</si>
  <si>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</si>
  <si>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</si>
  <si>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</si>
  <si>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</si>
  <si>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</si>
  <si>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</si>
  <si>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</si>
  <si>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</si>
  <si>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</si>
  <si>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</si>
  <si>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</si>
  <si>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</si>
  <si>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</si>
  <si>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</si>
  <si>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</si>
  <si>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</si>
  <si>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</si>
  <si>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</si>
  <si>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</si>
  <si>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</si>
  <si>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</si>
  <si>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</si>
  <si>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City Practice Fields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</si>
  <si>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</si>
  <si>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</si>
  <si>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</si>
  <si>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</si>
  <si>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</si>
  <si>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</si>
  <si>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</si>
  <si>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</si>
  <si>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</si>
  <si>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</si>
  <si>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</si>
  <si>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</si>
  <si>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</si>
  <si>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</si>
  <si>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</si>
  <si>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</si>
  <si>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</si>
  <si>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</si>
  <si>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</si>
  <si>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</si>
  <si>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</si>
  <si>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</si>
  <si>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</si>
  <si>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</si>
  <si>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</si>
  <si>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</si>
  <si>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</si>
  <si>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</si>
  <si>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</si>
  <si>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</si>
  <si>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</si>
  <si>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</si>
  <si>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</si>
  <si>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</si>
  <si>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</si>
  <si>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</si>
  <si>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</si>
  <si>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</si>
  <si>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</si>
  <si>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</si>
  <si>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</si>
  <si>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</si>
  <si>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</si>
  <si>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</si>
  <si>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</si>
  <si>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</si>
  <si>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</si>
  <si>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</si>
  <si>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</si>
  <si>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</si>
  <si>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</si>
  <si>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</si>
  <si>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</si>
  <si>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</si>
  <si>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</si>
  <si>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</si>
  <si>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</si>
  <si>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</si>
  <si>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</si>
  <si>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</si>
  <si>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</si>
  <si>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</si>
  <si>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</si>
  <si>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</si>
  <si>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</si>
  <si>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</si>
  <si>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</si>
  <si>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</si>
  <si>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</si>
  <si>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</si>
  <si>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</si>
  <si>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</si>
  <si>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</si>
  <si>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</si>
  <si>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</si>
  <si>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</si>
  <si>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</si>
  <si>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</si>
  <si>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</si>
  <si>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</si>
  <si>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</si>
  <si>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</si>
  <si>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</si>
  <si>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</si>
  <si>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</si>
  <si>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</si>
  <si>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</si>
  <si>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</si>
  <si>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</si>
  <si>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</si>
  <si>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</si>
  <si>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</si>
  <si>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</si>
  <si>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</si>
  <si>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</si>
  <si>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</si>
  <si>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</si>
  <si>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</si>
  <si>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</si>
  <si>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</si>
  <si>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</si>
  <si>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</si>
  <si>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</si>
  <si>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</si>
  <si>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</si>
  <si>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</si>
  <si>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</si>
  <si>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</si>
  <si>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</si>
  <si>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</si>
  <si>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</si>
  <si>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</si>
  <si>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</si>
  <si>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</si>
  <si>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</si>
  <si>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</si>
  <si>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</si>
  <si>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</si>
  <si>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</si>
  <si>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NJ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</si>
  <si>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</si>
  <si>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</si>
  <si>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</si>
  <si>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</si>
  <si>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</si>
  <si>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</si>
  <si>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</si>
  <si>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</si>
  <si>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</si>
  <si>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AK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</si>
  <si>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</si>
  <si>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</si>
  <si>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</si>
  <si>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</si>
  <si>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</si>
  <si>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</si>
  <si>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</si>
  <si>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</si>
  <si>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</si>
  <si>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</si>
  <si>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</si>
  <si>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</si>
  <si>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</si>
  <si>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</si>
  <si>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</si>
  <si>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</si>
  <si>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</si>
  <si>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</si>
  <si>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</si>
  <si>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</si>
  <si>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</si>
  <si>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</si>
  <si>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</si>
  <si>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</si>
  <si>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</si>
  <si>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</si>
  <si>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</si>
  <si>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</si>
  <si>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</si>
  <si>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</si>
  <si>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</si>
  <si>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</si>
  <si>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</si>
  <si>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</si>
  <si>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</si>
  <si>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</si>
  <si>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Nick Blair</t>
  </si>
  <si>
    <t>NB</t>
  </si>
  <si>
    <t>Support</t>
  </si>
  <si>
    <t>Lily Nguyen</t>
  </si>
  <si>
    <t>LN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</si>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</sst>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4" fillId="3" fontId="5" numFmtId="0" xfId="0" applyAlignment="1" applyBorder="1" applyFont="1">
      <alignment horizontal="left" readingOrder="0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readingOrder="0" vertical="center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6" numFmtId="167" xfId="0" applyAlignment="1" applyBorder="1" applyFont="1" applyNumberFormat="1">
      <alignment horizontal="right" readingOrder="0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3" fontId="5" numFmtId="0" xfId="0" applyAlignment="1" applyBorder="1" applyFont="1">
      <alignment readingOrder="0"/>
    </xf>
    <xf borderId="13" fillId="3" fontId="6" numFmtId="167" xfId="0" applyAlignment="1" applyBorder="1" applyFont="1" applyNumberFormat="1">
      <alignment horizontal="right"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17" numFmtId="0" xfId="0" applyAlignment="1" applyBorder="1" applyFont="1">
      <alignment readingOrder="0"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left" readingOrder="0" vertical="center"/>
    </xf>
    <xf borderId="13" fillId="17" fontId="21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readingOrder="0" vertical="center"/>
    </xf>
    <xf borderId="13" fillId="5" fontId="5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6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7" t="str">
        <f>'Access Codes'!A6</f>
        <v>At</v>
      </c>
      <c r="B5" s="8">
        <f t="array" ref="B5">IFERROR(INDEX('Player Balances'!$B$7:$B$206,MATCH(A5,'Player Balances'!$A$7:$A$206,0)),"")</f>
        <v>106.8223993</v>
      </c>
      <c r="C5" s="7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9" t="str">
        <f>'Access Codes'!C6</f>
        <v>Captain</v>
      </c>
      <c r="E5" s="7" t="str">
        <f>'Access Codes'!D6</f>
        <v>Active</v>
      </c>
      <c r="F5" s="7"/>
      <c r="G5" s="7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tr">
        <f>'Access Codes'!A7</f>
        <v>Alex Warrington</v>
      </c>
      <c r="B6" s="8">
        <f t="array" ref="B6">IFERROR(INDEX('Player Balances'!$B$7:$B$206,MATCH(A6,'Player Balances'!$A$7:$A$206,0)),"")</f>
        <v>68.74906593</v>
      </c>
      <c r="C6" s="7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9" t="str">
        <f>'Access Codes'!C7</f>
        <v>Player</v>
      </c>
      <c r="E6" s="7" t="str">
        <f>'Access Codes'!D7</f>
        <v>Active</v>
      </c>
      <c r="F6" s="7"/>
      <c r="G6" s="7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tr">
        <f>'Access Codes'!A8</f>
        <v>Chris Wohl</v>
      </c>
      <c r="B7" s="8">
        <f t="array" ref="B7">IFERROR(INDEX('Player Balances'!$B$7:$B$206,MATCH(A7,'Player Balances'!$A$7:$A$206,0)),"")</f>
        <v>68.74906593</v>
      </c>
      <c r="C7" s="7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10" t="str">
        <f>'Access Codes'!C8</f>
        <v>Player</v>
      </c>
      <c r="E7" s="7" t="str">
        <f>'Access Codes'!D8</f>
        <v>Active</v>
      </c>
      <c r="F7" s="7" t="s">
        <v>8</v>
      </c>
      <c r="G7" s="7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tr">
        <f>'Access Codes'!A9</f>
        <v>Darra Reppermund</v>
      </c>
      <c r="B8" s="8">
        <f t="array" ref="B8">IFERROR(INDEX('Player Balances'!$B$7:$B$206,MATCH(A8,'Player Balances'!$A$7:$A$206,0)),"")</f>
        <v>68.74906593</v>
      </c>
      <c r="C8" s="7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10" t="str">
        <f>'Access Codes'!C9</f>
        <v>Player</v>
      </c>
      <c r="E8" s="7" t="str">
        <f>'Access Codes'!D9</f>
        <v>Active</v>
      </c>
      <c r="F8" s="7"/>
      <c r="G8" s="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tr">
        <f>'Access Codes'!A10</f>
        <v>Dylan Best</v>
      </c>
      <c r="B9" s="8">
        <f t="array" ref="B9">IFERROR(INDEX('Player Balances'!$B$7:$B$206,MATCH(A9,'Player Balances'!$A$7:$A$206,0)),"")</f>
        <v>106.8223993</v>
      </c>
      <c r="C9" s="7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9" t="str">
        <f>'Access Codes'!C10</f>
        <v>Player</v>
      </c>
      <c r="E9" s="7" t="str">
        <f>'Access Codes'!D10</f>
        <v>Active</v>
      </c>
      <c r="F9" s="7"/>
      <c r="G9" s="7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1" t="str">
        <f>'Access Codes'!A11</f>
        <v>Griffin O'Neal-Freeman</v>
      </c>
      <c r="B10" s="12">
        <f t="array" ref="B10">IFERROR(INDEX('Player Balances'!$B$7:$B$206,MATCH(A10,'Player Balances'!$A$7:$A$206,0)),"")</f>
        <v>68.74906593</v>
      </c>
      <c r="C10" s="11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9" t="str">
        <f>'Access Codes'!C11</f>
        <v>Player</v>
      </c>
      <c r="E10" s="11" t="str">
        <f>'Access Codes'!D11</f>
        <v>Active</v>
      </c>
      <c r="F10" s="11"/>
      <c r="G10" s="1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1" t="str">
        <f>'Access Codes'!A12</f>
        <v>Haley Young</v>
      </c>
      <c r="B11" s="12">
        <f t="array" ref="B11">IFERROR(INDEX('Player Balances'!$B$7:$B$206,MATCH(A11,'Player Balances'!$A$7:$A$206,0)),"")</f>
        <v>68.74906593</v>
      </c>
      <c r="C11" s="11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9" t="str">
        <f>'Access Codes'!C12</f>
        <v>Player</v>
      </c>
      <c r="E11" s="11" t="str">
        <f>'Access Codes'!D12</f>
        <v>Active</v>
      </c>
      <c r="F11" s="11"/>
      <c r="G11" s="11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tr">
        <f>'Access Codes'!A13</f>
        <v>Harry Park</v>
      </c>
      <c r="B12" s="12">
        <f t="array" ref="B12">IFERROR(INDEX('Player Balances'!$B$7:$B$206,MATCH(A12,'Player Balances'!$A$7:$A$206,0)),"")</f>
        <v>68.74906593</v>
      </c>
      <c r="C12" s="11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9" t="str">
        <f>'Access Codes'!C13</f>
        <v>Player</v>
      </c>
      <c r="E12" s="11" t="str">
        <f>'Access Codes'!D13</f>
        <v>Active</v>
      </c>
      <c r="F12" s="11"/>
      <c r="G12" s="11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 t="str">
        <f>'Access Codes'!A14</f>
        <v>Ian Piper</v>
      </c>
      <c r="B13" s="12">
        <f t="array" ref="B13">IFERROR(INDEX('Player Balances'!$B$7:$B$206,MATCH(A13,'Player Balances'!$A$7:$A$206,0)),"")</f>
        <v>35.89192308</v>
      </c>
      <c r="C13" s="11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9" t="str">
        <f>'Access Codes'!C14</f>
        <v>Player</v>
      </c>
      <c r="E13" s="11" t="str">
        <f>'Access Codes'!D14</f>
        <v>Active</v>
      </c>
      <c r="F13" s="11"/>
      <c r="G13" s="1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 t="str">
        <f>'Access Codes'!A15</f>
        <v>Jake Murray</v>
      </c>
      <c r="B14" s="12">
        <f t="array" ref="B14">IFERROR(INDEX('Player Balances'!$B$7:$B$206,MATCH(A14,'Player Balances'!$A$7:$A$206,0)),"")</f>
        <v>106.8223993</v>
      </c>
      <c r="C14" s="11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9" t="str">
        <f>'Access Codes'!C15</f>
        <v>Treasurer</v>
      </c>
      <c r="E14" s="11" t="str">
        <f>'Access Codes'!D15</f>
        <v>Active</v>
      </c>
      <c r="F14" s="11"/>
      <c r="G14" s="1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 t="str">
        <f>'Access Codes'!A16</f>
        <v>Jenna Nold</v>
      </c>
      <c r="B15" s="12">
        <f t="array" ref="B15">IFERROR(INDEX('Player Balances'!$B$7:$B$206,MATCH(A15,'Player Balances'!$A$7:$A$206,0)),"")</f>
        <v>68.74906593</v>
      </c>
      <c r="C15" s="11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9" t="str">
        <f>'Access Codes'!C16</f>
        <v>Captain</v>
      </c>
      <c r="E15" s="11" t="str">
        <f>'Access Codes'!D16</f>
        <v>Active</v>
      </c>
      <c r="F15" s="11"/>
      <c r="G15" s="11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 t="str">
        <f>'Access Codes'!A17</f>
        <v>Jimmy Towle</v>
      </c>
      <c r="B16" s="12">
        <f t="array" ref="B16">IFERROR(INDEX('Player Balances'!$B$7:$B$206,MATCH(A16,'Player Balances'!$A$7:$A$206,0)),"")</f>
        <v>28.75</v>
      </c>
      <c r="C16" s="11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9" t="str">
        <f>'Access Codes'!C17</f>
        <v>Player</v>
      </c>
      <c r="E16" s="11" t="str">
        <f>'Access Codes'!D17</f>
        <v>Active</v>
      </c>
      <c r="F16" s="11"/>
      <c r="G16" s="11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 t="str">
        <f>'Access Codes'!A18</f>
        <v>Kailey Rugani</v>
      </c>
      <c r="B17" s="12">
        <f t="array" ref="B17">IFERROR(INDEX('Player Balances'!$B$7:$B$206,MATCH(A17,'Player Balances'!$A$7:$A$206,0)),"")</f>
        <v>68.74906593</v>
      </c>
      <c r="C17" s="11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9" t="str">
        <f>'Access Codes'!C18</f>
        <v>Player</v>
      </c>
      <c r="E17" s="11" t="str">
        <f>'Access Codes'!D18</f>
        <v>Active</v>
      </c>
      <c r="F17" s="11"/>
      <c r="G17" s="11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 t="str">
        <f>'Access Codes'!A19</f>
        <v>Kasey Schock</v>
      </c>
      <c r="B18" s="12">
        <f t="array" ref="B18">IFERROR(INDEX('Player Balances'!$B$7:$B$206,MATCH(A18,'Player Balances'!$A$7:$A$206,0)),"")</f>
        <v>68.74906593</v>
      </c>
      <c r="C18" s="11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9" t="str">
        <f>'Access Codes'!C19</f>
        <v>Player</v>
      </c>
      <c r="E18" s="11" t="str">
        <f>'Access Codes'!D19</f>
        <v>Active</v>
      </c>
      <c r="F18" s="11"/>
      <c r="G18" s="11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 t="str">
        <f>'Access Codes'!A20</f>
        <v>Kevin Nicholl</v>
      </c>
      <c r="B19" s="12">
        <f t="array" ref="B19">IFERROR(INDEX('Player Balances'!$B$7:$B$206,MATCH(A19,'Player Balances'!$A$7:$A$206,0)),"")</f>
        <v>68.74906593</v>
      </c>
      <c r="C19" s="11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9" t="str">
        <f>'Access Codes'!C20</f>
        <v>Player</v>
      </c>
      <c r="E19" s="11" t="str">
        <f>'Access Codes'!D20</f>
        <v>Active</v>
      </c>
      <c r="F19" s="11"/>
      <c r="G19" s="1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 t="str">
        <f>'Access Codes'!A21</f>
        <v>Kit Asterin</v>
      </c>
      <c r="B20" s="12">
        <f t="array" ref="B20">IFERROR(INDEX('Player Balances'!$B$7:$B$206,MATCH(A20,'Player Balances'!$A$7:$A$206,0)),"")</f>
        <v>68.74906593</v>
      </c>
      <c r="C20" s="11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9" t="str">
        <f>'Access Codes'!C21</f>
        <v>Captain</v>
      </c>
      <c r="E20" s="11" t="str">
        <f>'Access Codes'!D21</f>
        <v>Active</v>
      </c>
      <c r="F20" s="11"/>
      <c r="G20" s="11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 t="str">
        <f>'Access Codes'!A22</f>
        <v>Kristin Dudley</v>
      </c>
      <c r="B21" s="12">
        <f t="array" ref="B21">IFERROR(INDEX('Player Balances'!$B$7:$B$206,MATCH(A21,'Player Balances'!$A$7:$A$206,0)),"")</f>
        <v>106.8223993</v>
      </c>
      <c r="C21" s="11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9" t="str">
        <f>'Access Codes'!C22</f>
        <v>Player</v>
      </c>
      <c r="E21" s="11" t="str">
        <f>'Access Codes'!D22</f>
        <v>Active</v>
      </c>
      <c r="F21" s="11"/>
      <c r="G21" s="1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 t="str">
        <f>'Access Codes'!A23</f>
        <v>Lexie Thomas</v>
      </c>
      <c r="B22" s="12">
        <f t="array" ref="B22">IFERROR(INDEX('Player Balances'!$B$7:$B$206,MATCH(A22,'Player Balances'!$A$7:$A$206,0)),"")</f>
        <v>68.74906593</v>
      </c>
      <c r="C22" s="11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9" t="str">
        <f>'Access Codes'!C23</f>
        <v>Player</v>
      </c>
      <c r="E22" s="11" t="str">
        <f>'Access Codes'!D23</f>
        <v>Active</v>
      </c>
      <c r="F22" s="11"/>
      <c r="G22" s="1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 t="str">
        <f>'Access Codes'!A24</f>
        <v>Lucas Jones</v>
      </c>
      <c r="B23" s="12">
        <f t="array" ref="B23">IFERROR(INDEX('Player Balances'!$B$7:$B$206,MATCH(A23,'Player Balances'!$A$7:$A$206,0)),"")</f>
        <v>28.75</v>
      </c>
      <c r="C23" s="11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9" t="str">
        <f>'Access Codes'!C24</f>
        <v>Player</v>
      </c>
      <c r="E23" s="11" t="str">
        <f>'Access Codes'!D24</f>
        <v>Active</v>
      </c>
      <c r="F23" s="11"/>
      <c r="G23" s="11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 t="str">
        <f>'Access Codes'!A25</f>
        <v>Max Sheppard</v>
      </c>
      <c r="B24" s="12">
        <f t="array" ref="B24">IFERROR(INDEX('Player Balances'!$B$7:$B$206,MATCH(A24,'Player Balances'!$A$7:$A$206,0)),"")</f>
        <v>68.74906593</v>
      </c>
      <c r="C24" s="11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9" t="str">
        <f>'Access Codes'!C25</f>
        <v>Player</v>
      </c>
      <c r="E24" s="11" t="str">
        <f>'Access Codes'!D25</f>
        <v>Active</v>
      </c>
      <c r="F24" s="11"/>
      <c r="G24" s="11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 t="str">
        <f>'Access Codes'!A26</f>
        <v>Lucius Christie</v>
      </c>
      <c r="B25" s="12">
        <f t="array" ref="B25">IFERROR(INDEX('Player Balances'!$B$7:$B$206,MATCH(A25,'Player Balances'!$A$7:$A$206,0)),"")</f>
        <v>68.74906593</v>
      </c>
      <c r="C25" s="11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9" t="str">
        <f>'Access Codes'!C26</f>
        <v>Player</v>
      </c>
      <c r="E25" s="11" t="str">
        <f>'Access Codes'!D26</f>
        <v>Active</v>
      </c>
      <c r="F25" s="11"/>
      <c r="G25" s="1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 t="str">
        <f>'Access Codes'!A27</f>
        <v>Patrick McMullen</v>
      </c>
      <c r="B26" s="12">
        <f t="array" ref="B26">IFERROR(INDEX('Player Balances'!$B$7:$B$206,MATCH(A26,'Player Balances'!$A$7:$A$206,0)),"")</f>
        <v>68.74906593</v>
      </c>
      <c r="C26" s="11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9" t="str">
        <f>'Access Codes'!C27</f>
        <v>Player</v>
      </c>
      <c r="E26" s="11" t="str">
        <f>'Access Codes'!D27</f>
        <v>Active</v>
      </c>
      <c r="F26" s="11"/>
      <c r="G26" s="11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 t="str">
        <f>'Access Codes'!A28</f>
        <v>Rachel Graber</v>
      </c>
      <c r="B27" s="12">
        <f t="array" ref="B27">IFERROR(INDEX('Player Balances'!$B$7:$B$206,MATCH(A27,'Player Balances'!$A$7:$A$206,0)),"")</f>
        <v>68.74906593</v>
      </c>
      <c r="C27" s="11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9" t="str">
        <f>'Access Codes'!C28</f>
        <v>Player</v>
      </c>
      <c r="E27" s="11" t="str">
        <f>'Access Codes'!D28</f>
        <v>Active</v>
      </c>
      <c r="F27" s="11"/>
      <c r="G27" s="11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 t="str">
        <f>'Access Codes'!A29</f>
        <v>Ryan Kindell</v>
      </c>
      <c r="B28" s="12">
        <f t="array" ref="B28">IFERROR(INDEX('Player Balances'!$B$7:$B$206,MATCH(A28,'Player Balances'!$A$7:$A$206,0)),"")</f>
        <v>68.74906593</v>
      </c>
      <c r="C28" s="11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9" t="str">
        <f>'Access Codes'!C29</f>
        <v>Player</v>
      </c>
      <c r="E28" s="11" t="str">
        <f>'Access Codes'!D29</f>
        <v>Active</v>
      </c>
      <c r="F28" s="11"/>
      <c r="G28" s="11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 t="str">
        <f>'Access Codes'!A30</f>
        <v>Ryan Ward</v>
      </c>
      <c r="B29" s="12">
        <f t="array" ref="B29">IFERROR(INDEX('Player Balances'!$B$7:$B$206,MATCH(A29,'Player Balances'!$A$7:$A$206,0)),"")</f>
        <v>68.74906593</v>
      </c>
      <c r="C29" s="11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9" t="str">
        <f>'Access Codes'!C30</f>
        <v>Player</v>
      </c>
      <c r="E29" s="11" t="str">
        <f>'Access Codes'!D30</f>
        <v>Active</v>
      </c>
      <c r="F29" s="11"/>
      <c r="G29" s="11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 t="str">
        <f>'Access Codes'!A31</f>
        <v>Sam Gombiner</v>
      </c>
      <c r="B30" s="12">
        <f t="array" ref="B30">IFERROR(INDEX('Player Balances'!$B$7:$B$206,MATCH(A30,'Player Balances'!$A$7:$A$206,0)),"")</f>
        <v>28.75</v>
      </c>
      <c r="C30" s="11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9" t="str">
        <f>'Access Codes'!C31</f>
        <v>Player</v>
      </c>
      <c r="E30" s="11" t="str">
        <f>'Access Codes'!D31</f>
        <v>Active</v>
      </c>
      <c r="F30" s="11"/>
      <c r="G30" s="11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 t="str">
        <f>'Access Codes'!A32</f>
        <v>Sarah Kingsley-Hart</v>
      </c>
      <c r="B31" s="12">
        <f t="array" ref="B31">IFERROR(INDEX('Player Balances'!$B$7:$B$206,MATCH(A31,'Player Balances'!$A$7:$A$206,0)),"")</f>
        <v>68.74906593</v>
      </c>
      <c r="C31" s="11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9" t="str">
        <f>'Access Codes'!C32</f>
        <v>Player</v>
      </c>
      <c r="E31" s="11" t="str">
        <f>'Access Codes'!D32</f>
        <v>Active</v>
      </c>
      <c r="F31" s="11"/>
      <c r="G31" s="11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 t="str">
        <f>'Access Codes'!A33</f>
        <v>Sarah Lynch</v>
      </c>
      <c r="B32" s="12">
        <f t="array" ref="B32">IFERROR(INDEX('Player Balances'!$B$7:$B$206,MATCH(A32,'Player Balances'!$A$7:$A$206,0)),"")</f>
        <v>28.75</v>
      </c>
      <c r="C32" s="11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9" t="str">
        <f>'Access Codes'!C33</f>
        <v>Player</v>
      </c>
      <c r="E32" s="11" t="str">
        <f>'Access Codes'!D33</f>
        <v>Active</v>
      </c>
      <c r="F32" s="11"/>
      <c r="G32" s="11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 t="str">
        <f>'Access Codes'!A34</f>
        <v>Shani Rosenthal</v>
      </c>
      <c r="B33" s="12">
        <f t="array" ref="B33">IFERROR(INDEX('Player Balances'!$B$7:$B$206,MATCH(A33,'Player Balances'!$A$7:$A$206,0)),"")</f>
        <v>106.8223993</v>
      </c>
      <c r="C33" s="11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9" t="str">
        <f>'Access Codes'!C34</f>
        <v>Player</v>
      </c>
      <c r="E33" s="11" t="str">
        <f>'Access Codes'!D34</f>
        <v>Active</v>
      </c>
      <c r="F33" s="11"/>
      <c r="G33" s="11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 t="str">
        <f>'Access Codes'!A35</f>
        <v>Vivian Shen</v>
      </c>
      <c r="B34" s="12">
        <f t="array" ref="B34">IFERROR(INDEX('Player Balances'!$B$7:$B$206,MATCH(A34,'Player Balances'!$A$7:$A$206,0)),"")</f>
        <v>106.8223993</v>
      </c>
      <c r="C34" s="11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9" t="str">
        <f>'Access Codes'!C35</f>
        <v>Player</v>
      </c>
      <c r="E34" s="11" t="str">
        <f>'Access Codes'!D35</f>
        <v>Active</v>
      </c>
      <c r="F34" s="11"/>
      <c r="G34" s="11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 t="str">
        <f>'Access Codes'!A36</f>
        <v>Zach Esakof</v>
      </c>
      <c r="B35" s="12">
        <f t="array" ref="B35">IFERROR(INDEX('Player Balances'!$B$7:$B$206,MATCH(A35,'Player Balances'!$A$7:$A$206,0)),"")</f>
        <v>28.75</v>
      </c>
      <c r="C35" s="11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9" t="str">
        <f>'Access Codes'!C36</f>
        <v>Player</v>
      </c>
      <c r="E35" s="11" t="str">
        <f>'Access Codes'!D36</f>
        <v>Active</v>
      </c>
      <c r="F35" s="11"/>
      <c r="G35" s="11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 t="str">
        <f>'Access Codes'!A37</f>
        <v>Annette Kukunas-Piper</v>
      </c>
      <c r="B36" s="12">
        <f t="array" ref="B36">IFERROR(INDEX('Player Balances'!$B$7:$B$206,MATCH(A36,'Player Balances'!$A$7:$A$206,0)),"")</f>
        <v>61.60714286</v>
      </c>
      <c r="C36" s="11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9" t="str">
        <f>'Access Codes'!C37</f>
        <v>Coach</v>
      </c>
      <c r="E36" s="11" t="str">
        <f>'Access Codes'!D37</f>
        <v>Active</v>
      </c>
      <c r="F36" s="11"/>
      <c r="G36" s="11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 t="str">
        <f>'Access Codes'!A38</f>
        <v>Matt Duffy</v>
      </c>
      <c r="B37" s="12">
        <f t="array" ref="B37">IFERROR(INDEX('Player Balances'!$B$7:$B$206,MATCH(A37,'Player Balances'!$A$7:$A$206,0)),"")</f>
        <v>61.60714286</v>
      </c>
      <c r="C37" s="11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9" t="str">
        <f>'Access Codes'!C38</f>
        <v>Coach</v>
      </c>
      <c r="E37" s="11" t="str">
        <f>'Access Codes'!D38</f>
        <v>Active</v>
      </c>
      <c r="F37" s="11"/>
      <c r="G37" s="11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 t="str">
        <f>'Access Codes'!A39</f>
        <v>Ryan Birchard</v>
      </c>
      <c r="B38" s="12">
        <f t="array" ref="B38">IFERROR(INDEX('Player Balances'!$B$7:$B$206,MATCH(A38,'Player Balances'!$A$7:$A$206,0)),"")</f>
        <v>61.60714286</v>
      </c>
      <c r="C38" s="11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9" t="str">
        <f>'Access Codes'!C39</f>
        <v>Coach</v>
      </c>
      <c r="E38" s="11" t="str">
        <f>'Access Codes'!D39</f>
        <v>Active</v>
      </c>
      <c r="F38" s="11"/>
      <c r="G38" s="11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 t="str">
        <f>'Access Codes'!A40</f>
        <v>Nick Blair</v>
      </c>
      <c r="B39" s="12"/>
      <c r="C39" s="11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9" t="str">
        <f>'Access Codes'!C40</f>
        <v>Support</v>
      </c>
      <c r="E39" s="11" t="str">
        <f>'Access Codes'!D40</f>
        <v>Active</v>
      </c>
      <c r="F39" s="11"/>
      <c r="G39" s="11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 t="str">
        <f>'Access Codes'!A41</f>
        <v>Lily Nguyen</v>
      </c>
      <c r="B40" s="12"/>
      <c r="C40" s="11"/>
      <c r="D40" s="11"/>
      <c r="E40" s="11" t="str">
        <f>'Access Codes'!D41</f>
        <v>Active</v>
      </c>
      <c r="F40" s="11"/>
      <c r="G40" s="13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12"/>
      <c r="C41" s="11"/>
      <c r="D41" s="11"/>
      <c r="E41" s="11"/>
      <c r="F41" s="11"/>
      <c r="G41" s="11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12"/>
      <c r="C42" s="11"/>
      <c r="D42" s="11"/>
      <c r="E42" s="11"/>
      <c r="F42" s="11"/>
      <c r="G42" s="11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12"/>
      <c r="C43" s="11"/>
      <c r="D43" s="11"/>
      <c r="E43" s="11"/>
      <c r="F43" s="11"/>
      <c r="G43" s="11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12"/>
      <c r="C44" s="11"/>
      <c r="D44" s="11"/>
      <c r="E44" s="11"/>
      <c r="F44" s="11"/>
      <c r="G44" s="11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12"/>
      <c r="C45" s="11"/>
      <c r="D45" s="11"/>
      <c r="E45" s="11"/>
      <c r="F45" s="11"/>
      <c r="G45" s="11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12"/>
      <c r="C46" s="11"/>
      <c r="D46" s="11"/>
      <c r="E46" s="11"/>
      <c r="F46" s="11"/>
      <c r="G46" s="11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12"/>
      <c r="C47" s="11"/>
      <c r="D47" s="11"/>
      <c r="E47" s="11"/>
      <c r="F47" s="11"/>
      <c r="G47" s="11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12"/>
      <c r="C48" s="11"/>
      <c r="D48" s="11"/>
      <c r="E48" s="11"/>
      <c r="F48" s="11"/>
      <c r="G48" s="11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12"/>
      <c r="C49" s="11"/>
      <c r="D49" s="11"/>
      <c r="E49" s="11"/>
      <c r="F49" s="11"/>
      <c r="G49" s="11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12"/>
      <c r="C50" s="11"/>
      <c r="D50" s="11"/>
      <c r="E50" s="11"/>
      <c r="F50" s="11"/>
      <c r="G50" s="11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12"/>
      <c r="C51" s="11"/>
      <c r="D51" s="11"/>
      <c r="E51" s="11"/>
      <c r="F51" s="11"/>
      <c r="G51" s="11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12"/>
      <c r="C52" s="11"/>
      <c r="D52" s="11"/>
      <c r="E52" s="11"/>
      <c r="F52" s="11"/>
      <c r="G52" s="11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12"/>
      <c r="C53" s="11"/>
      <c r="D53" s="11"/>
      <c r="E53" s="11"/>
      <c r="F53" s="11"/>
      <c r="G53" s="11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12"/>
      <c r="C54" s="11"/>
      <c r="D54" s="11"/>
      <c r="E54" s="11"/>
      <c r="F54" s="11"/>
      <c r="G54" s="11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12"/>
      <c r="C55" s="11"/>
      <c r="D55" s="11"/>
      <c r="E55" s="11"/>
      <c r="F55" s="11"/>
      <c r="G55" s="11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12"/>
      <c r="C56" s="11"/>
      <c r="D56" s="11"/>
      <c r="E56" s="11"/>
      <c r="F56" s="11"/>
      <c r="G56" s="11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12"/>
      <c r="C57" s="11"/>
      <c r="D57" s="11"/>
      <c r="E57" s="11"/>
      <c r="F57" s="11"/>
      <c r="G57" s="11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12"/>
      <c r="C58" s="11"/>
      <c r="D58" s="11"/>
      <c r="E58" s="11"/>
      <c r="F58" s="11"/>
      <c r="G58" s="11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12"/>
      <c r="C59" s="11"/>
      <c r="D59" s="11"/>
      <c r="E59" s="11"/>
      <c r="F59" s="11"/>
      <c r="G59" s="11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12"/>
      <c r="C60" s="11"/>
      <c r="D60" s="11"/>
      <c r="E60" s="11"/>
      <c r="F60" s="11"/>
      <c r="G60" s="11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12"/>
      <c r="C61" s="11"/>
      <c r="D61" s="11"/>
      <c r="E61" s="11"/>
      <c r="F61" s="11"/>
      <c r="G61" s="11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12"/>
      <c r="C62" s="11"/>
      <c r="D62" s="11"/>
      <c r="E62" s="11"/>
      <c r="F62" s="11"/>
      <c r="G62" s="11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12"/>
      <c r="C63" s="11"/>
      <c r="D63" s="11"/>
      <c r="E63" s="11"/>
      <c r="F63" s="11"/>
      <c r="G63" s="11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12"/>
      <c r="C64" s="11"/>
      <c r="D64" s="11"/>
      <c r="E64" s="11"/>
      <c r="F64" s="11"/>
      <c r="G64" s="11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12"/>
      <c r="C65" s="11"/>
      <c r="D65" s="11"/>
      <c r="E65" s="11"/>
      <c r="F65" s="11"/>
      <c r="G65" s="11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12"/>
      <c r="C66" s="11"/>
      <c r="D66" s="11"/>
      <c r="E66" s="11"/>
      <c r="F66" s="11"/>
      <c r="G66" s="11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12"/>
      <c r="C67" s="11"/>
      <c r="D67" s="11"/>
      <c r="E67" s="11"/>
      <c r="F67" s="11"/>
      <c r="G67" s="11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12"/>
      <c r="C68" s="11"/>
      <c r="D68" s="11"/>
      <c r="E68" s="11"/>
      <c r="F68" s="11"/>
      <c r="G68" s="11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12"/>
      <c r="C69" s="11"/>
      <c r="D69" s="11"/>
      <c r="E69" s="11"/>
      <c r="F69" s="11"/>
      <c r="G69" s="1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12"/>
      <c r="C70" s="11"/>
      <c r="D70" s="11"/>
      <c r="E70" s="11"/>
      <c r="F70" s="11"/>
      <c r="G70" s="11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12"/>
      <c r="C71" s="11"/>
      <c r="D71" s="11"/>
      <c r="E71" s="11"/>
      <c r="F71" s="11"/>
      <c r="G71" s="11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12"/>
      <c r="C72" s="11"/>
      <c r="D72" s="11"/>
      <c r="E72" s="11"/>
      <c r="F72" s="11"/>
      <c r="G72" s="11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12"/>
      <c r="C73" s="11"/>
      <c r="D73" s="11"/>
      <c r="E73" s="11"/>
      <c r="F73" s="11"/>
      <c r="G73" s="11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12"/>
      <c r="C74" s="11"/>
      <c r="D74" s="11"/>
      <c r="E74" s="11"/>
      <c r="F74" s="11"/>
      <c r="G74" s="11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12"/>
      <c r="C75" s="11"/>
      <c r="D75" s="11"/>
      <c r="E75" s="11"/>
      <c r="F75" s="11"/>
      <c r="G75" s="11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12"/>
      <c r="C76" s="11"/>
      <c r="D76" s="11"/>
      <c r="E76" s="11"/>
      <c r="F76" s="11"/>
      <c r="G76" s="11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12"/>
      <c r="C77" s="11"/>
      <c r="D77" s="11"/>
      <c r="E77" s="11"/>
      <c r="F77" s="11"/>
      <c r="G77" s="11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12"/>
      <c r="C78" s="11"/>
      <c r="D78" s="11"/>
      <c r="E78" s="11"/>
      <c r="F78" s="11"/>
      <c r="G78" s="11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12"/>
      <c r="C79" s="11"/>
      <c r="D79" s="11"/>
      <c r="E79" s="11"/>
      <c r="F79" s="11"/>
      <c r="G79" s="11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12"/>
      <c r="C80" s="11"/>
      <c r="D80" s="11"/>
      <c r="E80" s="11"/>
      <c r="F80" s="11"/>
      <c r="G80" s="11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12"/>
      <c r="C81" s="11"/>
      <c r="D81" s="11"/>
      <c r="E81" s="11"/>
      <c r="F81" s="11"/>
      <c r="G81" s="11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12"/>
      <c r="C82" s="11"/>
      <c r="D82" s="11"/>
      <c r="E82" s="11"/>
      <c r="F82" s="11"/>
      <c r="G82" s="11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12"/>
      <c r="C83" s="11"/>
      <c r="D83" s="11"/>
      <c r="E83" s="11"/>
      <c r="F83" s="11"/>
      <c r="G83" s="11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12"/>
      <c r="C84" s="11"/>
      <c r="D84" s="11"/>
      <c r="E84" s="11"/>
      <c r="F84" s="11"/>
      <c r="G84" s="11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12"/>
      <c r="C85" s="11"/>
      <c r="D85" s="11"/>
      <c r="E85" s="11"/>
      <c r="F85" s="11"/>
      <c r="G85" s="11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12"/>
      <c r="C86" s="11"/>
      <c r="D86" s="11"/>
      <c r="E86" s="11"/>
      <c r="F86" s="11"/>
      <c r="G86" s="11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12"/>
      <c r="C87" s="11"/>
      <c r="D87" s="11"/>
      <c r="E87" s="11"/>
      <c r="F87" s="11"/>
      <c r="G87" s="11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12"/>
      <c r="C88" s="11"/>
      <c r="D88" s="11"/>
      <c r="E88" s="11"/>
      <c r="F88" s="11"/>
      <c r="G88" s="1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12"/>
      <c r="C89" s="11"/>
      <c r="D89" s="11"/>
      <c r="E89" s="11"/>
      <c r="F89" s="11"/>
      <c r="G89" s="11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12"/>
      <c r="C90" s="11"/>
      <c r="D90" s="11"/>
      <c r="E90" s="11"/>
      <c r="F90" s="11"/>
      <c r="G90" s="11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12"/>
      <c r="C91" s="11"/>
      <c r="D91" s="11"/>
      <c r="E91" s="11"/>
      <c r="F91" s="11"/>
      <c r="G91" s="11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12"/>
      <c r="C92" s="11"/>
      <c r="D92" s="11"/>
      <c r="E92" s="11"/>
      <c r="F92" s="11"/>
      <c r="G92" s="11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12"/>
      <c r="C93" s="11"/>
      <c r="D93" s="11"/>
      <c r="E93" s="11"/>
      <c r="F93" s="11"/>
      <c r="G93" s="11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12"/>
      <c r="C94" s="11"/>
      <c r="D94" s="11"/>
      <c r="E94" s="11"/>
      <c r="F94" s="11"/>
      <c r="G94" s="11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12"/>
      <c r="C95" s="11"/>
      <c r="D95" s="11"/>
      <c r="E95" s="11"/>
      <c r="F95" s="11"/>
      <c r="G95" s="11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12"/>
      <c r="C96" s="11"/>
      <c r="D96" s="11"/>
      <c r="E96" s="11"/>
      <c r="F96" s="11"/>
      <c r="G96" s="11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12"/>
      <c r="C97" s="11"/>
      <c r="D97" s="11"/>
      <c r="E97" s="11"/>
      <c r="F97" s="11"/>
      <c r="G97" s="11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12"/>
      <c r="C98" s="11"/>
      <c r="D98" s="11"/>
      <c r="E98" s="11"/>
      <c r="F98" s="11"/>
      <c r="G98" s="11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12"/>
      <c r="C99" s="11"/>
      <c r="D99" s="11"/>
      <c r="E99" s="11"/>
      <c r="F99" s="11"/>
      <c r="G99" s="11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12"/>
      <c r="C100" s="11"/>
      <c r="D100" s="11"/>
      <c r="E100" s="11"/>
      <c r="F100" s="11"/>
      <c r="G100" s="11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12"/>
      <c r="C101" s="11"/>
      <c r="D101" s="11"/>
      <c r="E101" s="11"/>
      <c r="F101" s="11"/>
      <c r="G101" s="11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12"/>
      <c r="C102" s="11"/>
      <c r="D102" s="11"/>
      <c r="E102" s="11"/>
      <c r="F102" s="11"/>
      <c r="G102" s="11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12"/>
      <c r="C103" s="11"/>
      <c r="D103" s="11"/>
      <c r="E103" s="11"/>
      <c r="F103" s="11"/>
      <c r="G103" s="11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12"/>
      <c r="C104" s="11"/>
      <c r="D104" s="11"/>
      <c r="E104" s="11"/>
      <c r="F104" s="11"/>
      <c r="G104" s="11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12"/>
      <c r="C105" s="11"/>
      <c r="D105" s="11"/>
      <c r="E105" s="11"/>
      <c r="F105" s="11"/>
      <c r="G105" s="11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12"/>
      <c r="C106" s="11"/>
      <c r="D106" s="11"/>
      <c r="E106" s="11"/>
      <c r="F106" s="11"/>
      <c r="G106" s="11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12"/>
      <c r="C107" s="11"/>
      <c r="D107" s="11"/>
      <c r="E107" s="11"/>
      <c r="F107" s="11"/>
      <c r="G107" s="11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12"/>
      <c r="C108" s="11"/>
      <c r="D108" s="11"/>
      <c r="E108" s="11"/>
      <c r="F108" s="11"/>
      <c r="G108" s="11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12"/>
      <c r="C109" s="11"/>
      <c r="D109" s="11"/>
      <c r="E109" s="11"/>
      <c r="F109" s="11"/>
      <c r="G109" s="11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12"/>
      <c r="C110" s="11"/>
      <c r="D110" s="11"/>
      <c r="E110" s="11"/>
      <c r="F110" s="11"/>
      <c r="G110" s="11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12"/>
      <c r="C111" s="11"/>
      <c r="D111" s="11"/>
      <c r="E111" s="11"/>
      <c r="F111" s="11"/>
      <c r="G111" s="11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12"/>
      <c r="C112" s="11"/>
      <c r="D112" s="11"/>
      <c r="E112" s="11"/>
      <c r="F112" s="11"/>
      <c r="G112" s="11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12"/>
      <c r="C113" s="11"/>
      <c r="D113" s="11"/>
      <c r="E113" s="11"/>
      <c r="F113" s="11"/>
      <c r="G113" s="11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12"/>
      <c r="C114" s="11"/>
      <c r="D114" s="11"/>
      <c r="E114" s="11"/>
      <c r="F114" s="11"/>
      <c r="G114" s="11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12"/>
      <c r="C115" s="11"/>
      <c r="D115" s="11"/>
      <c r="E115" s="11"/>
      <c r="F115" s="11"/>
      <c r="G115" s="11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12"/>
      <c r="C116" s="11"/>
      <c r="D116" s="11"/>
      <c r="E116" s="11"/>
      <c r="F116" s="11"/>
      <c r="G116" s="11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12"/>
      <c r="C117" s="11"/>
      <c r="D117" s="11"/>
      <c r="E117" s="11"/>
      <c r="F117" s="11"/>
      <c r="G117" s="11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12"/>
      <c r="C118" s="11"/>
      <c r="D118" s="11"/>
      <c r="E118" s="11"/>
      <c r="F118" s="11"/>
      <c r="G118" s="11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12"/>
      <c r="C119" s="11"/>
      <c r="D119" s="11"/>
      <c r="E119" s="11"/>
      <c r="F119" s="11"/>
      <c r="G119" s="11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12"/>
      <c r="C120" s="11"/>
      <c r="D120" s="11"/>
      <c r="E120" s="11"/>
      <c r="F120" s="11"/>
      <c r="G120" s="11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12"/>
      <c r="C121" s="11"/>
      <c r="D121" s="11"/>
      <c r="E121" s="11"/>
      <c r="F121" s="11"/>
      <c r="G121" s="11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12"/>
      <c r="C122" s="11"/>
      <c r="D122" s="11"/>
      <c r="E122" s="11"/>
      <c r="F122" s="11"/>
      <c r="G122" s="11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12"/>
      <c r="C123" s="11"/>
      <c r="D123" s="11"/>
      <c r="E123" s="11"/>
      <c r="F123" s="11"/>
      <c r="G123" s="11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12"/>
      <c r="C124" s="11"/>
      <c r="D124" s="11"/>
      <c r="E124" s="11"/>
      <c r="F124" s="11"/>
      <c r="G124" s="11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12"/>
      <c r="C125" s="11"/>
      <c r="D125" s="11"/>
      <c r="E125" s="11"/>
      <c r="F125" s="11"/>
      <c r="G125" s="11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12"/>
      <c r="C126" s="11"/>
      <c r="D126" s="11"/>
      <c r="E126" s="11"/>
      <c r="F126" s="11"/>
      <c r="G126" s="11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12"/>
      <c r="C127" s="11"/>
      <c r="D127" s="11"/>
      <c r="E127" s="11"/>
      <c r="F127" s="11"/>
      <c r="G127" s="11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12"/>
      <c r="C128" s="11"/>
      <c r="D128" s="11"/>
      <c r="E128" s="11"/>
      <c r="F128" s="11"/>
      <c r="G128" s="11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12"/>
      <c r="C129" s="11"/>
      <c r="D129" s="11"/>
      <c r="E129" s="11"/>
      <c r="F129" s="11"/>
      <c r="G129" s="11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12"/>
      <c r="C130" s="11"/>
      <c r="D130" s="11"/>
      <c r="E130" s="11"/>
      <c r="F130" s="11"/>
      <c r="G130" s="11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12"/>
      <c r="C131" s="11"/>
      <c r="D131" s="11"/>
      <c r="E131" s="11"/>
      <c r="F131" s="11"/>
      <c r="G131" s="1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12"/>
      <c r="C132" s="11"/>
      <c r="D132" s="11"/>
      <c r="E132" s="11"/>
      <c r="F132" s="11"/>
      <c r="G132" s="11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12"/>
      <c r="C133" s="11"/>
      <c r="D133" s="11"/>
      <c r="E133" s="11"/>
      <c r="F133" s="11"/>
      <c r="G133" s="11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12"/>
      <c r="C134" s="11"/>
      <c r="D134" s="11"/>
      <c r="E134" s="11"/>
      <c r="F134" s="11"/>
      <c r="G134" s="11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12"/>
      <c r="C135" s="11"/>
      <c r="D135" s="11"/>
      <c r="E135" s="11"/>
      <c r="F135" s="11"/>
      <c r="G135" s="11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12"/>
      <c r="C136" s="11"/>
      <c r="D136" s="11"/>
      <c r="E136" s="11"/>
      <c r="F136" s="11"/>
      <c r="G136" s="11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12"/>
      <c r="C137" s="11"/>
      <c r="D137" s="11"/>
      <c r="E137" s="11"/>
      <c r="F137" s="11"/>
      <c r="G137" s="11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12"/>
      <c r="C138" s="11"/>
      <c r="D138" s="11"/>
      <c r="E138" s="11"/>
      <c r="F138" s="11"/>
      <c r="G138" s="11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12"/>
      <c r="C139" s="11"/>
      <c r="D139" s="11"/>
      <c r="E139" s="11"/>
      <c r="F139" s="11"/>
      <c r="G139" s="11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12"/>
      <c r="C140" s="11"/>
      <c r="D140" s="11"/>
      <c r="E140" s="11"/>
      <c r="F140" s="11"/>
      <c r="G140" s="11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12"/>
      <c r="C141" s="11"/>
      <c r="D141" s="11"/>
      <c r="E141" s="11"/>
      <c r="F141" s="11"/>
      <c r="G141" s="11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12"/>
      <c r="C142" s="11"/>
      <c r="D142" s="11"/>
      <c r="E142" s="11"/>
      <c r="F142" s="11"/>
      <c r="G142" s="11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12"/>
      <c r="C143" s="11"/>
      <c r="D143" s="11"/>
      <c r="E143" s="11"/>
      <c r="F143" s="11"/>
      <c r="G143" s="11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12"/>
      <c r="C144" s="11"/>
      <c r="D144" s="11"/>
      <c r="E144" s="11"/>
      <c r="F144" s="11"/>
      <c r="G144" s="11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12"/>
      <c r="C145" s="11"/>
      <c r="D145" s="11"/>
      <c r="E145" s="11"/>
      <c r="F145" s="11"/>
      <c r="G145" s="11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12"/>
      <c r="C146" s="11"/>
      <c r="D146" s="11"/>
      <c r="E146" s="11"/>
      <c r="F146" s="11"/>
      <c r="G146" s="11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12"/>
      <c r="C147" s="11"/>
      <c r="D147" s="11"/>
      <c r="E147" s="11"/>
      <c r="F147" s="11"/>
      <c r="G147" s="11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12"/>
      <c r="C148" s="11"/>
      <c r="D148" s="11"/>
      <c r="E148" s="11"/>
      <c r="F148" s="11"/>
      <c r="G148" s="11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12"/>
      <c r="C149" s="11"/>
      <c r="D149" s="11"/>
      <c r="E149" s="11"/>
      <c r="F149" s="11"/>
      <c r="G149" s="11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12"/>
      <c r="C150" s="11"/>
      <c r="D150" s="11"/>
      <c r="E150" s="11"/>
      <c r="F150" s="11"/>
      <c r="G150" s="11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12"/>
      <c r="C151" s="11"/>
      <c r="D151" s="11"/>
      <c r="E151" s="11"/>
      <c r="F151" s="11"/>
      <c r="G151" s="11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12"/>
      <c r="C152" s="11"/>
      <c r="D152" s="11"/>
      <c r="E152" s="11"/>
      <c r="F152" s="11"/>
      <c r="G152" s="11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12"/>
      <c r="C153" s="11"/>
      <c r="D153" s="11"/>
      <c r="E153" s="11"/>
      <c r="F153" s="11"/>
      <c r="G153" s="11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12"/>
      <c r="C154" s="11"/>
      <c r="D154" s="11"/>
      <c r="E154" s="11"/>
      <c r="F154" s="11"/>
      <c r="G154" s="11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12"/>
      <c r="C155" s="11"/>
      <c r="D155" s="11"/>
      <c r="E155" s="11"/>
      <c r="F155" s="11"/>
      <c r="G155" s="11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12"/>
      <c r="C156" s="11"/>
      <c r="D156" s="11"/>
      <c r="E156" s="11"/>
      <c r="F156" s="11"/>
      <c r="G156" s="11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12"/>
      <c r="C157" s="11"/>
      <c r="D157" s="11"/>
      <c r="E157" s="11"/>
      <c r="F157" s="11"/>
      <c r="G157" s="11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12"/>
      <c r="C158" s="11"/>
      <c r="D158" s="11"/>
      <c r="E158" s="11"/>
      <c r="F158" s="11"/>
      <c r="G158" s="11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12"/>
      <c r="C159" s="11"/>
      <c r="D159" s="11"/>
      <c r="E159" s="11"/>
      <c r="F159" s="11"/>
      <c r="G159" s="11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12"/>
      <c r="C160" s="11"/>
      <c r="D160" s="11"/>
      <c r="E160" s="11"/>
      <c r="F160" s="11"/>
      <c r="G160" s="11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12"/>
      <c r="C161" s="11"/>
      <c r="D161" s="11"/>
      <c r="E161" s="11"/>
      <c r="F161" s="11"/>
      <c r="G161" s="11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12"/>
      <c r="C162" s="11"/>
      <c r="D162" s="11"/>
      <c r="E162" s="11"/>
      <c r="F162" s="11"/>
      <c r="G162" s="11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12"/>
      <c r="C163" s="11"/>
      <c r="D163" s="11"/>
      <c r="E163" s="11"/>
      <c r="F163" s="11"/>
      <c r="G163" s="11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12"/>
      <c r="C164" s="11"/>
      <c r="D164" s="11"/>
      <c r="E164" s="11"/>
      <c r="F164" s="11"/>
      <c r="G164" s="11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12"/>
      <c r="C165" s="11"/>
      <c r="D165" s="11"/>
      <c r="E165" s="11"/>
      <c r="F165" s="11"/>
      <c r="G165" s="11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12"/>
      <c r="C166" s="11"/>
      <c r="D166" s="11"/>
      <c r="E166" s="11"/>
      <c r="F166" s="11"/>
      <c r="G166" s="11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12"/>
      <c r="C167" s="11"/>
      <c r="D167" s="11"/>
      <c r="E167" s="11"/>
      <c r="F167" s="11"/>
      <c r="G167" s="11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12"/>
      <c r="C168" s="11"/>
      <c r="D168" s="11"/>
      <c r="E168" s="11"/>
      <c r="F168" s="11"/>
      <c r="G168" s="11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12"/>
      <c r="C169" s="11"/>
      <c r="D169" s="11"/>
      <c r="E169" s="11"/>
      <c r="F169" s="11"/>
      <c r="G169" s="11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12"/>
      <c r="C170" s="11"/>
      <c r="D170" s="11"/>
      <c r="E170" s="11"/>
      <c r="F170" s="11"/>
      <c r="G170" s="11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12"/>
      <c r="C171" s="11"/>
      <c r="D171" s="11"/>
      <c r="E171" s="11"/>
      <c r="F171" s="11"/>
      <c r="G171" s="11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12"/>
      <c r="C172" s="11"/>
      <c r="D172" s="11"/>
      <c r="E172" s="11"/>
      <c r="F172" s="11"/>
      <c r="G172" s="11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12"/>
      <c r="C173" s="11"/>
      <c r="D173" s="11"/>
      <c r="E173" s="11"/>
      <c r="F173" s="11"/>
      <c r="G173" s="11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12"/>
      <c r="C174" s="11"/>
      <c r="D174" s="11"/>
      <c r="E174" s="11"/>
      <c r="F174" s="11"/>
      <c r="G174" s="11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12"/>
      <c r="C175" s="11"/>
      <c r="D175" s="11"/>
      <c r="E175" s="11"/>
      <c r="F175" s="11"/>
      <c r="G175" s="11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12"/>
      <c r="C176" s="11"/>
      <c r="D176" s="11"/>
      <c r="E176" s="11"/>
      <c r="F176" s="11"/>
      <c r="G176" s="11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12"/>
      <c r="C177" s="11"/>
      <c r="D177" s="11"/>
      <c r="E177" s="11"/>
      <c r="F177" s="11"/>
      <c r="G177" s="11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12"/>
      <c r="C178" s="11"/>
      <c r="D178" s="11"/>
      <c r="E178" s="11"/>
      <c r="F178" s="11"/>
      <c r="G178" s="11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12"/>
      <c r="C179" s="11"/>
      <c r="D179" s="11"/>
      <c r="E179" s="11"/>
      <c r="F179" s="11"/>
      <c r="G179" s="11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12"/>
      <c r="C180" s="11"/>
      <c r="D180" s="11"/>
      <c r="E180" s="11"/>
      <c r="F180" s="11"/>
      <c r="G180" s="11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12"/>
      <c r="C181" s="11"/>
      <c r="D181" s="11"/>
      <c r="E181" s="11"/>
      <c r="F181" s="11"/>
      <c r="G181" s="11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12"/>
      <c r="C182" s="11"/>
      <c r="D182" s="11"/>
      <c r="E182" s="11"/>
      <c r="F182" s="11"/>
      <c r="G182" s="11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12"/>
      <c r="C183" s="11"/>
      <c r="D183" s="11"/>
      <c r="E183" s="11"/>
      <c r="F183" s="11"/>
      <c r="G183" s="11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12"/>
      <c r="C184" s="11"/>
      <c r="D184" s="11"/>
      <c r="E184" s="11"/>
      <c r="F184" s="11"/>
      <c r="G184" s="11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12"/>
      <c r="C185" s="11"/>
      <c r="D185" s="11"/>
      <c r="E185" s="11"/>
      <c r="F185" s="11"/>
      <c r="G185" s="11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12"/>
      <c r="C186" s="11"/>
      <c r="D186" s="11"/>
      <c r="E186" s="11"/>
      <c r="F186" s="11"/>
      <c r="G186" s="11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12"/>
      <c r="C187" s="11"/>
      <c r="D187" s="11"/>
      <c r="E187" s="11"/>
      <c r="F187" s="11"/>
      <c r="G187" s="11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12"/>
      <c r="C188" s="11"/>
      <c r="D188" s="11"/>
      <c r="E188" s="11"/>
      <c r="F188" s="11"/>
      <c r="G188" s="11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12"/>
      <c r="C189" s="11"/>
      <c r="D189" s="11"/>
      <c r="E189" s="11"/>
      <c r="F189" s="11"/>
      <c r="G189" s="11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12"/>
      <c r="C190" s="11"/>
      <c r="D190" s="11"/>
      <c r="E190" s="11"/>
      <c r="F190" s="11"/>
      <c r="G190" s="11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12"/>
      <c r="C191" s="11"/>
      <c r="D191" s="11"/>
      <c r="E191" s="11"/>
      <c r="F191" s="11"/>
      <c r="G191" s="11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12"/>
      <c r="C192" s="11"/>
      <c r="D192" s="11"/>
      <c r="E192" s="11"/>
      <c r="F192" s="11"/>
      <c r="G192" s="11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12"/>
      <c r="C193" s="11"/>
      <c r="D193" s="11"/>
      <c r="E193" s="11"/>
      <c r="F193" s="11"/>
      <c r="G193" s="11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12"/>
      <c r="C194" s="11"/>
      <c r="D194" s="11"/>
      <c r="E194" s="11"/>
      <c r="F194" s="11"/>
      <c r="G194" s="11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12"/>
      <c r="C195" s="11"/>
      <c r="D195" s="11"/>
      <c r="E195" s="11"/>
      <c r="F195" s="11"/>
      <c r="G195" s="11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12"/>
      <c r="C196" s="11"/>
      <c r="D196" s="11"/>
      <c r="E196" s="11"/>
      <c r="F196" s="11"/>
      <c r="G196" s="11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12"/>
      <c r="C197" s="11"/>
      <c r="D197" s="11"/>
      <c r="E197" s="11"/>
      <c r="F197" s="11"/>
      <c r="G197" s="11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12"/>
      <c r="C198" s="11"/>
      <c r="D198" s="11"/>
      <c r="E198" s="11"/>
      <c r="F198" s="11"/>
      <c r="G198" s="11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12"/>
      <c r="C199" s="11"/>
      <c r="D199" s="11"/>
      <c r="E199" s="11"/>
      <c r="F199" s="11"/>
      <c r="G199" s="11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12"/>
      <c r="C200" s="11"/>
      <c r="D200" s="11"/>
      <c r="E200" s="11"/>
      <c r="F200" s="11"/>
      <c r="G200" s="11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12"/>
      <c r="C201" s="11"/>
      <c r="D201" s="11"/>
      <c r="E201" s="11"/>
      <c r="F201" s="11"/>
      <c r="G201" s="11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12"/>
      <c r="C202" s="11"/>
      <c r="D202" s="11"/>
      <c r="E202" s="11"/>
      <c r="F202" s="11"/>
      <c r="G202" s="11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12"/>
      <c r="C203" s="11"/>
      <c r="D203" s="11"/>
      <c r="E203" s="11"/>
      <c r="F203" s="11"/>
      <c r="G203" s="11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12"/>
      <c r="C204" s="11"/>
      <c r="D204" s="11"/>
      <c r="E204" s="11"/>
      <c r="F204" s="11"/>
      <c r="G204" s="11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4" t="s">
        <v>10</v>
      </c>
      <c r="B1" s="15"/>
      <c r="C1" s="15"/>
      <c r="D1" s="15"/>
      <c r="E1" s="15"/>
      <c r="F1" s="15"/>
      <c r="G1" s="15"/>
      <c r="H1" s="15"/>
      <c r="I1" s="15"/>
      <c r="J1" s="1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7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7" t="s">
        <v>20</v>
      </c>
      <c r="B5" s="18" t="s">
        <v>21</v>
      </c>
      <c r="C5" s="7"/>
      <c r="D5" s="7" t="s">
        <v>22</v>
      </c>
      <c r="E5" s="7" t="s">
        <v>23</v>
      </c>
      <c r="F5" s="8">
        <v>850.0</v>
      </c>
      <c r="G5" s="19">
        <f>IFERROR(SUMIFS(Transactions!$F$7:$F$996,Transactions!$G$7:$G$996,A5,Transactions!$D$7:$D$996,"Expense"),0)</f>
        <v>977.5</v>
      </c>
      <c r="H5" s="7"/>
      <c r="I5" s="7" t="s">
        <v>24</v>
      </c>
      <c r="J5" s="20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">
        <v>26</v>
      </c>
      <c r="B6" s="18">
        <v>46199.0</v>
      </c>
      <c r="C6" s="7"/>
      <c r="D6" s="7" t="s">
        <v>27</v>
      </c>
      <c r="E6" s="7" t="s">
        <v>28</v>
      </c>
      <c r="F6" s="8">
        <v>1310.0</v>
      </c>
      <c r="G6" s="19">
        <v>1310.0</v>
      </c>
      <c r="H6" s="7"/>
      <c r="I6" s="7" t="s">
        <v>24</v>
      </c>
      <c r="J6" s="20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">
        <v>29</v>
      </c>
      <c r="B7" s="18">
        <v>46227.0</v>
      </c>
      <c r="C7" s="7"/>
      <c r="D7" s="7" t="s">
        <v>27</v>
      </c>
      <c r="E7" s="7" t="s">
        <v>30</v>
      </c>
      <c r="F7" s="8">
        <v>1050.0</v>
      </c>
      <c r="G7" s="19">
        <v>1050.0</v>
      </c>
      <c r="H7" s="7"/>
      <c r="I7" s="7" t="s">
        <v>24</v>
      </c>
      <c r="J7" s="21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">
        <v>31</v>
      </c>
      <c r="B8" s="18"/>
      <c r="C8" s="7"/>
      <c r="D8" s="7" t="s">
        <v>32</v>
      </c>
      <c r="E8" s="7" t="s">
        <v>33</v>
      </c>
      <c r="F8" s="8">
        <v>0.0</v>
      </c>
      <c r="G8" s="19">
        <v>-123.0</v>
      </c>
      <c r="H8" s="7"/>
      <c r="I8" s="7"/>
      <c r="J8" s="20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">
        <v>35</v>
      </c>
      <c r="B9" s="18">
        <v>45706.0</v>
      </c>
      <c r="C9" s="7"/>
      <c r="D9" s="7" t="s">
        <v>32</v>
      </c>
      <c r="E9" s="7" t="s">
        <v>33</v>
      </c>
      <c r="F9" s="8">
        <v>0.0</v>
      </c>
      <c r="G9" s="19">
        <v>-956.0</v>
      </c>
      <c r="H9" s="7"/>
      <c r="I9" s="7"/>
      <c r="J9" s="21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" t="s">
        <v>36</v>
      </c>
      <c r="B10" s="18">
        <v>45706.0</v>
      </c>
      <c r="C10" s="7"/>
      <c r="D10" s="7" t="s">
        <v>32</v>
      </c>
      <c r="E10" s="7" t="s">
        <v>37</v>
      </c>
      <c r="F10" s="8">
        <v>0.0</v>
      </c>
      <c r="G10" s="19">
        <v>1030.0</v>
      </c>
      <c r="H10" s="7"/>
      <c r="I10" s="7"/>
      <c r="J10" s="20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" t="s">
        <v>38</v>
      </c>
      <c r="B11" s="18"/>
      <c r="C11" s="7"/>
      <c r="D11" s="7" t="s">
        <v>39</v>
      </c>
      <c r="E11" s="7" t="s">
        <v>40</v>
      </c>
      <c r="F11" s="8">
        <v>600.0</v>
      </c>
      <c r="G11" s="19">
        <f>IFERROR(SUMIFS(Transactions!$F$7:$F$996,Transactions!$G$7:$G$996,A11,Transactions!$D$7:$D$996,"Expense"),0)</f>
        <v>0</v>
      </c>
      <c r="H11" s="7"/>
      <c r="I11" s="7" t="s">
        <v>24</v>
      </c>
      <c r="J11" s="21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/>
      <c r="B12" s="22"/>
      <c r="C12" s="11"/>
      <c r="D12" s="11"/>
      <c r="E12" s="11"/>
      <c r="F12" s="12"/>
      <c r="G12" s="23">
        <f>IFERROR(SUMIFS(Transactions!$F$7:$F$996,Transactions!$G$7:$G$996,A12,Transactions!$D$7:$D$996,"Expense"),0)</f>
        <v>0</v>
      </c>
      <c r="H12" s="11"/>
      <c r="I12" s="11"/>
      <c r="J12" s="20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/>
      <c r="B13" s="22"/>
      <c r="C13" s="11"/>
      <c r="D13" s="11"/>
      <c r="E13" s="11"/>
      <c r="F13" s="12"/>
      <c r="G13" s="23">
        <f>IFERROR(SUMIFS(Transactions!$F$7:$F$996,Transactions!$G$7:$G$996,A13,Transactions!$D$7:$D$996,"Expense"),0)</f>
        <v>0</v>
      </c>
      <c r="H13" s="11"/>
      <c r="I13" s="11"/>
      <c r="J13" s="2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/>
      <c r="B14" s="22"/>
      <c r="C14" s="11"/>
      <c r="D14" s="11"/>
      <c r="E14" s="11"/>
      <c r="F14" s="12"/>
      <c r="G14" s="23">
        <f>IFERROR(SUMIFS(Transactions!$F$7:$F$996,Transactions!$G$7:$G$996,A14,Transactions!$D$7:$D$996,"Expense"),0)</f>
        <v>0</v>
      </c>
      <c r="H14" s="11"/>
      <c r="I14" s="11"/>
      <c r="J14" s="20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/>
      <c r="B15" s="22"/>
      <c r="C15" s="11"/>
      <c r="D15" s="11"/>
      <c r="E15" s="11"/>
      <c r="F15" s="12"/>
      <c r="G15" s="23">
        <f>IFERROR(SUMIFS(Transactions!$F$7:$F$996,Transactions!$G$7:$G$996,A15,Transactions!$D$7:$D$996,"Expense"),0)</f>
        <v>0</v>
      </c>
      <c r="H15" s="11"/>
      <c r="I15" s="11"/>
      <c r="J15" s="2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/>
      <c r="B16" s="22"/>
      <c r="C16" s="11"/>
      <c r="D16" s="11"/>
      <c r="E16" s="11"/>
      <c r="F16" s="12"/>
      <c r="G16" s="23">
        <f>IFERROR(SUMIFS(Transactions!$F$7:$F$996,Transactions!$G$7:$G$996,A16,Transactions!$D$7:$D$996,"Expense"),0)</f>
        <v>0</v>
      </c>
      <c r="H16" s="11"/>
      <c r="I16" s="11"/>
      <c r="J16" s="20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/>
      <c r="B17" s="22"/>
      <c r="C17" s="11"/>
      <c r="D17" s="11"/>
      <c r="E17" s="11"/>
      <c r="F17" s="12"/>
      <c r="G17" s="23">
        <f>IFERROR(SUMIFS(Transactions!$F$7:$F$996,Transactions!$G$7:$G$996,A17,Transactions!$D$7:$D$996,"Expense"),0)</f>
        <v>0</v>
      </c>
      <c r="H17" s="11"/>
      <c r="I17" s="11"/>
      <c r="J17" s="21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/>
      <c r="B18" s="22"/>
      <c r="C18" s="11"/>
      <c r="D18" s="11"/>
      <c r="E18" s="11"/>
      <c r="F18" s="12"/>
      <c r="G18" s="23">
        <f>IFERROR(SUMIFS(Transactions!$F$7:$F$996,Transactions!$G$7:$G$996,A18,Transactions!$D$7:$D$996,"Expense"),0)</f>
        <v>0</v>
      </c>
      <c r="H18" s="11"/>
      <c r="I18" s="11"/>
      <c r="J18" s="20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/>
      <c r="B19" s="22"/>
      <c r="C19" s="11"/>
      <c r="D19" s="11"/>
      <c r="E19" s="11"/>
      <c r="F19" s="12"/>
      <c r="G19" s="23">
        <f>IFERROR(SUMIFS(Transactions!$F$7:$F$996,Transactions!$G$7:$G$996,A19,Transactions!$D$7:$D$996,"Expense"),0)</f>
        <v>0</v>
      </c>
      <c r="H19" s="11"/>
      <c r="I19" s="11"/>
      <c r="J19" s="21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/>
      <c r="B20" s="22"/>
      <c r="C20" s="11"/>
      <c r="D20" s="11"/>
      <c r="E20" s="11"/>
      <c r="F20" s="12"/>
      <c r="G20" s="23">
        <f>IFERROR(SUMIFS(Transactions!$F$7:$F$996,Transactions!$G$7:$G$996,A20,Transactions!$D$7:$D$996,"Expense"),0)</f>
        <v>0</v>
      </c>
      <c r="H20" s="11"/>
      <c r="I20" s="11"/>
      <c r="J20" s="2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/>
      <c r="B21" s="22"/>
      <c r="C21" s="11"/>
      <c r="D21" s="11"/>
      <c r="E21" s="11"/>
      <c r="F21" s="12"/>
      <c r="G21" s="23">
        <f>IFERROR(SUMIFS(Transactions!$F$7:$F$996,Transactions!$G$7:$G$996,A21,Transactions!$D$7:$D$996,"Expense"),0)</f>
        <v>0</v>
      </c>
      <c r="H21" s="11"/>
      <c r="I21" s="11"/>
      <c r="J21" s="21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/>
      <c r="B22" s="22"/>
      <c r="C22" s="11"/>
      <c r="D22" s="11"/>
      <c r="E22" s="11"/>
      <c r="F22" s="12"/>
      <c r="G22" s="23">
        <f>IFERROR(SUMIFS(Transactions!$F$7:$F$996,Transactions!$G$7:$G$996,A22,Transactions!$D$7:$D$996,"Expense"),0)</f>
        <v>0</v>
      </c>
      <c r="H22" s="11"/>
      <c r="I22" s="11"/>
      <c r="J22" s="20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/>
      <c r="B23" s="22"/>
      <c r="C23" s="11"/>
      <c r="D23" s="11"/>
      <c r="E23" s="11"/>
      <c r="F23" s="12"/>
      <c r="G23" s="23">
        <f>IFERROR(SUMIFS(Transactions!$F$7:$F$996,Transactions!$G$7:$G$996,A23,Transactions!$D$7:$D$996,"Expense"),0)</f>
        <v>0</v>
      </c>
      <c r="H23" s="11"/>
      <c r="I23" s="11"/>
      <c r="J23" s="21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/>
      <c r="B24" s="22"/>
      <c r="C24" s="11"/>
      <c r="D24" s="11"/>
      <c r="E24" s="11"/>
      <c r="F24" s="12"/>
      <c r="G24" s="23">
        <f>IFERROR(SUMIFS(Transactions!$F$7:$F$996,Transactions!$G$7:$G$996,A24,Transactions!$D$7:$D$996,"Expense"),0)</f>
        <v>0</v>
      </c>
      <c r="H24" s="11"/>
      <c r="I24" s="11"/>
      <c r="J24" s="20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/>
      <c r="B25" s="22"/>
      <c r="C25" s="11"/>
      <c r="D25" s="11"/>
      <c r="E25" s="11"/>
      <c r="F25" s="12"/>
      <c r="G25" s="23">
        <f>IFERROR(SUMIFS(Transactions!$F$7:$F$996,Transactions!$G$7:$G$996,A25,Transactions!$D$7:$D$996,"Expense"),0)</f>
        <v>0</v>
      </c>
      <c r="H25" s="11"/>
      <c r="I25" s="11"/>
      <c r="J25" s="21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/>
      <c r="B26" s="22"/>
      <c r="C26" s="11"/>
      <c r="D26" s="11"/>
      <c r="E26" s="11"/>
      <c r="F26" s="12"/>
      <c r="G26" s="23">
        <f>IFERROR(SUMIFS(Transactions!$F$7:$F$996,Transactions!$G$7:$G$996,A26,Transactions!$D$7:$D$996,"Expense"),0)</f>
        <v>0</v>
      </c>
      <c r="H26" s="11"/>
      <c r="I26" s="11"/>
      <c r="J26" s="20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/>
      <c r="B27" s="22"/>
      <c r="C27" s="11"/>
      <c r="D27" s="11"/>
      <c r="E27" s="11"/>
      <c r="F27" s="12"/>
      <c r="G27" s="23">
        <f>IFERROR(SUMIFS(Transactions!$F$7:$F$996,Transactions!$G$7:$G$996,A27,Transactions!$D$7:$D$996,"Expense"),0)</f>
        <v>0</v>
      </c>
      <c r="H27" s="11"/>
      <c r="I27" s="11"/>
      <c r="J27" s="21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/>
      <c r="B28" s="22"/>
      <c r="C28" s="11"/>
      <c r="D28" s="11"/>
      <c r="E28" s="11"/>
      <c r="F28" s="12"/>
      <c r="G28" s="23">
        <f>IFERROR(SUMIFS(Transactions!$F$7:$F$996,Transactions!$G$7:$G$996,A28,Transactions!$D$7:$D$996,"Expense"),0)</f>
        <v>0</v>
      </c>
      <c r="H28" s="11"/>
      <c r="I28" s="11"/>
      <c r="J28" s="2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/>
      <c r="B29" s="22"/>
      <c r="C29" s="11"/>
      <c r="D29" s="11"/>
      <c r="E29" s="11"/>
      <c r="F29" s="12"/>
      <c r="G29" s="23">
        <f>IFERROR(SUMIFS(Transactions!$F$7:$F$996,Transactions!$G$7:$G$996,A29,Transactions!$D$7:$D$996,"Expense"),0)</f>
        <v>0</v>
      </c>
      <c r="H29" s="11"/>
      <c r="I29" s="11"/>
      <c r="J29" s="21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/>
      <c r="B30" s="22"/>
      <c r="C30" s="11"/>
      <c r="D30" s="11"/>
      <c r="E30" s="11"/>
      <c r="F30" s="12"/>
      <c r="G30" s="23">
        <f>IFERROR(SUMIFS(Transactions!$F$7:$F$996,Transactions!$G$7:$G$996,A30,Transactions!$D$7:$D$996,"Expense"),0)</f>
        <v>0</v>
      </c>
      <c r="H30" s="11"/>
      <c r="I30" s="11"/>
      <c r="J30" s="2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/>
      <c r="B31" s="22"/>
      <c r="C31" s="11"/>
      <c r="D31" s="11"/>
      <c r="E31" s="11"/>
      <c r="F31" s="12"/>
      <c r="G31" s="23">
        <f>IFERROR(SUMIFS(Transactions!$F$7:$F$996,Transactions!$G$7:$G$996,A31,Transactions!$D$7:$D$996,"Expense"),0)</f>
        <v>0</v>
      </c>
      <c r="H31" s="11"/>
      <c r="I31" s="11"/>
      <c r="J31" s="21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/>
      <c r="B32" s="22"/>
      <c r="C32" s="11"/>
      <c r="D32" s="11"/>
      <c r="E32" s="11"/>
      <c r="F32" s="12"/>
      <c r="G32" s="23">
        <f>IFERROR(SUMIFS(Transactions!$F$7:$F$996,Transactions!$G$7:$G$996,A32,Transactions!$D$7:$D$996,"Expense"),0)</f>
        <v>0</v>
      </c>
      <c r="H32" s="11"/>
      <c r="I32" s="11"/>
      <c r="J32" s="2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/>
      <c r="B33" s="22"/>
      <c r="C33" s="11"/>
      <c r="D33" s="11"/>
      <c r="E33" s="11"/>
      <c r="F33" s="12"/>
      <c r="G33" s="23">
        <f>IFERROR(SUMIFS(Transactions!$F$7:$F$996,Transactions!$G$7:$G$996,A33,Transactions!$D$7:$D$996,"Expense"),0)</f>
        <v>0</v>
      </c>
      <c r="H33" s="11"/>
      <c r="I33" s="11"/>
      <c r="J33" s="21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/>
      <c r="B34" s="22"/>
      <c r="C34" s="11"/>
      <c r="D34" s="11"/>
      <c r="E34" s="11"/>
      <c r="F34" s="12"/>
      <c r="G34" s="23">
        <f>IFERROR(SUMIFS(Transactions!$F$7:$F$996,Transactions!$G$7:$G$996,A34,Transactions!$D$7:$D$996,"Expense"),0)</f>
        <v>0</v>
      </c>
      <c r="H34" s="11"/>
      <c r="I34" s="11"/>
      <c r="J34" s="2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/>
      <c r="B35" s="22"/>
      <c r="C35" s="11"/>
      <c r="D35" s="11"/>
      <c r="E35" s="11"/>
      <c r="F35" s="12"/>
      <c r="G35" s="23">
        <f>IFERROR(SUMIFS(Transactions!$F$7:$F$996,Transactions!$G$7:$G$996,A35,Transactions!$D$7:$D$996,"Expense"),0)</f>
        <v>0</v>
      </c>
      <c r="H35" s="11"/>
      <c r="I35" s="11"/>
      <c r="J35" s="21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/>
      <c r="B36" s="22"/>
      <c r="C36" s="11"/>
      <c r="D36" s="11"/>
      <c r="E36" s="11"/>
      <c r="F36" s="12"/>
      <c r="G36" s="23">
        <f>IFERROR(SUMIFS(Transactions!$F$7:$F$996,Transactions!$G$7:$G$996,A36,Transactions!$D$7:$D$996,"Expense"),0)</f>
        <v>0</v>
      </c>
      <c r="H36" s="11"/>
      <c r="I36" s="11"/>
      <c r="J36" s="2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/>
      <c r="B37" s="22"/>
      <c r="C37" s="11"/>
      <c r="D37" s="11"/>
      <c r="E37" s="11"/>
      <c r="F37" s="12"/>
      <c r="G37" s="23">
        <f>IFERROR(SUMIFS(Transactions!$F$7:$F$996,Transactions!$G$7:$G$996,A37,Transactions!$D$7:$D$996,"Expense"),0)</f>
        <v>0</v>
      </c>
      <c r="H37" s="11"/>
      <c r="I37" s="11"/>
      <c r="J37" s="21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/>
      <c r="B38" s="22"/>
      <c r="C38" s="11"/>
      <c r="D38" s="11"/>
      <c r="E38" s="11"/>
      <c r="F38" s="12"/>
      <c r="G38" s="23">
        <f>IFERROR(SUMIFS(Transactions!$F$7:$F$996,Transactions!$G$7:$G$996,A38,Transactions!$D$7:$D$996,"Expense"),0)</f>
        <v>0</v>
      </c>
      <c r="H38" s="11"/>
      <c r="I38" s="11"/>
      <c r="J38" s="2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/>
      <c r="B39" s="22"/>
      <c r="C39" s="11"/>
      <c r="D39" s="11"/>
      <c r="E39" s="11"/>
      <c r="F39" s="12"/>
      <c r="G39" s="23">
        <f>IFERROR(SUMIFS(Transactions!$F$7:$F$996,Transactions!$G$7:$G$996,A39,Transactions!$D$7:$D$996,"Expense"),0)</f>
        <v>0</v>
      </c>
      <c r="H39" s="11"/>
      <c r="I39" s="11"/>
      <c r="J39" s="21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/>
      <c r="B40" s="22"/>
      <c r="C40" s="11"/>
      <c r="D40" s="11"/>
      <c r="E40" s="11"/>
      <c r="F40" s="12"/>
      <c r="G40" s="23">
        <f>IFERROR(SUMIFS(Transactions!$F$7:$F$996,Transactions!$G$7:$G$996,A40,Transactions!$D$7:$D$996,"Expense"),0)</f>
        <v>0</v>
      </c>
      <c r="H40" s="11"/>
      <c r="I40" s="11"/>
      <c r="J40" s="2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22"/>
      <c r="C41" s="11"/>
      <c r="D41" s="11"/>
      <c r="E41" s="11"/>
      <c r="F41" s="12"/>
      <c r="G41" s="23">
        <f>IFERROR(SUMIFS(Transactions!$F$7:$F$996,Transactions!$G$7:$G$996,A41,Transactions!$D$7:$D$996,"Expense"),0)</f>
        <v>0</v>
      </c>
      <c r="H41" s="11"/>
      <c r="I41" s="11"/>
      <c r="J41" s="2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22"/>
      <c r="C42" s="11"/>
      <c r="D42" s="11"/>
      <c r="E42" s="11"/>
      <c r="F42" s="12"/>
      <c r="G42" s="23">
        <f>IFERROR(SUMIFS(Transactions!$F$7:$F$996,Transactions!$G$7:$G$996,A42,Transactions!$D$7:$D$996,"Expense"),0)</f>
        <v>0</v>
      </c>
      <c r="H42" s="11"/>
      <c r="I42" s="11"/>
      <c r="J42" s="2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22"/>
      <c r="C43" s="11"/>
      <c r="D43" s="11"/>
      <c r="E43" s="11"/>
      <c r="F43" s="12"/>
      <c r="G43" s="23">
        <f>IFERROR(SUMIFS(Transactions!$F$7:$F$996,Transactions!$G$7:$G$996,A43,Transactions!$D$7:$D$996,"Expense"),0)</f>
        <v>0</v>
      </c>
      <c r="H43" s="11"/>
      <c r="I43" s="11"/>
      <c r="J43" s="21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22"/>
      <c r="C44" s="11"/>
      <c r="D44" s="11"/>
      <c r="E44" s="11"/>
      <c r="F44" s="12"/>
      <c r="G44" s="23">
        <f>IFERROR(SUMIFS(Transactions!$F$7:$F$996,Transactions!$G$7:$G$996,A44,Transactions!$D$7:$D$996,"Expense"),0)</f>
        <v>0</v>
      </c>
      <c r="H44" s="11"/>
      <c r="I44" s="11"/>
      <c r="J44" s="20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22"/>
      <c r="C45" s="11"/>
      <c r="D45" s="11"/>
      <c r="E45" s="11"/>
      <c r="F45" s="12"/>
      <c r="G45" s="23">
        <f>IFERROR(SUMIFS(Transactions!$F$7:$F$996,Transactions!$G$7:$G$996,A45,Transactions!$D$7:$D$996,"Expense"),0)</f>
        <v>0</v>
      </c>
      <c r="H45" s="11"/>
      <c r="I45" s="11"/>
      <c r="J45" s="21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22"/>
      <c r="C46" s="11"/>
      <c r="D46" s="11"/>
      <c r="E46" s="11"/>
      <c r="F46" s="12"/>
      <c r="G46" s="23">
        <f>IFERROR(SUMIFS(Transactions!$F$7:$F$996,Transactions!$G$7:$G$996,A46,Transactions!$D$7:$D$996,"Expense"),0)</f>
        <v>0</v>
      </c>
      <c r="H46" s="11"/>
      <c r="I46" s="11"/>
      <c r="J46" s="20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22"/>
      <c r="C47" s="11"/>
      <c r="D47" s="11"/>
      <c r="E47" s="11"/>
      <c r="F47" s="12"/>
      <c r="G47" s="23">
        <f>IFERROR(SUMIFS(Transactions!$F$7:$F$996,Transactions!$G$7:$G$996,A47,Transactions!$D$7:$D$996,"Expense"),0)</f>
        <v>0</v>
      </c>
      <c r="H47" s="11"/>
      <c r="I47" s="11"/>
      <c r="J47" s="21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22"/>
      <c r="C48" s="11"/>
      <c r="D48" s="11"/>
      <c r="E48" s="11"/>
      <c r="F48" s="12"/>
      <c r="G48" s="23">
        <f>IFERROR(SUMIFS(Transactions!$F$7:$F$996,Transactions!$G$7:$G$996,A48,Transactions!$D$7:$D$996,"Expense"),0)</f>
        <v>0</v>
      </c>
      <c r="H48" s="11"/>
      <c r="I48" s="11"/>
      <c r="J48" s="20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22"/>
      <c r="C49" s="11"/>
      <c r="D49" s="11"/>
      <c r="E49" s="11"/>
      <c r="F49" s="12"/>
      <c r="G49" s="23">
        <f>IFERROR(SUMIFS(Transactions!$F$7:$F$996,Transactions!$G$7:$G$996,A49,Transactions!$D$7:$D$996,"Expense"),0)</f>
        <v>0</v>
      </c>
      <c r="H49" s="11"/>
      <c r="I49" s="11"/>
      <c r="J49" s="21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22"/>
      <c r="C50" s="11"/>
      <c r="D50" s="11"/>
      <c r="E50" s="11"/>
      <c r="F50" s="12"/>
      <c r="G50" s="23">
        <f>IFERROR(SUMIFS(Transactions!$F$7:$F$996,Transactions!$G$7:$G$996,A50,Transactions!$D$7:$D$996,"Expense"),0)</f>
        <v>0</v>
      </c>
      <c r="H50" s="11"/>
      <c r="I50" s="11"/>
      <c r="J50" s="20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22"/>
      <c r="C51" s="11"/>
      <c r="D51" s="11"/>
      <c r="E51" s="11"/>
      <c r="F51" s="12"/>
      <c r="G51" s="23">
        <f>IFERROR(SUMIFS(Transactions!$F$7:$F$996,Transactions!$G$7:$G$996,A51,Transactions!$D$7:$D$996,"Expense"),0)</f>
        <v>0</v>
      </c>
      <c r="H51" s="11"/>
      <c r="I51" s="11"/>
      <c r="J51" s="21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22"/>
      <c r="C52" s="11"/>
      <c r="D52" s="11"/>
      <c r="E52" s="11"/>
      <c r="F52" s="12"/>
      <c r="G52" s="23">
        <f>IFERROR(SUMIFS(Transactions!$F$7:$F$996,Transactions!$G$7:$G$996,A52,Transactions!$D$7:$D$996,"Expense"),0)</f>
        <v>0</v>
      </c>
      <c r="H52" s="11"/>
      <c r="I52" s="11"/>
      <c r="J52" s="20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22"/>
      <c r="C53" s="11"/>
      <c r="D53" s="11"/>
      <c r="E53" s="11"/>
      <c r="F53" s="12"/>
      <c r="G53" s="23">
        <f>IFERROR(SUMIFS(Transactions!$F$7:$F$996,Transactions!$G$7:$G$996,A53,Transactions!$D$7:$D$996,"Expense"),0)</f>
        <v>0</v>
      </c>
      <c r="H53" s="11"/>
      <c r="I53" s="11"/>
      <c r="J53" s="21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22"/>
      <c r="C54" s="11"/>
      <c r="D54" s="11"/>
      <c r="E54" s="11"/>
      <c r="F54" s="12"/>
      <c r="G54" s="23">
        <f>IFERROR(SUMIFS(Transactions!$F$7:$F$996,Transactions!$G$7:$G$996,A54,Transactions!$D$7:$D$996,"Expense"),0)</f>
        <v>0</v>
      </c>
      <c r="H54" s="11"/>
      <c r="I54" s="11"/>
      <c r="J54" s="20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22"/>
      <c r="C55" s="11"/>
      <c r="D55" s="11"/>
      <c r="E55" s="11"/>
      <c r="F55" s="12"/>
      <c r="G55" s="23">
        <f>IFERROR(SUMIFS(Transactions!$F$7:$F$996,Transactions!$G$7:$G$996,A55,Transactions!$D$7:$D$996,"Expense"),0)</f>
        <v>0</v>
      </c>
      <c r="H55" s="11"/>
      <c r="I55" s="11"/>
      <c r="J55" s="21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22"/>
      <c r="C56" s="11"/>
      <c r="D56" s="11"/>
      <c r="E56" s="11"/>
      <c r="F56" s="12"/>
      <c r="G56" s="23">
        <f>IFERROR(SUMIFS(Transactions!$F$7:$F$996,Transactions!$G$7:$G$996,A56,Transactions!$D$7:$D$996,"Expense"),0)</f>
        <v>0</v>
      </c>
      <c r="H56" s="11"/>
      <c r="I56" s="11"/>
      <c r="J56" s="20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22"/>
      <c r="C57" s="11"/>
      <c r="D57" s="11"/>
      <c r="E57" s="11"/>
      <c r="F57" s="12"/>
      <c r="G57" s="23">
        <f>IFERROR(SUMIFS(Transactions!$F$7:$F$996,Transactions!$G$7:$G$996,A57,Transactions!$D$7:$D$996,"Expense"),0)</f>
        <v>0</v>
      </c>
      <c r="H57" s="11"/>
      <c r="I57" s="11"/>
      <c r="J57" s="21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22"/>
      <c r="C58" s="11"/>
      <c r="D58" s="11"/>
      <c r="E58" s="11"/>
      <c r="F58" s="12"/>
      <c r="G58" s="23">
        <f>IFERROR(SUMIFS(Transactions!$F$7:$F$996,Transactions!$G$7:$G$996,A58,Transactions!$D$7:$D$996,"Expense"),0)</f>
        <v>0</v>
      </c>
      <c r="H58" s="11"/>
      <c r="I58" s="11"/>
      <c r="J58" s="20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22"/>
      <c r="C59" s="11"/>
      <c r="D59" s="11"/>
      <c r="E59" s="11"/>
      <c r="F59" s="12"/>
      <c r="G59" s="23">
        <f>IFERROR(SUMIFS(Transactions!$F$7:$F$996,Transactions!$G$7:$G$996,A59,Transactions!$D$7:$D$996,"Expense"),0)</f>
        <v>0</v>
      </c>
      <c r="H59" s="11"/>
      <c r="I59" s="11"/>
      <c r="J59" s="21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22"/>
      <c r="C60" s="11"/>
      <c r="D60" s="11"/>
      <c r="E60" s="11"/>
      <c r="F60" s="12"/>
      <c r="G60" s="23">
        <f>IFERROR(SUMIFS(Transactions!$F$7:$F$996,Transactions!$G$7:$G$996,A60,Transactions!$D$7:$D$996,"Expense"),0)</f>
        <v>0</v>
      </c>
      <c r="H60" s="11"/>
      <c r="I60" s="11"/>
      <c r="J60" s="2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22"/>
      <c r="C61" s="11"/>
      <c r="D61" s="11"/>
      <c r="E61" s="11"/>
      <c r="F61" s="12"/>
      <c r="G61" s="23">
        <f>IFERROR(SUMIFS(Transactions!$F$7:$F$996,Transactions!$G$7:$G$996,A61,Transactions!$D$7:$D$996,"Expense"),0)</f>
        <v>0</v>
      </c>
      <c r="H61" s="11"/>
      <c r="I61" s="11"/>
      <c r="J61" s="21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22"/>
      <c r="C62" s="11"/>
      <c r="D62" s="11"/>
      <c r="E62" s="11"/>
      <c r="F62" s="12"/>
      <c r="G62" s="23">
        <f>IFERROR(SUMIFS(Transactions!$F$7:$F$996,Transactions!$G$7:$G$996,A62,Transactions!$D$7:$D$996,"Expense"),0)</f>
        <v>0</v>
      </c>
      <c r="H62" s="11"/>
      <c r="I62" s="11"/>
      <c r="J62" s="20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22"/>
      <c r="C63" s="11"/>
      <c r="D63" s="11"/>
      <c r="E63" s="11"/>
      <c r="F63" s="12"/>
      <c r="G63" s="23">
        <f>IFERROR(SUMIFS(Transactions!$F$7:$F$996,Transactions!$G$7:$G$996,A63,Transactions!$D$7:$D$996,"Expense"),0)</f>
        <v>0</v>
      </c>
      <c r="H63" s="11"/>
      <c r="I63" s="11"/>
      <c r="J63" s="2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22"/>
      <c r="C64" s="11"/>
      <c r="D64" s="11"/>
      <c r="E64" s="11"/>
      <c r="F64" s="12"/>
      <c r="G64" s="23">
        <f>IFERROR(SUMIFS(Transactions!$F$7:$F$996,Transactions!$G$7:$G$996,A64,Transactions!$D$7:$D$996,"Expense"),0)</f>
        <v>0</v>
      </c>
      <c r="H64" s="11"/>
      <c r="I64" s="11"/>
      <c r="J64" s="2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22"/>
      <c r="C65" s="11"/>
      <c r="D65" s="11"/>
      <c r="E65" s="11"/>
      <c r="F65" s="12"/>
      <c r="G65" s="23">
        <f>IFERROR(SUMIFS(Transactions!$F$7:$F$996,Transactions!$G$7:$G$996,A65,Transactions!$D$7:$D$996,"Expense"),0)</f>
        <v>0</v>
      </c>
      <c r="H65" s="11"/>
      <c r="I65" s="11"/>
      <c r="J65" s="2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22"/>
      <c r="C66" s="11"/>
      <c r="D66" s="11"/>
      <c r="E66" s="11"/>
      <c r="F66" s="12"/>
      <c r="G66" s="23">
        <f>IFERROR(SUMIFS(Transactions!$F$7:$F$996,Transactions!$G$7:$G$996,A66,Transactions!$D$7:$D$996,"Expense"),0)</f>
        <v>0</v>
      </c>
      <c r="H66" s="11"/>
      <c r="I66" s="11"/>
      <c r="J66" s="2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22"/>
      <c r="C67" s="11"/>
      <c r="D67" s="11"/>
      <c r="E67" s="11"/>
      <c r="F67" s="12"/>
      <c r="G67" s="23">
        <f>IFERROR(SUMIFS(Transactions!$F$7:$F$996,Transactions!$G$7:$G$996,A67,Transactions!$D$7:$D$996,"Expense"),0)</f>
        <v>0</v>
      </c>
      <c r="H67" s="11"/>
      <c r="I67" s="11"/>
      <c r="J67" s="2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22"/>
      <c r="C68" s="11"/>
      <c r="D68" s="11"/>
      <c r="E68" s="11"/>
      <c r="F68" s="12"/>
      <c r="G68" s="23">
        <f>IFERROR(SUMIFS(Transactions!$F$7:$F$996,Transactions!$G$7:$G$996,A68,Transactions!$D$7:$D$996,"Expense"),0)</f>
        <v>0</v>
      </c>
      <c r="H68" s="11"/>
      <c r="I68" s="11"/>
      <c r="J68" s="2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22"/>
      <c r="C69" s="11"/>
      <c r="D69" s="11"/>
      <c r="E69" s="11"/>
      <c r="F69" s="12"/>
      <c r="G69" s="23">
        <f>IFERROR(SUMIFS(Transactions!$F$7:$F$996,Transactions!$G$7:$G$996,A69,Transactions!$D$7:$D$996,"Expense"),0)</f>
        <v>0</v>
      </c>
      <c r="H69" s="11"/>
      <c r="I69" s="11"/>
      <c r="J69" s="2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22"/>
      <c r="C70" s="11"/>
      <c r="D70" s="11"/>
      <c r="E70" s="11"/>
      <c r="F70" s="12"/>
      <c r="G70" s="23">
        <f>IFERROR(SUMIFS(Transactions!$F$7:$F$996,Transactions!$G$7:$G$996,A70,Transactions!$D$7:$D$996,"Expense"),0)</f>
        <v>0</v>
      </c>
      <c r="H70" s="11"/>
      <c r="I70" s="11"/>
      <c r="J70" s="2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22"/>
      <c r="C71" s="11"/>
      <c r="D71" s="11"/>
      <c r="E71" s="11"/>
      <c r="F71" s="12"/>
      <c r="G71" s="23">
        <f>IFERROR(SUMIFS(Transactions!$F$7:$F$996,Transactions!$G$7:$G$996,A71,Transactions!$D$7:$D$996,"Expense"),0)</f>
        <v>0</v>
      </c>
      <c r="H71" s="11"/>
      <c r="I71" s="11"/>
      <c r="J71" s="2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22"/>
      <c r="C72" s="11"/>
      <c r="D72" s="11"/>
      <c r="E72" s="11"/>
      <c r="F72" s="12"/>
      <c r="G72" s="23">
        <f>IFERROR(SUMIFS(Transactions!$F$7:$F$996,Transactions!$G$7:$G$996,A72,Transactions!$D$7:$D$996,"Expense"),0)</f>
        <v>0</v>
      </c>
      <c r="H72" s="11"/>
      <c r="I72" s="11"/>
      <c r="J72" s="2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22"/>
      <c r="C73" s="11"/>
      <c r="D73" s="11"/>
      <c r="E73" s="11"/>
      <c r="F73" s="12"/>
      <c r="G73" s="23">
        <f>IFERROR(SUMIFS(Transactions!$F$7:$F$996,Transactions!$G$7:$G$996,A73,Transactions!$D$7:$D$996,"Expense"),0)</f>
        <v>0</v>
      </c>
      <c r="H73" s="11"/>
      <c r="I73" s="11"/>
      <c r="J73" s="2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22"/>
      <c r="C74" s="11"/>
      <c r="D74" s="11"/>
      <c r="E74" s="11"/>
      <c r="F74" s="12"/>
      <c r="G74" s="23">
        <f>IFERROR(SUMIFS(Transactions!$F$7:$F$996,Transactions!$G$7:$G$996,A74,Transactions!$D$7:$D$996,"Expense"),0)</f>
        <v>0</v>
      </c>
      <c r="H74" s="11"/>
      <c r="I74" s="11"/>
      <c r="J74" s="20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22"/>
      <c r="C75" s="11"/>
      <c r="D75" s="11"/>
      <c r="E75" s="11"/>
      <c r="F75" s="12"/>
      <c r="G75" s="23">
        <f>IFERROR(SUMIFS(Transactions!$F$7:$F$996,Transactions!$G$7:$G$996,A75,Transactions!$D$7:$D$996,"Expense"),0)</f>
        <v>0</v>
      </c>
      <c r="H75" s="11"/>
      <c r="I75" s="11"/>
      <c r="J75" s="21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22"/>
      <c r="C76" s="11"/>
      <c r="D76" s="11"/>
      <c r="E76" s="11"/>
      <c r="F76" s="12"/>
      <c r="G76" s="23">
        <f>IFERROR(SUMIFS(Transactions!$F$7:$F$996,Transactions!$G$7:$G$996,A76,Transactions!$D$7:$D$996,"Expense"),0)</f>
        <v>0</v>
      </c>
      <c r="H76" s="11"/>
      <c r="I76" s="11"/>
      <c r="J76" s="20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22"/>
      <c r="C77" s="11"/>
      <c r="D77" s="11"/>
      <c r="E77" s="11"/>
      <c r="F77" s="12"/>
      <c r="G77" s="23">
        <f>IFERROR(SUMIFS(Transactions!$F$7:$F$996,Transactions!$G$7:$G$996,A77,Transactions!$D$7:$D$996,"Expense"),0)</f>
        <v>0</v>
      </c>
      <c r="H77" s="11"/>
      <c r="I77" s="11"/>
      <c r="J77" s="21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22"/>
      <c r="C78" s="11"/>
      <c r="D78" s="11"/>
      <c r="E78" s="11"/>
      <c r="F78" s="12"/>
      <c r="G78" s="23">
        <f>IFERROR(SUMIFS(Transactions!$F$7:$F$996,Transactions!$G$7:$G$996,A78,Transactions!$D$7:$D$996,"Expense"),0)</f>
        <v>0</v>
      </c>
      <c r="H78" s="11"/>
      <c r="I78" s="11"/>
      <c r="J78" s="2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22"/>
      <c r="C79" s="11"/>
      <c r="D79" s="11"/>
      <c r="E79" s="11"/>
      <c r="F79" s="12"/>
      <c r="G79" s="23">
        <f>IFERROR(SUMIFS(Transactions!$F$7:$F$996,Transactions!$G$7:$G$996,A79,Transactions!$D$7:$D$996,"Expense"),0)</f>
        <v>0</v>
      </c>
      <c r="H79" s="11"/>
      <c r="I79" s="11"/>
      <c r="J79" s="21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22"/>
      <c r="C80" s="11"/>
      <c r="D80" s="11"/>
      <c r="E80" s="11"/>
      <c r="F80" s="12"/>
      <c r="G80" s="23">
        <f>IFERROR(SUMIFS(Transactions!$F$7:$F$996,Transactions!$G$7:$G$996,A80,Transactions!$D$7:$D$996,"Expense"),0)</f>
        <v>0</v>
      </c>
      <c r="H80" s="11"/>
      <c r="I80" s="11"/>
      <c r="J80" s="2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22"/>
      <c r="C81" s="11"/>
      <c r="D81" s="11"/>
      <c r="E81" s="11"/>
      <c r="F81" s="12"/>
      <c r="G81" s="23">
        <f>IFERROR(SUMIFS(Transactions!$F$7:$F$996,Transactions!$G$7:$G$996,A81,Transactions!$D$7:$D$996,"Expense"),0)</f>
        <v>0</v>
      </c>
      <c r="H81" s="11"/>
      <c r="I81" s="11"/>
      <c r="J81" s="21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22"/>
      <c r="C82" s="11"/>
      <c r="D82" s="11"/>
      <c r="E82" s="11"/>
      <c r="F82" s="12"/>
      <c r="G82" s="23">
        <f>IFERROR(SUMIFS(Transactions!$F$7:$F$996,Transactions!$G$7:$G$996,A82,Transactions!$D$7:$D$996,"Expense"),0)</f>
        <v>0</v>
      </c>
      <c r="H82" s="11"/>
      <c r="I82" s="11"/>
      <c r="J82" s="2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22"/>
      <c r="C83" s="11"/>
      <c r="D83" s="11"/>
      <c r="E83" s="11"/>
      <c r="F83" s="12"/>
      <c r="G83" s="23">
        <f>IFERROR(SUMIFS(Transactions!$F$7:$F$996,Transactions!$G$7:$G$996,A83,Transactions!$D$7:$D$996,"Expense"),0)</f>
        <v>0</v>
      </c>
      <c r="H83" s="11"/>
      <c r="I83" s="11"/>
      <c r="J83" s="21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22"/>
      <c r="C84" s="11"/>
      <c r="D84" s="11"/>
      <c r="E84" s="11"/>
      <c r="F84" s="12"/>
      <c r="G84" s="23">
        <f>IFERROR(SUMIFS(Transactions!$F$7:$F$996,Transactions!$G$7:$G$996,A84,Transactions!$D$7:$D$996,"Expense"),0)</f>
        <v>0</v>
      </c>
      <c r="H84" s="11"/>
      <c r="I84" s="11"/>
      <c r="J84" s="2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22"/>
      <c r="C85" s="11"/>
      <c r="D85" s="11"/>
      <c r="E85" s="11"/>
      <c r="F85" s="12"/>
      <c r="G85" s="23">
        <f>IFERROR(SUMIFS(Transactions!$F$7:$F$996,Transactions!$G$7:$G$996,A85,Transactions!$D$7:$D$996,"Expense"),0)</f>
        <v>0</v>
      </c>
      <c r="H85" s="11"/>
      <c r="I85" s="11"/>
      <c r="J85" s="21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22"/>
      <c r="C86" s="11"/>
      <c r="D86" s="11"/>
      <c r="E86" s="11"/>
      <c r="F86" s="12"/>
      <c r="G86" s="23">
        <f>IFERROR(SUMIFS(Transactions!$F$7:$F$996,Transactions!$G$7:$G$996,A86,Transactions!$D$7:$D$996,"Expense"),0)</f>
        <v>0</v>
      </c>
      <c r="H86" s="11"/>
      <c r="I86" s="11"/>
      <c r="J86" s="2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22"/>
      <c r="C87" s="11"/>
      <c r="D87" s="11"/>
      <c r="E87" s="11"/>
      <c r="F87" s="12"/>
      <c r="G87" s="23">
        <f>IFERROR(SUMIFS(Transactions!$F$7:$F$996,Transactions!$G$7:$G$996,A87,Transactions!$D$7:$D$996,"Expense"),0)</f>
        <v>0</v>
      </c>
      <c r="H87" s="11"/>
      <c r="I87" s="11"/>
      <c r="J87" s="21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22"/>
      <c r="C88" s="11"/>
      <c r="D88" s="11"/>
      <c r="E88" s="11"/>
      <c r="F88" s="12"/>
      <c r="G88" s="23">
        <f>IFERROR(SUMIFS(Transactions!$F$7:$F$996,Transactions!$G$7:$G$996,A88,Transactions!$D$7:$D$996,"Expense"),0)</f>
        <v>0</v>
      </c>
      <c r="H88" s="11"/>
      <c r="I88" s="11"/>
      <c r="J88" s="2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22"/>
      <c r="C89" s="11"/>
      <c r="D89" s="11"/>
      <c r="E89" s="11"/>
      <c r="F89" s="12"/>
      <c r="G89" s="23">
        <f>IFERROR(SUMIFS(Transactions!$F$7:$F$996,Transactions!$G$7:$G$996,A89,Transactions!$D$7:$D$996,"Expense"),0)</f>
        <v>0</v>
      </c>
      <c r="H89" s="11"/>
      <c r="I89" s="11"/>
      <c r="J89" s="21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22"/>
      <c r="C90" s="11"/>
      <c r="D90" s="11"/>
      <c r="E90" s="11"/>
      <c r="F90" s="12"/>
      <c r="G90" s="23">
        <f>IFERROR(SUMIFS(Transactions!$F$7:$F$996,Transactions!$G$7:$G$996,A90,Transactions!$D$7:$D$996,"Expense"),0)</f>
        <v>0</v>
      </c>
      <c r="H90" s="11"/>
      <c r="I90" s="11"/>
      <c r="J90" s="2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22"/>
      <c r="C91" s="11"/>
      <c r="D91" s="11"/>
      <c r="E91" s="11"/>
      <c r="F91" s="12"/>
      <c r="G91" s="23">
        <f>IFERROR(SUMIFS(Transactions!$F$7:$F$996,Transactions!$G$7:$G$996,A91,Transactions!$D$7:$D$996,"Expense"),0)</f>
        <v>0</v>
      </c>
      <c r="H91" s="11"/>
      <c r="I91" s="11"/>
      <c r="J91" s="21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22"/>
      <c r="C92" s="11"/>
      <c r="D92" s="11"/>
      <c r="E92" s="11"/>
      <c r="F92" s="12"/>
      <c r="G92" s="23">
        <f>IFERROR(SUMIFS(Transactions!$F$7:$F$996,Transactions!$G$7:$G$996,A92,Transactions!$D$7:$D$996,"Expense"),0)</f>
        <v>0</v>
      </c>
      <c r="H92" s="11"/>
      <c r="I92" s="11"/>
      <c r="J92" s="2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22"/>
      <c r="C93" s="11"/>
      <c r="D93" s="11"/>
      <c r="E93" s="11"/>
      <c r="F93" s="12"/>
      <c r="G93" s="23">
        <f>IFERROR(SUMIFS(Transactions!$F$7:$F$996,Transactions!$G$7:$G$996,A93,Transactions!$D$7:$D$996,"Expense"),0)</f>
        <v>0</v>
      </c>
      <c r="H93" s="11"/>
      <c r="I93" s="11"/>
      <c r="J93" s="2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22"/>
      <c r="C94" s="11"/>
      <c r="D94" s="11"/>
      <c r="E94" s="11"/>
      <c r="F94" s="12"/>
      <c r="G94" s="23">
        <f>IFERROR(SUMIFS(Transactions!$F$7:$F$996,Transactions!$G$7:$G$996,A94,Transactions!$D$7:$D$996,"Expense"),0)</f>
        <v>0</v>
      </c>
      <c r="H94" s="11"/>
      <c r="I94" s="11"/>
      <c r="J94" s="2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22"/>
      <c r="C95" s="11"/>
      <c r="D95" s="11"/>
      <c r="E95" s="11"/>
      <c r="F95" s="12"/>
      <c r="G95" s="23">
        <f>IFERROR(SUMIFS(Transactions!$F$7:$F$996,Transactions!$G$7:$G$996,A95,Transactions!$D$7:$D$996,"Expense"),0)</f>
        <v>0</v>
      </c>
      <c r="H95" s="11"/>
      <c r="I95" s="11"/>
      <c r="J95" s="2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22"/>
      <c r="C96" s="11"/>
      <c r="D96" s="11"/>
      <c r="E96" s="11"/>
      <c r="F96" s="12"/>
      <c r="G96" s="23">
        <f>IFERROR(SUMIFS(Transactions!$F$7:$F$996,Transactions!$G$7:$G$996,A96,Transactions!$D$7:$D$996,"Expense"),0)</f>
        <v>0</v>
      </c>
      <c r="H96" s="11"/>
      <c r="I96" s="11"/>
      <c r="J96" s="2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22"/>
      <c r="C97" s="11"/>
      <c r="D97" s="11"/>
      <c r="E97" s="11"/>
      <c r="F97" s="12"/>
      <c r="G97" s="23">
        <f>IFERROR(SUMIFS(Transactions!$F$7:$F$996,Transactions!$G$7:$G$996,A97,Transactions!$D$7:$D$996,"Expense"),0)</f>
        <v>0</v>
      </c>
      <c r="H97" s="11"/>
      <c r="I97" s="11"/>
      <c r="J97" s="21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22"/>
      <c r="C98" s="11"/>
      <c r="D98" s="11"/>
      <c r="E98" s="11"/>
      <c r="F98" s="12"/>
      <c r="G98" s="23">
        <f>IFERROR(SUMIFS(Transactions!$F$7:$F$996,Transactions!$G$7:$G$996,A98,Transactions!$D$7:$D$996,"Expense"),0)</f>
        <v>0</v>
      </c>
      <c r="H98" s="11"/>
      <c r="I98" s="11"/>
      <c r="J98" s="2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22"/>
      <c r="C99" s="11"/>
      <c r="D99" s="11"/>
      <c r="E99" s="11"/>
      <c r="F99" s="12"/>
      <c r="G99" s="23">
        <f>IFERROR(SUMIFS(Transactions!$F$7:$F$996,Transactions!$G$7:$G$996,A99,Transactions!$D$7:$D$996,"Expense"),0)</f>
        <v>0</v>
      </c>
      <c r="H99" s="11"/>
      <c r="I99" s="11"/>
      <c r="J99" s="21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22"/>
      <c r="C100" s="11"/>
      <c r="D100" s="11"/>
      <c r="E100" s="11"/>
      <c r="F100" s="12"/>
      <c r="G100" s="23">
        <f>IFERROR(SUMIFS(Transactions!$F$7:$F$996,Transactions!$G$7:$G$996,A100,Transactions!$D$7:$D$996,"Expense"),0)</f>
        <v>0</v>
      </c>
      <c r="H100" s="11"/>
      <c r="I100" s="11"/>
      <c r="J100" s="2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22"/>
      <c r="C101" s="11"/>
      <c r="D101" s="11"/>
      <c r="E101" s="11"/>
      <c r="F101" s="12"/>
      <c r="G101" s="23">
        <f>IFERROR(SUMIFS(Transactions!$F$7:$F$996,Transactions!$G$7:$G$996,A101,Transactions!$D$7:$D$996,"Expense"),0)</f>
        <v>0</v>
      </c>
      <c r="H101" s="11"/>
      <c r="I101" s="11"/>
      <c r="J101" s="21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22"/>
      <c r="C102" s="11"/>
      <c r="D102" s="11"/>
      <c r="E102" s="11"/>
      <c r="F102" s="12"/>
      <c r="G102" s="23">
        <f>IFERROR(SUMIFS(Transactions!$F$7:$F$996,Transactions!$G$7:$G$996,A102,Transactions!$D$7:$D$996,"Expense"),0)</f>
        <v>0</v>
      </c>
      <c r="H102" s="11"/>
      <c r="I102" s="11"/>
      <c r="J102" s="2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22"/>
      <c r="C103" s="11"/>
      <c r="D103" s="11"/>
      <c r="E103" s="11"/>
      <c r="F103" s="12"/>
      <c r="G103" s="23">
        <f>IFERROR(SUMIFS(Transactions!$F$7:$F$996,Transactions!$G$7:$G$996,A103,Transactions!$D$7:$D$996,"Expense"),0)</f>
        <v>0</v>
      </c>
      <c r="H103" s="11"/>
      <c r="I103" s="11"/>
      <c r="J103" s="21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22"/>
      <c r="C104" s="11"/>
      <c r="D104" s="11"/>
      <c r="E104" s="11"/>
      <c r="F104" s="12"/>
      <c r="G104" s="23">
        <f>IFERROR(SUMIFS(Transactions!$F$7:$F$996,Transactions!$G$7:$G$996,A104,Transactions!$D$7:$D$996,"Expense"),0)</f>
        <v>0</v>
      </c>
      <c r="H104" s="11"/>
      <c r="I104" s="11"/>
      <c r="J104" s="1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22"/>
      <c r="C105" s="11"/>
      <c r="D105" s="11"/>
      <c r="E105" s="11"/>
      <c r="F105" s="12"/>
      <c r="G105" s="23">
        <f>IFERROR(SUMIFS(Transactions!$F$7:$F$996,Transactions!$G$7:$G$996,A105,Transactions!$D$7:$D$996,"Expense"),0)</f>
        <v>0</v>
      </c>
      <c r="H105" s="11"/>
      <c r="I105" s="11"/>
      <c r="J105" s="1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22"/>
      <c r="C106" s="11"/>
      <c r="D106" s="11"/>
      <c r="E106" s="11"/>
      <c r="F106" s="12"/>
      <c r="G106" s="23">
        <f>IFERROR(SUMIFS(Transactions!$F$7:$F$996,Transactions!$G$7:$G$996,A106,Transactions!$D$7:$D$996,"Expense"),0)</f>
        <v>0</v>
      </c>
      <c r="H106" s="11"/>
      <c r="I106" s="11"/>
      <c r="J106" s="1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22"/>
      <c r="C107" s="11"/>
      <c r="D107" s="11"/>
      <c r="E107" s="11"/>
      <c r="F107" s="12"/>
      <c r="G107" s="23">
        <f>IFERROR(SUMIFS(Transactions!$F$7:$F$996,Transactions!$G$7:$G$996,A107,Transactions!$D$7:$D$996,"Expense"),0)</f>
        <v>0</v>
      </c>
      <c r="H107" s="11"/>
      <c r="I107" s="11"/>
      <c r="J107" s="1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22"/>
      <c r="C108" s="11"/>
      <c r="D108" s="11"/>
      <c r="E108" s="11"/>
      <c r="F108" s="12"/>
      <c r="G108" s="23">
        <f>IFERROR(SUMIFS(Transactions!$F$7:$F$996,Transactions!$G$7:$G$996,A108,Transactions!$D$7:$D$996,"Expense"),0)</f>
        <v>0</v>
      </c>
      <c r="H108" s="11"/>
      <c r="I108" s="11"/>
      <c r="J108" s="1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22"/>
      <c r="C109" s="11"/>
      <c r="D109" s="11"/>
      <c r="E109" s="11"/>
      <c r="F109" s="12"/>
      <c r="G109" s="23">
        <f>IFERROR(SUMIFS(Transactions!$F$7:$F$996,Transactions!$G$7:$G$996,A109,Transactions!$D$7:$D$996,"Expense"),0)</f>
        <v>0</v>
      </c>
      <c r="H109" s="11"/>
      <c r="I109" s="11"/>
      <c r="J109" s="1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22"/>
      <c r="C110" s="11"/>
      <c r="D110" s="11"/>
      <c r="E110" s="11"/>
      <c r="F110" s="12"/>
      <c r="G110" s="23">
        <f>IFERROR(SUMIFS(Transactions!$F$7:$F$996,Transactions!$G$7:$G$996,A110,Transactions!$D$7:$D$996,"Expense"),0)</f>
        <v>0</v>
      </c>
      <c r="H110" s="11"/>
      <c r="I110" s="11"/>
      <c r="J110" s="1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22"/>
      <c r="C111" s="11"/>
      <c r="D111" s="11"/>
      <c r="E111" s="11"/>
      <c r="F111" s="12"/>
      <c r="G111" s="23">
        <f>IFERROR(SUMIFS(Transactions!$F$7:$F$996,Transactions!$G$7:$G$996,A111,Transactions!$D$7:$D$996,"Expense"),0)</f>
        <v>0</v>
      </c>
      <c r="H111" s="11"/>
      <c r="I111" s="11"/>
      <c r="J111" s="1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22"/>
      <c r="C112" s="11"/>
      <c r="D112" s="11"/>
      <c r="E112" s="11"/>
      <c r="F112" s="12"/>
      <c r="G112" s="23">
        <f>IFERROR(SUMIFS(Transactions!$F$7:$F$996,Transactions!$G$7:$G$996,A112,Transactions!$D$7:$D$996,"Expense"),0)</f>
        <v>0</v>
      </c>
      <c r="H112" s="11"/>
      <c r="I112" s="11"/>
      <c r="J112" s="1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22"/>
      <c r="C113" s="11"/>
      <c r="D113" s="11"/>
      <c r="E113" s="11"/>
      <c r="F113" s="12"/>
      <c r="G113" s="23">
        <f>IFERROR(SUMIFS(Transactions!$F$7:$F$996,Transactions!$G$7:$G$996,A113,Transactions!$D$7:$D$996,"Expense"),0)</f>
        <v>0</v>
      </c>
      <c r="H113" s="11"/>
      <c r="I113" s="11"/>
      <c r="J113" s="1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22"/>
      <c r="C114" s="11"/>
      <c r="D114" s="11"/>
      <c r="E114" s="11"/>
      <c r="F114" s="12"/>
      <c r="G114" s="23">
        <f>IFERROR(SUMIFS(Transactions!$F$7:$F$996,Transactions!$G$7:$G$996,A114,Transactions!$D$7:$D$996,"Expense"),0)</f>
        <v>0</v>
      </c>
      <c r="H114" s="11"/>
      <c r="I114" s="11"/>
      <c r="J114" s="1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22"/>
      <c r="C115" s="11"/>
      <c r="D115" s="11"/>
      <c r="E115" s="11"/>
      <c r="F115" s="12"/>
      <c r="G115" s="23">
        <f>IFERROR(SUMIFS(Transactions!$F$7:$F$996,Transactions!$G$7:$G$996,A115,Transactions!$D$7:$D$996,"Expense"),0)</f>
        <v>0</v>
      </c>
      <c r="H115" s="11"/>
      <c r="I115" s="11"/>
      <c r="J115" s="1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22"/>
      <c r="C116" s="11"/>
      <c r="D116" s="11"/>
      <c r="E116" s="11"/>
      <c r="F116" s="12"/>
      <c r="G116" s="23">
        <f>IFERROR(SUMIFS(Transactions!$F$7:$F$996,Transactions!$G$7:$G$996,A116,Transactions!$D$7:$D$996,"Expense"),0)</f>
        <v>0</v>
      </c>
      <c r="H116" s="11"/>
      <c r="I116" s="11"/>
      <c r="J116" s="1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22"/>
      <c r="C117" s="11"/>
      <c r="D117" s="11"/>
      <c r="E117" s="11"/>
      <c r="F117" s="12"/>
      <c r="G117" s="23">
        <f>IFERROR(SUMIFS(Transactions!$F$7:$F$996,Transactions!$G$7:$G$996,A117,Transactions!$D$7:$D$996,"Expense"),0)</f>
        <v>0</v>
      </c>
      <c r="H117" s="11"/>
      <c r="I117" s="11"/>
      <c r="J117" s="1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22"/>
      <c r="C118" s="11"/>
      <c r="D118" s="11"/>
      <c r="E118" s="11"/>
      <c r="F118" s="12"/>
      <c r="G118" s="23">
        <f>IFERROR(SUMIFS(Transactions!$F$7:$F$996,Transactions!$G$7:$G$996,A118,Transactions!$D$7:$D$996,"Expense"),0)</f>
        <v>0</v>
      </c>
      <c r="H118" s="11"/>
      <c r="I118" s="11"/>
      <c r="J118" s="1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22"/>
      <c r="C119" s="11"/>
      <c r="D119" s="11"/>
      <c r="E119" s="11"/>
      <c r="F119" s="12"/>
      <c r="G119" s="23">
        <f>IFERROR(SUMIFS(Transactions!$F$7:$F$996,Transactions!$G$7:$G$996,A119,Transactions!$D$7:$D$996,"Expense"),0)</f>
        <v>0</v>
      </c>
      <c r="H119" s="11"/>
      <c r="I119" s="11"/>
      <c r="J119" s="1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22"/>
      <c r="C120" s="11"/>
      <c r="D120" s="11"/>
      <c r="E120" s="11"/>
      <c r="F120" s="12"/>
      <c r="G120" s="23">
        <f>IFERROR(SUMIFS(Transactions!$F$7:$F$996,Transactions!$G$7:$G$996,A120,Transactions!$D$7:$D$996,"Expense"),0)</f>
        <v>0</v>
      </c>
      <c r="H120" s="11"/>
      <c r="I120" s="11"/>
      <c r="J120" s="1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22"/>
      <c r="C121" s="11"/>
      <c r="D121" s="11"/>
      <c r="E121" s="11"/>
      <c r="F121" s="12"/>
      <c r="G121" s="23">
        <f>IFERROR(SUMIFS(Transactions!$F$7:$F$996,Transactions!$G$7:$G$996,A121,Transactions!$D$7:$D$996,"Expense"),0)</f>
        <v>0</v>
      </c>
      <c r="H121" s="11"/>
      <c r="I121" s="11"/>
      <c r="J121" s="1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22"/>
      <c r="C122" s="11"/>
      <c r="D122" s="11"/>
      <c r="E122" s="11"/>
      <c r="F122" s="12"/>
      <c r="G122" s="23">
        <f>IFERROR(SUMIFS(Transactions!$F$7:$F$996,Transactions!$G$7:$G$996,A122,Transactions!$D$7:$D$996,"Expense"),0)</f>
        <v>0</v>
      </c>
      <c r="H122" s="11"/>
      <c r="I122" s="11"/>
      <c r="J122" s="1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22"/>
      <c r="C123" s="11"/>
      <c r="D123" s="11"/>
      <c r="E123" s="11"/>
      <c r="F123" s="12"/>
      <c r="G123" s="23">
        <f>IFERROR(SUMIFS(Transactions!$F$7:$F$996,Transactions!$G$7:$G$996,A123,Transactions!$D$7:$D$996,"Expense"),0)</f>
        <v>0</v>
      </c>
      <c r="H123" s="11"/>
      <c r="I123" s="11"/>
      <c r="J123" s="1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22"/>
      <c r="C124" s="11"/>
      <c r="D124" s="11"/>
      <c r="E124" s="11"/>
      <c r="F124" s="12"/>
      <c r="G124" s="23">
        <f>IFERROR(SUMIFS(Transactions!$F$7:$F$996,Transactions!$G$7:$G$996,A124,Transactions!$D$7:$D$996,"Expense"),0)</f>
        <v>0</v>
      </c>
      <c r="H124" s="11"/>
      <c r="I124" s="11"/>
      <c r="J124" s="1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22"/>
      <c r="C125" s="11"/>
      <c r="D125" s="11"/>
      <c r="E125" s="11"/>
      <c r="F125" s="12"/>
      <c r="G125" s="23">
        <f>IFERROR(SUMIFS(Transactions!$F$7:$F$996,Transactions!$G$7:$G$996,A125,Transactions!$D$7:$D$996,"Expense"),0)</f>
        <v>0</v>
      </c>
      <c r="H125" s="11"/>
      <c r="I125" s="11"/>
      <c r="J125" s="1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22"/>
      <c r="C126" s="11"/>
      <c r="D126" s="11"/>
      <c r="E126" s="11"/>
      <c r="F126" s="12"/>
      <c r="G126" s="23">
        <f>IFERROR(SUMIFS(Transactions!$F$7:$F$996,Transactions!$G$7:$G$996,A126,Transactions!$D$7:$D$996,"Expense"),0)</f>
        <v>0</v>
      </c>
      <c r="H126" s="11"/>
      <c r="I126" s="11"/>
      <c r="J126" s="1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22"/>
      <c r="C127" s="11"/>
      <c r="D127" s="11"/>
      <c r="E127" s="11"/>
      <c r="F127" s="12"/>
      <c r="G127" s="23">
        <f>IFERROR(SUMIFS(Transactions!$F$7:$F$996,Transactions!$G$7:$G$996,A127,Transactions!$D$7:$D$996,"Expense"),0)</f>
        <v>0</v>
      </c>
      <c r="H127" s="11"/>
      <c r="I127" s="11"/>
      <c r="J127" s="1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22"/>
      <c r="C128" s="11"/>
      <c r="D128" s="11"/>
      <c r="E128" s="11"/>
      <c r="F128" s="12"/>
      <c r="G128" s="23">
        <f>IFERROR(SUMIFS(Transactions!$F$7:$F$996,Transactions!$G$7:$G$996,A128,Transactions!$D$7:$D$996,"Expense"),0)</f>
        <v>0</v>
      </c>
      <c r="H128" s="11"/>
      <c r="I128" s="11"/>
      <c r="J128" s="1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22"/>
      <c r="C129" s="11"/>
      <c r="D129" s="11"/>
      <c r="E129" s="11"/>
      <c r="F129" s="12"/>
      <c r="G129" s="23">
        <f>IFERROR(SUMIFS(Transactions!$F$7:$F$996,Transactions!$G$7:$G$996,A129,Transactions!$D$7:$D$996,"Expense"),0)</f>
        <v>0</v>
      </c>
      <c r="H129" s="11"/>
      <c r="I129" s="11"/>
      <c r="J129" s="1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22"/>
      <c r="C130" s="11"/>
      <c r="D130" s="11"/>
      <c r="E130" s="11"/>
      <c r="F130" s="12"/>
      <c r="G130" s="23">
        <f>IFERROR(SUMIFS(Transactions!$F$7:$F$996,Transactions!$G$7:$G$996,A130,Transactions!$D$7:$D$996,"Expense"),0)</f>
        <v>0</v>
      </c>
      <c r="H130" s="11"/>
      <c r="I130" s="11"/>
      <c r="J130" s="1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22"/>
      <c r="C131" s="11"/>
      <c r="D131" s="11"/>
      <c r="E131" s="11"/>
      <c r="F131" s="12"/>
      <c r="G131" s="23">
        <f>IFERROR(SUMIFS(Transactions!$F$7:$F$996,Transactions!$G$7:$G$996,A131,Transactions!$D$7:$D$996,"Expense"),0)</f>
        <v>0</v>
      </c>
      <c r="H131" s="11"/>
      <c r="I131" s="11"/>
      <c r="J131" s="1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22"/>
      <c r="C132" s="11"/>
      <c r="D132" s="11"/>
      <c r="E132" s="11"/>
      <c r="F132" s="12"/>
      <c r="G132" s="23">
        <f>IFERROR(SUMIFS(Transactions!$F$7:$F$996,Transactions!$G$7:$G$996,A132,Transactions!$D$7:$D$996,"Expense"),0)</f>
        <v>0</v>
      </c>
      <c r="H132" s="11"/>
      <c r="I132" s="11"/>
      <c r="J132" s="1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22"/>
      <c r="C133" s="11"/>
      <c r="D133" s="11"/>
      <c r="E133" s="11"/>
      <c r="F133" s="12"/>
      <c r="G133" s="23">
        <f>IFERROR(SUMIFS(Transactions!$F$7:$F$996,Transactions!$G$7:$G$996,A133,Transactions!$D$7:$D$996,"Expense"),0)</f>
        <v>0</v>
      </c>
      <c r="H133" s="11"/>
      <c r="I133" s="11"/>
      <c r="J133" s="1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22"/>
      <c r="C134" s="11"/>
      <c r="D134" s="11"/>
      <c r="E134" s="11"/>
      <c r="F134" s="12"/>
      <c r="G134" s="23">
        <f>IFERROR(SUMIFS(Transactions!$F$7:$F$996,Transactions!$G$7:$G$996,A134,Transactions!$D$7:$D$996,"Expense"),0)</f>
        <v>0</v>
      </c>
      <c r="H134" s="11"/>
      <c r="I134" s="11"/>
      <c r="J134" s="1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22"/>
      <c r="C135" s="11"/>
      <c r="D135" s="11"/>
      <c r="E135" s="11"/>
      <c r="F135" s="12"/>
      <c r="G135" s="23">
        <f>IFERROR(SUMIFS(Transactions!$F$7:$F$996,Transactions!$G$7:$G$996,A135,Transactions!$D$7:$D$996,"Expense"),0)</f>
        <v>0</v>
      </c>
      <c r="H135" s="11"/>
      <c r="I135" s="11"/>
      <c r="J135" s="1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22"/>
      <c r="C136" s="11"/>
      <c r="D136" s="11"/>
      <c r="E136" s="11"/>
      <c r="F136" s="12"/>
      <c r="G136" s="23">
        <f>IFERROR(SUMIFS(Transactions!$F$7:$F$996,Transactions!$G$7:$G$996,A136,Transactions!$D$7:$D$996,"Expense"),0)</f>
        <v>0</v>
      </c>
      <c r="H136" s="11"/>
      <c r="I136" s="11"/>
      <c r="J136" s="1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22"/>
      <c r="C137" s="11"/>
      <c r="D137" s="11"/>
      <c r="E137" s="11"/>
      <c r="F137" s="12"/>
      <c r="G137" s="23">
        <f>IFERROR(SUMIFS(Transactions!$F$7:$F$996,Transactions!$G$7:$G$996,A137,Transactions!$D$7:$D$996,"Expense"),0)</f>
        <v>0</v>
      </c>
      <c r="H137" s="11"/>
      <c r="I137" s="11"/>
      <c r="J137" s="1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22"/>
      <c r="C138" s="11"/>
      <c r="D138" s="11"/>
      <c r="E138" s="11"/>
      <c r="F138" s="12"/>
      <c r="G138" s="23">
        <f>IFERROR(SUMIFS(Transactions!$F$7:$F$996,Transactions!$G$7:$G$996,A138,Transactions!$D$7:$D$996,"Expense"),0)</f>
        <v>0</v>
      </c>
      <c r="H138" s="11"/>
      <c r="I138" s="11"/>
      <c r="J138" s="1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22"/>
      <c r="C139" s="11"/>
      <c r="D139" s="11"/>
      <c r="E139" s="11"/>
      <c r="F139" s="12"/>
      <c r="G139" s="23">
        <f>IFERROR(SUMIFS(Transactions!$F$7:$F$996,Transactions!$G$7:$G$996,A139,Transactions!$D$7:$D$996,"Expense"),0)</f>
        <v>0</v>
      </c>
      <c r="H139" s="11"/>
      <c r="I139" s="11"/>
      <c r="J139" s="1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22"/>
      <c r="C140" s="11"/>
      <c r="D140" s="11"/>
      <c r="E140" s="11"/>
      <c r="F140" s="12"/>
      <c r="G140" s="23">
        <f>IFERROR(SUMIFS(Transactions!$F$7:$F$996,Transactions!$G$7:$G$996,A140,Transactions!$D$7:$D$996,"Expense"),0)</f>
        <v>0</v>
      </c>
      <c r="H140" s="11"/>
      <c r="I140" s="11"/>
      <c r="J140" s="1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22"/>
      <c r="C141" s="11"/>
      <c r="D141" s="11"/>
      <c r="E141" s="11"/>
      <c r="F141" s="12"/>
      <c r="G141" s="23">
        <f>IFERROR(SUMIFS(Transactions!$F$7:$F$996,Transactions!$G$7:$G$996,A141,Transactions!$D$7:$D$996,"Expense"),0)</f>
        <v>0</v>
      </c>
      <c r="H141" s="11"/>
      <c r="I141" s="11"/>
      <c r="J141" s="1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22"/>
      <c r="C142" s="11"/>
      <c r="D142" s="11"/>
      <c r="E142" s="11"/>
      <c r="F142" s="12"/>
      <c r="G142" s="23">
        <f>IFERROR(SUMIFS(Transactions!$F$7:$F$996,Transactions!$G$7:$G$996,A142,Transactions!$D$7:$D$996,"Expense"),0)</f>
        <v>0</v>
      </c>
      <c r="H142" s="11"/>
      <c r="I142" s="11"/>
      <c r="J142" s="1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22"/>
      <c r="C143" s="11"/>
      <c r="D143" s="11"/>
      <c r="E143" s="11"/>
      <c r="F143" s="12"/>
      <c r="G143" s="23">
        <f>IFERROR(SUMIFS(Transactions!$F$7:$F$996,Transactions!$G$7:$G$996,A143,Transactions!$D$7:$D$996,"Expense"),0)</f>
        <v>0</v>
      </c>
      <c r="H143" s="11"/>
      <c r="I143" s="11"/>
      <c r="J143" s="1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22"/>
      <c r="C144" s="11"/>
      <c r="D144" s="11"/>
      <c r="E144" s="11"/>
      <c r="F144" s="12"/>
      <c r="G144" s="23">
        <f>IFERROR(SUMIFS(Transactions!$F$7:$F$996,Transactions!$G$7:$G$996,A144,Transactions!$D$7:$D$996,"Expense"),0)</f>
        <v>0</v>
      </c>
      <c r="H144" s="11"/>
      <c r="I144" s="11"/>
      <c r="J144" s="1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22"/>
      <c r="C145" s="11"/>
      <c r="D145" s="11"/>
      <c r="E145" s="11"/>
      <c r="F145" s="12"/>
      <c r="G145" s="23">
        <f>IFERROR(SUMIFS(Transactions!$F$7:$F$996,Transactions!$G$7:$G$996,A145,Transactions!$D$7:$D$996,"Expense"),0)</f>
        <v>0</v>
      </c>
      <c r="H145" s="11"/>
      <c r="I145" s="11"/>
      <c r="J145" s="1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22"/>
      <c r="C146" s="11"/>
      <c r="D146" s="11"/>
      <c r="E146" s="11"/>
      <c r="F146" s="12"/>
      <c r="G146" s="23">
        <f>IFERROR(SUMIFS(Transactions!$F$7:$F$996,Transactions!$G$7:$G$996,A146,Transactions!$D$7:$D$996,"Expense"),0)</f>
        <v>0</v>
      </c>
      <c r="H146" s="11"/>
      <c r="I146" s="11"/>
      <c r="J146" s="1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22"/>
      <c r="C147" s="11"/>
      <c r="D147" s="11"/>
      <c r="E147" s="11"/>
      <c r="F147" s="12"/>
      <c r="G147" s="23">
        <f>IFERROR(SUMIFS(Transactions!$F$7:$F$996,Transactions!$G$7:$G$996,A147,Transactions!$D$7:$D$996,"Expense"),0)</f>
        <v>0</v>
      </c>
      <c r="H147" s="11"/>
      <c r="I147" s="11"/>
      <c r="J147" s="1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22"/>
      <c r="C148" s="11"/>
      <c r="D148" s="11"/>
      <c r="E148" s="11"/>
      <c r="F148" s="12"/>
      <c r="G148" s="23">
        <f>IFERROR(SUMIFS(Transactions!$F$7:$F$996,Transactions!$G$7:$G$996,A148,Transactions!$D$7:$D$996,"Expense"),0)</f>
        <v>0</v>
      </c>
      <c r="H148" s="11"/>
      <c r="I148" s="11"/>
      <c r="J148" s="1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22"/>
      <c r="C149" s="11"/>
      <c r="D149" s="11"/>
      <c r="E149" s="11"/>
      <c r="F149" s="12"/>
      <c r="G149" s="23">
        <f>IFERROR(SUMIFS(Transactions!$F$7:$F$996,Transactions!$G$7:$G$996,A149,Transactions!$D$7:$D$996,"Expense"),0)</f>
        <v>0</v>
      </c>
      <c r="H149" s="11"/>
      <c r="I149" s="11"/>
      <c r="J149" s="1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22"/>
      <c r="C150" s="11"/>
      <c r="D150" s="11"/>
      <c r="E150" s="11"/>
      <c r="F150" s="12"/>
      <c r="G150" s="23">
        <f>IFERROR(SUMIFS(Transactions!$F$7:$F$996,Transactions!$G$7:$G$996,A150,Transactions!$D$7:$D$996,"Expense"),0)</f>
        <v>0</v>
      </c>
      <c r="H150" s="11"/>
      <c r="I150" s="11"/>
      <c r="J150" s="1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22"/>
      <c r="C151" s="11"/>
      <c r="D151" s="11"/>
      <c r="E151" s="11"/>
      <c r="F151" s="12"/>
      <c r="G151" s="23">
        <f>IFERROR(SUMIFS(Transactions!$F$7:$F$996,Transactions!$G$7:$G$996,A151,Transactions!$D$7:$D$996,"Expense"),0)</f>
        <v>0</v>
      </c>
      <c r="H151" s="11"/>
      <c r="I151" s="11"/>
      <c r="J151" s="1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22"/>
      <c r="C152" s="11"/>
      <c r="D152" s="11"/>
      <c r="E152" s="11"/>
      <c r="F152" s="12"/>
      <c r="G152" s="23">
        <f>IFERROR(SUMIFS(Transactions!$F$7:$F$996,Transactions!$G$7:$G$996,A152,Transactions!$D$7:$D$996,"Expense"),0)</f>
        <v>0</v>
      </c>
      <c r="H152" s="11"/>
      <c r="I152" s="11"/>
      <c r="J152" s="1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22"/>
      <c r="C153" s="11"/>
      <c r="D153" s="11"/>
      <c r="E153" s="11"/>
      <c r="F153" s="12"/>
      <c r="G153" s="23">
        <f>IFERROR(SUMIFS(Transactions!$F$7:$F$996,Transactions!$G$7:$G$996,A153,Transactions!$D$7:$D$996,"Expense"),0)</f>
        <v>0</v>
      </c>
      <c r="H153" s="11"/>
      <c r="I153" s="11"/>
      <c r="J153" s="1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22"/>
      <c r="C154" s="11"/>
      <c r="D154" s="11"/>
      <c r="E154" s="11"/>
      <c r="F154" s="12"/>
      <c r="G154" s="23">
        <f>IFERROR(SUMIFS(Transactions!$F$7:$F$996,Transactions!$G$7:$G$996,A154,Transactions!$D$7:$D$996,"Expense"),0)</f>
        <v>0</v>
      </c>
      <c r="H154" s="11"/>
      <c r="I154" s="11"/>
      <c r="J154" s="1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22"/>
      <c r="C155" s="11"/>
      <c r="D155" s="11"/>
      <c r="E155" s="11"/>
      <c r="F155" s="12"/>
      <c r="G155" s="23">
        <f>IFERROR(SUMIFS(Transactions!$F$7:$F$996,Transactions!$G$7:$G$996,A155,Transactions!$D$7:$D$996,"Expense"),0)</f>
        <v>0</v>
      </c>
      <c r="H155" s="11"/>
      <c r="I155" s="11"/>
      <c r="J155" s="1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22"/>
      <c r="C156" s="11"/>
      <c r="D156" s="11"/>
      <c r="E156" s="11"/>
      <c r="F156" s="12"/>
      <c r="G156" s="23">
        <f>IFERROR(SUMIFS(Transactions!$F$7:$F$996,Transactions!$G$7:$G$996,A156,Transactions!$D$7:$D$996,"Expense"),0)</f>
        <v>0</v>
      </c>
      <c r="H156" s="11"/>
      <c r="I156" s="11"/>
      <c r="J156" s="1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22"/>
      <c r="C157" s="11"/>
      <c r="D157" s="11"/>
      <c r="E157" s="11"/>
      <c r="F157" s="12"/>
      <c r="G157" s="23">
        <f>IFERROR(SUMIFS(Transactions!$F$7:$F$996,Transactions!$G$7:$G$996,A157,Transactions!$D$7:$D$996,"Expense"),0)</f>
        <v>0</v>
      </c>
      <c r="H157" s="11"/>
      <c r="I157" s="11"/>
      <c r="J157" s="1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22"/>
      <c r="C158" s="11"/>
      <c r="D158" s="11"/>
      <c r="E158" s="11"/>
      <c r="F158" s="12"/>
      <c r="G158" s="23">
        <f>IFERROR(SUMIFS(Transactions!$F$7:$F$996,Transactions!$G$7:$G$996,A158,Transactions!$D$7:$D$996,"Expense"),0)</f>
        <v>0</v>
      </c>
      <c r="H158" s="11"/>
      <c r="I158" s="11"/>
      <c r="J158" s="1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22"/>
      <c r="C159" s="11"/>
      <c r="D159" s="11"/>
      <c r="E159" s="11"/>
      <c r="F159" s="12"/>
      <c r="G159" s="23">
        <f>IFERROR(SUMIFS(Transactions!$F$7:$F$996,Transactions!$G$7:$G$996,A159,Transactions!$D$7:$D$996,"Expense"),0)</f>
        <v>0</v>
      </c>
      <c r="H159" s="11"/>
      <c r="I159" s="11"/>
      <c r="J159" s="1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22"/>
      <c r="C160" s="11"/>
      <c r="D160" s="11"/>
      <c r="E160" s="11"/>
      <c r="F160" s="12"/>
      <c r="G160" s="23">
        <f>IFERROR(SUMIFS(Transactions!$F$7:$F$996,Transactions!$G$7:$G$996,A160,Transactions!$D$7:$D$996,"Expense"),0)</f>
        <v>0</v>
      </c>
      <c r="H160" s="11"/>
      <c r="I160" s="11"/>
      <c r="J160" s="1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22"/>
      <c r="C161" s="11"/>
      <c r="D161" s="11"/>
      <c r="E161" s="11"/>
      <c r="F161" s="12"/>
      <c r="G161" s="23">
        <f>IFERROR(SUMIFS(Transactions!$F$7:$F$996,Transactions!$G$7:$G$996,A161,Transactions!$D$7:$D$996,"Expense"),0)</f>
        <v>0</v>
      </c>
      <c r="H161" s="11"/>
      <c r="I161" s="11"/>
      <c r="J161" s="1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22"/>
      <c r="C162" s="11"/>
      <c r="D162" s="11"/>
      <c r="E162" s="11"/>
      <c r="F162" s="12"/>
      <c r="G162" s="23">
        <f>IFERROR(SUMIFS(Transactions!$F$7:$F$996,Transactions!$G$7:$G$996,A162,Transactions!$D$7:$D$996,"Expense"),0)</f>
        <v>0</v>
      </c>
      <c r="H162" s="11"/>
      <c r="I162" s="11"/>
      <c r="J162" s="1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22"/>
      <c r="C163" s="11"/>
      <c r="D163" s="11"/>
      <c r="E163" s="11"/>
      <c r="F163" s="12"/>
      <c r="G163" s="23">
        <f>IFERROR(SUMIFS(Transactions!$F$7:$F$996,Transactions!$G$7:$G$996,A163,Transactions!$D$7:$D$996,"Expense"),0)</f>
        <v>0</v>
      </c>
      <c r="H163" s="11"/>
      <c r="I163" s="11"/>
      <c r="J163" s="1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22"/>
      <c r="C164" s="11"/>
      <c r="D164" s="11"/>
      <c r="E164" s="11"/>
      <c r="F164" s="12"/>
      <c r="G164" s="23">
        <f>IFERROR(SUMIFS(Transactions!$F$7:$F$996,Transactions!$G$7:$G$996,A164,Transactions!$D$7:$D$996,"Expense"),0)</f>
        <v>0</v>
      </c>
      <c r="H164" s="11"/>
      <c r="I164" s="11"/>
      <c r="J164" s="1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22"/>
      <c r="C165" s="11"/>
      <c r="D165" s="11"/>
      <c r="E165" s="11"/>
      <c r="F165" s="12"/>
      <c r="G165" s="23">
        <f>IFERROR(SUMIFS(Transactions!$F$7:$F$996,Transactions!$G$7:$G$996,A165,Transactions!$D$7:$D$996,"Expense"),0)</f>
        <v>0</v>
      </c>
      <c r="H165" s="11"/>
      <c r="I165" s="11"/>
      <c r="J165" s="1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22"/>
      <c r="C166" s="11"/>
      <c r="D166" s="11"/>
      <c r="E166" s="11"/>
      <c r="F166" s="12"/>
      <c r="G166" s="23">
        <f>IFERROR(SUMIFS(Transactions!$F$7:$F$996,Transactions!$G$7:$G$996,A166,Transactions!$D$7:$D$996,"Expense"),0)</f>
        <v>0</v>
      </c>
      <c r="H166" s="11"/>
      <c r="I166" s="11"/>
      <c r="J166" s="1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22"/>
      <c r="C167" s="11"/>
      <c r="D167" s="11"/>
      <c r="E167" s="11"/>
      <c r="F167" s="12"/>
      <c r="G167" s="23">
        <f>IFERROR(SUMIFS(Transactions!$F$7:$F$996,Transactions!$G$7:$G$996,A167,Transactions!$D$7:$D$996,"Expense"),0)</f>
        <v>0</v>
      </c>
      <c r="H167" s="11"/>
      <c r="I167" s="11"/>
      <c r="J167" s="1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22"/>
      <c r="C168" s="11"/>
      <c r="D168" s="11"/>
      <c r="E168" s="11"/>
      <c r="F168" s="12"/>
      <c r="G168" s="23">
        <f>IFERROR(SUMIFS(Transactions!$F$7:$F$996,Transactions!$G$7:$G$996,A168,Transactions!$D$7:$D$996,"Expense"),0)</f>
        <v>0</v>
      </c>
      <c r="H168" s="11"/>
      <c r="I168" s="11"/>
      <c r="J168" s="1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22"/>
      <c r="C169" s="11"/>
      <c r="D169" s="11"/>
      <c r="E169" s="11"/>
      <c r="F169" s="12"/>
      <c r="G169" s="23">
        <f>IFERROR(SUMIFS(Transactions!$F$7:$F$996,Transactions!$G$7:$G$996,A169,Transactions!$D$7:$D$996,"Expense"),0)</f>
        <v>0</v>
      </c>
      <c r="H169" s="11"/>
      <c r="I169" s="11"/>
      <c r="J169" s="1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22"/>
      <c r="C170" s="11"/>
      <c r="D170" s="11"/>
      <c r="E170" s="11"/>
      <c r="F170" s="12"/>
      <c r="G170" s="23">
        <f>IFERROR(SUMIFS(Transactions!$F$7:$F$996,Transactions!$G$7:$G$996,A170,Transactions!$D$7:$D$996,"Expense"),0)</f>
        <v>0</v>
      </c>
      <c r="H170" s="11"/>
      <c r="I170" s="11"/>
      <c r="J170" s="1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22"/>
      <c r="C171" s="11"/>
      <c r="D171" s="11"/>
      <c r="E171" s="11"/>
      <c r="F171" s="12"/>
      <c r="G171" s="23">
        <f>IFERROR(SUMIFS(Transactions!$F$7:$F$996,Transactions!$G$7:$G$996,A171,Transactions!$D$7:$D$996,"Expense"),0)</f>
        <v>0</v>
      </c>
      <c r="H171" s="11"/>
      <c r="I171" s="11"/>
      <c r="J171" s="1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22"/>
      <c r="C172" s="11"/>
      <c r="D172" s="11"/>
      <c r="E172" s="11"/>
      <c r="F172" s="12"/>
      <c r="G172" s="23">
        <f>IFERROR(SUMIFS(Transactions!$F$7:$F$996,Transactions!$G$7:$G$996,A172,Transactions!$D$7:$D$996,"Expense"),0)</f>
        <v>0</v>
      </c>
      <c r="H172" s="11"/>
      <c r="I172" s="11"/>
      <c r="J172" s="1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22"/>
      <c r="C173" s="11"/>
      <c r="D173" s="11"/>
      <c r="E173" s="11"/>
      <c r="F173" s="12"/>
      <c r="G173" s="23">
        <f>IFERROR(SUMIFS(Transactions!$F$7:$F$996,Transactions!$G$7:$G$996,A173,Transactions!$D$7:$D$996,"Expense"),0)</f>
        <v>0</v>
      </c>
      <c r="H173" s="11"/>
      <c r="I173" s="11"/>
      <c r="J173" s="1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22"/>
      <c r="C174" s="11"/>
      <c r="D174" s="11"/>
      <c r="E174" s="11"/>
      <c r="F174" s="12"/>
      <c r="G174" s="23">
        <f>IFERROR(SUMIFS(Transactions!$F$7:$F$996,Transactions!$G$7:$G$996,A174,Transactions!$D$7:$D$996,"Expense"),0)</f>
        <v>0</v>
      </c>
      <c r="H174" s="11"/>
      <c r="I174" s="11"/>
      <c r="J174" s="1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22"/>
      <c r="C175" s="11"/>
      <c r="D175" s="11"/>
      <c r="E175" s="11"/>
      <c r="F175" s="12"/>
      <c r="G175" s="23">
        <f>IFERROR(SUMIFS(Transactions!$F$7:$F$996,Transactions!$G$7:$G$996,A175,Transactions!$D$7:$D$996,"Expense"),0)</f>
        <v>0</v>
      </c>
      <c r="H175" s="11"/>
      <c r="I175" s="11"/>
      <c r="J175" s="1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22"/>
      <c r="C176" s="11"/>
      <c r="D176" s="11"/>
      <c r="E176" s="11"/>
      <c r="F176" s="12"/>
      <c r="G176" s="23">
        <f>IFERROR(SUMIFS(Transactions!$F$7:$F$996,Transactions!$G$7:$G$996,A176,Transactions!$D$7:$D$996,"Expense"),0)</f>
        <v>0</v>
      </c>
      <c r="H176" s="11"/>
      <c r="I176" s="11"/>
      <c r="J176" s="1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22"/>
      <c r="C177" s="11"/>
      <c r="D177" s="11"/>
      <c r="E177" s="11"/>
      <c r="F177" s="12"/>
      <c r="G177" s="23">
        <f>IFERROR(SUMIFS(Transactions!$F$7:$F$996,Transactions!$G$7:$G$996,A177,Transactions!$D$7:$D$996,"Expense"),0)</f>
        <v>0</v>
      </c>
      <c r="H177" s="11"/>
      <c r="I177" s="11"/>
      <c r="J177" s="1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22"/>
      <c r="C178" s="11"/>
      <c r="D178" s="11"/>
      <c r="E178" s="11"/>
      <c r="F178" s="12"/>
      <c r="G178" s="23">
        <f>IFERROR(SUMIFS(Transactions!$F$7:$F$996,Transactions!$G$7:$G$996,A178,Transactions!$D$7:$D$996,"Expense"),0)</f>
        <v>0</v>
      </c>
      <c r="H178" s="11"/>
      <c r="I178" s="11"/>
      <c r="J178" s="1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22"/>
      <c r="C179" s="11"/>
      <c r="D179" s="11"/>
      <c r="E179" s="11"/>
      <c r="F179" s="12"/>
      <c r="G179" s="23">
        <f>IFERROR(SUMIFS(Transactions!$F$7:$F$996,Transactions!$G$7:$G$996,A179,Transactions!$D$7:$D$996,"Expense"),0)</f>
        <v>0</v>
      </c>
      <c r="H179" s="11"/>
      <c r="I179" s="11"/>
      <c r="J179" s="1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22"/>
      <c r="C180" s="11"/>
      <c r="D180" s="11"/>
      <c r="E180" s="11"/>
      <c r="F180" s="12"/>
      <c r="G180" s="23">
        <f>IFERROR(SUMIFS(Transactions!$F$7:$F$996,Transactions!$G$7:$G$996,A180,Transactions!$D$7:$D$996,"Expense"),0)</f>
        <v>0</v>
      </c>
      <c r="H180" s="11"/>
      <c r="I180" s="11"/>
      <c r="J180" s="1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22"/>
      <c r="C181" s="11"/>
      <c r="D181" s="11"/>
      <c r="E181" s="11"/>
      <c r="F181" s="12"/>
      <c r="G181" s="23">
        <f>IFERROR(SUMIFS(Transactions!$F$7:$F$996,Transactions!$G$7:$G$996,A181,Transactions!$D$7:$D$996,"Expense"),0)</f>
        <v>0</v>
      </c>
      <c r="H181" s="11"/>
      <c r="I181" s="11"/>
      <c r="J181" s="1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22"/>
      <c r="C182" s="11"/>
      <c r="D182" s="11"/>
      <c r="E182" s="11"/>
      <c r="F182" s="12"/>
      <c r="G182" s="23">
        <f>IFERROR(SUMIFS(Transactions!$F$7:$F$996,Transactions!$G$7:$G$996,A182,Transactions!$D$7:$D$996,"Expense"),0)</f>
        <v>0</v>
      </c>
      <c r="H182" s="11"/>
      <c r="I182" s="11"/>
      <c r="J182" s="1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22"/>
      <c r="C183" s="11"/>
      <c r="D183" s="11"/>
      <c r="E183" s="11"/>
      <c r="F183" s="12"/>
      <c r="G183" s="23">
        <f>IFERROR(SUMIFS(Transactions!$F$7:$F$996,Transactions!$G$7:$G$996,A183,Transactions!$D$7:$D$996,"Expense"),0)</f>
        <v>0</v>
      </c>
      <c r="H183" s="11"/>
      <c r="I183" s="11"/>
      <c r="J183" s="1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22"/>
      <c r="C184" s="11"/>
      <c r="D184" s="11"/>
      <c r="E184" s="11"/>
      <c r="F184" s="12"/>
      <c r="G184" s="23">
        <f>IFERROR(SUMIFS(Transactions!$F$7:$F$996,Transactions!$G$7:$G$996,A184,Transactions!$D$7:$D$996,"Expense"),0)</f>
        <v>0</v>
      </c>
      <c r="H184" s="11"/>
      <c r="I184" s="11"/>
      <c r="J184" s="1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22"/>
      <c r="C185" s="11"/>
      <c r="D185" s="11"/>
      <c r="E185" s="11"/>
      <c r="F185" s="12"/>
      <c r="G185" s="23">
        <f>IFERROR(SUMIFS(Transactions!$F$7:$F$996,Transactions!$G$7:$G$996,A185,Transactions!$D$7:$D$996,"Expense"),0)</f>
        <v>0</v>
      </c>
      <c r="H185" s="11"/>
      <c r="I185" s="11"/>
      <c r="J185" s="1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22"/>
      <c r="C186" s="11"/>
      <c r="D186" s="11"/>
      <c r="E186" s="11"/>
      <c r="F186" s="12"/>
      <c r="G186" s="23">
        <f>IFERROR(SUMIFS(Transactions!$F$7:$F$996,Transactions!$G$7:$G$996,A186,Transactions!$D$7:$D$996,"Expense"),0)</f>
        <v>0</v>
      </c>
      <c r="H186" s="11"/>
      <c r="I186" s="11"/>
      <c r="J186" s="1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22"/>
      <c r="C187" s="11"/>
      <c r="D187" s="11"/>
      <c r="E187" s="11"/>
      <c r="F187" s="12"/>
      <c r="G187" s="23">
        <f>IFERROR(SUMIFS(Transactions!$F$7:$F$996,Transactions!$G$7:$G$996,A187,Transactions!$D$7:$D$996,"Expense"),0)</f>
        <v>0</v>
      </c>
      <c r="H187" s="11"/>
      <c r="I187" s="11"/>
      <c r="J187" s="1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22"/>
      <c r="C188" s="11"/>
      <c r="D188" s="11"/>
      <c r="E188" s="11"/>
      <c r="F188" s="12"/>
      <c r="G188" s="23">
        <f>IFERROR(SUMIFS(Transactions!$F$7:$F$996,Transactions!$G$7:$G$996,A188,Transactions!$D$7:$D$996,"Expense"),0)</f>
        <v>0</v>
      </c>
      <c r="H188" s="11"/>
      <c r="I188" s="11"/>
      <c r="J188" s="1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22"/>
      <c r="C189" s="11"/>
      <c r="D189" s="11"/>
      <c r="E189" s="11"/>
      <c r="F189" s="12"/>
      <c r="G189" s="23">
        <f>IFERROR(SUMIFS(Transactions!$F$7:$F$996,Transactions!$G$7:$G$996,A189,Transactions!$D$7:$D$996,"Expense"),0)</f>
        <v>0</v>
      </c>
      <c r="H189" s="11"/>
      <c r="I189" s="11"/>
      <c r="J189" s="1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22"/>
      <c r="C190" s="11"/>
      <c r="D190" s="11"/>
      <c r="E190" s="11"/>
      <c r="F190" s="12"/>
      <c r="G190" s="23">
        <f>IFERROR(SUMIFS(Transactions!$F$7:$F$996,Transactions!$G$7:$G$996,A190,Transactions!$D$7:$D$996,"Expense"),0)</f>
        <v>0</v>
      </c>
      <c r="H190" s="11"/>
      <c r="I190" s="11"/>
      <c r="J190" s="1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22"/>
      <c r="C191" s="11"/>
      <c r="D191" s="11"/>
      <c r="E191" s="11"/>
      <c r="F191" s="12"/>
      <c r="G191" s="23">
        <f>IFERROR(SUMIFS(Transactions!$F$7:$F$996,Transactions!$G$7:$G$996,A191,Transactions!$D$7:$D$996,"Expense"),0)</f>
        <v>0</v>
      </c>
      <c r="H191" s="11"/>
      <c r="I191" s="11"/>
      <c r="J191" s="1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22"/>
      <c r="C192" s="11"/>
      <c r="D192" s="11"/>
      <c r="E192" s="11"/>
      <c r="F192" s="12"/>
      <c r="G192" s="23">
        <f>IFERROR(SUMIFS(Transactions!$F$7:$F$996,Transactions!$G$7:$G$996,A192,Transactions!$D$7:$D$996,"Expense"),0)</f>
        <v>0</v>
      </c>
      <c r="H192" s="11"/>
      <c r="I192" s="11"/>
      <c r="J192" s="1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22"/>
      <c r="C193" s="11"/>
      <c r="D193" s="11"/>
      <c r="E193" s="11"/>
      <c r="F193" s="12"/>
      <c r="G193" s="23">
        <f>IFERROR(SUMIFS(Transactions!$F$7:$F$996,Transactions!$G$7:$G$996,A193,Transactions!$D$7:$D$996,"Expense"),0)</f>
        <v>0</v>
      </c>
      <c r="H193" s="11"/>
      <c r="I193" s="11"/>
      <c r="J193" s="1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22"/>
      <c r="C194" s="11"/>
      <c r="D194" s="11"/>
      <c r="E194" s="11"/>
      <c r="F194" s="12"/>
      <c r="G194" s="23">
        <f>IFERROR(SUMIFS(Transactions!$F$7:$F$996,Transactions!$G$7:$G$996,A194,Transactions!$D$7:$D$996,"Expense"),0)</f>
        <v>0</v>
      </c>
      <c r="H194" s="11"/>
      <c r="I194" s="11"/>
      <c r="J194" s="1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22"/>
      <c r="C195" s="11"/>
      <c r="D195" s="11"/>
      <c r="E195" s="11"/>
      <c r="F195" s="12"/>
      <c r="G195" s="23">
        <f>IFERROR(SUMIFS(Transactions!$F$7:$F$996,Transactions!$G$7:$G$996,A195,Transactions!$D$7:$D$996,"Expense"),0)</f>
        <v>0</v>
      </c>
      <c r="H195" s="11"/>
      <c r="I195" s="11"/>
      <c r="J195" s="1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22"/>
      <c r="C196" s="11"/>
      <c r="D196" s="11"/>
      <c r="E196" s="11"/>
      <c r="F196" s="12"/>
      <c r="G196" s="23">
        <f>IFERROR(SUMIFS(Transactions!$F$7:$F$996,Transactions!$G$7:$G$996,A196,Transactions!$D$7:$D$996,"Expense"),0)</f>
        <v>0</v>
      </c>
      <c r="H196" s="11"/>
      <c r="I196" s="11"/>
      <c r="J196" s="1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22"/>
      <c r="C197" s="11"/>
      <c r="D197" s="11"/>
      <c r="E197" s="11"/>
      <c r="F197" s="12"/>
      <c r="G197" s="23">
        <f>IFERROR(SUMIFS(Transactions!$F$7:$F$996,Transactions!$G$7:$G$996,A197,Transactions!$D$7:$D$996,"Expense"),0)</f>
        <v>0</v>
      </c>
      <c r="H197" s="11"/>
      <c r="I197" s="11"/>
      <c r="J197" s="1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22"/>
      <c r="C198" s="11"/>
      <c r="D198" s="11"/>
      <c r="E198" s="11"/>
      <c r="F198" s="12"/>
      <c r="G198" s="23">
        <f>IFERROR(SUMIFS(Transactions!$F$7:$F$996,Transactions!$G$7:$G$996,A198,Transactions!$D$7:$D$996,"Expense"),0)</f>
        <v>0</v>
      </c>
      <c r="H198" s="11"/>
      <c r="I198" s="11"/>
      <c r="J198" s="1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22"/>
      <c r="C199" s="11"/>
      <c r="D199" s="11"/>
      <c r="E199" s="11"/>
      <c r="F199" s="12"/>
      <c r="G199" s="23">
        <f>IFERROR(SUMIFS(Transactions!$F$7:$F$996,Transactions!$G$7:$G$996,A199,Transactions!$D$7:$D$996,"Expense"),0)</f>
        <v>0</v>
      </c>
      <c r="H199" s="11"/>
      <c r="I199" s="11"/>
      <c r="J199" s="1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22"/>
      <c r="C200" s="11"/>
      <c r="D200" s="11"/>
      <c r="E200" s="11"/>
      <c r="F200" s="12"/>
      <c r="G200" s="23">
        <f>IFERROR(SUMIFS(Transactions!$F$7:$F$996,Transactions!$G$7:$G$996,A200,Transactions!$D$7:$D$996,"Expense"),0)</f>
        <v>0</v>
      </c>
      <c r="H200" s="11"/>
      <c r="I200" s="11"/>
      <c r="J200" s="1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22"/>
      <c r="C201" s="11"/>
      <c r="D201" s="11"/>
      <c r="E201" s="11"/>
      <c r="F201" s="12"/>
      <c r="G201" s="23">
        <f>IFERROR(SUMIFS(Transactions!$F$7:$F$996,Transactions!$G$7:$G$996,A201,Transactions!$D$7:$D$996,"Expense"),0)</f>
        <v>0</v>
      </c>
      <c r="H201" s="11"/>
      <c r="I201" s="11"/>
      <c r="J201" s="1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22"/>
      <c r="C202" s="11"/>
      <c r="D202" s="11"/>
      <c r="E202" s="11"/>
      <c r="F202" s="12"/>
      <c r="G202" s="23">
        <f>IFERROR(SUMIFS(Transactions!$F$7:$F$996,Transactions!$G$7:$G$996,A202,Transactions!$D$7:$D$996,"Expense"),0)</f>
        <v>0</v>
      </c>
      <c r="H202" s="11"/>
      <c r="I202" s="11"/>
      <c r="J202" s="1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22"/>
      <c r="C203" s="11"/>
      <c r="D203" s="11"/>
      <c r="E203" s="11"/>
      <c r="F203" s="12"/>
      <c r="G203" s="23">
        <f>IFERROR(SUMIFS(Transactions!$F$7:$F$996,Transactions!$G$7:$G$996,A203,Transactions!$D$7:$D$996,"Expense"),0)</f>
        <v>0</v>
      </c>
      <c r="H203" s="11"/>
      <c r="I203" s="11"/>
      <c r="J203" s="1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22"/>
      <c r="C204" s="11"/>
      <c r="D204" s="11"/>
      <c r="E204" s="11"/>
      <c r="F204" s="12"/>
      <c r="G204" s="23">
        <f>IFERROR(SUMIFS(Transactions!$F$7:$F$996,Transactions!$G$7:$G$996,A204,Transactions!$D$7:$D$996,"Expense"),0)</f>
        <v>0</v>
      </c>
      <c r="H204" s="11"/>
      <c r="I204" s="11"/>
      <c r="J204" s="1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1"/>
      <c r="B205" s="22"/>
      <c r="C205" s="11"/>
      <c r="D205" s="11"/>
      <c r="E205" s="11"/>
      <c r="F205" s="12"/>
      <c r="G205" s="23">
        <f>IFERROR(SUMIFS(Transactions!$F$7:$F$996,Transactions!$G$7:$G$996,A205,Transactions!$D$7:$D$996,"Expense"),0)</f>
        <v>0</v>
      </c>
      <c r="H205" s="11"/>
      <c r="I205" s="11"/>
      <c r="J205" s="1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1"/>
      <c r="B206" s="22"/>
      <c r="C206" s="11"/>
      <c r="D206" s="11"/>
      <c r="E206" s="11"/>
      <c r="F206" s="12"/>
      <c r="G206" s="23">
        <f>IFERROR(SUMIFS(Transactions!$F$7:$F$996,Transactions!$G$7:$G$996,A206,Transactions!$D$7:$D$996,"Expense"),0)</f>
        <v>0</v>
      </c>
      <c r="H206" s="11"/>
      <c r="I206" s="11"/>
      <c r="J206" s="1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1"/>
      <c r="B207" s="22"/>
      <c r="C207" s="11"/>
      <c r="D207" s="11"/>
      <c r="E207" s="11"/>
      <c r="F207" s="12"/>
      <c r="G207" s="23">
        <f>IFERROR(SUMIFS(Transactions!$F$7:$F$996,Transactions!$G$7:$G$996,A207,Transactions!$D$7:$D$996,"Expense"),0)</f>
        <v>0</v>
      </c>
      <c r="H207" s="11"/>
      <c r="I207" s="11"/>
      <c r="J207" s="1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1"/>
      <c r="B208" s="22"/>
      <c r="C208" s="11"/>
      <c r="D208" s="11"/>
      <c r="E208" s="11"/>
      <c r="F208" s="12"/>
      <c r="G208" s="23">
        <f>IFERROR(SUMIFS(Transactions!$F$7:$F$996,Transactions!$G$7:$G$996,A208,Transactions!$D$7:$D$996,"Expense"),0)</f>
        <v>0</v>
      </c>
      <c r="H208" s="11"/>
      <c r="I208" s="11"/>
      <c r="J208" s="1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1"/>
      <c r="B209" s="22"/>
      <c r="C209" s="11"/>
      <c r="D209" s="11"/>
      <c r="E209" s="11"/>
      <c r="F209" s="12"/>
      <c r="G209" s="23">
        <f>IFERROR(SUMIFS(Transactions!$F$7:$F$996,Transactions!$G$7:$G$996,A209,Transactions!$D$7:$D$996,"Expense"),0)</f>
        <v>0</v>
      </c>
      <c r="H209" s="11"/>
      <c r="I209" s="11"/>
      <c r="J209" s="1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1"/>
      <c r="B210" s="22"/>
      <c r="C210" s="11"/>
      <c r="D210" s="11"/>
      <c r="E210" s="11"/>
      <c r="F210" s="12"/>
      <c r="G210" s="23">
        <f>IFERROR(SUMIFS(Transactions!$F$7:$F$996,Transactions!$G$7:$G$996,A210,Transactions!$D$7:$D$996,"Expense"),0)</f>
        <v>0</v>
      </c>
      <c r="H210" s="11"/>
      <c r="I210" s="11"/>
      <c r="J210" s="1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1"/>
      <c r="B211" s="22"/>
      <c r="C211" s="11"/>
      <c r="D211" s="11"/>
      <c r="E211" s="11"/>
      <c r="F211" s="12"/>
      <c r="G211" s="23">
        <f>IFERROR(SUMIFS(Transactions!$F$7:$F$996,Transactions!$G$7:$G$996,A211,Transactions!$D$7:$D$996,"Expense"),0)</f>
        <v>0</v>
      </c>
      <c r="H211" s="11"/>
      <c r="I211" s="11"/>
      <c r="J211" s="1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1"/>
      <c r="B212" s="22"/>
      <c r="C212" s="11"/>
      <c r="D212" s="11"/>
      <c r="E212" s="11"/>
      <c r="F212" s="12"/>
      <c r="G212" s="23">
        <f>IFERROR(SUMIFS(Transactions!$F$7:$F$996,Transactions!$G$7:$G$996,A212,Transactions!$D$7:$D$996,"Expense"),0)</f>
        <v>0</v>
      </c>
      <c r="H212" s="11"/>
      <c r="I212" s="11"/>
      <c r="J212" s="1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1"/>
      <c r="B213" s="22"/>
      <c r="C213" s="11"/>
      <c r="D213" s="11"/>
      <c r="E213" s="11"/>
      <c r="F213" s="12"/>
      <c r="G213" s="23">
        <f>IFERROR(SUMIFS(Transactions!$F$7:$F$996,Transactions!$G$7:$G$996,A213,Transactions!$D$7:$D$996,"Expense"),0)</f>
        <v>0</v>
      </c>
      <c r="H213" s="11"/>
      <c r="I213" s="11"/>
      <c r="J213" s="1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1"/>
      <c r="B214" s="22"/>
      <c r="C214" s="11"/>
      <c r="D214" s="11"/>
      <c r="E214" s="11"/>
      <c r="F214" s="12"/>
      <c r="G214" s="23">
        <f>IFERROR(SUMIFS(Transactions!$F$7:$F$996,Transactions!$G$7:$G$996,A214,Transactions!$D$7:$D$996,"Expense"),0)</f>
        <v>0</v>
      </c>
      <c r="H214" s="11"/>
      <c r="I214" s="11"/>
      <c r="J214" s="1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1"/>
      <c r="B215" s="22"/>
      <c r="C215" s="11"/>
      <c r="D215" s="11"/>
      <c r="E215" s="11"/>
      <c r="F215" s="12"/>
      <c r="G215" s="23">
        <f>IFERROR(SUMIFS(Transactions!$F$7:$F$996,Transactions!$G$7:$G$996,A215,Transactions!$D$7:$D$996,"Expense"),0)</f>
        <v>0</v>
      </c>
      <c r="H215" s="11"/>
      <c r="I215" s="11"/>
      <c r="J215" s="1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1"/>
      <c r="B216" s="22"/>
      <c r="C216" s="11"/>
      <c r="D216" s="11"/>
      <c r="E216" s="11"/>
      <c r="F216" s="12"/>
      <c r="G216" s="23">
        <f>IFERROR(SUMIFS(Transactions!$F$7:$F$996,Transactions!$G$7:$G$996,A216,Transactions!$D$7:$D$996,"Expense"),0)</f>
        <v>0</v>
      </c>
      <c r="H216" s="11"/>
      <c r="I216" s="11"/>
      <c r="J216" s="1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1"/>
      <c r="B217" s="22"/>
      <c r="C217" s="11"/>
      <c r="D217" s="11"/>
      <c r="E217" s="11"/>
      <c r="F217" s="12"/>
      <c r="G217" s="23">
        <f>IFERROR(SUMIFS(Transactions!$F$7:$F$996,Transactions!$G$7:$G$996,A217,Transactions!$D$7:$D$996,"Expense"),0)</f>
        <v>0</v>
      </c>
      <c r="H217" s="11"/>
      <c r="I217" s="11"/>
      <c r="J217" s="1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1"/>
      <c r="B218" s="22"/>
      <c r="C218" s="11"/>
      <c r="D218" s="11"/>
      <c r="E218" s="11"/>
      <c r="F218" s="12"/>
      <c r="G218" s="23">
        <f>IFERROR(SUMIFS(Transactions!$F$7:$F$996,Transactions!$G$7:$G$996,A218,Transactions!$D$7:$D$996,"Expense"),0)</f>
        <v>0</v>
      </c>
      <c r="H218" s="11"/>
      <c r="I218" s="11"/>
      <c r="J218" s="1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1"/>
      <c r="B219" s="22"/>
      <c r="C219" s="11"/>
      <c r="D219" s="11"/>
      <c r="E219" s="11"/>
      <c r="F219" s="12"/>
      <c r="G219" s="23">
        <f>IFERROR(SUMIFS(Transactions!$F$7:$F$996,Transactions!$G$7:$G$996,A219,Transactions!$D$7:$D$996,"Expense"),0)</f>
        <v>0</v>
      </c>
      <c r="H219" s="11"/>
      <c r="I219" s="11"/>
      <c r="J219" s="1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1"/>
      <c r="B220" s="22"/>
      <c r="C220" s="11"/>
      <c r="D220" s="11"/>
      <c r="E220" s="11"/>
      <c r="F220" s="12"/>
      <c r="G220" s="23">
        <f>IFERROR(SUMIFS(Transactions!$F$7:$F$996,Transactions!$G$7:$G$996,A220,Transactions!$D$7:$D$996,"Expense"),0)</f>
        <v>0</v>
      </c>
      <c r="H220" s="11"/>
      <c r="I220" s="11"/>
      <c r="J220" s="1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1"/>
      <c r="B221" s="22"/>
      <c r="C221" s="11"/>
      <c r="D221" s="11"/>
      <c r="E221" s="11"/>
      <c r="F221" s="12"/>
      <c r="G221" s="23">
        <f>IFERROR(SUMIFS(Transactions!$F$7:$F$996,Transactions!$G$7:$G$996,A221,Transactions!$D$7:$D$996,"Expense"),0)</f>
        <v>0</v>
      </c>
      <c r="H221" s="11"/>
      <c r="I221" s="11"/>
      <c r="J221" s="1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1"/>
      <c r="B222" s="22"/>
      <c r="C222" s="11"/>
      <c r="D222" s="11"/>
      <c r="E222" s="11"/>
      <c r="F222" s="12"/>
      <c r="G222" s="23">
        <f>IFERROR(SUMIFS(Transactions!$F$7:$F$996,Transactions!$G$7:$G$996,A222,Transactions!$D$7:$D$996,"Expense"),0)</f>
        <v>0</v>
      </c>
      <c r="H222" s="11"/>
      <c r="I222" s="11"/>
      <c r="J222" s="1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1"/>
      <c r="B223" s="22"/>
      <c r="C223" s="11"/>
      <c r="D223" s="11"/>
      <c r="E223" s="11"/>
      <c r="F223" s="12"/>
      <c r="G223" s="23">
        <f>IFERROR(SUMIFS(Transactions!$F$7:$F$996,Transactions!$G$7:$G$996,A223,Transactions!$D$7:$D$996,"Expense"),0)</f>
        <v>0</v>
      </c>
      <c r="H223" s="11"/>
      <c r="I223" s="11"/>
      <c r="J223" s="1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1"/>
      <c r="B224" s="22"/>
      <c r="C224" s="11"/>
      <c r="D224" s="11"/>
      <c r="E224" s="11"/>
      <c r="F224" s="12"/>
      <c r="G224" s="23">
        <f>IFERROR(SUMIFS(Transactions!$F$7:$F$996,Transactions!$G$7:$G$996,A224,Transactions!$D$7:$D$996,"Expense"),0)</f>
        <v>0</v>
      </c>
      <c r="H224" s="11"/>
      <c r="I224" s="11"/>
      <c r="J224" s="1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1"/>
      <c r="B225" s="22"/>
      <c r="C225" s="11"/>
      <c r="D225" s="11"/>
      <c r="E225" s="11"/>
      <c r="F225" s="12"/>
      <c r="G225" s="23">
        <f>IFERROR(SUMIFS(Transactions!$F$7:$F$996,Transactions!$G$7:$G$996,A225,Transactions!$D$7:$D$996,"Expense"),0)</f>
        <v>0</v>
      </c>
      <c r="H225" s="11"/>
      <c r="I225" s="11"/>
      <c r="J225" s="1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1"/>
      <c r="B226" s="22"/>
      <c r="C226" s="11"/>
      <c r="D226" s="11"/>
      <c r="E226" s="11"/>
      <c r="F226" s="12"/>
      <c r="G226" s="23">
        <f>IFERROR(SUMIFS(Transactions!$F$7:$F$996,Transactions!$G$7:$G$996,A226,Transactions!$D$7:$D$996,"Expense"),0)</f>
        <v>0</v>
      </c>
      <c r="H226" s="11"/>
      <c r="I226" s="11"/>
      <c r="J226" s="1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1"/>
      <c r="B227" s="22"/>
      <c r="C227" s="11"/>
      <c r="D227" s="11"/>
      <c r="E227" s="11"/>
      <c r="F227" s="12"/>
      <c r="G227" s="23">
        <f>IFERROR(SUMIFS(Transactions!$F$7:$F$996,Transactions!$G$7:$G$996,A227,Transactions!$D$7:$D$996,"Expense"),0)</f>
        <v>0</v>
      </c>
      <c r="H227" s="11"/>
      <c r="I227" s="11"/>
      <c r="J227" s="1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1"/>
      <c r="B228" s="22"/>
      <c r="C228" s="11"/>
      <c r="D228" s="11"/>
      <c r="E228" s="11"/>
      <c r="F228" s="12"/>
      <c r="G228" s="23">
        <f>IFERROR(SUMIFS(Transactions!$F$7:$F$996,Transactions!$G$7:$G$996,A228,Transactions!$D$7:$D$996,"Expense"),0)</f>
        <v>0</v>
      </c>
      <c r="H228" s="11"/>
      <c r="I228" s="11"/>
      <c r="J228" s="1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1"/>
      <c r="B229" s="22"/>
      <c r="C229" s="11"/>
      <c r="D229" s="11"/>
      <c r="E229" s="11"/>
      <c r="F229" s="12"/>
      <c r="G229" s="23">
        <f>IFERROR(SUMIFS(Transactions!$F$7:$F$996,Transactions!$G$7:$G$996,A229,Transactions!$D$7:$D$996,"Expense"),0)</f>
        <v>0</v>
      </c>
      <c r="H229" s="11"/>
      <c r="I229" s="11"/>
      <c r="J229" s="1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1"/>
      <c r="B230" s="22"/>
      <c r="C230" s="11"/>
      <c r="D230" s="11"/>
      <c r="E230" s="11"/>
      <c r="F230" s="12"/>
      <c r="G230" s="23">
        <f>IFERROR(SUMIFS(Transactions!$F$7:$F$996,Transactions!$G$7:$G$996,A230,Transactions!$D$7:$D$996,"Expense"),0)</f>
        <v>0</v>
      </c>
      <c r="H230" s="11"/>
      <c r="I230" s="11"/>
      <c r="J230" s="1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1"/>
      <c r="B231" s="22"/>
      <c r="C231" s="11"/>
      <c r="D231" s="11"/>
      <c r="E231" s="11"/>
      <c r="F231" s="12"/>
      <c r="G231" s="23">
        <f>IFERROR(SUMIFS(Transactions!$F$7:$F$996,Transactions!$G$7:$G$996,A231,Transactions!$D$7:$D$996,"Expense"),0)</f>
        <v>0</v>
      </c>
      <c r="H231" s="11"/>
      <c r="I231" s="11"/>
      <c r="J231" s="1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1"/>
      <c r="B232" s="22"/>
      <c r="C232" s="11"/>
      <c r="D232" s="11"/>
      <c r="E232" s="11"/>
      <c r="F232" s="12"/>
      <c r="G232" s="23">
        <f>IFERROR(SUMIFS(Transactions!$F$7:$F$996,Transactions!$G$7:$G$996,A232,Transactions!$D$7:$D$996,"Expense"),0)</f>
        <v>0</v>
      </c>
      <c r="H232" s="11"/>
      <c r="I232" s="11"/>
      <c r="J232" s="1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1"/>
      <c r="B233" s="22"/>
      <c r="C233" s="11"/>
      <c r="D233" s="11"/>
      <c r="E233" s="11"/>
      <c r="F233" s="12"/>
      <c r="G233" s="23">
        <f>IFERROR(SUMIFS(Transactions!$F$7:$F$996,Transactions!$G$7:$G$996,A233,Transactions!$D$7:$D$996,"Expense"),0)</f>
        <v>0</v>
      </c>
      <c r="H233" s="11"/>
      <c r="I233" s="11"/>
      <c r="J233" s="1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1"/>
      <c r="B234" s="22"/>
      <c r="C234" s="11"/>
      <c r="D234" s="11"/>
      <c r="E234" s="11"/>
      <c r="F234" s="12"/>
      <c r="G234" s="23">
        <f>IFERROR(SUMIFS(Transactions!$F$7:$F$996,Transactions!$G$7:$G$996,A234,Transactions!$D$7:$D$996,"Expense"),0)</f>
        <v>0</v>
      </c>
      <c r="H234" s="11"/>
      <c r="I234" s="11"/>
      <c r="J234" s="1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1"/>
      <c r="B235" s="22"/>
      <c r="C235" s="11"/>
      <c r="D235" s="11"/>
      <c r="E235" s="11"/>
      <c r="F235" s="12"/>
      <c r="G235" s="23">
        <f>IFERROR(SUMIFS(Transactions!$F$7:$F$996,Transactions!$G$7:$G$996,A235,Transactions!$D$7:$D$996,"Expense"),0)</f>
        <v>0</v>
      </c>
      <c r="H235" s="11"/>
      <c r="I235" s="11"/>
      <c r="J235" s="1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1"/>
      <c r="B236" s="22"/>
      <c r="C236" s="11"/>
      <c r="D236" s="11"/>
      <c r="E236" s="11"/>
      <c r="F236" s="12"/>
      <c r="G236" s="23">
        <f>IFERROR(SUMIFS(Transactions!$F$7:$F$996,Transactions!$G$7:$G$996,A236,Transactions!$D$7:$D$996,"Expense"),0)</f>
        <v>0</v>
      </c>
      <c r="H236" s="11"/>
      <c r="I236" s="11"/>
      <c r="J236" s="1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1"/>
      <c r="B237" s="22"/>
      <c r="C237" s="11"/>
      <c r="D237" s="11"/>
      <c r="E237" s="11"/>
      <c r="F237" s="12"/>
      <c r="G237" s="23">
        <f>IFERROR(SUMIFS(Transactions!$F$7:$F$996,Transactions!$G$7:$G$996,A237,Transactions!$D$7:$D$996,"Expense"),0)</f>
        <v>0</v>
      </c>
      <c r="H237" s="11"/>
      <c r="I237" s="11"/>
      <c r="J237" s="1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1"/>
      <c r="B238" s="22"/>
      <c r="C238" s="11"/>
      <c r="D238" s="11"/>
      <c r="E238" s="11"/>
      <c r="F238" s="12"/>
      <c r="G238" s="23">
        <f>IFERROR(SUMIFS(Transactions!$F$7:$F$996,Transactions!$G$7:$G$996,A238,Transactions!$D$7:$D$996,"Expense"),0)</f>
        <v>0</v>
      </c>
      <c r="H238" s="11"/>
      <c r="I238" s="11"/>
      <c r="J238" s="1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1"/>
      <c r="B239" s="22"/>
      <c r="C239" s="11"/>
      <c r="D239" s="11"/>
      <c r="E239" s="11"/>
      <c r="F239" s="12"/>
      <c r="G239" s="23">
        <f>IFERROR(SUMIFS(Transactions!$F$7:$F$996,Transactions!$G$7:$G$996,A239,Transactions!$D$7:$D$996,"Expense"),0)</f>
        <v>0</v>
      </c>
      <c r="H239" s="11"/>
      <c r="I239" s="11"/>
      <c r="J239" s="1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1"/>
      <c r="B240" s="22"/>
      <c r="C240" s="11"/>
      <c r="D240" s="11"/>
      <c r="E240" s="11"/>
      <c r="F240" s="12"/>
      <c r="G240" s="23">
        <f>IFERROR(SUMIFS(Transactions!$F$7:$F$996,Transactions!$G$7:$G$996,A240,Transactions!$D$7:$D$996,"Expense"),0)</f>
        <v>0</v>
      </c>
      <c r="H240" s="11"/>
      <c r="I240" s="11"/>
      <c r="J240" s="1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1"/>
      <c r="B241" s="22"/>
      <c r="C241" s="11"/>
      <c r="D241" s="11"/>
      <c r="E241" s="11"/>
      <c r="F241" s="12"/>
      <c r="G241" s="23">
        <f>IFERROR(SUMIFS(Transactions!$F$7:$F$996,Transactions!$G$7:$G$996,A241,Transactions!$D$7:$D$996,"Expense"),0)</f>
        <v>0</v>
      </c>
      <c r="H241" s="11"/>
      <c r="I241" s="11"/>
      <c r="J241" s="1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1"/>
      <c r="B242" s="22"/>
      <c r="C242" s="11"/>
      <c r="D242" s="11"/>
      <c r="E242" s="11"/>
      <c r="F242" s="12"/>
      <c r="G242" s="23">
        <f>IFERROR(SUMIFS(Transactions!$F$7:$F$996,Transactions!$G$7:$G$996,A242,Transactions!$D$7:$D$996,"Expense"),0)</f>
        <v>0</v>
      </c>
      <c r="H242" s="11"/>
      <c r="I242" s="11"/>
      <c r="J242" s="1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1"/>
      <c r="B243" s="22"/>
      <c r="C243" s="11"/>
      <c r="D243" s="11"/>
      <c r="E243" s="11"/>
      <c r="F243" s="12"/>
      <c r="G243" s="23">
        <f>IFERROR(SUMIFS(Transactions!$F$7:$F$996,Transactions!$G$7:$G$996,A243,Transactions!$D$7:$D$996,"Expense"),0)</f>
        <v>0</v>
      </c>
      <c r="H243" s="11"/>
      <c r="I243" s="11"/>
      <c r="J243" s="1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1"/>
      <c r="B244" s="22"/>
      <c r="C244" s="11"/>
      <c r="D244" s="11"/>
      <c r="E244" s="11"/>
      <c r="F244" s="12"/>
      <c r="G244" s="23">
        <f>IFERROR(SUMIFS(Transactions!$F$7:$F$996,Transactions!$G$7:$G$996,A244,Transactions!$D$7:$D$996,"Expense"),0)</f>
        <v>0</v>
      </c>
      <c r="H244" s="11"/>
      <c r="I244" s="11"/>
      <c r="J244" s="1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1"/>
      <c r="B245" s="22"/>
      <c r="C245" s="11"/>
      <c r="D245" s="11"/>
      <c r="E245" s="11"/>
      <c r="F245" s="12"/>
      <c r="G245" s="23">
        <f>IFERROR(SUMIFS(Transactions!$F$7:$F$996,Transactions!$G$7:$G$996,A245,Transactions!$D$7:$D$996,"Expense"),0)</f>
        <v>0</v>
      </c>
      <c r="H245" s="11"/>
      <c r="I245" s="11"/>
      <c r="J245" s="1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1"/>
      <c r="B246" s="22"/>
      <c r="C246" s="11"/>
      <c r="D246" s="11"/>
      <c r="E246" s="11"/>
      <c r="F246" s="12"/>
      <c r="G246" s="23">
        <f>IFERROR(SUMIFS(Transactions!$F$7:$F$996,Transactions!$G$7:$G$996,A246,Transactions!$D$7:$D$996,"Expense"),0)</f>
        <v>0</v>
      </c>
      <c r="H246" s="11"/>
      <c r="I246" s="11"/>
      <c r="J246" s="1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1"/>
      <c r="B247" s="22"/>
      <c r="C247" s="11"/>
      <c r="D247" s="11"/>
      <c r="E247" s="11"/>
      <c r="F247" s="12"/>
      <c r="G247" s="23">
        <f>IFERROR(SUMIFS(Transactions!$F$7:$F$996,Transactions!$G$7:$G$996,A247,Transactions!$D$7:$D$996,"Expense"),0)</f>
        <v>0</v>
      </c>
      <c r="H247" s="11"/>
      <c r="I247" s="11"/>
      <c r="J247" s="1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1"/>
      <c r="B248" s="22"/>
      <c r="C248" s="11"/>
      <c r="D248" s="11"/>
      <c r="E248" s="11"/>
      <c r="F248" s="12"/>
      <c r="G248" s="23">
        <f>IFERROR(SUMIFS(Transactions!$F$7:$F$996,Transactions!$G$7:$G$996,A248,Transactions!$D$7:$D$996,"Expense"),0)</f>
        <v>0</v>
      </c>
      <c r="H248" s="11"/>
      <c r="I248" s="11"/>
      <c r="J248" s="1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1"/>
      <c r="B249" s="22"/>
      <c r="C249" s="11"/>
      <c r="D249" s="11"/>
      <c r="E249" s="11"/>
      <c r="F249" s="12"/>
      <c r="G249" s="23">
        <f>IFERROR(SUMIFS(Transactions!$F$7:$F$996,Transactions!$G$7:$G$996,A249,Transactions!$D$7:$D$996,"Expense"),0)</f>
        <v>0</v>
      </c>
      <c r="H249" s="11"/>
      <c r="I249" s="11"/>
      <c r="J249" s="1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1"/>
      <c r="B250" s="22"/>
      <c r="C250" s="11"/>
      <c r="D250" s="11"/>
      <c r="E250" s="11"/>
      <c r="F250" s="12"/>
      <c r="G250" s="23">
        <f>IFERROR(SUMIFS(Transactions!$F$7:$F$996,Transactions!$G$7:$G$996,A250,Transactions!$D$7:$D$996,"Expense"),0)</f>
        <v>0</v>
      </c>
      <c r="H250" s="11"/>
      <c r="I250" s="11"/>
      <c r="J250" s="1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1"/>
      <c r="B251" s="22"/>
      <c r="C251" s="11"/>
      <c r="D251" s="11"/>
      <c r="E251" s="11"/>
      <c r="F251" s="12"/>
      <c r="G251" s="23">
        <f>IFERROR(SUMIFS(Transactions!$F$7:$F$996,Transactions!$G$7:$G$996,A251,Transactions!$D$7:$D$996,"Expense"),0)</f>
        <v>0</v>
      </c>
      <c r="H251" s="11"/>
      <c r="I251" s="11"/>
      <c r="J251" s="1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1"/>
      <c r="B252" s="22"/>
      <c r="C252" s="11"/>
      <c r="D252" s="11"/>
      <c r="E252" s="11"/>
      <c r="F252" s="12"/>
      <c r="G252" s="23">
        <f>IFERROR(SUMIFS(Transactions!$F$7:$F$996,Transactions!$G$7:$G$996,A252,Transactions!$D$7:$D$996,"Expense"),0)</f>
        <v>0</v>
      </c>
      <c r="H252" s="11"/>
      <c r="I252" s="11"/>
      <c r="J252" s="1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1"/>
      <c r="B253" s="22"/>
      <c r="C253" s="11"/>
      <c r="D253" s="11"/>
      <c r="E253" s="11"/>
      <c r="F253" s="12"/>
      <c r="G253" s="23">
        <f>IFERROR(SUMIFS(Transactions!$F$7:$F$996,Transactions!$G$7:$G$996,A253,Transactions!$D$7:$D$996,"Expense"),0)</f>
        <v>0</v>
      </c>
      <c r="H253" s="11"/>
      <c r="I253" s="11"/>
      <c r="J253" s="1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1"/>
      <c r="B254" s="22"/>
      <c r="C254" s="11"/>
      <c r="D254" s="11"/>
      <c r="E254" s="11"/>
      <c r="F254" s="12"/>
      <c r="G254" s="23">
        <f>IFERROR(SUMIFS(Transactions!$F$7:$F$996,Transactions!$G$7:$G$996,A254,Transactions!$D$7:$D$996,"Expense"),0)</f>
        <v>0</v>
      </c>
      <c r="H254" s="11"/>
      <c r="I254" s="11"/>
      <c r="J254" s="1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1"/>
      <c r="B255" s="22"/>
      <c r="C255" s="11"/>
      <c r="D255" s="11"/>
      <c r="E255" s="11"/>
      <c r="F255" s="12"/>
      <c r="G255" s="23">
        <f>IFERROR(SUMIFS(Transactions!$F$7:$F$996,Transactions!$G$7:$G$996,A255,Transactions!$D$7:$D$996,"Expense"),0)</f>
        <v>0</v>
      </c>
      <c r="H255" s="11"/>
      <c r="I255" s="11"/>
      <c r="J255" s="1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1"/>
      <c r="B256" s="22"/>
      <c r="C256" s="11"/>
      <c r="D256" s="11"/>
      <c r="E256" s="11"/>
      <c r="F256" s="12"/>
      <c r="G256" s="23">
        <f>IFERROR(SUMIFS(Transactions!$F$7:$F$996,Transactions!$G$7:$G$996,A256,Transactions!$D$7:$D$996,"Expense"),0)</f>
        <v>0</v>
      </c>
      <c r="H256" s="11"/>
      <c r="I256" s="11"/>
      <c r="J256" s="1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1"/>
      <c r="B257" s="22"/>
      <c r="C257" s="11"/>
      <c r="D257" s="11"/>
      <c r="E257" s="11"/>
      <c r="F257" s="12"/>
      <c r="G257" s="23">
        <f>IFERROR(SUMIFS(Transactions!$F$7:$F$996,Transactions!$G$7:$G$996,A257,Transactions!$D$7:$D$996,"Expense"),0)</f>
        <v>0</v>
      </c>
      <c r="H257" s="11"/>
      <c r="I257" s="11"/>
      <c r="J257" s="1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1"/>
      <c r="B258" s="22"/>
      <c r="C258" s="11"/>
      <c r="D258" s="11"/>
      <c r="E258" s="11"/>
      <c r="F258" s="12"/>
      <c r="G258" s="23">
        <f>IFERROR(SUMIFS(Transactions!$F$7:$F$996,Transactions!$G$7:$G$996,A258,Transactions!$D$7:$D$996,"Expense"),0)</f>
        <v>0</v>
      </c>
      <c r="H258" s="11"/>
      <c r="I258" s="11"/>
      <c r="J258" s="1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1"/>
      <c r="B259" s="22"/>
      <c r="C259" s="11"/>
      <c r="D259" s="11"/>
      <c r="E259" s="11"/>
      <c r="F259" s="12"/>
      <c r="G259" s="23">
        <f>IFERROR(SUMIFS(Transactions!$F$7:$F$996,Transactions!$G$7:$G$996,A259,Transactions!$D$7:$D$996,"Expense"),0)</f>
        <v>0</v>
      </c>
      <c r="H259" s="11"/>
      <c r="I259" s="11"/>
      <c r="J259" s="1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1"/>
      <c r="B260" s="22"/>
      <c r="C260" s="11"/>
      <c r="D260" s="11"/>
      <c r="E260" s="11"/>
      <c r="F260" s="12"/>
      <c r="G260" s="23">
        <f>IFERROR(SUMIFS(Transactions!$F$7:$F$996,Transactions!$G$7:$G$996,A260,Transactions!$D$7:$D$996,"Expense"),0)</f>
        <v>0</v>
      </c>
      <c r="H260" s="11"/>
      <c r="I260" s="11"/>
      <c r="J260" s="1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1"/>
      <c r="B261" s="22"/>
      <c r="C261" s="11"/>
      <c r="D261" s="11"/>
      <c r="E261" s="11"/>
      <c r="F261" s="12"/>
      <c r="G261" s="23">
        <f>IFERROR(SUMIFS(Transactions!$F$7:$F$996,Transactions!$G$7:$G$996,A261,Transactions!$D$7:$D$996,"Expense"),0)</f>
        <v>0</v>
      </c>
      <c r="H261" s="11"/>
      <c r="I261" s="11"/>
      <c r="J261" s="1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1"/>
      <c r="B262" s="22"/>
      <c r="C262" s="11"/>
      <c r="D262" s="11"/>
      <c r="E262" s="11"/>
      <c r="F262" s="12"/>
      <c r="G262" s="23">
        <f>IFERROR(SUMIFS(Transactions!$F$7:$F$996,Transactions!$G$7:$G$996,A262,Transactions!$D$7:$D$996,"Expense"),0)</f>
        <v>0</v>
      </c>
      <c r="H262" s="11"/>
      <c r="I262" s="11"/>
      <c r="J262" s="1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1"/>
      <c r="B263" s="22"/>
      <c r="C263" s="11"/>
      <c r="D263" s="11"/>
      <c r="E263" s="11"/>
      <c r="F263" s="12"/>
      <c r="G263" s="23">
        <f>IFERROR(SUMIFS(Transactions!$F$7:$F$996,Transactions!$G$7:$G$996,A263,Transactions!$D$7:$D$996,"Expense"),0)</f>
        <v>0</v>
      </c>
      <c r="H263" s="11"/>
      <c r="I263" s="11"/>
      <c r="J263" s="1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1"/>
      <c r="B264" s="22"/>
      <c r="C264" s="11"/>
      <c r="D264" s="11"/>
      <c r="E264" s="11"/>
      <c r="F264" s="12"/>
      <c r="G264" s="23">
        <f>IFERROR(SUMIFS(Transactions!$F$7:$F$996,Transactions!$G$7:$G$996,A264,Transactions!$D$7:$D$996,"Expense"),0)</f>
        <v>0</v>
      </c>
      <c r="H264" s="11"/>
      <c r="I264" s="11"/>
      <c r="J264" s="1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1"/>
      <c r="B265" s="22"/>
      <c r="C265" s="11"/>
      <c r="D265" s="11"/>
      <c r="E265" s="11"/>
      <c r="F265" s="12"/>
      <c r="G265" s="23">
        <f>IFERROR(SUMIFS(Transactions!$F$7:$F$996,Transactions!$G$7:$G$996,A265,Transactions!$D$7:$D$996,"Expense"),0)</f>
        <v>0</v>
      </c>
      <c r="H265" s="11"/>
      <c r="I265" s="11"/>
      <c r="J265" s="1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1"/>
      <c r="B266" s="22"/>
      <c r="C266" s="11"/>
      <c r="D266" s="11"/>
      <c r="E266" s="11"/>
      <c r="F266" s="12"/>
      <c r="G266" s="23">
        <f>IFERROR(SUMIFS(Transactions!$F$7:$F$996,Transactions!$G$7:$G$996,A266,Transactions!$D$7:$D$996,"Expense"),0)</f>
        <v>0</v>
      </c>
      <c r="H266" s="11"/>
      <c r="I266" s="11"/>
      <c r="J266" s="1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1"/>
      <c r="B267" s="22"/>
      <c r="C267" s="11"/>
      <c r="D267" s="11"/>
      <c r="E267" s="11"/>
      <c r="F267" s="12"/>
      <c r="G267" s="23">
        <f>IFERROR(SUMIFS(Transactions!$F$7:$F$996,Transactions!$G$7:$G$996,A267,Transactions!$D$7:$D$996,"Expense"),0)</f>
        <v>0</v>
      </c>
      <c r="H267" s="11"/>
      <c r="I267" s="11"/>
      <c r="J267" s="1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1"/>
      <c r="B268" s="22"/>
      <c r="C268" s="11"/>
      <c r="D268" s="11"/>
      <c r="E268" s="11"/>
      <c r="F268" s="12"/>
      <c r="G268" s="23">
        <f>IFERROR(SUMIFS(Transactions!$F$7:$F$996,Transactions!$G$7:$G$996,A268,Transactions!$D$7:$D$996,"Expense"),0)</f>
        <v>0</v>
      </c>
      <c r="H268" s="11"/>
      <c r="I268" s="11"/>
      <c r="J268" s="1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1"/>
      <c r="B269" s="22"/>
      <c r="C269" s="11"/>
      <c r="D269" s="11"/>
      <c r="E269" s="11"/>
      <c r="F269" s="12"/>
      <c r="G269" s="23">
        <f>IFERROR(SUMIFS(Transactions!$F$7:$F$996,Transactions!$G$7:$G$996,A269,Transactions!$D$7:$D$996,"Expense"),0)</f>
        <v>0</v>
      </c>
      <c r="H269" s="11"/>
      <c r="I269" s="11"/>
      <c r="J269" s="1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1"/>
      <c r="B270" s="22"/>
      <c r="C270" s="11"/>
      <c r="D270" s="11"/>
      <c r="E270" s="11"/>
      <c r="F270" s="12"/>
      <c r="G270" s="23">
        <f>IFERROR(SUMIFS(Transactions!$F$7:$F$996,Transactions!$G$7:$G$996,A270,Transactions!$D$7:$D$996,"Expense"),0)</f>
        <v>0</v>
      </c>
      <c r="H270" s="11"/>
      <c r="I270" s="11"/>
      <c r="J270" s="1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1"/>
      <c r="B271" s="22"/>
      <c r="C271" s="11"/>
      <c r="D271" s="11"/>
      <c r="E271" s="11"/>
      <c r="F271" s="12"/>
      <c r="G271" s="23">
        <f>IFERROR(SUMIFS(Transactions!$F$7:$F$996,Transactions!$G$7:$G$996,A271,Transactions!$D$7:$D$996,"Expense"),0)</f>
        <v>0</v>
      </c>
      <c r="H271" s="11"/>
      <c r="I271" s="11"/>
      <c r="J271" s="1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1"/>
      <c r="B272" s="22"/>
      <c r="C272" s="11"/>
      <c r="D272" s="11"/>
      <c r="E272" s="11"/>
      <c r="F272" s="12"/>
      <c r="G272" s="23">
        <f>IFERROR(SUMIFS(Transactions!$F$7:$F$996,Transactions!$G$7:$G$996,A272,Transactions!$D$7:$D$996,"Expense"),0)</f>
        <v>0</v>
      </c>
      <c r="H272" s="11"/>
      <c r="I272" s="11"/>
      <c r="J272" s="1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1"/>
      <c r="B273" s="22"/>
      <c r="C273" s="11"/>
      <c r="D273" s="11"/>
      <c r="E273" s="11"/>
      <c r="F273" s="12"/>
      <c r="G273" s="23">
        <f>IFERROR(SUMIFS(Transactions!$F$7:$F$996,Transactions!$G$7:$G$996,A273,Transactions!$D$7:$D$996,"Expense"),0)</f>
        <v>0</v>
      </c>
      <c r="H273" s="11"/>
      <c r="I273" s="11"/>
      <c r="J273" s="1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1"/>
      <c r="B274" s="22"/>
      <c r="C274" s="11"/>
      <c r="D274" s="11"/>
      <c r="E274" s="11"/>
      <c r="F274" s="12"/>
      <c r="G274" s="23">
        <f>IFERROR(SUMIFS(Transactions!$F$7:$F$996,Transactions!$G$7:$G$996,A274,Transactions!$D$7:$D$996,"Expense"),0)</f>
        <v>0</v>
      </c>
      <c r="H274" s="11"/>
      <c r="I274" s="11"/>
      <c r="J274" s="1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1"/>
      <c r="B275" s="22"/>
      <c r="C275" s="11"/>
      <c r="D275" s="11"/>
      <c r="E275" s="11"/>
      <c r="F275" s="12"/>
      <c r="G275" s="23">
        <f>IFERROR(SUMIFS(Transactions!$F$7:$F$996,Transactions!$G$7:$G$996,A275,Transactions!$D$7:$D$996,"Expense"),0)</f>
        <v>0</v>
      </c>
      <c r="H275" s="11"/>
      <c r="I275" s="11"/>
      <c r="J275" s="1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1"/>
      <c r="B276" s="22"/>
      <c r="C276" s="11"/>
      <c r="D276" s="11"/>
      <c r="E276" s="11"/>
      <c r="F276" s="12"/>
      <c r="G276" s="23">
        <f>IFERROR(SUMIFS(Transactions!$F$7:$F$996,Transactions!$G$7:$G$996,A276,Transactions!$D$7:$D$996,"Expense"),0)</f>
        <v>0</v>
      </c>
      <c r="H276" s="11"/>
      <c r="I276" s="11"/>
      <c r="J276" s="1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1"/>
      <c r="B277" s="22"/>
      <c r="C277" s="11"/>
      <c r="D277" s="11"/>
      <c r="E277" s="11"/>
      <c r="F277" s="12"/>
      <c r="G277" s="23">
        <f>IFERROR(SUMIFS(Transactions!$F$7:$F$996,Transactions!$G$7:$G$996,A277,Transactions!$D$7:$D$996,"Expense"),0)</f>
        <v>0</v>
      </c>
      <c r="H277" s="11"/>
      <c r="I277" s="11"/>
      <c r="J277" s="1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1"/>
      <c r="B278" s="22"/>
      <c r="C278" s="11"/>
      <c r="D278" s="11"/>
      <c r="E278" s="11"/>
      <c r="F278" s="12"/>
      <c r="G278" s="23">
        <f>IFERROR(SUMIFS(Transactions!$F$7:$F$996,Transactions!$G$7:$G$996,A278,Transactions!$D$7:$D$996,"Expense"),0)</f>
        <v>0</v>
      </c>
      <c r="H278" s="11"/>
      <c r="I278" s="11"/>
      <c r="J278" s="1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1"/>
      <c r="B279" s="22"/>
      <c r="C279" s="11"/>
      <c r="D279" s="11"/>
      <c r="E279" s="11"/>
      <c r="F279" s="12"/>
      <c r="G279" s="23">
        <f>IFERROR(SUMIFS(Transactions!$F$7:$F$996,Transactions!$G$7:$G$996,A279,Transactions!$D$7:$D$996,"Expense"),0)</f>
        <v>0</v>
      </c>
      <c r="H279" s="11"/>
      <c r="I279" s="11"/>
      <c r="J279" s="1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1"/>
      <c r="B280" s="22"/>
      <c r="C280" s="11"/>
      <c r="D280" s="11"/>
      <c r="E280" s="11"/>
      <c r="F280" s="12"/>
      <c r="G280" s="23">
        <f>IFERROR(SUMIFS(Transactions!$F$7:$F$996,Transactions!$G$7:$G$996,A280,Transactions!$D$7:$D$996,"Expense"),0)</f>
        <v>0</v>
      </c>
      <c r="H280" s="11"/>
      <c r="I280" s="11"/>
      <c r="J280" s="1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1"/>
      <c r="B281" s="22"/>
      <c r="C281" s="11"/>
      <c r="D281" s="11"/>
      <c r="E281" s="11"/>
      <c r="F281" s="12"/>
      <c r="G281" s="23">
        <f>IFERROR(SUMIFS(Transactions!$F$7:$F$996,Transactions!$G$7:$G$996,A281,Transactions!$D$7:$D$996,"Expense"),0)</f>
        <v>0</v>
      </c>
      <c r="H281" s="11"/>
      <c r="I281" s="11"/>
      <c r="J281" s="1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1"/>
      <c r="B282" s="22"/>
      <c r="C282" s="11"/>
      <c r="D282" s="11"/>
      <c r="E282" s="11"/>
      <c r="F282" s="12"/>
      <c r="G282" s="23">
        <f>IFERROR(SUMIFS(Transactions!$F$7:$F$996,Transactions!$G$7:$G$996,A282,Transactions!$D$7:$D$996,"Expense"),0)</f>
        <v>0</v>
      </c>
      <c r="H282" s="11"/>
      <c r="I282" s="11"/>
      <c r="J282" s="1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1"/>
      <c r="B283" s="22"/>
      <c r="C283" s="11"/>
      <c r="D283" s="11"/>
      <c r="E283" s="11"/>
      <c r="F283" s="12"/>
      <c r="G283" s="23">
        <f>IFERROR(SUMIFS(Transactions!$F$7:$F$996,Transactions!$G$7:$G$996,A283,Transactions!$D$7:$D$996,"Expense"),0)</f>
        <v>0</v>
      </c>
      <c r="H283" s="11"/>
      <c r="I283" s="11"/>
      <c r="J283" s="1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1"/>
      <c r="B284" s="22"/>
      <c r="C284" s="11"/>
      <c r="D284" s="11"/>
      <c r="E284" s="11"/>
      <c r="F284" s="12"/>
      <c r="G284" s="23">
        <f>IFERROR(SUMIFS(Transactions!$F$7:$F$996,Transactions!$G$7:$G$996,A284,Transactions!$D$7:$D$996,"Expense"),0)</f>
        <v>0</v>
      </c>
      <c r="H284" s="11"/>
      <c r="I284" s="11"/>
      <c r="J284" s="1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1"/>
      <c r="B285" s="22"/>
      <c r="C285" s="11"/>
      <c r="D285" s="11"/>
      <c r="E285" s="11"/>
      <c r="F285" s="12"/>
      <c r="G285" s="23">
        <f>IFERROR(SUMIFS(Transactions!$F$7:$F$996,Transactions!$G$7:$G$996,A285,Transactions!$D$7:$D$996,"Expense"),0)</f>
        <v>0</v>
      </c>
      <c r="H285" s="11"/>
      <c r="I285" s="11"/>
      <c r="J285" s="1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1"/>
      <c r="B286" s="22"/>
      <c r="C286" s="11"/>
      <c r="D286" s="11"/>
      <c r="E286" s="11"/>
      <c r="F286" s="12"/>
      <c r="G286" s="23">
        <f>IFERROR(SUMIFS(Transactions!$F$7:$F$996,Transactions!$G$7:$G$996,A286,Transactions!$D$7:$D$996,"Expense"),0)</f>
        <v>0</v>
      </c>
      <c r="H286" s="11"/>
      <c r="I286" s="11"/>
      <c r="J286" s="1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1"/>
      <c r="B287" s="22"/>
      <c r="C287" s="11"/>
      <c r="D287" s="11"/>
      <c r="E287" s="11"/>
      <c r="F287" s="12"/>
      <c r="G287" s="23">
        <f>IFERROR(SUMIFS(Transactions!$F$7:$F$996,Transactions!$G$7:$G$996,A287,Transactions!$D$7:$D$996,"Expense"),0)</f>
        <v>0</v>
      </c>
      <c r="H287" s="11"/>
      <c r="I287" s="11"/>
      <c r="J287" s="1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1"/>
      <c r="B288" s="22"/>
      <c r="C288" s="11"/>
      <c r="D288" s="11"/>
      <c r="E288" s="11"/>
      <c r="F288" s="12"/>
      <c r="G288" s="23">
        <f>IFERROR(SUMIFS(Transactions!$F$7:$F$996,Transactions!$G$7:$G$996,A288,Transactions!$D$7:$D$996,"Expense"),0)</f>
        <v>0</v>
      </c>
      <c r="H288" s="11"/>
      <c r="I288" s="11"/>
      <c r="J288" s="1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1"/>
      <c r="B289" s="22"/>
      <c r="C289" s="11"/>
      <c r="D289" s="11"/>
      <c r="E289" s="11"/>
      <c r="F289" s="12"/>
      <c r="G289" s="23">
        <f>IFERROR(SUMIFS(Transactions!$F$7:$F$996,Transactions!$G$7:$G$996,A289,Transactions!$D$7:$D$996,"Expense"),0)</f>
        <v>0</v>
      </c>
      <c r="H289" s="11"/>
      <c r="I289" s="11"/>
      <c r="J289" s="1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1"/>
      <c r="B290" s="22"/>
      <c r="C290" s="11"/>
      <c r="D290" s="11"/>
      <c r="E290" s="11"/>
      <c r="F290" s="12"/>
      <c r="G290" s="23">
        <f>IFERROR(SUMIFS(Transactions!$F$7:$F$996,Transactions!$G$7:$G$996,A290,Transactions!$D$7:$D$996,"Expense"),0)</f>
        <v>0</v>
      </c>
      <c r="H290" s="11"/>
      <c r="I290" s="11"/>
      <c r="J290" s="1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1"/>
      <c r="B291" s="22"/>
      <c r="C291" s="11"/>
      <c r="D291" s="11"/>
      <c r="E291" s="11"/>
      <c r="F291" s="12"/>
      <c r="G291" s="23">
        <f>IFERROR(SUMIFS(Transactions!$F$7:$F$996,Transactions!$G$7:$G$996,A291,Transactions!$D$7:$D$996,"Expense"),0)</f>
        <v>0</v>
      </c>
      <c r="H291" s="11"/>
      <c r="I291" s="11"/>
      <c r="J291" s="1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1"/>
      <c r="B292" s="22"/>
      <c r="C292" s="11"/>
      <c r="D292" s="11"/>
      <c r="E292" s="11"/>
      <c r="F292" s="12"/>
      <c r="G292" s="23">
        <f>IFERROR(SUMIFS(Transactions!$F$7:$F$996,Transactions!$G$7:$G$996,A292,Transactions!$D$7:$D$996,"Expense"),0)</f>
        <v>0</v>
      </c>
      <c r="H292" s="11"/>
      <c r="I292" s="11"/>
      <c r="J292" s="1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1"/>
      <c r="B293" s="22"/>
      <c r="C293" s="11"/>
      <c r="D293" s="11"/>
      <c r="E293" s="11"/>
      <c r="F293" s="12"/>
      <c r="G293" s="23">
        <f>IFERROR(SUMIFS(Transactions!$F$7:$F$996,Transactions!$G$7:$G$996,A293,Transactions!$D$7:$D$996,"Expense"),0)</f>
        <v>0</v>
      </c>
      <c r="H293" s="11"/>
      <c r="I293" s="11"/>
      <c r="J293" s="1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1"/>
      <c r="B294" s="22"/>
      <c r="C294" s="11"/>
      <c r="D294" s="11"/>
      <c r="E294" s="11"/>
      <c r="F294" s="12"/>
      <c r="G294" s="23">
        <f>IFERROR(SUMIFS(Transactions!$F$7:$F$996,Transactions!$G$7:$G$996,A294,Transactions!$D$7:$D$996,"Expense"),0)</f>
        <v>0</v>
      </c>
      <c r="H294" s="11"/>
      <c r="I294" s="11"/>
      <c r="J294" s="1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1"/>
      <c r="B295" s="22"/>
      <c r="C295" s="11"/>
      <c r="D295" s="11"/>
      <c r="E295" s="11"/>
      <c r="F295" s="12"/>
      <c r="G295" s="23">
        <f>IFERROR(SUMIFS(Transactions!$F$7:$F$996,Transactions!$G$7:$G$996,A295,Transactions!$D$7:$D$996,"Expense"),0)</f>
        <v>0</v>
      </c>
      <c r="H295" s="11"/>
      <c r="I295" s="11"/>
      <c r="J295" s="1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1"/>
      <c r="B296" s="22"/>
      <c r="C296" s="11"/>
      <c r="D296" s="11"/>
      <c r="E296" s="11"/>
      <c r="F296" s="12"/>
      <c r="G296" s="23">
        <f>IFERROR(SUMIFS(Transactions!$F$7:$F$996,Transactions!$G$7:$G$996,A296,Transactions!$D$7:$D$996,"Expense"),0)</f>
        <v>0</v>
      </c>
      <c r="H296" s="11"/>
      <c r="I296" s="11"/>
      <c r="J296" s="1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1"/>
      <c r="B297" s="22"/>
      <c r="C297" s="11"/>
      <c r="D297" s="11"/>
      <c r="E297" s="11"/>
      <c r="F297" s="12"/>
      <c r="G297" s="23">
        <f>IFERROR(SUMIFS(Transactions!$F$7:$F$996,Transactions!$G$7:$G$996,A297,Transactions!$D$7:$D$996,"Expense"),0)</f>
        <v>0</v>
      </c>
      <c r="H297" s="11"/>
      <c r="I297" s="11"/>
      <c r="J297" s="1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1"/>
      <c r="B298" s="22"/>
      <c r="C298" s="11"/>
      <c r="D298" s="11"/>
      <c r="E298" s="11"/>
      <c r="F298" s="12"/>
      <c r="G298" s="23">
        <f>IFERROR(SUMIFS(Transactions!$F$7:$F$996,Transactions!$G$7:$G$996,A298,Transactions!$D$7:$D$996,"Expense"),0)</f>
        <v>0</v>
      </c>
      <c r="H298" s="11"/>
      <c r="I298" s="11"/>
      <c r="J298" s="1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1"/>
      <c r="B299" s="22"/>
      <c r="C299" s="11"/>
      <c r="D299" s="11"/>
      <c r="E299" s="11"/>
      <c r="F299" s="12"/>
      <c r="G299" s="23">
        <f>IFERROR(SUMIFS(Transactions!$F$7:$F$996,Transactions!$G$7:$G$996,A299,Transactions!$D$7:$D$996,"Expense"),0)</f>
        <v>0</v>
      </c>
      <c r="H299" s="11"/>
      <c r="I299" s="11"/>
      <c r="J299" s="1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1"/>
      <c r="B300" s="22"/>
      <c r="C300" s="11"/>
      <c r="D300" s="11"/>
      <c r="E300" s="11"/>
      <c r="F300" s="12"/>
      <c r="G300" s="23">
        <f>IFERROR(SUMIFS(Transactions!$F$7:$F$996,Transactions!$G$7:$G$996,A300,Transactions!$D$7:$D$996,"Expense"),0)</f>
        <v>0</v>
      </c>
      <c r="H300" s="11"/>
      <c r="I300" s="11"/>
      <c r="J300" s="1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1"/>
      <c r="B301" s="22"/>
      <c r="C301" s="11"/>
      <c r="D301" s="11"/>
      <c r="E301" s="11"/>
      <c r="F301" s="12"/>
      <c r="G301" s="23">
        <f>IFERROR(SUMIFS(Transactions!$F$7:$F$996,Transactions!$G$7:$G$996,A301,Transactions!$D$7:$D$996,"Expense"),0)</f>
        <v>0</v>
      </c>
      <c r="H301" s="11"/>
      <c r="I301" s="11"/>
      <c r="J301" s="1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1"/>
      <c r="B302" s="22"/>
      <c r="C302" s="11"/>
      <c r="D302" s="11"/>
      <c r="E302" s="11"/>
      <c r="F302" s="12"/>
      <c r="G302" s="23">
        <f>IFERROR(SUMIFS(Transactions!$F$7:$F$996,Transactions!$G$7:$G$996,A302,Transactions!$D$7:$D$996,"Expense"),0)</f>
        <v>0</v>
      </c>
      <c r="H302" s="11"/>
      <c r="I302" s="11"/>
      <c r="J302" s="1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1"/>
      <c r="B303" s="22"/>
      <c r="C303" s="11"/>
      <c r="D303" s="11"/>
      <c r="E303" s="11"/>
      <c r="F303" s="12"/>
      <c r="G303" s="23">
        <f>IFERROR(SUMIFS(Transactions!$F$7:$F$996,Transactions!$G$7:$G$996,A303,Transactions!$D$7:$D$996,"Expense"),0)</f>
        <v>0</v>
      </c>
      <c r="H303" s="11"/>
      <c r="I303" s="11"/>
      <c r="J303" s="1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1"/>
      <c r="B304" s="22"/>
      <c r="C304" s="11"/>
      <c r="D304" s="11"/>
      <c r="E304" s="11"/>
      <c r="F304" s="12"/>
      <c r="G304" s="23">
        <f>IFERROR(SUMIFS(Transactions!$F$7:$F$996,Transactions!$G$7:$G$996,A304,Transactions!$D$7:$D$996,"Expense"),0)</f>
        <v>0</v>
      </c>
      <c r="H304" s="11"/>
      <c r="I304" s="11"/>
      <c r="J304" s="1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1"/>
      <c r="B305" s="22"/>
      <c r="C305" s="11"/>
      <c r="D305" s="11"/>
      <c r="E305" s="11"/>
      <c r="F305" s="12"/>
      <c r="G305" s="23">
        <f>IFERROR(SUMIFS(Transactions!$F$7:$F$996,Transactions!$G$7:$G$996,A305,Transactions!$D$7:$D$996,"Expense"),0)</f>
        <v>0</v>
      </c>
      <c r="H305" s="11"/>
      <c r="I305" s="11"/>
      <c r="J305" s="1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1"/>
      <c r="B306" s="22"/>
      <c r="C306" s="11"/>
      <c r="D306" s="11"/>
      <c r="E306" s="11"/>
      <c r="F306" s="12"/>
      <c r="G306" s="23">
        <f>IFERROR(SUMIFS(Transactions!$F$7:$F$996,Transactions!$G$7:$G$996,A306,Transactions!$D$7:$D$996,"Expense"),0)</f>
        <v>0</v>
      </c>
      <c r="H306" s="11"/>
      <c r="I306" s="11"/>
      <c r="J306" s="1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1"/>
      <c r="B307" s="22"/>
      <c r="C307" s="11"/>
      <c r="D307" s="11"/>
      <c r="E307" s="11"/>
      <c r="F307" s="12"/>
      <c r="G307" s="23">
        <f>IFERROR(SUMIFS(Transactions!$F$7:$F$996,Transactions!$G$7:$G$996,A307,Transactions!$D$7:$D$996,"Expense"),0)</f>
        <v>0</v>
      </c>
      <c r="H307" s="11"/>
      <c r="I307" s="11"/>
      <c r="J307" s="1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1"/>
      <c r="B308" s="22"/>
      <c r="C308" s="11"/>
      <c r="D308" s="11"/>
      <c r="E308" s="11"/>
      <c r="F308" s="12"/>
      <c r="G308" s="23">
        <f>IFERROR(SUMIFS(Transactions!$F$7:$F$996,Transactions!$G$7:$G$996,A308,Transactions!$D$7:$D$996,"Expense"),0)</f>
        <v>0</v>
      </c>
      <c r="H308" s="11"/>
      <c r="I308" s="11"/>
      <c r="J308" s="1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1"/>
      <c r="B309" s="22"/>
      <c r="C309" s="11"/>
      <c r="D309" s="11"/>
      <c r="E309" s="11"/>
      <c r="F309" s="12"/>
      <c r="G309" s="23">
        <f>IFERROR(SUMIFS(Transactions!$F$7:$F$996,Transactions!$G$7:$G$996,A309,Transactions!$D$7:$D$996,"Expense"),0)</f>
        <v>0</v>
      </c>
      <c r="H309" s="11"/>
      <c r="I309" s="11"/>
      <c r="J309" s="1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1"/>
      <c r="B310" s="22"/>
      <c r="C310" s="11"/>
      <c r="D310" s="11"/>
      <c r="E310" s="11"/>
      <c r="F310" s="12"/>
      <c r="G310" s="23">
        <f>IFERROR(SUMIFS(Transactions!$F$7:$F$996,Transactions!$G$7:$G$996,A310,Transactions!$D$7:$D$996,"Expense"),0)</f>
        <v>0</v>
      </c>
      <c r="H310" s="11"/>
      <c r="I310" s="11"/>
      <c r="J310" s="1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1"/>
      <c r="B311" s="22"/>
      <c r="C311" s="11"/>
      <c r="D311" s="11"/>
      <c r="E311" s="11"/>
      <c r="F311" s="12"/>
      <c r="G311" s="23">
        <f>IFERROR(SUMIFS(Transactions!$F$7:$F$996,Transactions!$G$7:$G$996,A311,Transactions!$D$7:$D$996,"Expense"),0)</f>
        <v>0</v>
      </c>
      <c r="H311" s="11"/>
      <c r="I311" s="11"/>
      <c r="J311" s="1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1"/>
      <c r="B312" s="22"/>
      <c r="C312" s="11"/>
      <c r="D312" s="11"/>
      <c r="E312" s="11"/>
      <c r="F312" s="12"/>
      <c r="G312" s="23">
        <f>IFERROR(SUMIFS(Transactions!$F$7:$F$996,Transactions!$G$7:$G$996,A312,Transactions!$D$7:$D$996,"Expense"),0)</f>
        <v>0</v>
      </c>
      <c r="H312" s="11"/>
      <c r="I312" s="11"/>
      <c r="J312" s="1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1"/>
      <c r="B313" s="22"/>
      <c r="C313" s="11"/>
      <c r="D313" s="11"/>
      <c r="E313" s="11"/>
      <c r="F313" s="12"/>
      <c r="G313" s="23">
        <f>IFERROR(SUMIFS(Transactions!$F$7:$F$996,Transactions!$G$7:$G$996,A313,Transactions!$D$7:$D$996,"Expense"),0)</f>
        <v>0</v>
      </c>
      <c r="H313" s="11"/>
      <c r="I313" s="11"/>
      <c r="J313" s="1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1"/>
      <c r="B314" s="22"/>
      <c r="C314" s="11"/>
      <c r="D314" s="11"/>
      <c r="E314" s="11"/>
      <c r="F314" s="12"/>
      <c r="G314" s="23">
        <f>IFERROR(SUMIFS(Transactions!$F$7:$F$996,Transactions!$G$7:$G$996,A314,Transactions!$D$7:$D$996,"Expense"),0)</f>
        <v>0</v>
      </c>
      <c r="H314" s="11"/>
      <c r="I314" s="11"/>
      <c r="J314" s="1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1"/>
      <c r="B315" s="22"/>
      <c r="C315" s="11"/>
      <c r="D315" s="11"/>
      <c r="E315" s="11"/>
      <c r="F315" s="12"/>
      <c r="G315" s="23">
        <f>IFERROR(SUMIFS(Transactions!$F$7:$F$996,Transactions!$G$7:$G$996,A315,Transactions!$D$7:$D$996,"Expense"),0)</f>
        <v>0</v>
      </c>
      <c r="H315" s="11"/>
      <c r="I315" s="11"/>
      <c r="J315" s="1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1"/>
      <c r="B316" s="22"/>
      <c r="C316" s="11"/>
      <c r="D316" s="11"/>
      <c r="E316" s="11"/>
      <c r="F316" s="12"/>
      <c r="G316" s="23">
        <f>IFERROR(SUMIFS(Transactions!$F$7:$F$996,Transactions!$G$7:$G$996,A316,Transactions!$D$7:$D$996,"Expense"),0)</f>
        <v>0</v>
      </c>
      <c r="H316" s="11"/>
      <c r="I316" s="11"/>
      <c r="J316" s="1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1"/>
      <c r="B317" s="22"/>
      <c r="C317" s="11"/>
      <c r="D317" s="11"/>
      <c r="E317" s="11"/>
      <c r="F317" s="12"/>
      <c r="G317" s="23">
        <f>IFERROR(SUMIFS(Transactions!$F$7:$F$996,Transactions!$G$7:$G$996,A317,Transactions!$D$7:$D$996,"Expense"),0)</f>
        <v>0</v>
      </c>
      <c r="H317" s="11"/>
      <c r="I317" s="11"/>
      <c r="J317" s="1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1"/>
      <c r="B318" s="22"/>
      <c r="C318" s="11"/>
      <c r="D318" s="11"/>
      <c r="E318" s="11"/>
      <c r="F318" s="12"/>
      <c r="G318" s="23">
        <f>IFERROR(SUMIFS(Transactions!$F$7:$F$996,Transactions!$G$7:$G$996,A318,Transactions!$D$7:$D$996,"Expense"),0)</f>
        <v>0</v>
      </c>
      <c r="H318" s="11"/>
      <c r="I318" s="11"/>
      <c r="J318" s="1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1"/>
      <c r="B319" s="22"/>
      <c r="C319" s="11"/>
      <c r="D319" s="11"/>
      <c r="E319" s="11"/>
      <c r="F319" s="12"/>
      <c r="G319" s="23">
        <f>IFERROR(SUMIFS(Transactions!$F$7:$F$996,Transactions!$G$7:$G$996,A319,Transactions!$D$7:$D$996,"Expense"),0)</f>
        <v>0</v>
      </c>
      <c r="H319" s="11"/>
      <c r="I319" s="11"/>
      <c r="J319" s="1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1"/>
      <c r="B320" s="22"/>
      <c r="C320" s="11"/>
      <c r="D320" s="11"/>
      <c r="E320" s="11"/>
      <c r="F320" s="12"/>
      <c r="G320" s="23">
        <f>IFERROR(SUMIFS(Transactions!$F$7:$F$996,Transactions!$G$7:$G$996,A320,Transactions!$D$7:$D$996,"Expense"),0)</f>
        <v>0</v>
      </c>
      <c r="H320" s="11"/>
      <c r="I320" s="11"/>
      <c r="J320" s="1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1"/>
      <c r="B321" s="22"/>
      <c r="C321" s="11"/>
      <c r="D321" s="11"/>
      <c r="E321" s="11"/>
      <c r="F321" s="12"/>
      <c r="G321" s="23">
        <f>IFERROR(SUMIFS(Transactions!$F$7:$F$996,Transactions!$G$7:$G$996,A321,Transactions!$D$7:$D$996,"Expense"),0)</f>
        <v>0</v>
      </c>
      <c r="H321" s="11"/>
      <c r="I321" s="11"/>
      <c r="J321" s="1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1"/>
      <c r="B322" s="22"/>
      <c r="C322" s="11"/>
      <c r="D322" s="11"/>
      <c r="E322" s="11"/>
      <c r="F322" s="12"/>
      <c r="G322" s="23">
        <f>IFERROR(SUMIFS(Transactions!$F$7:$F$996,Transactions!$G$7:$G$996,A322,Transactions!$D$7:$D$996,"Expense"),0)</f>
        <v>0</v>
      </c>
      <c r="H322" s="11"/>
      <c r="I322" s="11"/>
      <c r="J322" s="1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1"/>
      <c r="B323" s="22"/>
      <c r="C323" s="11"/>
      <c r="D323" s="11"/>
      <c r="E323" s="11"/>
      <c r="F323" s="12"/>
      <c r="G323" s="23">
        <f>IFERROR(SUMIFS(Transactions!$F$7:$F$996,Transactions!$G$7:$G$996,A323,Transactions!$D$7:$D$996,"Expense"),0)</f>
        <v>0</v>
      </c>
      <c r="H323" s="11"/>
      <c r="I323" s="11"/>
      <c r="J323" s="1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1"/>
      <c r="B324" s="22"/>
      <c r="C324" s="11"/>
      <c r="D324" s="11"/>
      <c r="E324" s="11"/>
      <c r="F324" s="12"/>
      <c r="G324" s="23">
        <f>IFERROR(SUMIFS(Transactions!$F$7:$F$996,Transactions!$G$7:$G$996,A324,Transactions!$D$7:$D$996,"Expense"),0)</f>
        <v>0</v>
      </c>
      <c r="H324" s="11"/>
      <c r="I324" s="11"/>
      <c r="J324" s="1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1"/>
      <c r="B325" s="22"/>
      <c r="C325" s="11"/>
      <c r="D325" s="11"/>
      <c r="E325" s="11"/>
      <c r="F325" s="12"/>
      <c r="G325" s="23">
        <f>IFERROR(SUMIFS(Transactions!$F$7:$F$996,Transactions!$G$7:$G$996,A325,Transactions!$D$7:$D$996,"Expense"),0)</f>
        <v>0</v>
      </c>
      <c r="H325" s="11"/>
      <c r="I325" s="11"/>
      <c r="J325" s="1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1"/>
      <c r="B326" s="22"/>
      <c r="C326" s="11"/>
      <c r="D326" s="11"/>
      <c r="E326" s="11"/>
      <c r="F326" s="12"/>
      <c r="G326" s="23">
        <f>IFERROR(SUMIFS(Transactions!$F$7:$F$996,Transactions!$G$7:$G$996,A326,Transactions!$D$7:$D$996,"Expense"),0)</f>
        <v>0</v>
      </c>
      <c r="H326" s="11"/>
      <c r="I326" s="11"/>
      <c r="J326" s="1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1"/>
      <c r="B327" s="22"/>
      <c r="C327" s="11"/>
      <c r="D327" s="11"/>
      <c r="E327" s="11"/>
      <c r="F327" s="12"/>
      <c r="G327" s="23">
        <f>IFERROR(SUMIFS(Transactions!$F$7:$F$996,Transactions!$G$7:$G$996,A327,Transactions!$D$7:$D$996,"Expense"),0)</f>
        <v>0</v>
      </c>
      <c r="H327" s="11"/>
      <c r="I327" s="11"/>
      <c r="J327" s="1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1"/>
      <c r="B328" s="22"/>
      <c r="C328" s="11"/>
      <c r="D328" s="11"/>
      <c r="E328" s="11"/>
      <c r="F328" s="12"/>
      <c r="G328" s="23">
        <f>IFERROR(SUMIFS(Transactions!$F$7:$F$996,Transactions!$G$7:$G$996,A328,Transactions!$D$7:$D$996,"Expense"),0)</f>
        <v>0</v>
      </c>
      <c r="H328" s="11"/>
      <c r="I328" s="11"/>
      <c r="J328" s="1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1"/>
      <c r="B329" s="22"/>
      <c r="C329" s="11"/>
      <c r="D329" s="11"/>
      <c r="E329" s="11"/>
      <c r="F329" s="12"/>
      <c r="G329" s="23">
        <f>IFERROR(SUMIFS(Transactions!$F$7:$F$996,Transactions!$G$7:$G$996,A329,Transactions!$D$7:$D$996,"Expense"),0)</f>
        <v>0</v>
      </c>
      <c r="H329" s="11"/>
      <c r="I329" s="11"/>
      <c r="J329" s="1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1"/>
      <c r="B330" s="22"/>
      <c r="C330" s="11"/>
      <c r="D330" s="11"/>
      <c r="E330" s="11"/>
      <c r="F330" s="12"/>
      <c r="G330" s="23">
        <f>IFERROR(SUMIFS(Transactions!$F$7:$F$996,Transactions!$G$7:$G$996,A330,Transactions!$D$7:$D$996,"Expense"),0)</f>
        <v>0</v>
      </c>
      <c r="H330" s="11"/>
      <c r="I330" s="11"/>
      <c r="J330" s="1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1"/>
      <c r="B331" s="22"/>
      <c r="C331" s="11"/>
      <c r="D331" s="11"/>
      <c r="E331" s="11"/>
      <c r="F331" s="12"/>
      <c r="G331" s="23">
        <f>IFERROR(SUMIFS(Transactions!$F$7:$F$996,Transactions!$G$7:$G$996,A331,Transactions!$D$7:$D$996,"Expense"),0)</f>
        <v>0</v>
      </c>
      <c r="H331" s="11"/>
      <c r="I331" s="11"/>
      <c r="J331" s="1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1"/>
      <c r="B332" s="22"/>
      <c r="C332" s="11"/>
      <c r="D332" s="11"/>
      <c r="E332" s="11"/>
      <c r="F332" s="12"/>
      <c r="G332" s="23">
        <f>IFERROR(SUMIFS(Transactions!$F$7:$F$996,Transactions!$G$7:$G$996,A332,Transactions!$D$7:$D$996,"Expense"),0)</f>
        <v>0</v>
      </c>
      <c r="H332" s="11"/>
      <c r="I332" s="11"/>
      <c r="J332" s="1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1"/>
      <c r="B333" s="22"/>
      <c r="C333" s="11"/>
      <c r="D333" s="11"/>
      <c r="E333" s="11"/>
      <c r="F333" s="12"/>
      <c r="G333" s="23">
        <f>IFERROR(SUMIFS(Transactions!$F$7:$F$996,Transactions!$G$7:$G$996,A333,Transactions!$D$7:$D$996,"Expense"),0)</f>
        <v>0</v>
      </c>
      <c r="H333" s="11"/>
      <c r="I333" s="11"/>
      <c r="J333" s="1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1"/>
      <c r="B334" s="22"/>
      <c r="C334" s="11"/>
      <c r="D334" s="11"/>
      <c r="E334" s="11"/>
      <c r="F334" s="12"/>
      <c r="G334" s="23">
        <f>IFERROR(SUMIFS(Transactions!$F$7:$F$996,Transactions!$G$7:$G$996,A334,Transactions!$D$7:$D$996,"Expense"),0)</f>
        <v>0</v>
      </c>
      <c r="H334" s="11"/>
      <c r="I334" s="11"/>
      <c r="J334" s="1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1"/>
      <c r="B335" s="22"/>
      <c r="C335" s="11"/>
      <c r="D335" s="11"/>
      <c r="E335" s="11"/>
      <c r="F335" s="12"/>
      <c r="G335" s="23">
        <f>IFERROR(SUMIFS(Transactions!$F$7:$F$996,Transactions!$G$7:$G$996,A335,Transactions!$D$7:$D$996,"Expense"),0)</f>
        <v>0</v>
      </c>
      <c r="H335" s="11"/>
      <c r="I335" s="11"/>
      <c r="J335" s="1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1"/>
      <c r="B336" s="22"/>
      <c r="C336" s="11"/>
      <c r="D336" s="11"/>
      <c r="E336" s="11"/>
      <c r="F336" s="12"/>
      <c r="G336" s="23">
        <f>IFERROR(SUMIFS(Transactions!$F$7:$F$996,Transactions!$G$7:$G$996,A336,Transactions!$D$7:$D$996,"Expense"),0)</f>
        <v>0</v>
      </c>
      <c r="H336" s="11"/>
      <c r="I336" s="11"/>
      <c r="J336" s="1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1"/>
      <c r="B337" s="22"/>
      <c r="C337" s="11"/>
      <c r="D337" s="11"/>
      <c r="E337" s="11"/>
      <c r="F337" s="12"/>
      <c r="G337" s="23">
        <f>IFERROR(SUMIFS(Transactions!$F$7:$F$996,Transactions!$G$7:$G$996,A337,Transactions!$D$7:$D$996,"Expense"),0)</f>
        <v>0</v>
      </c>
      <c r="H337" s="11"/>
      <c r="I337" s="11"/>
      <c r="J337" s="1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1"/>
      <c r="B338" s="22"/>
      <c r="C338" s="11"/>
      <c r="D338" s="11"/>
      <c r="E338" s="11"/>
      <c r="F338" s="12"/>
      <c r="G338" s="23">
        <f>IFERROR(SUMIFS(Transactions!$F$7:$F$996,Transactions!$G$7:$G$996,A338,Transactions!$D$7:$D$996,"Expense"),0)</f>
        <v>0</v>
      </c>
      <c r="H338" s="11"/>
      <c r="I338" s="11"/>
      <c r="J338" s="1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1"/>
      <c r="B339" s="22"/>
      <c r="C339" s="11"/>
      <c r="D339" s="11"/>
      <c r="E339" s="11"/>
      <c r="F339" s="12"/>
      <c r="G339" s="23">
        <f>IFERROR(SUMIFS(Transactions!$F$7:$F$996,Transactions!$G$7:$G$996,A339,Transactions!$D$7:$D$996,"Expense"),0)</f>
        <v>0</v>
      </c>
      <c r="H339" s="11"/>
      <c r="I339" s="11"/>
      <c r="J339" s="1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1"/>
      <c r="B340" s="22"/>
      <c r="C340" s="11"/>
      <c r="D340" s="11"/>
      <c r="E340" s="11"/>
      <c r="F340" s="12"/>
      <c r="G340" s="23">
        <f>IFERROR(SUMIFS(Transactions!$F$7:$F$996,Transactions!$G$7:$G$996,A340,Transactions!$D$7:$D$996,"Expense"),0)</f>
        <v>0</v>
      </c>
      <c r="H340" s="11"/>
      <c r="I340" s="11"/>
      <c r="J340" s="1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1"/>
      <c r="B341" s="22"/>
      <c r="C341" s="11"/>
      <c r="D341" s="11"/>
      <c r="E341" s="11"/>
      <c r="F341" s="12"/>
      <c r="G341" s="23">
        <f>IFERROR(SUMIFS(Transactions!$F$7:$F$996,Transactions!$G$7:$G$996,A341,Transactions!$D$7:$D$996,"Expense"),0)</f>
        <v>0</v>
      </c>
      <c r="H341" s="11"/>
      <c r="I341" s="11"/>
      <c r="J341" s="1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1"/>
      <c r="B342" s="22"/>
      <c r="C342" s="11"/>
      <c r="D342" s="11"/>
      <c r="E342" s="11"/>
      <c r="F342" s="12"/>
      <c r="G342" s="23">
        <f>IFERROR(SUMIFS(Transactions!$F$7:$F$996,Transactions!$G$7:$G$996,A342,Transactions!$D$7:$D$996,"Expense"),0)</f>
        <v>0</v>
      </c>
      <c r="H342" s="11"/>
      <c r="I342" s="11"/>
      <c r="J342" s="1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1"/>
      <c r="B343" s="22"/>
      <c r="C343" s="11"/>
      <c r="D343" s="11"/>
      <c r="E343" s="11"/>
      <c r="F343" s="12"/>
      <c r="G343" s="23">
        <f>IFERROR(SUMIFS(Transactions!$F$7:$F$996,Transactions!$G$7:$G$996,A343,Transactions!$D$7:$D$996,"Expense"),0)</f>
        <v>0</v>
      </c>
      <c r="H343" s="11"/>
      <c r="I343" s="11"/>
      <c r="J343" s="1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1"/>
      <c r="B344" s="22"/>
      <c r="C344" s="11"/>
      <c r="D344" s="11"/>
      <c r="E344" s="11"/>
      <c r="F344" s="12"/>
      <c r="G344" s="23">
        <f>IFERROR(SUMIFS(Transactions!$F$7:$F$996,Transactions!$G$7:$G$996,A344,Transactions!$D$7:$D$996,"Expense"),0)</f>
        <v>0</v>
      </c>
      <c r="H344" s="11"/>
      <c r="I344" s="11"/>
      <c r="J344" s="1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1"/>
      <c r="B345" s="22"/>
      <c r="C345" s="11"/>
      <c r="D345" s="11"/>
      <c r="E345" s="11"/>
      <c r="F345" s="12"/>
      <c r="G345" s="23">
        <f>IFERROR(SUMIFS(Transactions!$F$7:$F$996,Transactions!$G$7:$G$996,A345,Transactions!$D$7:$D$996,"Expense"),0)</f>
        <v>0</v>
      </c>
      <c r="H345" s="11"/>
      <c r="I345" s="11"/>
      <c r="J345" s="1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1"/>
      <c r="B346" s="22"/>
      <c r="C346" s="11"/>
      <c r="D346" s="11"/>
      <c r="E346" s="11"/>
      <c r="F346" s="12"/>
      <c r="G346" s="23">
        <f>IFERROR(SUMIFS(Transactions!$F$7:$F$996,Transactions!$G$7:$G$996,A346,Transactions!$D$7:$D$996,"Expense"),0)</f>
        <v>0</v>
      </c>
      <c r="H346" s="11"/>
      <c r="I346" s="11"/>
      <c r="J346" s="1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1"/>
      <c r="B347" s="22"/>
      <c r="C347" s="11"/>
      <c r="D347" s="11"/>
      <c r="E347" s="11"/>
      <c r="F347" s="12"/>
      <c r="G347" s="23">
        <f>IFERROR(SUMIFS(Transactions!$F$7:$F$996,Transactions!$G$7:$G$996,A347,Transactions!$D$7:$D$996,"Expense"),0)</f>
        <v>0</v>
      </c>
      <c r="H347" s="11"/>
      <c r="I347" s="11"/>
      <c r="J347" s="1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1"/>
      <c r="B348" s="22"/>
      <c r="C348" s="11"/>
      <c r="D348" s="11"/>
      <c r="E348" s="11"/>
      <c r="F348" s="12"/>
      <c r="G348" s="23">
        <f>IFERROR(SUMIFS(Transactions!$F$7:$F$996,Transactions!$G$7:$G$996,A348,Transactions!$D$7:$D$996,"Expense"),0)</f>
        <v>0</v>
      </c>
      <c r="H348" s="11"/>
      <c r="I348" s="11"/>
      <c r="J348" s="1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1"/>
      <c r="B349" s="22"/>
      <c r="C349" s="11"/>
      <c r="D349" s="11"/>
      <c r="E349" s="11"/>
      <c r="F349" s="12"/>
      <c r="G349" s="23">
        <f>IFERROR(SUMIFS(Transactions!$F$7:$F$996,Transactions!$G$7:$G$996,A349,Transactions!$D$7:$D$996,"Expense"),0)</f>
        <v>0</v>
      </c>
      <c r="H349" s="11"/>
      <c r="I349" s="11"/>
      <c r="J349" s="1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1"/>
      <c r="B350" s="22"/>
      <c r="C350" s="11"/>
      <c r="D350" s="11"/>
      <c r="E350" s="11"/>
      <c r="F350" s="12"/>
      <c r="G350" s="23">
        <f>IFERROR(SUMIFS(Transactions!$F$7:$F$996,Transactions!$G$7:$G$996,A350,Transactions!$D$7:$D$996,"Expense"),0)</f>
        <v>0</v>
      </c>
      <c r="H350" s="11"/>
      <c r="I350" s="11"/>
      <c r="J350" s="1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1"/>
      <c r="B351" s="22"/>
      <c r="C351" s="11"/>
      <c r="D351" s="11"/>
      <c r="E351" s="11"/>
      <c r="F351" s="12"/>
      <c r="G351" s="23">
        <f>IFERROR(SUMIFS(Transactions!$F$7:$F$996,Transactions!$G$7:$G$996,A351,Transactions!$D$7:$D$996,"Expense"),0)</f>
        <v>0</v>
      </c>
      <c r="H351" s="11"/>
      <c r="I351" s="11"/>
      <c r="J351" s="1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1"/>
      <c r="B352" s="22"/>
      <c r="C352" s="11"/>
      <c r="D352" s="11"/>
      <c r="E352" s="11"/>
      <c r="F352" s="12"/>
      <c r="G352" s="23">
        <f>IFERROR(SUMIFS(Transactions!$F$7:$F$996,Transactions!$G$7:$G$996,A352,Transactions!$D$7:$D$996,"Expense"),0)</f>
        <v>0</v>
      </c>
      <c r="H352" s="11"/>
      <c r="I352" s="11"/>
      <c r="J352" s="1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1"/>
      <c r="B353" s="22"/>
      <c r="C353" s="11"/>
      <c r="D353" s="11"/>
      <c r="E353" s="11"/>
      <c r="F353" s="12"/>
      <c r="G353" s="23">
        <f>IFERROR(SUMIFS(Transactions!$F$7:$F$996,Transactions!$G$7:$G$996,A353,Transactions!$D$7:$D$996,"Expense"),0)</f>
        <v>0</v>
      </c>
      <c r="H353" s="11"/>
      <c r="I353" s="11"/>
      <c r="J353" s="1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1"/>
      <c r="B354" s="22"/>
      <c r="C354" s="11"/>
      <c r="D354" s="11"/>
      <c r="E354" s="11"/>
      <c r="F354" s="12"/>
      <c r="G354" s="23">
        <f>IFERROR(SUMIFS(Transactions!$F$7:$F$996,Transactions!$G$7:$G$996,A354,Transactions!$D$7:$D$996,"Expense"),0)</f>
        <v>0</v>
      </c>
      <c r="H354" s="11"/>
      <c r="I354" s="11"/>
      <c r="J354" s="1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1"/>
      <c r="B355" s="22"/>
      <c r="C355" s="11"/>
      <c r="D355" s="11"/>
      <c r="E355" s="11"/>
      <c r="F355" s="12"/>
      <c r="G355" s="23">
        <f>IFERROR(SUMIFS(Transactions!$F$7:$F$996,Transactions!$G$7:$G$996,A355,Transactions!$D$7:$D$996,"Expense"),0)</f>
        <v>0</v>
      </c>
      <c r="H355" s="11"/>
      <c r="I355" s="11"/>
      <c r="J355" s="1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1"/>
      <c r="B356" s="22"/>
      <c r="C356" s="11"/>
      <c r="D356" s="11"/>
      <c r="E356" s="11"/>
      <c r="F356" s="12"/>
      <c r="G356" s="23">
        <f>IFERROR(SUMIFS(Transactions!$F$7:$F$996,Transactions!$G$7:$G$996,A356,Transactions!$D$7:$D$996,"Expense"),0)</f>
        <v>0</v>
      </c>
      <c r="H356" s="11"/>
      <c r="I356" s="11"/>
      <c r="J356" s="1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1"/>
      <c r="B357" s="22"/>
      <c r="C357" s="11"/>
      <c r="D357" s="11"/>
      <c r="E357" s="11"/>
      <c r="F357" s="12"/>
      <c r="G357" s="23">
        <f>IFERROR(SUMIFS(Transactions!$F$7:$F$996,Transactions!$G$7:$G$996,A357,Transactions!$D$7:$D$996,"Expense"),0)</f>
        <v>0</v>
      </c>
      <c r="H357" s="11"/>
      <c r="I357" s="11"/>
      <c r="J357" s="1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1"/>
      <c r="B358" s="22"/>
      <c r="C358" s="11"/>
      <c r="D358" s="11"/>
      <c r="E358" s="11"/>
      <c r="F358" s="12"/>
      <c r="G358" s="23">
        <f>IFERROR(SUMIFS(Transactions!$F$7:$F$996,Transactions!$G$7:$G$996,A358,Transactions!$D$7:$D$996,"Expense"),0)</f>
        <v>0</v>
      </c>
      <c r="H358" s="11"/>
      <c r="I358" s="11"/>
      <c r="J358" s="1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1"/>
      <c r="B359" s="22"/>
      <c r="C359" s="11"/>
      <c r="D359" s="11"/>
      <c r="E359" s="11"/>
      <c r="F359" s="12"/>
      <c r="G359" s="23">
        <f>IFERROR(SUMIFS(Transactions!$F$7:$F$996,Transactions!$G$7:$G$996,A359,Transactions!$D$7:$D$996,"Expense"),0)</f>
        <v>0</v>
      </c>
      <c r="H359" s="11"/>
      <c r="I359" s="11"/>
      <c r="J359" s="1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1"/>
      <c r="B360" s="22"/>
      <c r="C360" s="11"/>
      <c r="D360" s="11"/>
      <c r="E360" s="11"/>
      <c r="F360" s="12"/>
      <c r="G360" s="23">
        <f>IFERROR(SUMIFS(Transactions!$F$7:$F$996,Transactions!$G$7:$G$996,A360,Transactions!$D$7:$D$996,"Expense"),0)</f>
        <v>0</v>
      </c>
      <c r="H360" s="11"/>
      <c r="I360" s="11"/>
      <c r="J360" s="1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1"/>
      <c r="B361" s="22"/>
      <c r="C361" s="11"/>
      <c r="D361" s="11"/>
      <c r="E361" s="11"/>
      <c r="F361" s="12"/>
      <c r="G361" s="23">
        <f>IFERROR(SUMIFS(Transactions!$F$7:$F$996,Transactions!$G$7:$G$996,A361,Transactions!$D$7:$D$996,"Expense"),0)</f>
        <v>0</v>
      </c>
      <c r="H361" s="11"/>
      <c r="I361" s="11"/>
      <c r="J361" s="1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1"/>
      <c r="B362" s="22"/>
      <c r="C362" s="11"/>
      <c r="D362" s="11"/>
      <c r="E362" s="11"/>
      <c r="F362" s="12"/>
      <c r="G362" s="23">
        <f>IFERROR(SUMIFS(Transactions!$F$7:$F$996,Transactions!$G$7:$G$996,A362,Transactions!$D$7:$D$996,"Expense"),0)</f>
        <v>0</v>
      </c>
      <c r="H362" s="11"/>
      <c r="I362" s="11"/>
      <c r="J362" s="1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1"/>
      <c r="B363" s="22"/>
      <c r="C363" s="11"/>
      <c r="D363" s="11"/>
      <c r="E363" s="11"/>
      <c r="F363" s="12"/>
      <c r="G363" s="23">
        <f>IFERROR(SUMIFS(Transactions!$F$7:$F$996,Transactions!$G$7:$G$996,A363,Transactions!$D$7:$D$996,"Expense"),0)</f>
        <v>0</v>
      </c>
      <c r="H363" s="11"/>
      <c r="I363" s="11"/>
      <c r="J363" s="1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1"/>
      <c r="B364" s="22"/>
      <c r="C364" s="11"/>
      <c r="D364" s="11"/>
      <c r="E364" s="11"/>
      <c r="F364" s="12"/>
      <c r="G364" s="23">
        <f>IFERROR(SUMIFS(Transactions!$F$7:$F$996,Transactions!$G$7:$G$996,A364,Transactions!$D$7:$D$996,"Expense"),0)</f>
        <v>0</v>
      </c>
      <c r="H364" s="11"/>
      <c r="I364" s="11"/>
      <c r="J364" s="1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1"/>
      <c r="B365" s="22"/>
      <c r="C365" s="11"/>
      <c r="D365" s="11"/>
      <c r="E365" s="11"/>
      <c r="F365" s="12"/>
      <c r="G365" s="23">
        <f>IFERROR(SUMIFS(Transactions!$F$7:$F$996,Transactions!$G$7:$G$996,A365,Transactions!$D$7:$D$996,"Expense"),0)</f>
        <v>0</v>
      </c>
      <c r="H365" s="11"/>
      <c r="I365" s="11"/>
      <c r="J365" s="1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1"/>
      <c r="B366" s="22"/>
      <c r="C366" s="11"/>
      <c r="D366" s="11"/>
      <c r="E366" s="11"/>
      <c r="F366" s="12"/>
      <c r="G366" s="23">
        <f>IFERROR(SUMIFS(Transactions!$F$7:$F$996,Transactions!$G$7:$G$996,A366,Transactions!$D$7:$D$996,"Expense"),0)</f>
        <v>0</v>
      </c>
      <c r="H366" s="11"/>
      <c r="I366" s="11"/>
      <c r="J366" s="1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1"/>
      <c r="B367" s="22"/>
      <c r="C367" s="11"/>
      <c r="D367" s="11"/>
      <c r="E367" s="11"/>
      <c r="F367" s="12"/>
      <c r="G367" s="23">
        <f>IFERROR(SUMIFS(Transactions!$F$7:$F$996,Transactions!$G$7:$G$996,A367,Transactions!$D$7:$D$996,"Expense"),0)</f>
        <v>0</v>
      </c>
      <c r="H367" s="11"/>
      <c r="I367" s="11"/>
      <c r="J367" s="1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1"/>
      <c r="B368" s="22"/>
      <c r="C368" s="11"/>
      <c r="D368" s="11"/>
      <c r="E368" s="11"/>
      <c r="F368" s="12"/>
      <c r="G368" s="23">
        <f>IFERROR(SUMIFS(Transactions!$F$7:$F$996,Transactions!$G$7:$G$996,A368,Transactions!$D$7:$D$996,"Expense"),0)</f>
        <v>0</v>
      </c>
      <c r="H368" s="11"/>
      <c r="I368" s="11"/>
      <c r="J368" s="1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1"/>
      <c r="B369" s="22"/>
      <c r="C369" s="11"/>
      <c r="D369" s="11"/>
      <c r="E369" s="11"/>
      <c r="F369" s="12"/>
      <c r="G369" s="23">
        <f>IFERROR(SUMIFS(Transactions!$F$7:$F$996,Transactions!$G$7:$G$996,A369,Transactions!$D$7:$D$996,"Expense"),0)</f>
        <v>0</v>
      </c>
      <c r="H369" s="11"/>
      <c r="I369" s="11"/>
      <c r="J369" s="1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1"/>
      <c r="B370" s="22"/>
      <c r="C370" s="11"/>
      <c r="D370" s="11"/>
      <c r="E370" s="11"/>
      <c r="F370" s="12"/>
      <c r="G370" s="23">
        <f>IFERROR(SUMIFS(Transactions!$F$7:$F$996,Transactions!$G$7:$G$996,A370,Transactions!$D$7:$D$996,"Expense"),0)</f>
        <v>0</v>
      </c>
      <c r="H370" s="11"/>
      <c r="I370" s="11"/>
      <c r="J370" s="1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1"/>
      <c r="B371" s="22"/>
      <c r="C371" s="11"/>
      <c r="D371" s="11"/>
      <c r="E371" s="11"/>
      <c r="F371" s="12"/>
      <c r="G371" s="23">
        <f>IFERROR(SUMIFS(Transactions!$F$7:$F$996,Transactions!$G$7:$G$996,A371,Transactions!$D$7:$D$996,"Expense"),0)</f>
        <v>0</v>
      </c>
      <c r="H371" s="11"/>
      <c r="I371" s="11"/>
      <c r="J371" s="1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1"/>
      <c r="B372" s="22"/>
      <c r="C372" s="11"/>
      <c r="D372" s="11"/>
      <c r="E372" s="11"/>
      <c r="F372" s="12"/>
      <c r="G372" s="23">
        <f>IFERROR(SUMIFS(Transactions!$F$7:$F$996,Transactions!$G$7:$G$996,A372,Transactions!$D$7:$D$996,"Expense"),0)</f>
        <v>0</v>
      </c>
      <c r="H372" s="11"/>
      <c r="I372" s="11"/>
      <c r="J372" s="1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1"/>
      <c r="B373" s="22"/>
      <c r="C373" s="11"/>
      <c r="D373" s="11"/>
      <c r="E373" s="11"/>
      <c r="F373" s="12"/>
      <c r="G373" s="23">
        <f>IFERROR(SUMIFS(Transactions!$F$7:$F$996,Transactions!$G$7:$G$996,A373,Transactions!$D$7:$D$996,"Expense"),0)</f>
        <v>0</v>
      </c>
      <c r="H373" s="11"/>
      <c r="I373" s="11"/>
      <c r="J373" s="1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1"/>
      <c r="B374" s="22"/>
      <c r="C374" s="11"/>
      <c r="D374" s="11"/>
      <c r="E374" s="11"/>
      <c r="F374" s="12"/>
      <c r="G374" s="23">
        <f>IFERROR(SUMIFS(Transactions!$F$7:$F$996,Transactions!$G$7:$G$996,A374,Transactions!$D$7:$D$996,"Expense"),0)</f>
        <v>0</v>
      </c>
      <c r="H374" s="11"/>
      <c r="I374" s="11"/>
      <c r="J374" s="1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1"/>
      <c r="B375" s="22"/>
      <c r="C375" s="11"/>
      <c r="D375" s="11"/>
      <c r="E375" s="11"/>
      <c r="F375" s="12"/>
      <c r="G375" s="23">
        <f>IFERROR(SUMIFS(Transactions!$F$7:$F$996,Transactions!$G$7:$G$996,A375,Transactions!$D$7:$D$996,"Expense"),0)</f>
        <v>0</v>
      </c>
      <c r="H375" s="11"/>
      <c r="I375" s="11"/>
      <c r="J375" s="1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1"/>
      <c r="B376" s="22"/>
      <c r="C376" s="11"/>
      <c r="D376" s="11"/>
      <c r="E376" s="11"/>
      <c r="F376" s="12"/>
      <c r="G376" s="23">
        <f>IFERROR(SUMIFS(Transactions!$F$7:$F$996,Transactions!$G$7:$G$996,A376,Transactions!$D$7:$D$996,"Expense"),0)</f>
        <v>0</v>
      </c>
      <c r="H376" s="11"/>
      <c r="I376" s="11"/>
      <c r="J376" s="1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1"/>
      <c r="B377" s="22"/>
      <c r="C377" s="11"/>
      <c r="D377" s="11"/>
      <c r="E377" s="11"/>
      <c r="F377" s="12"/>
      <c r="G377" s="23">
        <f>IFERROR(SUMIFS(Transactions!$F$7:$F$996,Transactions!$G$7:$G$996,A377,Transactions!$D$7:$D$996,"Expense"),0)</f>
        <v>0</v>
      </c>
      <c r="H377" s="11"/>
      <c r="I377" s="11"/>
      <c r="J377" s="1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1"/>
      <c r="B378" s="22"/>
      <c r="C378" s="11"/>
      <c r="D378" s="11"/>
      <c r="E378" s="11"/>
      <c r="F378" s="12"/>
      <c r="G378" s="23">
        <f>IFERROR(SUMIFS(Transactions!$F$7:$F$996,Transactions!$G$7:$G$996,A378,Transactions!$D$7:$D$996,"Expense"),0)</f>
        <v>0</v>
      </c>
      <c r="H378" s="11"/>
      <c r="I378" s="11"/>
      <c r="J378" s="1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1"/>
      <c r="B379" s="22"/>
      <c r="C379" s="11"/>
      <c r="D379" s="11"/>
      <c r="E379" s="11"/>
      <c r="F379" s="12"/>
      <c r="G379" s="23">
        <f>IFERROR(SUMIFS(Transactions!$F$7:$F$996,Transactions!$G$7:$G$996,A379,Transactions!$D$7:$D$996,"Expense"),0)</f>
        <v>0</v>
      </c>
      <c r="H379" s="11"/>
      <c r="I379" s="11"/>
      <c r="J379" s="1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1"/>
      <c r="B380" s="22"/>
      <c r="C380" s="11"/>
      <c r="D380" s="11"/>
      <c r="E380" s="11"/>
      <c r="F380" s="12"/>
      <c r="G380" s="23">
        <f>IFERROR(SUMIFS(Transactions!$F$7:$F$996,Transactions!$G$7:$G$996,A380,Transactions!$D$7:$D$996,"Expense"),0)</f>
        <v>0</v>
      </c>
      <c r="H380" s="11"/>
      <c r="I380" s="11"/>
      <c r="J380" s="1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1"/>
      <c r="B381" s="22"/>
      <c r="C381" s="11"/>
      <c r="D381" s="11"/>
      <c r="E381" s="11"/>
      <c r="F381" s="12"/>
      <c r="G381" s="23">
        <f>IFERROR(SUMIFS(Transactions!$F$7:$F$996,Transactions!$G$7:$G$996,A381,Transactions!$D$7:$D$996,"Expense"),0)</f>
        <v>0</v>
      </c>
      <c r="H381" s="11"/>
      <c r="I381" s="11"/>
      <c r="J381" s="1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1"/>
      <c r="B382" s="22"/>
      <c r="C382" s="11"/>
      <c r="D382" s="11"/>
      <c r="E382" s="11"/>
      <c r="F382" s="12"/>
      <c r="G382" s="23">
        <f>IFERROR(SUMIFS(Transactions!$F$7:$F$996,Transactions!$G$7:$G$996,A382,Transactions!$D$7:$D$996,"Expense"),0)</f>
        <v>0</v>
      </c>
      <c r="H382" s="11"/>
      <c r="I382" s="11"/>
      <c r="J382" s="1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1"/>
      <c r="B383" s="22"/>
      <c r="C383" s="11"/>
      <c r="D383" s="11"/>
      <c r="E383" s="11"/>
      <c r="F383" s="12"/>
      <c r="G383" s="23">
        <f>IFERROR(SUMIFS(Transactions!$F$7:$F$996,Transactions!$G$7:$G$996,A383,Transactions!$D$7:$D$996,"Expense"),0)</f>
        <v>0</v>
      </c>
      <c r="H383" s="11"/>
      <c r="I383" s="11"/>
      <c r="J383" s="1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1"/>
      <c r="B384" s="22"/>
      <c r="C384" s="11"/>
      <c r="D384" s="11"/>
      <c r="E384" s="11"/>
      <c r="F384" s="12"/>
      <c r="G384" s="23">
        <f>IFERROR(SUMIFS(Transactions!$F$7:$F$996,Transactions!$G$7:$G$996,A384,Transactions!$D$7:$D$996,"Expense"),0)</f>
        <v>0</v>
      </c>
      <c r="H384" s="11"/>
      <c r="I384" s="11"/>
      <c r="J384" s="1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1"/>
      <c r="B385" s="22"/>
      <c r="C385" s="11"/>
      <c r="D385" s="11"/>
      <c r="E385" s="11"/>
      <c r="F385" s="12"/>
      <c r="G385" s="23">
        <f>IFERROR(SUMIFS(Transactions!$F$7:$F$996,Transactions!$G$7:$G$996,A385,Transactions!$D$7:$D$996,"Expense"),0)</f>
        <v>0</v>
      </c>
      <c r="H385" s="11"/>
      <c r="I385" s="11"/>
      <c r="J385" s="1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1"/>
      <c r="B386" s="22"/>
      <c r="C386" s="11"/>
      <c r="D386" s="11"/>
      <c r="E386" s="11"/>
      <c r="F386" s="12"/>
      <c r="G386" s="23">
        <f>IFERROR(SUMIFS(Transactions!$F$7:$F$996,Transactions!$G$7:$G$996,A386,Transactions!$D$7:$D$996,"Expense"),0)</f>
        <v>0</v>
      </c>
      <c r="H386" s="11"/>
      <c r="I386" s="11"/>
      <c r="J386" s="1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1"/>
      <c r="B387" s="22"/>
      <c r="C387" s="11"/>
      <c r="D387" s="11"/>
      <c r="E387" s="11"/>
      <c r="F387" s="12"/>
      <c r="G387" s="23">
        <f>IFERROR(SUMIFS(Transactions!$F$7:$F$996,Transactions!$G$7:$G$996,A387,Transactions!$D$7:$D$996,"Expense"),0)</f>
        <v>0</v>
      </c>
      <c r="H387" s="11"/>
      <c r="I387" s="11"/>
      <c r="J387" s="1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1"/>
      <c r="B388" s="22"/>
      <c r="C388" s="11"/>
      <c r="D388" s="11"/>
      <c r="E388" s="11"/>
      <c r="F388" s="12"/>
      <c r="G388" s="23">
        <f>IFERROR(SUMIFS(Transactions!$F$7:$F$996,Transactions!$G$7:$G$996,A388,Transactions!$D$7:$D$996,"Expense"),0)</f>
        <v>0</v>
      </c>
      <c r="H388" s="11"/>
      <c r="I388" s="11"/>
      <c r="J388" s="1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1"/>
      <c r="B389" s="22"/>
      <c r="C389" s="11"/>
      <c r="D389" s="11"/>
      <c r="E389" s="11"/>
      <c r="F389" s="12"/>
      <c r="G389" s="23">
        <f>IFERROR(SUMIFS(Transactions!$F$7:$F$996,Transactions!$G$7:$G$996,A389,Transactions!$D$7:$D$996,"Expense"),0)</f>
        <v>0</v>
      </c>
      <c r="H389" s="11"/>
      <c r="I389" s="11"/>
      <c r="J389" s="1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1"/>
      <c r="B390" s="22"/>
      <c r="C390" s="11"/>
      <c r="D390" s="11"/>
      <c r="E390" s="11"/>
      <c r="F390" s="12"/>
      <c r="G390" s="23">
        <f>IFERROR(SUMIFS(Transactions!$F$7:$F$996,Transactions!$G$7:$G$996,A390,Transactions!$D$7:$D$996,"Expense"),0)</f>
        <v>0</v>
      </c>
      <c r="H390" s="11"/>
      <c r="I390" s="11"/>
      <c r="J390" s="1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1"/>
      <c r="B391" s="22"/>
      <c r="C391" s="11"/>
      <c r="D391" s="11"/>
      <c r="E391" s="11"/>
      <c r="F391" s="12"/>
      <c r="G391" s="23">
        <f>IFERROR(SUMIFS(Transactions!$F$7:$F$996,Transactions!$G$7:$G$996,A391,Transactions!$D$7:$D$996,"Expense"),0)</f>
        <v>0</v>
      </c>
      <c r="H391" s="11"/>
      <c r="I391" s="11"/>
      <c r="J391" s="1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1"/>
      <c r="B392" s="22"/>
      <c r="C392" s="11"/>
      <c r="D392" s="11"/>
      <c r="E392" s="11"/>
      <c r="F392" s="12"/>
      <c r="G392" s="23">
        <f>IFERROR(SUMIFS(Transactions!$F$7:$F$996,Transactions!$G$7:$G$996,A392,Transactions!$D$7:$D$996,"Expense"),0)</f>
        <v>0</v>
      </c>
      <c r="H392" s="11"/>
      <c r="I392" s="11"/>
      <c r="J392" s="1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1"/>
      <c r="B393" s="22"/>
      <c r="C393" s="11"/>
      <c r="D393" s="11"/>
      <c r="E393" s="11"/>
      <c r="F393" s="12"/>
      <c r="G393" s="23">
        <f>IFERROR(SUMIFS(Transactions!$F$7:$F$996,Transactions!$G$7:$G$996,A393,Transactions!$D$7:$D$996,"Expense"),0)</f>
        <v>0</v>
      </c>
      <c r="H393" s="11"/>
      <c r="I393" s="11"/>
      <c r="J393" s="1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1"/>
      <c r="B394" s="22"/>
      <c r="C394" s="11"/>
      <c r="D394" s="11"/>
      <c r="E394" s="11"/>
      <c r="F394" s="12"/>
      <c r="G394" s="23">
        <f>IFERROR(SUMIFS(Transactions!$F$7:$F$996,Transactions!$G$7:$G$996,A394,Transactions!$D$7:$D$996,"Expense"),0)</f>
        <v>0</v>
      </c>
      <c r="H394" s="11"/>
      <c r="I394" s="11"/>
      <c r="J394" s="1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1"/>
      <c r="B395" s="22"/>
      <c r="C395" s="11"/>
      <c r="D395" s="11"/>
      <c r="E395" s="11"/>
      <c r="F395" s="12"/>
      <c r="G395" s="23">
        <f>IFERROR(SUMIFS(Transactions!$F$7:$F$996,Transactions!$G$7:$G$996,A395,Transactions!$D$7:$D$996,"Expense"),0)</f>
        <v>0</v>
      </c>
      <c r="H395" s="11"/>
      <c r="I395" s="11"/>
      <c r="J395" s="1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1"/>
      <c r="B396" s="22"/>
      <c r="C396" s="11"/>
      <c r="D396" s="11"/>
      <c r="E396" s="11"/>
      <c r="F396" s="12"/>
      <c r="G396" s="23">
        <f>IFERROR(SUMIFS(Transactions!$F$7:$F$996,Transactions!$G$7:$G$996,A396,Transactions!$D$7:$D$996,"Expense"),0)</f>
        <v>0</v>
      </c>
      <c r="H396" s="11"/>
      <c r="I396" s="11"/>
      <c r="J396" s="1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1"/>
      <c r="B397" s="22"/>
      <c r="C397" s="11"/>
      <c r="D397" s="11"/>
      <c r="E397" s="11"/>
      <c r="F397" s="12"/>
      <c r="G397" s="23">
        <f>IFERROR(SUMIFS(Transactions!$F$7:$F$996,Transactions!$G$7:$G$996,A397,Transactions!$D$7:$D$996,"Expense"),0)</f>
        <v>0</v>
      </c>
      <c r="H397" s="11"/>
      <c r="I397" s="11"/>
      <c r="J397" s="1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1"/>
      <c r="B398" s="22"/>
      <c r="C398" s="11"/>
      <c r="D398" s="11"/>
      <c r="E398" s="11"/>
      <c r="F398" s="12"/>
      <c r="G398" s="23">
        <f>IFERROR(SUMIFS(Transactions!$F$7:$F$996,Transactions!$G$7:$G$996,A398,Transactions!$D$7:$D$996,"Expense"),0)</f>
        <v>0</v>
      </c>
      <c r="H398" s="11"/>
      <c r="I398" s="11"/>
      <c r="J398" s="1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1"/>
      <c r="B399" s="22"/>
      <c r="C399" s="11"/>
      <c r="D399" s="11"/>
      <c r="E399" s="11"/>
      <c r="F399" s="12"/>
      <c r="G399" s="23">
        <f>IFERROR(SUMIFS(Transactions!$F$7:$F$996,Transactions!$G$7:$G$996,A399,Transactions!$D$7:$D$996,"Expense"),0)</f>
        <v>0</v>
      </c>
      <c r="H399" s="11"/>
      <c r="I399" s="11"/>
      <c r="J399" s="1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1"/>
      <c r="B400" s="22"/>
      <c r="C400" s="11"/>
      <c r="D400" s="11"/>
      <c r="E400" s="11"/>
      <c r="F400" s="12"/>
      <c r="G400" s="23">
        <f>IFERROR(SUMIFS(Transactions!$F$7:$F$996,Transactions!$G$7:$G$996,A400,Transactions!$D$7:$D$996,"Expense"),0)</f>
        <v>0</v>
      </c>
      <c r="H400" s="11"/>
      <c r="I400" s="11"/>
      <c r="J400" s="1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1"/>
      <c r="B401" s="22"/>
      <c r="C401" s="11"/>
      <c r="D401" s="11"/>
      <c r="E401" s="11"/>
      <c r="F401" s="12"/>
      <c r="G401" s="23">
        <f>IFERROR(SUMIFS(Transactions!$F$7:$F$996,Transactions!$G$7:$G$996,A401,Transactions!$D$7:$D$996,"Expense"),0)</f>
        <v>0</v>
      </c>
      <c r="H401" s="11"/>
      <c r="I401" s="11"/>
      <c r="J401" s="1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1"/>
      <c r="B402" s="22"/>
      <c r="C402" s="11"/>
      <c r="D402" s="11"/>
      <c r="E402" s="11"/>
      <c r="F402" s="12"/>
      <c r="G402" s="23">
        <f>IFERROR(SUMIFS(Transactions!$F$7:$F$996,Transactions!$G$7:$G$996,A402,Transactions!$D$7:$D$996,"Expense"),0)</f>
        <v>0</v>
      </c>
      <c r="H402" s="11"/>
      <c r="I402" s="11"/>
      <c r="J402" s="1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1"/>
      <c r="B403" s="22"/>
      <c r="C403" s="11"/>
      <c r="D403" s="11"/>
      <c r="E403" s="11"/>
      <c r="F403" s="12"/>
      <c r="G403" s="23">
        <f>IFERROR(SUMIFS(Transactions!$F$7:$F$996,Transactions!$G$7:$G$996,A403,Transactions!$D$7:$D$996,"Expense"),0)</f>
        <v>0</v>
      </c>
      <c r="H403" s="11"/>
      <c r="I403" s="11"/>
      <c r="J403" s="1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1"/>
      <c r="B404" s="22"/>
      <c r="C404" s="11"/>
      <c r="D404" s="11"/>
      <c r="E404" s="11"/>
      <c r="F404" s="12"/>
      <c r="G404" s="23">
        <f>IFERROR(SUMIFS(Transactions!$F$7:$F$996,Transactions!$G$7:$G$996,A404,Transactions!$D$7:$D$996,"Expense"),0)</f>
        <v>0</v>
      </c>
      <c r="H404" s="11"/>
      <c r="I404" s="11"/>
      <c r="J404" s="1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1"/>
      <c r="B405" s="22"/>
      <c r="C405" s="11"/>
      <c r="D405" s="11"/>
      <c r="E405" s="11"/>
      <c r="F405" s="12"/>
      <c r="G405" s="23">
        <f>IFERROR(SUMIFS(Transactions!$F$7:$F$996,Transactions!$G$7:$G$996,A405,Transactions!$D$7:$D$996,"Expense"),0)</f>
        <v>0</v>
      </c>
      <c r="H405" s="11"/>
      <c r="I405" s="11"/>
      <c r="J405" s="1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1"/>
      <c r="B406" s="22"/>
      <c r="C406" s="11"/>
      <c r="D406" s="11"/>
      <c r="E406" s="11"/>
      <c r="F406" s="12"/>
      <c r="G406" s="23">
        <f>IFERROR(SUMIFS(Transactions!$F$7:$F$996,Transactions!$G$7:$G$996,A406,Transactions!$D$7:$D$996,"Expense"),0)</f>
        <v>0</v>
      </c>
      <c r="H406" s="11"/>
      <c r="I406" s="11"/>
      <c r="J406" s="1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1"/>
      <c r="B407" s="22"/>
      <c r="C407" s="11"/>
      <c r="D407" s="11"/>
      <c r="E407" s="11"/>
      <c r="F407" s="12"/>
      <c r="G407" s="23">
        <f>IFERROR(SUMIFS(Transactions!$F$7:$F$996,Transactions!$G$7:$G$996,A407,Transactions!$D$7:$D$996,"Expense"),0)</f>
        <v>0</v>
      </c>
      <c r="H407" s="11"/>
      <c r="I407" s="11"/>
      <c r="J407" s="1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1"/>
      <c r="B408" s="22"/>
      <c r="C408" s="11"/>
      <c r="D408" s="11"/>
      <c r="E408" s="11"/>
      <c r="F408" s="12"/>
      <c r="G408" s="23">
        <f>IFERROR(SUMIFS(Transactions!$F$7:$F$996,Transactions!$G$7:$G$996,A408,Transactions!$D$7:$D$996,"Expense"),0)</f>
        <v>0</v>
      </c>
      <c r="H408" s="11"/>
      <c r="I408" s="11"/>
      <c r="J408" s="1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1"/>
      <c r="B409" s="22"/>
      <c r="C409" s="11"/>
      <c r="D409" s="11"/>
      <c r="E409" s="11"/>
      <c r="F409" s="12"/>
      <c r="G409" s="23">
        <f>IFERROR(SUMIFS(Transactions!$F$7:$F$996,Transactions!$G$7:$G$996,A409,Transactions!$D$7:$D$996,"Expense"),0)</f>
        <v>0</v>
      </c>
      <c r="H409" s="11"/>
      <c r="I409" s="11"/>
      <c r="J409" s="1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1"/>
      <c r="B410" s="22"/>
      <c r="C410" s="11"/>
      <c r="D410" s="11"/>
      <c r="E410" s="11"/>
      <c r="F410" s="12"/>
      <c r="G410" s="23">
        <f>IFERROR(SUMIFS(Transactions!$F$7:$F$996,Transactions!$G$7:$G$996,A410,Transactions!$D$7:$D$996,"Expense"),0)</f>
        <v>0</v>
      </c>
      <c r="H410" s="11"/>
      <c r="I410" s="11"/>
      <c r="J410" s="1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1"/>
      <c r="B411" s="22"/>
      <c r="C411" s="11"/>
      <c r="D411" s="11"/>
      <c r="E411" s="11"/>
      <c r="F411" s="12"/>
      <c r="G411" s="23">
        <f>IFERROR(SUMIFS(Transactions!$F$7:$F$996,Transactions!$G$7:$G$996,A411,Transactions!$D$7:$D$996,"Expense"),0)</f>
        <v>0</v>
      </c>
      <c r="H411" s="11"/>
      <c r="I411" s="11"/>
      <c r="J411" s="1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1"/>
      <c r="B412" s="22"/>
      <c r="C412" s="11"/>
      <c r="D412" s="11"/>
      <c r="E412" s="11"/>
      <c r="F412" s="12"/>
      <c r="G412" s="23">
        <f>IFERROR(SUMIFS(Transactions!$F$7:$F$996,Transactions!$G$7:$G$996,A412,Transactions!$D$7:$D$996,"Expense"),0)</f>
        <v>0</v>
      </c>
      <c r="H412" s="11"/>
      <c r="I412" s="11"/>
      <c r="J412" s="1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1"/>
      <c r="B413" s="22"/>
      <c r="C413" s="11"/>
      <c r="D413" s="11"/>
      <c r="E413" s="11"/>
      <c r="F413" s="12"/>
      <c r="G413" s="23">
        <f>IFERROR(SUMIFS(Transactions!$F$7:$F$996,Transactions!$G$7:$G$996,A413,Transactions!$D$7:$D$996,"Expense"),0)</f>
        <v>0</v>
      </c>
      <c r="H413" s="11"/>
      <c r="I413" s="11"/>
      <c r="J413" s="1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1"/>
      <c r="B414" s="22"/>
      <c r="C414" s="11"/>
      <c r="D414" s="11"/>
      <c r="E414" s="11"/>
      <c r="F414" s="12"/>
      <c r="G414" s="23">
        <f>IFERROR(SUMIFS(Transactions!$F$7:$F$996,Transactions!$G$7:$G$996,A414,Transactions!$D$7:$D$996,"Expense"),0)</f>
        <v>0</v>
      </c>
      <c r="H414" s="11"/>
      <c r="I414" s="11"/>
      <c r="J414" s="1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1"/>
      <c r="B415" s="22"/>
      <c r="C415" s="11"/>
      <c r="D415" s="11"/>
      <c r="E415" s="11"/>
      <c r="F415" s="12"/>
      <c r="G415" s="23">
        <f>IFERROR(SUMIFS(Transactions!$F$7:$F$996,Transactions!$G$7:$G$996,A415,Transactions!$D$7:$D$996,"Expense"),0)</f>
        <v>0</v>
      </c>
      <c r="H415" s="11"/>
      <c r="I415" s="11"/>
      <c r="J415" s="1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1"/>
      <c r="B416" s="22"/>
      <c r="C416" s="11"/>
      <c r="D416" s="11"/>
      <c r="E416" s="11"/>
      <c r="F416" s="12"/>
      <c r="G416" s="23">
        <f>IFERROR(SUMIFS(Transactions!$F$7:$F$996,Transactions!$G$7:$G$996,A416,Transactions!$D$7:$D$996,"Expense"),0)</f>
        <v>0</v>
      </c>
      <c r="H416" s="11"/>
      <c r="I416" s="11"/>
      <c r="J416" s="1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1"/>
      <c r="B417" s="22"/>
      <c r="C417" s="11"/>
      <c r="D417" s="11"/>
      <c r="E417" s="11"/>
      <c r="F417" s="12"/>
      <c r="G417" s="23">
        <f>IFERROR(SUMIFS(Transactions!$F$7:$F$996,Transactions!$G$7:$G$996,A417,Transactions!$D$7:$D$996,"Expense"),0)</f>
        <v>0</v>
      </c>
      <c r="H417" s="11"/>
      <c r="I417" s="11"/>
      <c r="J417" s="1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1"/>
      <c r="B418" s="22"/>
      <c r="C418" s="11"/>
      <c r="D418" s="11"/>
      <c r="E418" s="11"/>
      <c r="F418" s="12"/>
      <c r="G418" s="23">
        <f>IFERROR(SUMIFS(Transactions!$F$7:$F$996,Transactions!$G$7:$G$996,A418,Transactions!$D$7:$D$996,"Expense"),0)</f>
        <v>0</v>
      </c>
      <c r="H418" s="11"/>
      <c r="I418" s="11"/>
      <c r="J418" s="1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1"/>
      <c r="B419" s="22"/>
      <c r="C419" s="11"/>
      <c r="D419" s="11"/>
      <c r="E419" s="11"/>
      <c r="F419" s="12"/>
      <c r="G419" s="23">
        <f>IFERROR(SUMIFS(Transactions!$F$7:$F$996,Transactions!$G$7:$G$996,A419,Transactions!$D$7:$D$996,"Expense"),0)</f>
        <v>0</v>
      </c>
      <c r="H419" s="11"/>
      <c r="I419" s="11"/>
      <c r="J419" s="1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1"/>
      <c r="B420" s="22"/>
      <c r="C420" s="11"/>
      <c r="D420" s="11"/>
      <c r="E420" s="11"/>
      <c r="F420" s="12"/>
      <c r="G420" s="23">
        <f>IFERROR(SUMIFS(Transactions!$F$7:$F$996,Transactions!$G$7:$G$996,A420,Transactions!$D$7:$D$996,"Expense"),0)</f>
        <v>0</v>
      </c>
      <c r="H420" s="11"/>
      <c r="I420" s="11"/>
      <c r="J420" s="1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1"/>
      <c r="B421" s="22"/>
      <c r="C421" s="11"/>
      <c r="D421" s="11"/>
      <c r="E421" s="11"/>
      <c r="F421" s="12"/>
      <c r="G421" s="23">
        <f>IFERROR(SUMIFS(Transactions!$F$7:$F$996,Transactions!$G$7:$G$996,A421,Transactions!$D$7:$D$996,"Expense"),0)</f>
        <v>0</v>
      </c>
      <c r="H421" s="11"/>
      <c r="I421" s="11"/>
      <c r="J421" s="1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1"/>
      <c r="B422" s="22"/>
      <c r="C422" s="11"/>
      <c r="D422" s="11"/>
      <c r="E422" s="11"/>
      <c r="F422" s="12"/>
      <c r="G422" s="23">
        <f>IFERROR(SUMIFS(Transactions!$F$7:$F$996,Transactions!$G$7:$G$996,A422,Transactions!$D$7:$D$996,"Expense"),0)</f>
        <v>0</v>
      </c>
      <c r="H422" s="11"/>
      <c r="I422" s="11"/>
      <c r="J422" s="1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1"/>
      <c r="B423" s="22"/>
      <c r="C423" s="11"/>
      <c r="D423" s="11"/>
      <c r="E423" s="11"/>
      <c r="F423" s="12"/>
      <c r="G423" s="23">
        <f>IFERROR(SUMIFS(Transactions!$F$7:$F$996,Transactions!$G$7:$G$996,A423,Transactions!$D$7:$D$996,"Expense"),0)</f>
        <v>0</v>
      </c>
      <c r="H423" s="11"/>
      <c r="I423" s="11"/>
      <c r="J423" s="1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1"/>
      <c r="B424" s="22"/>
      <c r="C424" s="11"/>
      <c r="D424" s="11"/>
      <c r="E424" s="11"/>
      <c r="F424" s="12"/>
      <c r="G424" s="23">
        <f>IFERROR(SUMIFS(Transactions!$F$7:$F$996,Transactions!$G$7:$G$996,A424,Transactions!$D$7:$D$996,"Expense"),0)</f>
        <v>0</v>
      </c>
      <c r="H424" s="11"/>
      <c r="I424" s="11"/>
      <c r="J424" s="1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1"/>
      <c r="B425" s="22"/>
      <c r="C425" s="11"/>
      <c r="D425" s="11"/>
      <c r="E425" s="11"/>
      <c r="F425" s="12"/>
      <c r="G425" s="23">
        <f>IFERROR(SUMIFS(Transactions!$F$7:$F$996,Transactions!$G$7:$G$996,A425,Transactions!$D$7:$D$996,"Expense"),0)</f>
        <v>0</v>
      </c>
      <c r="H425" s="11"/>
      <c r="I425" s="11"/>
      <c r="J425" s="1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1"/>
      <c r="B426" s="22"/>
      <c r="C426" s="11"/>
      <c r="D426" s="11"/>
      <c r="E426" s="11"/>
      <c r="F426" s="12"/>
      <c r="G426" s="23">
        <f>IFERROR(SUMIFS(Transactions!$F$7:$F$996,Transactions!$G$7:$G$996,A426,Transactions!$D$7:$D$996,"Expense"),0)</f>
        <v>0</v>
      </c>
      <c r="H426" s="11"/>
      <c r="I426" s="11"/>
      <c r="J426" s="1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1"/>
      <c r="B427" s="22"/>
      <c r="C427" s="11"/>
      <c r="D427" s="11"/>
      <c r="E427" s="11"/>
      <c r="F427" s="12"/>
      <c r="G427" s="23">
        <f>IFERROR(SUMIFS(Transactions!$F$7:$F$996,Transactions!$G$7:$G$996,A427,Transactions!$D$7:$D$996,"Expense"),0)</f>
        <v>0</v>
      </c>
      <c r="H427" s="11"/>
      <c r="I427" s="11"/>
      <c r="J427" s="1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1"/>
      <c r="B428" s="22"/>
      <c r="C428" s="11"/>
      <c r="D428" s="11"/>
      <c r="E428" s="11"/>
      <c r="F428" s="12"/>
      <c r="G428" s="23">
        <f>IFERROR(SUMIFS(Transactions!$F$7:$F$996,Transactions!$G$7:$G$996,A428,Transactions!$D$7:$D$996,"Expense"),0)</f>
        <v>0</v>
      </c>
      <c r="H428" s="11"/>
      <c r="I428" s="11"/>
      <c r="J428" s="1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1"/>
      <c r="B429" s="22"/>
      <c r="C429" s="11"/>
      <c r="D429" s="11"/>
      <c r="E429" s="11"/>
      <c r="F429" s="12"/>
      <c r="G429" s="23">
        <f>IFERROR(SUMIFS(Transactions!$F$7:$F$996,Transactions!$G$7:$G$996,A429,Transactions!$D$7:$D$996,"Expense"),0)</f>
        <v>0</v>
      </c>
      <c r="H429" s="11"/>
      <c r="I429" s="11"/>
      <c r="J429" s="1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1"/>
      <c r="B430" s="22"/>
      <c r="C430" s="11"/>
      <c r="D430" s="11"/>
      <c r="E430" s="11"/>
      <c r="F430" s="12"/>
      <c r="G430" s="23">
        <f>IFERROR(SUMIFS(Transactions!$F$7:$F$996,Transactions!$G$7:$G$996,A430,Transactions!$D$7:$D$996,"Expense"),0)</f>
        <v>0</v>
      </c>
      <c r="H430" s="11"/>
      <c r="I430" s="11"/>
      <c r="J430" s="1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1"/>
      <c r="B431" s="22"/>
      <c r="C431" s="11"/>
      <c r="D431" s="11"/>
      <c r="E431" s="11"/>
      <c r="F431" s="12"/>
      <c r="G431" s="23">
        <f>IFERROR(SUMIFS(Transactions!$F$7:$F$996,Transactions!$G$7:$G$996,A431,Transactions!$D$7:$D$996,"Expense"),0)</f>
        <v>0</v>
      </c>
      <c r="H431" s="11"/>
      <c r="I431" s="11"/>
      <c r="J431" s="1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1"/>
      <c r="B432" s="22"/>
      <c r="C432" s="11"/>
      <c r="D432" s="11"/>
      <c r="E432" s="11"/>
      <c r="F432" s="12"/>
      <c r="G432" s="23">
        <f>IFERROR(SUMIFS(Transactions!$F$7:$F$996,Transactions!$G$7:$G$996,A432,Transactions!$D$7:$D$996,"Expense"),0)</f>
        <v>0</v>
      </c>
      <c r="H432" s="11"/>
      <c r="I432" s="11"/>
      <c r="J432" s="1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1"/>
      <c r="B433" s="22"/>
      <c r="C433" s="11"/>
      <c r="D433" s="11"/>
      <c r="E433" s="11"/>
      <c r="F433" s="12"/>
      <c r="G433" s="23">
        <f>IFERROR(SUMIFS(Transactions!$F$7:$F$996,Transactions!$G$7:$G$996,A433,Transactions!$D$7:$D$996,"Expense"),0)</f>
        <v>0</v>
      </c>
      <c r="H433" s="11"/>
      <c r="I433" s="11"/>
      <c r="J433" s="1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1"/>
      <c r="B434" s="22"/>
      <c r="C434" s="11"/>
      <c r="D434" s="11"/>
      <c r="E434" s="11"/>
      <c r="F434" s="12"/>
      <c r="G434" s="23">
        <f>IFERROR(SUMIFS(Transactions!$F$7:$F$996,Transactions!$G$7:$G$996,A434,Transactions!$D$7:$D$996,"Expense"),0)</f>
        <v>0</v>
      </c>
      <c r="H434" s="11"/>
      <c r="I434" s="11"/>
      <c r="J434" s="1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1"/>
      <c r="B435" s="22"/>
      <c r="C435" s="11"/>
      <c r="D435" s="11"/>
      <c r="E435" s="11"/>
      <c r="F435" s="12"/>
      <c r="G435" s="23">
        <f>IFERROR(SUMIFS(Transactions!$F$7:$F$996,Transactions!$G$7:$G$996,A435,Transactions!$D$7:$D$996,"Expense"),0)</f>
        <v>0</v>
      </c>
      <c r="H435" s="11"/>
      <c r="I435" s="11"/>
      <c r="J435" s="1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1"/>
      <c r="B436" s="22"/>
      <c r="C436" s="11"/>
      <c r="D436" s="11"/>
      <c r="E436" s="11"/>
      <c r="F436" s="12"/>
      <c r="G436" s="23">
        <f>IFERROR(SUMIFS(Transactions!$F$7:$F$996,Transactions!$G$7:$G$996,A436,Transactions!$D$7:$D$996,"Expense"),0)</f>
        <v>0</v>
      </c>
      <c r="H436" s="11"/>
      <c r="I436" s="11"/>
      <c r="J436" s="1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1"/>
      <c r="B437" s="22"/>
      <c r="C437" s="11"/>
      <c r="D437" s="11"/>
      <c r="E437" s="11"/>
      <c r="F437" s="12"/>
      <c r="G437" s="23">
        <f>IFERROR(SUMIFS(Transactions!$F$7:$F$996,Transactions!$G$7:$G$996,A437,Transactions!$D$7:$D$996,"Expense"),0)</f>
        <v>0</v>
      </c>
      <c r="H437" s="11"/>
      <c r="I437" s="11"/>
      <c r="J437" s="1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1"/>
      <c r="B438" s="22"/>
      <c r="C438" s="11"/>
      <c r="D438" s="11"/>
      <c r="E438" s="11"/>
      <c r="F438" s="12"/>
      <c r="G438" s="23">
        <f>IFERROR(SUMIFS(Transactions!$F$7:$F$996,Transactions!$G$7:$G$996,A438,Transactions!$D$7:$D$996,"Expense"),0)</f>
        <v>0</v>
      </c>
      <c r="H438" s="11"/>
      <c r="I438" s="11"/>
      <c r="J438" s="1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1"/>
      <c r="B439" s="22"/>
      <c r="C439" s="11"/>
      <c r="D439" s="11"/>
      <c r="E439" s="11"/>
      <c r="F439" s="12"/>
      <c r="G439" s="23">
        <f>IFERROR(SUMIFS(Transactions!$F$7:$F$996,Transactions!$G$7:$G$996,A439,Transactions!$D$7:$D$996,"Expense"),0)</f>
        <v>0</v>
      </c>
      <c r="H439" s="11"/>
      <c r="I439" s="11"/>
      <c r="J439" s="1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1"/>
      <c r="B440" s="22"/>
      <c r="C440" s="11"/>
      <c r="D440" s="11"/>
      <c r="E440" s="11"/>
      <c r="F440" s="12"/>
      <c r="G440" s="23">
        <f>IFERROR(SUMIFS(Transactions!$F$7:$F$996,Transactions!$G$7:$G$996,A440,Transactions!$D$7:$D$996,"Expense"),0)</f>
        <v>0</v>
      </c>
      <c r="H440" s="11"/>
      <c r="I440" s="11"/>
      <c r="J440" s="1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1"/>
      <c r="B441" s="22"/>
      <c r="C441" s="11"/>
      <c r="D441" s="11"/>
      <c r="E441" s="11"/>
      <c r="F441" s="12"/>
      <c r="G441" s="23">
        <f>IFERROR(SUMIFS(Transactions!$F$7:$F$996,Transactions!$G$7:$G$996,A441,Transactions!$D$7:$D$996,"Expense"),0)</f>
        <v>0</v>
      </c>
      <c r="H441" s="11"/>
      <c r="I441" s="11"/>
      <c r="J441" s="1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1"/>
      <c r="B442" s="22"/>
      <c r="C442" s="11"/>
      <c r="D442" s="11"/>
      <c r="E442" s="11"/>
      <c r="F442" s="12"/>
      <c r="G442" s="23">
        <f>IFERROR(SUMIFS(Transactions!$F$7:$F$996,Transactions!$G$7:$G$996,A442,Transactions!$D$7:$D$996,"Expense"),0)</f>
        <v>0</v>
      </c>
      <c r="H442" s="11"/>
      <c r="I442" s="11"/>
      <c r="J442" s="1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1"/>
      <c r="B443" s="22"/>
      <c r="C443" s="11"/>
      <c r="D443" s="11"/>
      <c r="E443" s="11"/>
      <c r="F443" s="12"/>
      <c r="G443" s="23">
        <f>IFERROR(SUMIFS(Transactions!$F$7:$F$996,Transactions!$G$7:$G$996,A443,Transactions!$D$7:$D$996,"Expense"),0)</f>
        <v>0</v>
      </c>
      <c r="H443" s="11"/>
      <c r="I443" s="11"/>
      <c r="J443" s="1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1"/>
      <c r="B444" s="22"/>
      <c r="C444" s="11"/>
      <c r="D444" s="11"/>
      <c r="E444" s="11"/>
      <c r="F444" s="12"/>
      <c r="G444" s="23">
        <f>IFERROR(SUMIFS(Transactions!$F$7:$F$996,Transactions!$G$7:$G$996,A444,Transactions!$D$7:$D$996,"Expense"),0)</f>
        <v>0</v>
      </c>
      <c r="H444" s="11"/>
      <c r="I444" s="11"/>
      <c r="J444" s="1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1"/>
      <c r="B445" s="22"/>
      <c r="C445" s="11"/>
      <c r="D445" s="11"/>
      <c r="E445" s="11"/>
      <c r="F445" s="12"/>
      <c r="G445" s="23">
        <f>IFERROR(SUMIFS(Transactions!$F$7:$F$996,Transactions!$G$7:$G$996,A445,Transactions!$D$7:$D$996,"Expense"),0)</f>
        <v>0</v>
      </c>
      <c r="H445" s="11"/>
      <c r="I445" s="11"/>
      <c r="J445" s="1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1"/>
      <c r="B446" s="22"/>
      <c r="C446" s="11"/>
      <c r="D446" s="11"/>
      <c r="E446" s="11"/>
      <c r="F446" s="12"/>
      <c r="G446" s="23">
        <f>IFERROR(SUMIFS(Transactions!$F$7:$F$996,Transactions!$G$7:$G$996,A446,Transactions!$D$7:$D$996,"Expense"),0)</f>
        <v>0</v>
      </c>
      <c r="H446" s="11"/>
      <c r="I446" s="11"/>
      <c r="J446" s="1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1"/>
      <c r="B447" s="22"/>
      <c r="C447" s="11"/>
      <c r="D447" s="11"/>
      <c r="E447" s="11"/>
      <c r="F447" s="12"/>
      <c r="G447" s="23">
        <f>IFERROR(SUMIFS(Transactions!$F$7:$F$996,Transactions!$G$7:$G$996,A447,Transactions!$D$7:$D$996,"Expense"),0)</f>
        <v>0</v>
      </c>
      <c r="H447" s="11"/>
      <c r="I447" s="11"/>
      <c r="J447" s="1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1"/>
      <c r="B448" s="22"/>
      <c r="C448" s="11"/>
      <c r="D448" s="11"/>
      <c r="E448" s="11"/>
      <c r="F448" s="12"/>
      <c r="G448" s="23">
        <f>IFERROR(SUMIFS(Transactions!$F$7:$F$996,Transactions!$G$7:$G$996,A448,Transactions!$D$7:$D$996,"Expense"),0)</f>
        <v>0</v>
      </c>
      <c r="H448" s="11"/>
      <c r="I448" s="11"/>
      <c r="J448" s="1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1"/>
      <c r="B449" s="22"/>
      <c r="C449" s="11"/>
      <c r="D449" s="11"/>
      <c r="E449" s="11"/>
      <c r="F449" s="12"/>
      <c r="G449" s="23">
        <f>IFERROR(SUMIFS(Transactions!$F$7:$F$996,Transactions!$G$7:$G$996,A449,Transactions!$D$7:$D$996,"Expense"),0)</f>
        <v>0</v>
      </c>
      <c r="H449" s="11"/>
      <c r="I449" s="11"/>
      <c r="J449" s="1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1"/>
      <c r="B450" s="22"/>
      <c r="C450" s="11"/>
      <c r="D450" s="11"/>
      <c r="E450" s="11"/>
      <c r="F450" s="12"/>
      <c r="G450" s="23">
        <f>IFERROR(SUMIFS(Transactions!$F$7:$F$996,Transactions!$G$7:$G$996,A450,Transactions!$D$7:$D$996,"Expense"),0)</f>
        <v>0</v>
      </c>
      <c r="H450" s="11"/>
      <c r="I450" s="11"/>
      <c r="J450" s="1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1"/>
      <c r="B451" s="22"/>
      <c r="C451" s="11"/>
      <c r="D451" s="11"/>
      <c r="E451" s="11"/>
      <c r="F451" s="12"/>
      <c r="G451" s="23">
        <f>IFERROR(SUMIFS(Transactions!$F$7:$F$996,Transactions!$G$7:$G$996,A451,Transactions!$D$7:$D$996,"Expense"),0)</f>
        <v>0</v>
      </c>
      <c r="H451" s="11"/>
      <c r="I451" s="11"/>
      <c r="J451" s="1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1"/>
      <c r="B452" s="22"/>
      <c r="C452" s="11"/>
      <c r="D452" s="11"/>
      <c r="E452" s="11"/>
      <c r="F452" s="12"/>
      <c r="G452" s="23">
        <f>IFERROR(SUMIFS(Transactions!$F$7:$F$996,Transactions!$G$7:$G$996,A452,Transactions!$D$7:$D$996,"Expense"),0)</f>
        <v>0</v>
      </c>
      <c r="H452" s="11"/>
      <c r="I452" s="11"/>
      <c r="J452" s="1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1"/>
      <c r="B453" s="22"/>
      <c r="C453" s="11"/>
      <c r="D453" s="11"/>
      <c r="E453" s="11"/>
      <c r="F453" s="12"/>
      <c r="G453" s="23">
        <f>IFERROR(SUMIFS(Transactions!$F$7:$F$996,Transactions!$G$7:$G$996,A453,Transactions!$D$7:$D$996,"Expense"),0)</f>
        <v>0</v>
      </c>
      <c r="H453" s="11"/>
      <c r="I453" s="11"/>
      <c r="J453" s="1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1"/>
      <c r="B454" s="22"/>
      <c r="C454" s="11"/>
      <c r="D454" s="11"/>
      <c r="E454" s="11"/>
      <c r="F454" s="12"/>
      <c r="G454" s="23">
        <f>IFERROR(SUMIFS(Transactions!$F$7:$F$996,Transactions!$G$7:$G$996,A454,Transactions!$D$7:$D$996,"Expense"),0)</f>
        <v>0</v>
      </c>
      <c r="H454" s="11"/>
      <c r="I454" s="11"/>
      <c r="J454" s="1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1"/>
      <c r="B455" s="22"/>
      <c r="C455" s="11"/>
      <c r="D455" s="11"/>
      <c r="E455" s="11"/>
      <c r="F455" s="12"/>
      <c r="G455" s="23">
        <f>IFERROR(SUMIFS(Transactions!$F$7:$F$996,Transactions!$G$7:$G$996,A455,Transactions!$D$7:$D$996,"Expense"),0)</f>
        <v>0</v>
      </c>
      <c r="H455" s="11"/>
      <c r="I455" s="11"/>
      <c r="J455" s="1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1"/>
      <c r="B456" s="22"/>
      <c r="C456" s="11"/>
      <c r="D456" s="11"/>
      <c r="E456" s="11"/>
      <c r="F456" s="12"/>
      <c r="G456" s="23">
        <f>IFERROR(SUMIFS(Transactions!$F$7:$F$996,Transactions!$G$7:$G$996,A456,Transactions!$D$7:$D$996,"Expense"),0)</f>
        <v>0</v>
      </c>
      <c r="H456" s="11"/>
      <c r="I456" s="11"/>
      <c r="J456" s="1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1"/>
      <c r="B457" s="22"/>
      <c r="C457" s="11"/>
      <c r="D457" s="11"/>
      <c r="E457" s="11"/>
      <c r="F457" s="12"/>
      <c r="G457" s="23">
        <f>IFERROR(SUMIFS(Transactions!$F$7:$F$996,Transactions!$G$7:$G$996,A457,Transactions!$D$7:$D$996,"Expense"),0)</f>
        <v>0</v>
      </c>
      <c r="H457" s="11"/>
      <c r="I457" s="11"/>
      <c r="J457" s="1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1"/>
      <c r="B458" s="22"/>
      <c r="C458" s="11"/>
      <c r="D458" s="11"/>
      <c r="E458" s="11"/>
      <c r="F458" s="12"/>
      <c r="G458" s="23">
        <f>IFERROR(SUMIFS(Transactions!$F$7:$F$996,Transactions!$G$7:$G$996,A458,Transactions!$D$7:$D$996,"Expense"),0)</f>
        <v>0</v>
      </c>
      <c r="H458" s="11"/>
      <c r="I458" s="11"/>
      <c r="J458" s="1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1"/>
      <c r="B459" s="22"/>
      <c r="C459" s="11"/>
      <c r="D459" s="11"/>
      <c r="E459" s="11"/>
      <c r="F459" s="12"/>
      <c r="G459" s="23">
        <f>IFERROR(SUMIFS(Transactions!$F$7:$F$996,Transactions!$G$7:$G$996,A459,Transactions!$D$7:$D$996,"Expense"),0)</f>
        <v>0</v>
      </c>
      <c r="H459" s="11"/>
      <c r="I459" s="11"/>
      <c r="J459" s="1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1"/>
      <c r="B460" s="22"/>
      <c r="C460" s="11"/>
      <c r="D460" s="11"/>
      <c r="E460" s="11"/>
      <c r="F460" s="12"/>
      <c r="G460" s="23">
        <f>IFERROR(SUMIFS(Transactions!$F$7:$F$996,Transactions!$G$7:$G$996,A460,Transactions!$D$7:$D$996,"Expense"),0)</f>
        <v>0</v>
      </c>
      <c r="H460" s="11"/>
      <c r="I460" s="11"/>
      <c r="J460" s="1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1"/>
      <c r="B461" s="22"/>
      <c r="C461" s="11"/>
      <c r="D461" s="11"/>
      <c r="E461" s="11"/>
      <c r="F461" s="12"/>
      <c r="G461" s="23">
        <f>IFERROR(SUMIFS(Transactions!$F$7:$F$996,Transactions!$G$7:$G$996,A461,Transactions!$D$7:$D$996,"Expense"),0)</f>
        <v>0</v>
      </c>
      <c r="H461" s="11"/>
      <c r="I461" s="11"/>
      <c r="J461" s="1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1"/>
      <c r="B462" s="22"/>
      <c r="C462" s="11"/>
      <c r="D462" s="11"/>
      <c r="E462" s="11"/>
      <c r="F462" s="12"/>
      <c r="G462" s="23">
        <f>IFERROR(SUMIFS(Transactions!$F$7:$F$996,Transactions!$G$7:$G$996,A462,Transactions!$D$7:$D$996,"Expense"),0)</f>
        <v>0</v>
      </c>
      <c r="H462" s="11"/>
      <c r="I462" s="11"/>
      <c r="J462" s="1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1"/>
      <c r="B463" s="22"/>
      <c r="C463" s="11"/>
      <c r="D463" s="11"/>
      <c r="E463" s="11"/>
      <c r="F463" s="12"/>
      <c r="G463" s="23">
        <f>IFERROR(SUMIFS(Transactions!$F$7:$F$996,Transactions!$G$7:$G$996,A463,Transactions!$D$7:$D$996,"Expense"),0)</f>
        <v>0</v>
      </c>
      <c r="H463" s="11"/>
      <c r="I463" s="11"/>
      <c r="J463" s="1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1"/>
      <c r="B464" s="22"/>
      <c r="C464" s="11"/>
      <c r="D464" s="11"/>
      <c r="E464" s="11"/>
      <c r="F464" s="12"/>
      <c r="G464" s="23">
        <f>IFERROR(SUMIFS(Transactions!$F$7:$F$996,Transactions!$G$7:$G$996,A464,Transactions!$D$7:$D$996,"Expense"),0)</f>
        <v>0</v>
      </c>
      <c r="H464" s="11"/>
      <c r="I464" s="11"/>
      <c r="J464" s="1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1"/>
      <c r="B465" s="22"/>
      <c r="C465" s="11"/>
      <c r="D465" s="11"/>
      <c r="E465" s="11"/>
      <c r="F465" s="12"/>
      <c r="G465" s="23">
        <f>IFERROR(SUMIFS(Transactions!$F$7:$F$996,Transactions!$G$7:$G$996,A465,Transactions!$D$7:$D$996,"Expense"),0)</f>
        <v>0</v>
      </c>
      <c r="H465" s="11"/>
      <c r="I465" s="11"/>
      <c r="J465" s="1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1"/>
      <c r="B466" s="22"/>
      <c r="C466" s="11"/>
      <c r="D466" s="11"/>
      <c r="E466" s="11"/>
      <c r="F466" s="12"/>
      <c r="G466" s="23">
        <f>IFERROR(SUMIFS(Transactions!$F$7:$F$996,Transactions!$G$7:$G$996,A466,Transactions!$D$7:$D$996,"Expense"),0)</f>
        <v>0</v>
      </c>
      <c r="H466" s="11"/>
      <c r="I466" s="11"/>
      <c r="J466" s="1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1"/>
      <c r="B467" s="22"/>
      <c r="C467" s="11"/>
      <c r="D467" s="11"/>
      <c r="E467" s="11"/>
      <c r="F467" s="12"/>
      <c r="G467" s="23">
        <f>IFERROR(SUMIFS(Transactions!$F$7:$F$996,Transactions!$G$7:$G$996,A467,Transactions!$D$7:$D$996,"Expense"),0)</f>
        <v>0</v>
      </c>
      <c r="H467" s="11"/>
      <c r="I467" s="11"/>
      <c r="J467" s="1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1"/>
      <c r="B468" s="22"/>
      <c r="C468" s="11"/>
      <c r="D468" s="11"/>
      <c r="E468" s="11"/>
      <c r="F468" s="12"/>
      <c r="G468" s="23">
        <f>IFERROR(SUMIFS(Transactions!$F$7:$F$996,Transactions!$G$7:$G$996,A468,Transactions!$D$7:$D$996,"Expense"),0)</f>
        <v>0</v>
      </c>
      <c r="H468" s="11"/>
      <c r="I468" s="11"/>
      <c r="J468" s="1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1"/>
      <c r="B469" s="22"/>
      <c r="C469" s="11"/>
      <c r="D469" s="11"/>
      <c r="E469" s="11"/>
      <c r="F469" s="12"/>
      <c r="G469" s="23">
        <f>IFERROR(SUMIFS(Transactions!$F$7:$F$996,Transactions!$G$7:$G$996,A469,Transactions!$D$7:$D$996,"Expense"),0)</f>
        <v>0</v>
      </c>
      <c r="H469" s="11"/>
      <c r="I469" s="11"/>
      <c r="J469" s="1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1"/>
      <c r="B470" s="22"/>
      <c r="C470" s="11"/>
      <c r="D470" s="11"/>
      <c r="E470" s="11"/>
      <c r="F470" s="12"/>
      <c r="G470" s="23">
        <f>IFERROR(SUMIFS(Transactions!$F$7:$F$996,Transactions!$G$7:$G$996,A470,Transactions!$D$7:$D$996,"Expense"),0)</f>
        <v>0</v>
      </c>
      <c r="H470" s="11"/>
      <c r="I470" s="11"/>
      <c r="J470" s="1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1"/>
      <c r="B471" s="22"/>
      <c r="C471" s="11"/>
      <c r="D471" s="11"/>
      <c r="E471" s="11"/>
      <c r="F471" s="12"/>
      <c r="G471" s="23">
        <f>IFERROR(SUMIFS(Transactions!$F$7:$F$996,Transactions!$G$7:$G$996,A471,Transactions!$D$7:$D$996,"Expense"),0)</f>
        <v>0</v>
      </c>
      <c r="H471" s="11"/>
      <c r="I471" s="11"/>
      <c r="J471" s="1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1"/>
      <c r="B472" s="22"/>
      <c r="C472" s="11"/>
      <c r="D472" s="11"/>
      <c r="E472" s="11"/>
      <c r="F472" s="12"/>
      <c r="G472" s="23">
        <f>IFERROR(SUMIFS(Transactions!$F$7:$F$996,Transactions!$G$7:$G$996,A472,Transactions!$D$7:$D$996,"Expense"),0)</f>
        <v>0</v>
      </c>
      <c r="H472" s="11"/>
      <c r="I472" s="11"/>
      <c r="J472" s="1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1"/>
      <c r="B473" s="22"/>
      <c r="C473" s="11"/>
      <c r="D473" s="11"/>
      <c r="E473" s="11"/>
      <c r="F473" s="12"/>
      <c r="G473" s="23">
        <f>IFERROR(SUMIFS(Transactions!$F$7:$F$996,Transactions!$G$7:$G$996,A473,Transactions!$D$7:$D$996,"Expense"),0)</f>
        <v>0</v>
      </c>
      <c r="H473" s="11"/>
      <c r="I473" s="11"/>
      <c r="J473" s="1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1"/>
      <c r="B474" s="22"/>
      <c r="C474" s="11"/>
      <c r="D474" s="11"/>
      <c r="E474" s="11"/>
      <c r="F474" s="12"/>
      <c r="G474" s="23">
        <f>IFERROR(SUMIFS(Transactions!$F$7:$F$996,Transactions!$G$7:$G$996,A474,Transactions!$D$7:$D$996,"Expense"),0)</f>
        <v>0</v>
      </c>
      <c r="H474" s="11"/>
      <c r="I474" s="11"/>
      <c r="J474" s="1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1"/>
      <c r="B475" s="22"/>
      <c r="C475" s="11"/>
      <c r="D475" s="11"/>
      <c r="E475" s="11"/>
      <c r="F475" s="12"/>
      <c r="G475" s="23">
        <f>IFERROR(SUMIFS(Transactions!$F$7:$F$996,Transactions!$G$7:$G$996,A475,Transactions!$D$7:$D$996,"Expense"),0)</f>
        <v>0</v>
      </c>
      <c r="H475" s="11"/>
      <c r="I475" s="11"/>
      <c r="J475" s="1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1"/>
      <c r="B476" s="22"/>
      <c r="C476" s="11"/>
      <c r="D476" s="11"/>
      <c r="E476" s="11"/>
      <c r="F476" s="12"/>
      <c r="G476" s="23">
        <f>IFERROR(SUMIFS(Transactions!$F$7:$F$996,Transactions!$G$7:$G$996,A476,Transactions!$D$7:$D$996,"Expense"),0)</f>
        <v>0</v>
      </c>
      <c r="H476" s="11"/>
      <c r="I476" s="11"/>
      <c r="J476" s="1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1"/>
      <c r="B477" s="22"/>
      <c r="C477" s="11"/>
      <c r="D477" s="11"/>
      <c r="E477" s="11"/>
      <c r="F477" s="12"/>
      <c r="G477" s="23">
        <f>IFERROR(SUMIFS(Transactions!$F$7:$F$996,Transactions!$G$7:$G$996,A477,Transactions!$D$7:$D$996,"Expense"),0)</f>
        <v>0</v>
      </c>
      <c r="H477" s="11"/>
      <c r="I477" s="11"/>
      <c r="J477" s="1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1"/>
      <c r="B478" s="22"/>
      <c r="C478" s="11"/>
      <c r="D478" s="11"/>
      <c r="E478" s="11"/>
      <c r="F478" s="12"/>
      <c r="G478" s="23">
        <f>IFERROR(SUMIFS(Transactions!$F$7:$F$996,Transactions!$G$7:$G$996,A478,Transactions!$D$7:$D$996,"Expense"),0)</f>
        <v>0</v>
      </c>
      <c r="H478" s="11"/>
      <c r="I478" s="11"/>
      <c r="J478" s="1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1"/>
      <c r="B479" s="22"/>
      <c r="C479" s="11"/>
      <c r="D479" s="11"/>
      <c r="E479" s="11"/>
      <c r="F479" s="12"/>
      <c r="G479" s="23">
        <f>IFERROR(SUMIFS(Transactions!$F$7:$F$996,Transactions!$G$7:$G$996,A479,Transactions!$D$7:$D$996,"Expense"),0)</f>
        <v>0</v>
      </c>
      <c r="H479" s="11"/>
      <c r="I479" s="11"/>
      <c r="J479" s="1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1"/>
      <c r="B480" s="22"/>
      <c r="C480" s="11"/>
      <c r="D480" s="11"/>
      <c r="E480" s="11"/>
      <c r="F480" s="12"/>
      <c r="G480" s="23">
        <f>IFERROR(SUMIFS(Transactions!$F$7:$F$996,Transactions!$G$7:$G$996,A480,Transactions!$D$7:$D$996,"Expense"),0)</f>
        <v>0</v>
      </c>
      <c r="H480" s="11"/>
      <c r="I480" s="11"/>
      <c r="J480" s="1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1"/>
      <c r="B481" s="22"/>
      <c r="C481" s="11"/>
      <c r="D481" s="11"/>
      <c r="E481" s="11"/>
      <c r="F481" s="12"/>
      <c r="G481" s="23">
        <f>IFERROR(SUMIFS(Transactions!$F$7:$F$996,Transactions!$G$7:$G$996,A481,Transactions!$D$7:$D$996,"Expense"),0)</f>
        <v>0</v>
      </c>
      <c r="H481" s="11"/>
      <c r="I481" s="11"/>
      <c r="J481" s="1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1"/>
      <c r="B482" s="22"/>
      <c r="C482" s="11"/>
      <c r="D482" s="11"/>
      <c r="E482" s="11"/>
      <c r="F482" s="12"/>
      <c r="G482" s="23">
        <f>IFERROR(SUMIFS(Transactions!$F$7:$F$996,Transactions!$G$7:$G$996,A482,Transactions!$D$7:$D$996,"Expense"),0)</f>
        <v>0</v>
      </c>
      <c r="H482" s="11"/>
      <c r="I482" s="11"/>
      <c r="J482" s="1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1"/>
      <c r="B483" s="22"/>
      <c r="C483" s="11"/>
      <c r="D483" s="11"/>
      <c r="E483" s="11"/>
      <c r="F483" s="12"/>
      <c r="G483" s="23">
        <f>IFERROR(SUMIFS(Transactions!$F$7:$F$996,Transactions!$G$7:$G$996,A483,Transactions!$D$7:$D$996,"Expense"),0)</f>
        <v>0</v>
      </c>
      <c r="H483" s="11"/>
      <c r="I483" s="11"/>
      <c r="J483" s="1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1"/>
      <c r="B484" s="22"/>
      <c r="C484" s="11"/>
      <c r="D484" s="11"/>
      <c r="E484" s="11"/>
      <c r="F484" s="12"/>
      <c r="G484" s="23">
        <f>IFERROR(SUMIFS(Transactions!$F$7:$F$996,Transactions!$G$7:$G$996,A484,Transactions!$D$7:$D$996,"Expense"),0)</f>
        <v>0</v>
      </c>
      <c r="H484" s="11"/>
      <c r="I484" s="11"/>
      <c r="J484" s="1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1"/>
      <c r="B485" s="22"/>
      <c r="C485" s="11"/>
      <c r="D485" s="11"/>
      <c r="E485" s="11"/>
      <c r="F485" s="12"/>
      <c r="G485" s="23">
        <f>IFERROR(SUMIFS(Transactions!$F$7:$F$996,Transactions!$G$7:$G$996,A485,Transactions!$D$7:$D$996,"Expense"),0)</f>
        <v>0</v>
      </c>
      <c r="H485" s="11"/>
      <c r="I485" s="11"/>
      <c r="J485" s="1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1"/>
      <c r="B486" s="22"/>
      <c r="C486" s="11"/>
      <c r="D486" s="11"/>
      <c r="E486" s="11"/>
      <c r="F486" s="12"/>
      <c r="G486" s="23">
        <f>IFERROR(SUMIFS(Transactions!$F$7:$F$996,Transactions!$G$7:$G$996,A486,Transactions!$D$7:$D$996,"Expense"),0)</f>
        <v>0</v>
      </c>
      <c r="H486" s="11"/>
      <c r="I486" s="11"/>
      <c r="J486" s="1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1"/>
      <c r="B487" s="22"/>
      <c r="C487" s="11"/>
      <c r="D487" s="11"/>
      <c r="E487" s="11"/>
      <c r="F487" s="12"/>
      <c r="G487" s="23">
        <f>IFERROR(SUMIFS(Transactions!$F$7:$F$996,Transactions!$G$7:$G$996,A487,Transactions!$D$7:$D$996,"Expense"),0)</f>
        <v>0</v>
      </c>
      <c r="H487" s="11"/>
      <c r="I487" s="11"/>
      <c r="J487" s="1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1"/>
      <c r="B488" s="22"/>
      <c r="C488" s="11"/>
      <c r="D488" s="11"/>
      <c r="E488" s="11"/>
      <c r="F488" s="12"/>
      <c r="G488" s="23">
        <f>IFERROR(SUMIFS(Transactions!$F$7:$F$996,Transactions!$G$7:$G$996,A488,Transactions!$D$7:$D$996,"Expense"),0)</f>
        <v>0</v>
      </c>
      <c r="H488" s="11"/>
      <c r="I488" s="11"/>
      <c r="J488" s="1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1"/>
      <c r="B489" s="22"/>
      <c r="C489" s="11"/>
      <c r="D489" s="11"/>
      <c r="E489" s="11"/>
      <c r="F489" s="12"/>
      <c r="G489" s="23">
        <f>IFERROR(SUMIFS(Transactions!$F$7:$F$996,Transactions!$G$7:$G$996,A489,Transactions!$D$7:$D$996,"Expense"),0)</f>
        <v>0</v>
      </c>
      <c r="H489" s="11"/>
      <c r="I489" s="11"/>
      <c r="J489" s="1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1"/>
      <c r="B490" s="22"/>
      <c r="C490" s="11"/>
      <c r="D490" s="11"/>
      <c r="E490" s="11"/>
      <c r="F490" s="12"/>
      <c r="G490" s="23">
        <f>IFERROR(SUMIFS(Transactions!$F$7:$F$996,Transactions!$G$7:$G$996,A490,Transactions!$D$7:$D$996,"Expense"),0)</f>
        <v>0</v>
      </c>
      <c r="H490" s="11"/>
      <c r="I490" s="11"/>
      <c r="J490" s="1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1"/>
      <c r="B491" s="22"/>
      <c r="C491" s="11"/>
      <c r="D491" s="11"/>
      <c r="E491" s="11"/>
      <c r="F491" s="12"/>
      <c r="G491" s="23">
        <f>IFERROR(SUMIFS(Transactions!$F$7:$F$996,Transactions!$G$7:$G$996,A491,Transactions!$D$7:$D$996,"Expense"),0)</f>
        <v>0</v>
      </c>
      <c r="H491" s="11"/>
      <c r="I491" s="11"/>
      <c r="J491" s="1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1"/>
      <c r="B492" s="22"/>
      <c r="C492" s="11"/>
      <c r="D492" s="11"/>
      <c r="E492" s="11"/>
      <c r="F492" s="12"/>
      <c r="G492" s="23">
        <f>IFERROR(SUMIFS(Transactions!$F$7:$F$996,Transactions!$G$7:$G$996,A492,Transactions!$D$7:$D$996,"Expense"),0)</f>
        <v>0</v>
      </c>
      <c r="H492" s="11"/>
      <c r="I492" s="11"/>
      <c r="J492" s="1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1"/>
      <c r="B493" s="22"/>
      <c r="C493" s="11"/>
      <c r="D493" s="11"/>
      <c r="E493" s="11"/>
      <c r="F493" s="12"/>
      <c r="G493" s="23">
        <f>IFERROR(SUMIFS(Transactions!$F$7:$F$996,Transactions!$G$7:$G$996,A493,Transactions!$D$7:$D$996,"Expense"),0)</f>
        <v>0</v>
      </c>
      <c r="H493" s="11"/>
      <c r="I493" s="11"/>
      <c r="J493" s="1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1"/>
      <c r="B494" s="22"/>
      <c r="C494" s="11"/>
      <c r="D494" s="11"/>
      <c r="E494" s="11"/>
      <c r="F494" s="12"/>
      <c r="G494" s="23">
        <f>IFERROR(SUMIFS(Transactions!$F$7:$F$996,Transactions!$G$7:$G$996,A494,Transactions!$D$7:$D$996,"Expense"),0)</f>
        <v>0</v>
      </c>
      <c r="H494" s="11"/>
      <c r="I494" s="11"/>
      <c r="J494" s="1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1"/>
      <c r="B495" s="22"/>
      <c r="C495" s="11"/>
      <c r="D495" s="11"/>
      <c r="E495" s="11"/>
      <c r="F495" s="12"/>
      <c r="G495" s="23">
        <f>IFERROR(SUMIFS(Transactions!$F$7:$F$996,Transactions!$G$7:$G$996,A495,Transactions!$D$7:$D$996,"Expense"),0)</f>
        <v>0</v>
      </c>
      <c r="H495" s="11"/>
      <c r="I495" s="11"/>
      <c r="J495" s="1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1"/>
      <c r="B496" s="22"/>
      <c r="C496" s="11"/>
      <c r="D496" s="11"/>
      <c r="E496" s="11"/>
      <c r="F496" s="12"/>
      <c r="G496" s="23">
        <f>IFERROR(SUMIFS(Transactions!$F$7:$F$996,Transactions!$G$7:$G$996,A496,Transactions!$D$7:$D$996,"Expense"),0)</f>
        <v>0</v>
      </c>
      <c r="H496" s="11"/>
      <c r="I496" s="11"/>
      <c r="J496" s="1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1"/>
      <c r="B497" s="22"/>
      <c r="C497" s="11"/>
      <c r="D497" s="11"/>
      <c r="E497" s="11"/>
      <c r="F497" s="12"/>
      <c r="G497" s="23">
        <f>IFERROR(SUMIFS(Transactions!$F$7:$F$996,Transactions!$G$7:$G$996,A497,Transactions!$D$7:$D$996,"Expense"),0)</f>
        <v>0</v>
      </c>
      <c r="H497" s="11"/>
      <c r="I497" s="11"/>
      <c r="J497" s="1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1"/>
      <c r="B498" s="22"/>
      <c r="C498" s="11"/>
      <c r="D498" s="11"/>
      <c r="E498" s="11"/>
      <c r="F498" s="12"/>
      <c r="G498" s="23">
        <f>IFERROR(SUMIFS(Transactions!$F$7:$F$996,Transactions!$G$7:$G$996,A498,Transactions!$D$7:$D$996,"Expense"),0)</f>
        <v>0</v>
      </c>
      <c r="H498" s="11"/>
      <c r="I498" s="11"/>
      <c r="J498" s="1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1"/>
      <c r="B499" s="22"/>
      <c r="C499" s="11"/>
      <c r="D499" s="11"/>
      <c r="E499" s="11"/>
      <c r="F499" s="12"/>
      <c r="G499" s="23">
        <f>IFERROR(SUMIFS(Transactions!$F$7:$F$996,Transactions!$G$7:$G$996,A499,Transactions!$D$7:$D$996,"Expense"),0)</f>
        <v>0</v>
      </c>
      <c r="H499" s="11"/>
      <c r="I499" s="11"/>
      <c r="J499" s="1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1"/>
      <c r="B500" s="22"/>
      <c r="C500" s="11"/>
      <c r="D500" s="11"/>
      <c r="E500" s="11"/>
      <c r="F500" s="12"/>
      <c r="G500" s="23">
        <f>IFERROR(SUMIFS(Transactions!$F$7:$F$996,Transactions!$G$7:$G$996,A500,Transactions!$D$7:$D$996,"Expense"),0)</f>
        <v>0</v>
      </c>
      <c r="H500" s="11"/>
      <c r="I500" s="11"/>
      <c r="J500" s="1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1"/>
      <c r="B501" s="22"/>
      <c r="C501" s="11"/>
      <c r="D501" s="11"/>
      <c r="E501" s="11"/>
      <c r="F501" s="12"/>
      <c r="G501" s="23">
        <f>IFERROR(SUMIFS(Transactions!$F$7:$F$996,Transactions!$G$7:$G$996,A501,Transactions!$D$7:$D$996,"Expense"),0)</f>
        <v>0</v>
      </c>
      <c r="H501" s="11"/>
      <c r="I501" s="11"/>
      <c r="J501" s="1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1"/>
      <c r="B502" s="22"/>
      <c r="C502" s="11"/>
      <c r="D502" s="11"/>
      <c r="E502" s="11"/>
      <c r="F502" s="12"/>
      <c r="G502" s="23">
        <f>IFERROR(SUMIFS(Transactions!$F$7:$F$996,Transactions!$G$7:$G$996,A502,Transactions!$D$7:$D$996,"Expense"),0)</f>
        <v>0</v>
      </c>
      <c r="H502" s="11"/>
      <c r="I502" s="11"/>
      <c r="J502" s="1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1"/>
      <c r="B503" s="22"/>
      <c r="C503" s="11"/>
      <c r="D503" s="11"/>
      <c r="E503" s="11"/>
      <c r="F503" s="12"/>
      <c r="G503" s="23">
        <f>IFERROR(SUMIFS(Transactions!$F$7:$F$996,Transactions!$G$7:$G$996,A503,Transactions!$D$7:$D$996,"Expense"),0)</f>
        <v>0</v>
      </c>
      <c r="H503" s="11"/>
      <c r="I503" s="11"/>
      <c r="J503" s="1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1"/>
      <c r="B504" s="22"/>
      <c r="C504" s="11"/>
      <c r="D504" s="11"/>
      <c r="E504" s="11"/>
      <c r="F504" s="12"/>
      <c r="G504" s="23">
        <f>IFERROR(SUMIFS(Transactions!$F$7:$F$996,Transactions!$G$7:$G$996,A504,Transactions!$D$7:$D$996,"Expense"),0)</f>
        <v>0</v>
      </c>
      <c r="H504" s="11"/>
      <c r="I504" s="11"/>
      <c r="J504" s="1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14"/>
      <c r="B1" s="14" t="s">
        <v>41</v>
      </c>
      <c r="C1" s="15"/>
      <c r="D1" s="15"/>
      <c r="E1" s="15"/>
      <c r="F1" s="15"/>
      <c r="G1" s="16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>-&gt; May-July Fields</v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/>
      </c>
      <c r="M2" s="25" t="str">
        <f>IF(AND(Transactions!$D18="Expense",Transactions!$G18&lt;&gt;""),"-&gt; "&amp;Transactions!$G18,"")</f>
        <v/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/>
      </c>
      <c r="P2" s="25" t="str">
        <f>IF(AND(Transactions!$D21="Expense",Transactions!$G21&lt;&gt;""),"-&gt; "&amp;Transactions!$G21,"")</f>
        <v/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42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>City Practice Fields</v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/>
      </c>
      <c r="M3" s="26" t="str">
        <f>IF(AND(Transactions!$D18="Expense",Transactions!$G18&lt;&gt;""),Transactions!$B18,"")</f>
        <v/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/>
      </c>
      <c r="P3" s="26" t="str">
        <f>IF(AND(Transactions!$D21="Expense",Transactions!$G21&lt;&gt;""),Transactions!$B21,"")</f>
        <v/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43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32.85714286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2.029411765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26.72058824</v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9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9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44</v>
      </c>
      <c r="B5" s="31">
        <f t="shared" ref="B5:AZ5" si="1">COUNTIF(B7:B206,"1")</f>
        <v>28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34</v>
      </c>
      <c r="H5" s="31">
        <f t="shared" si="1"/>
        <v>26</v>
      </c>
      <c r="I5" s="31">
        <f t="shared" si="1"/>
        <v>6</v>
      </c>
      <c r="J5" s="31">
        <f t="shared" si="1"/>
        <v>34</v>
      </c>
      <c r="K5" s="31">
        <f t="shared" si="1"/>
        <v>0</v>
      </c>
      <c r="L5" s="31">
        <f t="shared" si="1"/>
        <v>0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45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185.69</v>
      </c>
      <c r="I6" s="31">
        <f t="shared" si="2"/>
        <v>228.44</v>
      </c>
      <c r="J6" s="31">
        <f t="shared" si="2"/>
        <v>908.5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3" t="s">
        <v>46</v>
      </c>
      <c r="D7" s="33"/>
      <c r="E7" s="33"/>
      <c r="F7" s="33"/>
      <c r="G7" s="33">
        <v>1.0</v>
      </c>
      <c r="H7" s="33">
        <v>1.0</v>
      </c>
      <c r="I7" s="33">
        <v>1.0</v>
      </c>
      <c r="J7" s="33">
        <v>1.0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t="18.0" customHeight="1">
      <c r="A8" s="32" t="str">
        <f>IF(Roster!$A$6&lt;&gt;"",Roster!$A$6,"")</f>
        <v>Alex Warrington</v>
      </c>
      <c r="B8" s="33">
        <v>1.0</v>
      </c>
      <c r="C8" s="33" t="s">
        <v>46</v>
      </c>
      <c r="D8" s="33"/>
      <c r="E8" s="33"/>
      <c r="F8" s="33"/>
      <c r="G8" s="33">
        <v>1.0</v>
      </c>
      <c r="H8" s="33">
        <v>1.0</v>
      </c>
      <c r="I8" s="33">
        <v>0.0</v>
      </c>
      <c r="J8" s="33">
        <v>1.0</v>
      </c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t="21.75" customHeight="1">
      <c r="A9" s="32" t="str">
        <f>IF(Roster!$A$7&lt;&gt;"",Roster!$A$7,"")</f>
        <v>Chris Wohl</v>
      </c>
      <c r="B9" s="33">
        <v>1.0</v>
      </c>
      <c r="C9" s="33" t="s">
        <v>46</v>
      </c>
      <c r="D9" s="33"/>
      <c r="E9" s="33"/>
      <c r="F9" s="33"/>
      <c r="G9" s="33">
        <v>1.0</v>
      </c>
      <c r="H9" s="33">
        <v>1.0</v>
      </c>
      <c r="I9" s="33">
        <v>0.0</v>
      </c>
      <c r="J9" s="33">
        <v>1.0</v>
      </c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 ht="19.5" customHeight="1">
      <c r="A10" s="32" t="str">
        <f>IF(Roster!$A$8&lt;&gt;"",Roster!$A$8,"")</f>
        <v>Darra Reppermund</v>
      </c>
      <c r="B10" s="33">
        <v>1.0</v>
      </c>
      <c r="C10" s="33" t="s">
        <v>46</v>
      </c>
      <c r="D10" s="33"/>
      <c r="E10" s="33"/>
      <c r="F10" s="33"/>
      <c r="G10" s="33">
        <v>1.0</v>
      </c>
      <c r="H10" s="33">
        <v>1.0</v>
      </c>
      <c r="I10" s="33">
        <v>0.0</v>
      </c>
      <c r="J10" s="33">
        <v>1.0</v>
      </c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t="19.5" customHeight="1">
      <c r="A11" s="32" t="str">
        <f>IF(Roster!$A$9&lt;&gt;"",Roster!$A$9,"")</f>
        <v>Dylan Best</v>
      </c>
      <c r="B11" s="33">
        <v>1.0</v>
      </c>
      <c r="C11" s="33" t="s">
        <v>46</v>
      </c>
      <c r="D11" s="33"/>
      <c r="E11" s="33"/>
      <c r="F11" s="33"/>
      <c r="G11" s="33">
        <v>1.0</v>
      </c>
      <c r="H11" s="33">
        <v>1.0</v>
      </c>
      <c r="I11" s="33">
        <v>1.0</v>
      </c>
      <c r="J11" s="33">
        <v>1.0</v>
      </c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 ht="19.5" customHeight="1">
      <c r="A12" s="32" t="str">
        <f>IF(Roster!$A$10&lt;&gt;"",Roster!$A$10,"")</f>
        <v>Griffin O'Neal-Freeman</v>
      </c>
      <c r="B12" s="33">
        <v>1.0</v>
      </c>
      <c r="C12" s="33" t="s">
        <v>46</v>
      </c>
      <c r="D12" s="33"/>
      <c r="E12" s="33"/>
      <c r="F12" s="33"/>
      <c r="G12" s="33">
        <v>1.0</v>
      </c>
      <c r="H12" s="33">
        <v>1.0</v>
      </c>
      <c r="I12" s="33">
        <v>0.0</v>
      </c>
      <c r="J12" s="33">
        <v>1.0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 ht="19.5" customHeight="1">
      <c r="A13" s="32" t="str">
        <f>IF(Roster!$A$11&lt;&gt;"",Roster!$A$11,"")</f>
        <v>Haley Young</v>
      </c>
      <c r="B13" s="33">
        <v>1.0</v>
      </c>
      <c r="C13" s="33" t="s">
        <v>46</v>
      </c>
      <c r="D13" s="33"/>
      <c r="E13" s="33"/>
      <c r="F13" s="33"/>
      <c r="G13" s="33">
        <v>1.0</v>
      </c>
      <c r="H13" s="33">
        <v>1.0</v>
      </c>
      <c r="I13" s="33">
        <v>0.0</v>
      </c>
      <c r="J13" s="33">
        <v>1.0</v>
      </c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 ht="19.5" customHeight="1">
      <c r="A14" s="32" t="str">
        <f>IF(Roster!$A$12&lt;&gt;"",Roster!$A$12,"")</f>
        <v>Harry Park</v>
      </c>
      <c r="B14" s="33">
        <v>1.0</v>
      </c>
      <c r="C14" s="33" t="s">
        <v>46</v>
      </c>
      <c r="D14" s="33"/>
      <c r="E14" s="33"/>
      <c r="F14" s="33"/>
      <c r="G14" s="33">
        <v>1.0</v>
      </c>
      <c r="H14" s="33">
        <v>1.0</v>
      </c>
      <c r="I14" s="33">
        <v>0.0</v>
      </c>
      <c r="J14" s="33">
        <v>1.0</v>
      </c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 ht="19.5" customHeight="1">
      <c r="A15" s="32" t="str">
        <f>IF(Roster!$A$13&lt;&gt;"",Roster!$A$13,"")</f>
        <v>Ian Piper</v>
      </c>
      <c r="B15" s="36" t="s">
        <v>46</v>
      </c>
      <c r="C15" s="33" t="s">
        <v>46</v>
      </c>
      <c r="D15" s="33"/>
      <c r="E15" s="33"/>
      <c r="F15" s="33"/>
      <c r="G15" s="33">
        <v>1.0</v>
      </c>
      <c r="H15" s="33">
        <v>1.0</v>
      </c>
      <c r="I15" s="33">
        <v>0.0</v>
      </c>
      <c r="J15" s="33">
        <v>1.0</v>
      </c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t="19.5" customHeight="1">
      <c r="A16" s="32" t="str">
        <f>IF(Roster!$A$14&lt;&gt;"",Roster!$A$14,"")</f>
        <v>Jake Murray</v>
      </c>
      <c r="B16" s="33">
        <v>1.0</v>
      </c>
      <c r="C16" s="33" t="s">
        <v>46</v>
      </c>
      <c r="D16" s="33"/>
      <c r="E16" s="33"/>
      <c r="F16" s="33"/>
      <c r="G16" s="33">
        <v>1.0</v>
      </c>
      <c r="H16" s="33">
        <v>1.0</v>
      </c>
      <c r="I16" s="33">
        <v>1.0</v>
      </c>
      <c r="J16" s="33">
        <v>1.0</v>
      </c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 ht="19.5" customHeight="1">
      <c r="A17" s="32" t="str">
        <f>IF(Roster!$A$15&lt;&gt;"",Roster!$A$15,"")</f>
        <v>Jenna Nold</v>
      </c>
      <c r="B17" s="33">
        <v>1.0</v>
      </c>
      <c r="C17" s="33" t="s">
        <v>46</v>
      </c>
      <c r="D17" s="33"/>
      <c r="E17" s="33"/>
      <c r="F17" s="33"/>
      <c r="G17" s="33">
        <v>1.0</v>
      </c>
      <c r="H17" s="33">
        <v>1.0</v>
      </c>
      <c r="I17" s="33">
        <v>0.0</v>
      </c>
      <c r="J17" s="33">
        <v>1.0</v>
      </c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t="19.5" customHeight="1">
      <c r="A18" s="32" t="str">
        <f>IF(Roster!$A$16&lt;&gt;"",Roster!$A$16,"")</f>
        <v>Jimmy Towle</v>
      </c>
      <c r="B18" s="33">
        <v>0.0</v>
      </c>
      <c r="C18" s="33" t="s">
        <v>46</v>
      </c>
      <c r="D18" s="33"/>
      <c r="E18" s="33"/>
      <c r="F18" s="33"/>
      <c r="G18" s="33">
        <v>1.0</v>
      </c>
      <c r="H18" s="33">
        <v>0.0</v>
      </c>
      <c r="I18" s="33">
        <v>0.0</v>
      </c>
      <c r="J18" s="33">
        <v>1.0</v>
      </c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 ht="19.5" customHeight="1">
      <c r="A19" s="32" t="str">
        <f>IF(Roster!$A$17&lt;&gt;"",Roster!$A$17,"")</f>
        <v>Kailey Rugani</v>
      </c>
      <c r="B19" s="33">
        <v>1.0</v>
      </c>
      <c r="C19" s="33" t="s">
        <v>46</v>
      </c>
      <c r="D19" s="33"/>
      <c r="E19" s="33"/>
      <c r="F19" s="33"/>
      <c r="G19" s="33">
        <v>1.0</v>
      </c>
      <c r="H19" s="33">
        <v>1.0</v>
      </c>
      <c r="I19" s="33">
        <v>0.0</v>
      </c>
      <c r="J19" s="33">
        <v>1.0</v>
      </c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 ht="19.5" customHeight="1">
      <c r="A20" s="32" t="str">
        <f>IF(Roster!$A$18&lt;&gt;"",Roster!$A$18,"")</f>
        <v>Kasey Schock</v>
      </c>
      <c r="B20" s="33">
        <v>1.0</v>
      </c>
      <c r="C20" s="33" t="s">
        <v>46</v>
      </c>
      <c r="D20" s="33"/>
      <c r="E20" s="33"/>
      <c r="F20" s="33"/>
      <c r="G20" s="33">
        <v>1.0</v>
      </c>
      <c r="H20" s="33">
        <v>1.0</v>
      </c>
      <c r="I20" s="33">
        <v>0.0</v>
      </c>
      <c r="J20" s="33">
        <v>1.0</v>
      </c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t="19.5" customHeight="1">
      <c r="A21" s="32" t="str">
        <f>IF(Roster!$A$19&lt;&gt;"",Roster!$A$19,"")</f>
        <v>Kevin Nicholl</v>
      </c>
      <c r="B21" s="33">
        <v>1.0</v>
      </c>
      <c r="C21" s="33" t="s">
        <v>46</v>
      </c>
      <c r="D21" s="33"/>
      <c r="E21" s="33"/>
      <c r="F21" s="33"/>
      <c r="G21" s="33">
        <v>1.0</v>
      </c>
      <c r="H21" s="33">
        <v>1.0</v>
      </c>
      <c r="I21" s="33">
        <v>0.0</v>
      </c>
      <c r="J21" s="33">
        <v>1.0</v>
      </c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 ht="19.5" customHeight="1">
      <c r="A22" s="32" t="str">
        <f>IF(Roster!$A$20&lt;&gt;"",Roster!$A$20,"")</f>
        <v>Kit Asterin</v>
      </c>
      <c r="B22" s="33">
        <v>1.0</v>
      </c>
      <c r="C22" s="33" t="s">
        <v>46</v>
      </c>
      <c r="D22" s="33"/>
      <c r="E22" s="33"/>
      <c r="F22" s="33"/>
      <c r="G22" s="33">
        <v>1.0</v>
      </c>
      <c r="H22" s="33">
        <v>1.0</v>
      </c>
      <c r="I22" s="33">
        <v>0.0</v>
      </c>
      <c r="J22" s="33">
        <v>1.0</v>
      </c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 ht="19.5" customHeight="1">
      <c r="A23" s="32" t="str">
        <f>IF(Roster!$A$21&lt;&gt;"",Roster!$A$21,"")</f>
        <v>Kristin Dudley</v>
      </c>
      <c r="B23" s="33">
        <v>1.0</v>
      </c>
      <c r="C23" s="33" t="s">
        <v>46</v>
      </c>
      <c r="D23" s="33"/>
      <c r="E23" s="33"/>
      <c r="F23" s="33"/>
      <c r="G23" s="33">
        <v>1.0</v>
      </c>
      <c r="H23" s="33">
        <v>1.0</v>
      </c>
      <c r="I23" s="33">
        <v>1.0</v>
      </c>
      <c r="J23" s="33">
        <v>1.0</v>
      </c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t="19.5" customHeight="1">
      <c r="A24" s="32" t="str">
        <f>IF(Roster!$A$22&lt;&gt;"",Roster!$A$22,"")</f>
        <v>Lexie Thomas</v>
      </c>
      <c r="B24" s="33">
        <v>1.0</v>
      </c>
      <c r="C24" s="33" t="s">
        <v>46</v>
      </c>
      <c r="D24" s="33"/>
      <c r="E24" s="33"/>
      <c r="F24" s="33"/>
      <c r="G24" s="33">
        <v>1.0</v>
      </c>
      <c r="H24" s="33">
        <v>1.0</v>
      </c>
      <c r="I24" s="33">
        <v>0.0</v>
      </c>
      <c r="J24" s="33">
        <v>1.0</v>
      </c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t="19.5" customHeight="1">
      <c r="A25" s="32" t="str">
        <f>IF(Roster!$A$23&lt;&gt;"",Roster!$A$23,"")</f>
        <v>Lucas Jones</v>
      </c>
      <c r="B25" s="33">
        <v>0.0</v>
      </c>
      <c r="C25" s="33" t="s">
        <v>46</v>
      </c>
      <c r="D25" s="33"/>
      <c r="E25" s="33"/>
      <c r="F25" s="33"/>
      <c r="G25" s="33">
        <v>1.0</v>
      </c>
      <c r="H25" s="33">
        <v>0.0</v>
      </c>
      <c r="I25" s="33">
        <v>0.0</v>
      </c>
      <c r="J25" s="33">
        <v>1.0</v>
      </c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 ht="19.5" customHeight="1">
      <c r="A26" s="32" t="str">
        <f>IF(Roster!$A$24&lt;&gt;"",Roster!$A$24,"")</f>
        <v>Max Sheppard</v>
      </c>
      <c r="B26" s="33">
        <v>1.0</v>
      </c>
      <c r="C26" s="33" t="s">
        <v>46</v>
      </c>
      <c r="D26" s="33"/>
      <c r="E26" s="33"/>
      <c r="F26" s="33"/>
      <c r="G26" s="33">
        <v>1.0</v>
      </c>
      <c r="H26" s="33">
        <v>1.0</v>
      </c>
      <c r="I26" s="33">
        <v>0.0</v>
      </c>
      <c r="J26" s="33">
        <v>1.0</v>
      </c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t="19.5" customHeight="1">
      <c r="A27" s="32" t="str">
        <f>IF(Roster!$A$25&lt;&gt;"",Roster!$A$25,"")</f>
        <v>Lucius Christie</v>
      </c>
      <c r="B27" s="33">
        <v>1.0</v>
      </c>
      <c r="C27" s="33" t="s">
        <v>46</v>
      </c>
      <c r="D27" s="33"/>
      <c r="E27" s="33"/>
      <c r="F27" s="33"/>
      <c r="G27" s="33">
        <v>1.0</v>
      </c>
      <c r="H27" s="33">
        <v>1.0</v>
      </c>
      <c r="I27" s="33">
        <v>0.0</v>
      </c>
      <c r="J27" s="33">
        <v>1.0</v>
      </c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t="19.5" customHeight="1">
      <c r="A28" s="32" t="str">
        <f>IF(Roster!$A$26&lt;&gt;"",Roster!$A$26,"")</f>
        <v>Patrick McMullen</v>
      </c>
      <c r="B28" s="33">
        <v>1.0</v>
      </c>
      <c r="C28" s="33" t="s">
        <v>46</v>
      </c>
      <c r="D28" s="33"/>
      <c r="E28" s="33"/>
      <c r="F28" s="33"/>
      <c r="G28" s="33">
        <v>1.0</v>
      </c>
      <c r="H28" s="33">
        <v>1.0</v>
      </c>
      <c r="I28" s="33">
        <v>0.0</v>
      </c>
      <c r="J28" s="33">
        <v>1.0</v>
      </c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t="19.5" customHeight="1">
      <c r="A29" s="32" t="str">
        <f>IF(Roster!$A$27&lt;&gt;"",Roster!$A$27,"")</f>
        <v>Rachel Graber</v>
      </c>
      <c r="B29" s="33">
        <v>1.0</v>
      </c>
      <c r="C29" s="33" t="s">
        <v>46</v>
      </c>
      <c r="D29" s="33"/>
      <c r="E29" s="33"/>
      <c r="F29" s="33"/>
      <c r="G29" s="33">
        <v>1.0</v>
      </c>
      <c r="H29" s="33">
        <v>1.0</v>
      </c>
      <c r="I29" s="33">
        <v>0.0</v>
      </c>
      <c r="J29" s="33">
        <v>1.0</v>
      </c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 ht="19.5" customHeight="1">
      <c r="A30" s="32" t="str">
        <f>IF(Roster!$A$28&lt;&gt;"",Roster!$A$28,"")</f>
        <v>Ryan Kindell</v>
      </c>
      <c r="B30" s="33">
        <v>1.0</v>
      </c>
      <c r="C30" s="33" t="s">
        <v>46</v>
      </c>
      <c r="D30" s="33"/>
      <c r="E30" s="33"/>
      <c r="F30" s="33"/>
      <c r="G30" s="33">
        <v>1.0</v>
      </c>
      <c r="H30" s="33">
        <v>1.0</v>
      </c>
      <c r="I30" s="33">
        <v>0.0</v>
      </c>
      <c r="J30" s="33">
        <v>1.0</v>
      </c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 ht="19.5" customHeight="1">
      <c r="A31" s="32" t="str">
        <f>IF(Roster!$A$29&lt;&gt;"",Roster!$A$29,"")</f>
        <v>Ryan Ward</v>
      </c>
      <c r="B31" s="33">
        <v>1.0</v>
      </c>
      <c r="C31" s="33" t="s">
        <v>46</v>
      </c>
      <c r="D31" s="33"/>
      <c r="E31" s="33"/>
      <c r="F31" s="33"/>
      <c r="G31" s="33">
        <v>1.0</v>
      </c>
      <c r="H31" s="33">
        <v>1.0</v>
      </c>
      <c r="I31" s="33">
        <v>0.0</v>
      </c>
      <c r="J31" s="33">
        <v>1.0</v>
      </c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t="19.5" customHeight="1">
      <c r="A32" s="32" t="str">
        <f>IF(Roster!$A$30&lt;&gt;"",Roster!$A$30,"")</f>
        <v>Sam Gombiner</v>
      </c>
      <c r="B32" s="33">
        <v>0.0</v>
      </c>
      <c r="C32" s="33" t="s">
        <v>46</v>
      </c>
      <c r="D32" s="33"/>
      <c r="E32" s="33"/>
      <c r="F32" s="33"/>
      <c r="G32" s="33">
        <v>1.0</v>
      </c>
      <c r="H32" s="33">
        <v>0.0</v>
      </c>
      <c r="I32" s="33">
        <v>0.0</v>
      </c>
      <c r="J32" s="33">
        <v>1.0</v>
      </c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 ht="19.5" customHeight="1">
      <c r="A33" s="32" t="str">
        <f>IF(Roster!$A$31&lt;&gt;"",Roster!$A$31,"")</f>
        <v>Sarah Kingsley-Hart</v>
      </c>
      <c r="B33" s="33">
        <v>1.0</v>
      </c>
      <c r="C33" s="33" t="s">
        <v>46</v>
      </c>
      <c r="D33" s="33"/>
      <c r="E33" s="33"/>
      <c r="F33" s="33"/>
      <c r="G33" s="33">
        <v>1.0</v>
      </c>
      <c r="H33" s="33">
        <v>1.0</v>
      </c>
      <c r="I33" s="33">
        <v>0.0</v>
      </c>
      <c r="J33" s="33">
        <v>1.0</v>
      </c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t="19.5" customHeight="1">
      <c r="A34" s="32" t="str">
        <f>IF(Roster!$A$32&lt;&gt;"",Roster!$A$32,"")</f>
        <v>Sarah Lynch</v>
      </c>
      <c r="B34" s="33">
        <v>0.0</v>
      </c>
      <c r="C34" s="33" t="s">
        <v>46</v>
      </c>
      <c r="D34" s="33"/>
      <c r="E34" s="33"/>
      <c r="F34" s="33"/>
      <c r="G34" s="33">
        <v>1.0</v>
      </c>
      <c r="H34" s="33">
        <v>0.0</v>
      </c>
      <c r="I34" s="33">
        <v>0.0</v>
      </c>
      <c r="J34" s="33">
        <v>1.0</v>
      </c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 ht="19.5" customHeight="1">
      <c r="A35" s="32" t="str">
        <f>IF(Roster!$A$33&lt;&gt;"",Roster!$A$33,"")</f>
        <v>Shani Rosenthal</v>
      </c>
      <c r="B35" s="33">
        <v>1.0</v>
      </c>
      <c r="C35" s="33" t="s">
        <v>46</v>
      </c>
      <c r="D35" s="33"/>
      <c r="E35" s="33"/>
      <c r="F35" s="33"/>
      <c r="G35" s="33">
        <v>1.0</v>
      </c>
      <c r="H35" s="33">
        <v>1.0</v>
      </c>
      <c r="I35" s="33">
        <v>1.0</v>
      </c>
      <c r="J35" s="33">
        <v>1.0</v>
      </c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t="19.5" customHeight="1">
      <c r="A36" s="32" t="str">
        <f>IF(Roster!$A$34&lt;&gt;"",Roster!$A$34,"")</f>
        <v>Vivian Shen</v>
      </c>
      <c r="B36" s="33">
        <v>1.0</v>
      </c>
      <c r="C36" s="33" t="s">
        <v>46</v>
      </c>
      <c r="D36" s="33"/>
      <c r="E36" s="33"/>
      <c r="F36" s="33"/>
      <c r="G36" s="33">
        <v>1.0</v>
      </c>
      <c r="H36" s="33">
        <v>1.0</v>
      </c>
      <c r="I36" s="33">
        <v>1.0</v>
      </c>
      <c r="J36" s="33">
        <v>1.0</v>
      </c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 ht="19.5" customHeight="1">
      <c r="A37" s="32" t="str">
        <f>IF(Roster!$A$35&lt;&gt;"",Roster!$A$35,"")</f>
        <v>Zach Esakof</v>
      </c>
      <c r="B37" s="36" t="s">
        <v>46</v>
      </c>
      <c r="C37" s="33" t="s">
        <v>46</v>
      </c>
      <c r="D37" s="33"/>
      <c r="E37" s="33"/>
      <c r="F37" s="33"/>
      <c r="G37" s="33">
        <v>1.0</v>
      </c>
      <c r="H37" s="33">
        <v>0.0</v>
      </c>
      <c r="I37" s="33">
        <v>0.0</v>
      </c>
      <c r="J37" s="33">
        <v>1.0</v>
      </c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 ht="19.5" customHeight="1">
      <c r="A38" s="32" t="str">
        <f>IF(Roster!$A$36&lt;&gt;"",Roster!$A$36,"")</f>
        <v>Annette Kukunas-Piper</v>
      </c>
      <c r="B38" s="36">
        <v>1.0</v>
      </c>
      <c r="C38" s="33" t="s">
        <v>46</v>
      </c>
      <c r="D38" s="33"/>
      <c r="E38" s="33"/>
      <c r="F38" s="33"/>
      <c r="G38" s="36">
        <v>1.0</v>
      </c>
      <c r="H38" s="36" t="s">
        <v>46</v>
      </c>
      <c r="I38" s="33">
        <v>0.0</v>
      </c>
      <c r="J38" s="36">
        <v>1.0</v>
      </c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 ht="19.5" customHeight="1">
      <c r="A39" s="32" t="str">
        <f>IF(Roster!$A$37&lt;&gt;"",Roster!$A$37,"")</f>
        <v>Matt Duffy</v>
      </c>
      <c r="B39" s="36">
        <v>1.0</v>
      </c>
      <c r="C39" s="33" t="s">
        <v>46</v>
      </c>
      <c r="D39" s="33"/>
      <c r="E39" s="33"/>
      <c r="F39" s="33"/>
      <c r="G39" s="36">
        <v>1.0</v>
      </c>
      <c r="H39" s="36" t="s">
        <v>46</v>
      </c>
      <c r="I39" s="33">
        <v>0.0</v>
      </c>
      <c r="J39" s="36">
        <v>1.0</v>
      </c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 ht="19.5" customHeight="1">
      <c r="A40" s="32" t="str">
        <f>IF(Roster!$A$38&lt;&gt;"",Roster!$A$38,"")</f>
        <v>Ryan Birchard</v>
      </c>
      <c r="B40" s="36">
        <v>1.0</v>
      </c>
      <c r="C40" s="33" t="s">
        <v>46</v>
      </c>
      <c r="D40" s="33"/>
      <c r="E40" s="33"/>
      <c r="F40" s="33"/>
      <c r="G40" s="36">
        <v>1.0</v>
      </c>
      <c r="H40" s="36" t="s">
        <v>46</v>
      </c>
      <c r="I40" s="33">
        <v>0.0</v>
      </c>
      <c r="J40" s="36">
        <v>1.0</v>
      </c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</row>
    <row r="41" ht="19.5" customHeight="1">
      <c r="A41" s="32" t="str">
        <f>IF(Roster!$A$39&lt;&gt;"",Roster!$A$39,"")</f>
        <v>Nick Blair</v>
      </c>
      <c r="B41" s="33" t="s">
        <v>46</v>
      </c>
      <c r="C41" s="33" t="s">
        <v>46</v>
      </c>
      <c r="D41" s="33"/>
      <c r="E41" s="33"/>
      <c r="F41" s="33"/>
      <c r="G41" s="33" t="s">
        <v>46</v>
      </c>
      <c r="H41" s="36" t="s">
        <v>46</v>
      </c>
      <c r="I41" s="33">
        <v>0.0</v>
      </c>
      <c r="J41" s="33" t="s">
        <v>46</v>
      </c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</row>
    <row r="42" ht="19.5" customHeight="1">
      <c r="A42" s="32" t="str">
        <f>IF(Roster!$A$40&lt;&gt;"",Roster!$A$40,"")</f>
        <v>Lily Nguyen</v>
      </c>
      <c r="B42" s="36" t="s">
        <v>46</v>
      </c>
      <c r="C42" s="36" t="s">
        <v>46</v>
      </c>
      <c r="D42" s="33"/>
      <c r="E42" s="33"/>
      <c r="F42" s="33"/>
      <c r="G42" s="36">
        <v>0.0</v>
      </c>
      <c r="H42" s="36">
        <v>0.0</v>
      </c>
      <c r="I42" s="36">
        <v>0.0</v>
      </c>
      <c r="J42" s="36">
        <v>0.0</v>
      </c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4"/>
      <c r="BA43" s="34"/>
      <c r="BB43" s="34"/>
      <c r="BC43" s="34"/>
      <c r="BD43" s="34"/>
      <c r="BE43" s="34"/>
      <c r="BF43" s="34"/>
      <c r="BG43" s="34"/>
      <c r="BH43" s="34"/>
      <c r="BI43" s="34"/>
      <c r="BJ43" s="34"/>
      <c r="BK43" s="34"/>
      <c r="BL43" s="34"/>
      <c r="BM43" s="34"/>
      <c r="BN43" s="34"/>
      <c r="BO43" s="34"/>
      <c r="BP43" s="3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4"/>
      <c r="BA45" s="34"/>
      <c r="BB45" s="34"/>
      <c r="BC45" s="34"/>
      <c r="BD45" s="34"/>
      <c r="BE45" s="34"/>
      <c r="BF45" s="34"/>
      <c r="BG45" s="34"/>
      <c r="BH45" s="34"/>
      <c r="BI45" s="34"/>
      <c r="BJ45" s="34"/>
      <c r="BK45" s="34"/>
      <c r="BL45" s="34"/>
      <c r="BM45" s="34"/>
      <c r="BN45" s="34"/>
      <c r="BO45" s="34"/>
      <c r="BP45" s="3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4"/>
      <c r="BA47" s="34"/>
      <c r="BB47" s="34"/>
      <c r="BC47" s="34"/>
      <c r="BD47" s="34"/>
      <c r="BE47" s="34"/>
      <c r="BF47" s="34"/>
      <c r="BG47" s="34"/>
      <c r="BH47" s="34"/>
      <c r="BI47" s="34"/>
      <c r="BJ47" s="34"/>
      <c r="BK47" s="34"/>
      <c r="BL47" s="34"/>
      <c r="BM47" s="34"/>
      <c r="BN47" s="34"/>
      <c r="BO47" s="34"/>
      <c r="BP47" s="3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5"/>
      <c r="BA50" s="35"/>
      <c r="BB50" s="35"/>
      <c r="BC50" s="35"/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5"/>
      <c r="BA52" s="35"/>
      <c r="BB52" s="35"/>
      <c r="BC52" s="35"/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5"/>
      <c r="BA54" s="35"/>
      <c r="BB54" s="35"/>
      <c r="BC54" s="35"/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5"/>
      <c r="BA56" s="35"/>
      <c r="BB56" s="35"/>
      <c r="BC56" s="35"/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5"/>
      <c r="BA58" s="35"/>
      <c r="BB58" s="35"/>
      <c r="BC58" s="35"/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5"/>
      <c r="BA60" s="35"/>
      <c r="BB60" s="35"/>
      <c r="BC60" s="35"/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5"/>
      <c r="BA62" s="35"/>
      <c r="BB62" s="35"/>
      <c r="BC62" s="35"/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5"/>
      <c r="BA64" s="35"/>
      <c r="BB64" s="35"/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5"/>
      <c r="BV64" s="35"/>
      <c r="BW64" s="35"/>
      <c r="BX64" s="35"/>
      <c r="BY64" s="35"/>
      <c r="BZ64" s="35"/>
      <c r="CA64" s="35"/>
      <c r="CB64" s="35"/>
      <c r="CC64" s="35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5"/>
      <c r="BA66" s="35"/>
      <c r="BB66" s="35"/>
      <c r="BC66" s="35"/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5"/>
      <c r="BS66" s="35"/>
      <c r="BT66" s="35"/>
      <c r="BU66" s="35"/>
      <c r="BV66" s="35"/>
      <c r="BW66" s="35"/>
      <c r="BX66" s="35"/>
      <c r="BY66" s="35"/>
      <c r="BZ66" s="35"/>
      <c r="CA66" s="35"/>
      <c r="CB66" s="35"/>
      <c r="CC66" s="35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5"/>
      <c r="BS68" s="35"/>
      <c r="BT68" s="35"/>
      <c r="BU68" s="35"/>
      <c r="BV68" s="35"/>
      <c r="BW68" s="35"/>
      <c r="BX68" s="35"/>
      <c r="BY68" s="35"/>
      <c r="BZ68" s="35"/>
      <c r="CA68" s="35"/>
      <c r="CB68" s="35"/>
      <c r="CC68" s="35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5"/>
      <c r="BA72" s="35"/>
      <c r="BB72" s="35"/>
      <c r="BC72" s="35"/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5"/>
      <c r="BA74" s="35"/>
      <c r="BB74" s="35"/>
      <c r="BC74" s="35"/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5"/>
      <c r="BS74" s="35"/>
      <c r="BT74" s="35"/>
      <c r="BU74" s="35"/>
      <c r="BV74" s="35"/>
      <c r="BW74" s="35"/>
      <c r="BX74" s="35"/>
      <c r="BY74" s="35"/>
      <c r="BZ74" s="35"/>
      <c r="CA74" s="35"/>
      <c r="CB74" s="35"/>
      <c r="CC74" s="35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5"/>
      <c r="BA76" s="35"/>
      <c r="BB76" s="35"/>
      <c r="BC76" s="35"/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5"/>
      <c r="BV76" s="35"/>
      <c r="BW76" s="35"/>
      <c r="BX76" s="35"/>
      <c r="BY76" s="35"/>
      <c r="BZ76" s="35"/>
      <c r="CA76" s="35"/>
      <c r="CB76" s="35"/>
      <c r="CC76" s="35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5"/>
      <c r="BA80" s="35"/>
      <c r="BB80" s="35"/>
      <c r="BC80" s="35"/>
      <c r="BD80" s="35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  <c r="CB80" s="35"/>
      <c r="CC80" s="35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5"/>
      <c r="BA82" s="35"/>
      <c r="BB82" s="35"/>
      <c r="BC82" s="35"/>
      <c r="BD82" s="35"/>
      <c r="BE82" s="35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/>
      <c r="BR82" s="35"/>
      <c r="BS82" s="35"/>
      <c r="BT82" s="35"/>
      <c r="BU82" s="35"/>
      <c r="BV82" s="35"/>
      <c r="BW82" s="35"/>
      <c r="BX82" s="35"/>
      <c r="BY82" s="35"/>
      <c r="BZ82" s="35"/>
      <c r="CA82" s="35"/>
      <c r="CB82" s="35"/>
      <c r="CC82" s="35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5"/>
      <c r="BA84" s="35"/>
      <c r="BB84" s="35"/>
      <c r="BC84" s="35"/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5"/>
      <c r="BV84" s="35"/>
      <c r="BW84" s="35"/>
      <c r="BX84" s="35"/>
      <c r="BY84" s="35"/>
      <c r="BZ84" s="35"/>
      <c r="CA84" s="35"/>
      <c r="CB84" s="35"/>
      <c r="CC84" s="35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5"/>
      <c r="BA86" s="35"/>
      <c r="BB86" s="35"/>
      <c r="BC86" s="35"/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5"/>
      <c r="BS86" s="35"/>
      <c r="BT86" s="35"/>
      <c r="BU86" s="35"/>
      <c r="BV86" s="35"/>
      <c r="BW86" s="35"/>
      <c r="BX86" s="35"/>
      <c r="BY86" s="35"/>
      <c r="BZ86" s="35"/>
      <c r="CA86" s="35"/>
      <c r="CB86" s="35"/>
      <c r="CC86" s="35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5"/>
      <c r="BA88" s="35"/>
      <c r="BB88" s="35"/>
      <c r="BC88" s="35"/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5"/>
      <c r="BS88" s="35"/>
      <c r="BT88" s="35"/>
      <c r="BU88" s="35"/>
      <c r="BV88" s="35"/>
      <c r="BW88" s="35"/>
      <c r="BX88" s="35"/>
      <c r="BY88" s="35"/>
      <c r="BZ88" s="35"/>
      <c r="CA88" s="35"/>
      <c r="CB88" s="35"/>
      <c r="CC88" s="35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5"/>
      <c r="BA90" s="35"/>
      <c r="BB90" s="35"/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5"/>
      <c r="BV90" s="35"/>
      <c r="BW90" s="35"/>
      <c r="BX90" s="35"/>
      <c r="BY90" s="35"/>
      <c r="BZ90" s="35"/>
      <c r="CA90" s="35"/>
      <c r="CB90" s="35"/>
      <c r="CC90" s="35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5"/>
      <c r="BA92" s="35"/>
      <c r="BB92" s="35"/>
      <c r="BC92" s="35"/>
      <c r="BD92" s="35"/>
      <c r="BE92" s="35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/>
      <c r="BR92" s="35"/>
      <c r="BS92" s="35"/>
      <c r="BT92" s="35"/>
      <c r="BU92" s="35"/>
      <c r="BV92" s="35"/>
      <c r="BW92" s="35"/>
      <c r="BX92" s="35"/>
      <c r="BY92" s="35"/>
      <c r="BZ92" s="35"/>
      <c r="CA92" s="35"/>
      <c r="CB92" s="35"/>
      <c r="CC92" s="35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5"/>
      <c r="BA94" s="35"/>
      <c r="BB94" s="35"/>
      <c r="BC94" s="35"/>
      <c r="BD94" s="35"/>
      <c r="BE94" s="35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/>
      <c r="BR94" s="35"/>
      <c r="BS94" s="35"/>
      <c r="BT94" s="35"/>
      <c r="BU94" s="35"/>
      <c r="BV94" s="35"/>
      <c r="BW94" s="35"/>
      <c r="BX94" s="35"/>
      <c r="BY94" s="35"/>
      <c r="BZ94" s="35"/>
      <c r="CA94" s="35"/>
      <c r="CB94" s="35"/>
      <c r="CC94" s="35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5"/>
      <c r="BA96" s="35"/>
      <c r="BB96" s="35"/>
      <c r="BC96" s="35"/>
      <c r="BD96" s="35"/>
      <c r="BE96" s="35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/>
      <c r="BR96" s="35"/>
      <c r="BS96" s="35"/>
      <c r="BT96" s="35"/>
      <c r="BU96" s="35"/>
      <c r="BV96" s="35"/>
      <c r="BW96" s="35"/>
      <c r="BX96" s="35"/>
      <c r="BY96" s="35"/>
      <c r="BZ96" s="35"/>
      <c r="CA96" s="35"/>
      <c r="CB96" s="35"/>
      <c r="CC96" s="35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5"/>
      <c r="BA98" s="35"/>
      <c r="BB98" s="35"/>
      <c r="BC98" s="35"/>
      <c r="BD98" s="35"/>
      <c r="BE98" s="35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5"/>
      <c r="BV98" s="35"/>
      <c r="BW98" s="35"/>
      <c r="BX98" s="35"/>
      <c r="BY98" s="35"/>
      <c r="BZ98" s="35"/>
      <c r="CA98" s="35"/>
      <c r="CB98" s="35"/>
      <c r="CC98" s="35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5"/>
      <c r="BA100" s="35"/>
      <c r="BB100" s="35"/>
      <c r="BC100" s="35"/>
      <c r="BD100" s="35"/>
      <c r="BE100" s="35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/>
      <c r="BR100" s="35"/>
      <c r="BS100" s="35"/>
      <c r="BT100" s="35"/>
      <c r="BU100" s="35"/>
      <c r="BV100" s="35"/>
      <c r="BW100" s="35"/>
      <c r="BX100" s="35"/>
      <c r="BY100" s="35"/>
      <c r="BZ100" s="35"/>
      <c r="CA100" s="35"/>
      <c r="CB100" s="35"/>
      <c r="CC100" s="35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5"/>
      <c r="BA102" s="35"/>
      <c r="BB102" s="35"/>
      <c r="BC102" s="35"/>
      <c r="BD102" s="35"/>
      <c r="BE102" s="35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/>
      <c r="BR102" s="35"/>
      <c r="BS102" s="35"/>
      <c r="BT102" s="35"/>
      <c r="BU102" s="35"/>
      <c r="BV102" s="35"/>
      <c r="BW102" s="35"/>
      <c r="BX102" s="35"/>
      <c r="BY102" s="35"/>
      <c r="BZ102" s="35"/>
      <c r="CA102" s="35"/>
      <c r="CB102" s="35"/>
      <c r="CC102" s="35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5"/>
      <c r="BA104" s="35"/>
      <c r="BB104" s="35"/>
      <c r="BC104" s="35"/>
      <c r="BD104" s="35"/>
      <c r="BE104" s="35"/>
      <c r="BF104" s="35"/>
      <c r="BG104" s="35"/>
      <c r="BH104" s="35"/>
      <c r="BI104" s="35"/>
      <c r="BJ104" s="35"/>
      <c r="BK104" s="35"/>
      <c r="BL104" s="35"/>
      <c r="BM104" s="35"/>
      <c r="BN104" s="35"/>
      <c r="BO104" s="35"/>
      <c r="BP104" s="35"/>
      <c r="BQ104" s="35"/>
      <c r="BR104" s="35"/>
      <c r="BS104" s="35"/>
      <c r="BT104" s="35"/>
      <c r="BU104" s="35"/>
      <c r="BV104" s="35"/>
      <c r="BW104" s="35"/>
      <c r="BX104" s="35"/>
      <c r="BY104" s="35"/>
      <c r="BZ104" s="35"/>
      <c r="CA104" s="35"/>
      <c r="CB104" s="35"/>
      <c r="CC104" s="35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5"/>
      <c r="BA106" s="35"/>
      <c r="BB106" s="35"/>
      <c r="BC106" s="35"/>
      <c r="BD106" s="35"/>
      <c r="BE106" s="35"/>
      <c r="BF106" s="35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  <c r="CB106" s="35"/>
      <c r="CC106" s="35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5"/>
      <c r="BA108" s="35"/>
      <c r="BB108" s="35"/>
      <c r="BC108" s="35"/>
      <c r="BD108" s="35"/>
      <c r="BE108" s="35"/>
      <c r="BF108" s="35"/>
      <c r="BG108" s="35"/>
      <c r="BH108" s="35"/>
      <c r="BI108" s="35"/>
      <c r="BJ108" s="35"/>
      <c r="BK108" s="35"/>
      <c r="BL108" s="35"/>
      <c r="BM108" s="35"/>
      <c r="BN108" s="35"/>
      <c r="BO108" s="35"/>
      <c r="BP108" s="35"/>
      <c r="BQ108" s="35"/>
      <c r="BR108" s="35"/>
      <c r="BS108" s="35"/>
      <c r="BT108" s="35"/>
      <c r="BU108" s="35"/>
      <c r="BV108" s="35"/>
      <c r="BW108" s="35"/>
      <c r="BX108" s="35"/>
      <c r="BY108" s="35"/>
      <c r="BZ108" s="35"/>
      <c r="CA108" s="35"/>
      <c r="CB108" s="35"/>
      <c r="CC108" s="35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5"/>
      <c r="BA110" s="35"/>
      <c r="BB110" s="35"/>
      <c r="BC110" s="35"/>
      <c r="BD110" s="35"/>
      <c r="BE110" s="35"/>
      <c r="BF110" s="35"/>
      <c r="BG110" s="35"/>
      <c r="BH110" s="35"/>
      <c r="BI110" s="35"/>
      <c r="BJ110" s="35"/>
      <c r="BK110" s="35"/>
      <c r="BL110" s="35"/>
      <c r="BM110" s="35"/>
      <c r="BN110" s="35"/>
      <c r="BO110" s="35"/>
      <c r="BP110" s="35"/>
      <c r="BQ110" s="35"/>
      <c r="BR110" s="35"/>
      <c r="BS110" s="35"/>
      <c r="BT110" s="35"/>
      <c r="BU110" s="35"/>
      <c r="BV110" s="35"/>
      <c r="BW110" s="35"/>
      <c r="BX110" s="35"/>
      <c r="BY110" s="35"/>
      <c r="BZ110" s="35"/>
      <c r="CA110" s="35"/>
      <c r="CB110" s="35"/>
      <c r="CC110" s="35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5"/>
      <c r="BA112" s="35"/>
      <c r="BB112" s="35"/>
      <c r="BC112" s="35"/>
      <c r="BD112" s="35"/>
      <c r="BE112" s="35"/>
      <c r="BF112" s="35"/>
      <c r="BG112" s="35"/>
      <c r="BH112" s="35"/>
      <c r="BI112" s="35"/>
      <c r="BJ112" s="35"/>
      <c r="BK112" s="35"/>
      <c r="BL112" s="35"/>
      <c r="BM112" s="35"/>
      <c r="BN112" s="35"/>
      <c r="BO112" s="35"/>
      <c r="BP112" s="35"/>
      <c r="BQ112" s="35"/>
      <c r="BR112" s="35"/>
      <c r="BS112" s="35"/>
      <c r="BT112" s="35"/>
      <c r="BU112" s="35"/>
      <c r="BV112" s="35"/>
      <c r="BW112" s="35"/>
      <c r="BX112" s="35"/>
      <c r="BY112" s="35"/>
      <c r="BZ112" s="35"/>
      <c r="CA112" s="35"/>
      <c r="CB112" s="35"/>
      <c r="CC112" s="35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5"/>
      <c r="BA114" s="35"/>
      <c r="BB114" s="35"/>
      <c r="BC114" s="35"/>
      <c r="BD114" s="35"/>
      <c r="BE114" s="35"/>
      <c r="BF114" s="35"/>
      <c r="BG114" s="35"/>
      <c r="BH114" s="35"/>
      <c r="BI114" s="35"/>
      <c r="BJ114" s="35"/>
      <c r="BK114" s="35"/>
      <c r="BL114" s="35"/>
      <c r="BM114" s="35"/>
      <c r="BN114" s="35"/>
      <c r="BO114" s="35"/>
      <c r="BP114" s="35"/>
      <c r="BQ114" s="35"/>
      <c r="BR114" s="35"/>
      <c r="BS114" s="35"/>
      <c r="BT114" s="35"/>
      <c r="BU114" s="35"/>
      <c r="BV114" s="35"/>
      <c r="BW114" s="35"/>
      <c r="BX114" s="35"/>
      <c r="BY114" s="35"/>
      <c r="BZ114" s="35"/>
      <c r="CA114" s="35"/>
      <c r="CB114" s="35"/>
      <c r="CC114" s="35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5"/>
      <c r="BA116" s="35"/>
      <c r="BB116" s="35"/>
      <c r="BC116" s="35"/>
      <c r="BD116" s="35"/>
      <c r="BE116" s="35"/>
      <c r="BF116" s="35"/>
      <c r="BG116" s="35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  <c r="BR116" s="35"/>
      <c r="BS116" s="35"/>
      <c r="BT116" s="35"/>
      <c r="BU116" s="35"/>
      <c r="BV116" s="35"/>
      <c r="BW116" s="35"/>
      <c r="BX116" s="35"/>
      <c r="BY116" s="35"/>
      <c r="BZ116" s="35"/>
      <c r="CA116" s="35"/>
      <c r="CB116" s="35"/>
      <c r="CC116" s="35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5"/>
      <c r="BA118" s="35"/>
      <c r="BB118" s="35"/>
      <c r="BC118" s="35"/>
      <c r="BD118" s="35"/>
      <c r="BE118" s="35"/>
      <c r="BF118" s="35"/>
      <c r="BG118" s="35"/>
      <c r="BH118" s="35"/>
      <c r="BI118" s="35"/>
      <c r="BJ118" s="35"/>
      <c r="BK118" s="35"/>
      <c r="BL118" s="35"/>
      <c r="BM118" s="35"/>
      <c r="BN118" s="35"/>
      <c r="BO118" s="35"/>
      <c r="BP118" s="35"/>
      <c r="BQ118" s="35"/>
      <c r="BR118" s="35"/>
      <c r="BS118" s="35"/>
      <c r="BT118" s="35"/>
      <c r="BU118" s="35"/>
      <c r="BV118" s="35"/>
      <c r="BW118" s="35"/>
      <c r="BX118" s="35"/>
      <c r="BY118" s="35"/>
      <c r="BZ118" s="35"/>
      <c r="CA118" s="35"/>
      <c r="CB118" s="35"/>
      <c r="CC118" s="35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5"/>
      <c r="BA120" s="35"/>
      <c r="BB120" s="35"/>
      <c r="BC120" s="35"/>
      <c r="BD120" s="35"/>
      <c r="BE120" s="35"/>
      <c r="BF120" s="35"/>
      <c r="BG120" s="35"/>
      <c r="BH120" s="35"/>
      <c r="BI120" s="35"/>
      <c r="BJ120" s="35"/>
      <c r="BK120" s="35"/>
      <c r="BL120" s="35"/>
      <c r="BM120" s="35"/>
      <c r="BN120" s="35"/>
      <c r="BO120" s="35"/>
      <c r="BP120" s="35"/>
      <c r="BQ120" s="35"/>
      <c r="BR120" s="35"/>
      <c r="BS120" s="35"/>
      <c r="BT120" s="35"/>
      <c r="BU120" s="35"/>
      <c r="BV120" s="35"/>
      <c r="BW120" s="35"/>
      <c r="BX120" s="35"/>
      <c r="BY120" s="35"/>
      <c r="BZ120" s="35"/>
      <c r="CA120" s="35"/>
      <c r="CB120" s="35"/>
      <c r="CC120" s="35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5"/>
      <c r="BA122" s="35"/>
      <c r="BB122" s="35"/>
      <c r="BC122" s="35"/>
      <c r="BD122" s="35"/>
      <c r="BE122" s="35"/>
      <c r="BF122" s="35"/>
      <c r="BG122" s="35"/>
      <c r="BH122" s="35"/>
      <c r="BI122" s="35"/>
      <c r="BJ122" s="35"/>
      <c r="BK122" s="35"/>
      <c r="BL122" s="35"/>
      <c r="BM122" s="35"/>
      <c r="BN122" s="35"/>
      <c r="BO122" s="35"/>
      <c r="BP122" s="35"/>
      <c r="BQ122" s="35"/>
      <c r="BR122" s="35"/>
      <c r="BS122" s="35"/>
      <c r="BT122" s="35"/>
      <c r="BU122" s="35"/>
      <c r="BV122" s="35"/>
      <c r="BW122" s="35"/>
      <c r="BX122" s="35"/>
      <c r="BY122" s="35"/>
      <c r="BZ122" s="35"/>
      <c r="CA122" s="35"/>
      <c r="CB122" s="35"/>
      <c r="CC122" s="35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5"/>
      <c r="BA124" s="35"/>
      <c r="BB124" s="35"/>
      <c r="BC124" s="35"/>
      <c r="BD124" s="35"/>
      <c r="BE124" s="35"/>
      <c r="BF124" s="35"/>
      <c r="BG124" s="35"/>
      <c r="BH124" s="35"/>
      <c r="BI124" s="35"/>
      <c r="BJ124" s="35"/>
      <c r="BK124" s="35"/>
      <c r="BL124" s="35"/>
      <c r="BM124" s="35"/>
      <c r="BN124" s="35"/>
      <c r="BO124" s="35"/>
      <c r="BP124" s="35"/>
      <c r="BQ124" s="35"/>
      <c r="BR124" s="35"/>
      <c r="BS124" s="35"/>
      <c r="BT124" s="35"/>
      <c r="BU124" s="35"/>
      <c r="BV124" s="35"/>
      <c r="BW124" s="35"/>
      <c r="BX124" s="35"/>
      <c r="BY124" s="35"/>
      <c r="BZ124" s="35"/>
      <c r="CA124" s="35"/>
      <c r="CB124" s="35"/>
      <c r="CC124" s="35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5"/>
      <c r="BA126" s="35"/>
      <c r="BB126" s="35"/>
      <c r="BC126" s="35"/>
      <c r="BD126" s="35"/>
      <c r="BE126" s="35"/>
      <c r="BF126" s="35"/>
      <c r="BG126" s="35"/>
      <c r="BH126" s="35"/>
      <c r="BI126" s="35"/>
      <c r="BJ126" s="35"/>
      <c r="BK126" s="35"/>
      <c r="BL126" s="35"/>
      <c r="BM126" s="35"/>
      <c r="BN126" s="35"/>
      <c r="BO126" s="35"/>
      <c r="BP126" s="35"/>
      <c r="BQ126" s="35"/>
      <c r="BR126" s="35"/>
      <c r="BS126" s="35"/>
      <c r="BT126" s="35"/>
      <c r="BU126" s="35"/>
      <c r="BV126" s="35"/>
      <c r="BW126" s="35"/>
      <c r="BX126" s="35"/>
      <c r="BY126" s="35"/>
      <c r="BZ126" s="35"/>
      <c r="CA126" s="35"/>
      <c r="CB126" s="35"/>
      <c r="CC126" s="35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5"/>
      <c r="BA128" s="35"/>
      <c r="BB128" s="35"/>
      <c r="BC128" s="35"/>
      <c r="BD128" s="35"/>
      <c r="BE128" s="35"/>
      <c r="BF128" s="35"/>
      <c r="BG128" s="35"/>
      <c r="BH128" s="35"/>
      <c r="BI128" s="35"/>
      <c r="BJ128" s="35"/>
      <c r="BK128" s="35"/>
      <c r="BL128" s="35"/>
      <c r="BM128" s="35"/>
      <c r="BN128" s="35"/>
      <c r="BO128" s="35"/>
      <c r="BP128" s="35"/>
      <c r="BQ128" s="35"/>
      <c r="BR128" s="35"/>
      <c r="BS128" s="35"/>
      <c r="BT128" s="35"/>
      <c r="BU128" s="35"/>
      <c r="BV128" s="35"/>
      <c r="BW128" s="35"/>
      <c r="BX128" s="35"/>
      <c r="BY128" s="35"/>
      <c r="BZ128" s="35"/>
      <c r="CA128" s="35"/>
      <c r="CB128" s="35"/>
      <c r="CC128" s="35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5"/>
      <c r="BA130" s="35"/>
      <c r="BB130" s="35"/>
      <c r="BC130" s="35"/>
      <c r="BD130" s="35"/>
      <c r="BE130" s="35"/>
      <c r="BF130" s="35"/>
      <c r="BG130" s="35"/>
      <c r="BH130" s="35"/>
      <c r="BI130" s="35"/>
      <c r="BJ130" s="35"/>
      <c r="BK130" s="35"/>
      <c r="BL130" s="35"/>
      <c r="BM130" s="35"/>
      <c r="BN130" s="35"/>
      <c r="BO130" s="35"/>
      <c r="BP130" s="35"/>
      <c r="BQ130" s="35"/>
      <c r="BR130" s="35"/>
      <c r="BS130" s="35"/>
      <c r="BT130" s="35"/>
      <c r="BU130" s="35"/>
      <c r="BV130" s="35"/>
      <c r="BW130" s="35"/>
      <c r="BX130" s="35"/>
      <c r="BY130" s="35"/>
      <c r="BZ130" s="35"/>
      <c r="CA130" s="35"/>
      <c r="CB130" s="35"/>
      <c r="CC130" s="35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5"/>
      <c r="BA132" s="35"/>
      <c r="BB132" s="35"/>
      <c r="BC132" s="35"/>
      <c r="BD132" s="35"/>
      <c r="BE132" s="35"/>
      <c r="BF132" s="35"/>
      <c r="BG132" s="35"/>
      <c r="BH132" s="35"/>
      <c r="BI132" s="35"/>
      <c r="BJ132" s="35"/>
      <c r="BK132" s="35"/>
      <c r="BL132" s="35"/>
      <c r="BM132" s="35"/>
      <c r="BN132" s="35"/>
      <c r="BO132" s="35"/>
      <c r="BP132" s="35"/>
      <c r="BQ132" s="35"/>
      <c r="BR132" s="35"/>
      <c r="BS132" s="35"/>
      <c r="BT132" s="35"/>
      <c r="BU132" s="35"/>
      <c r="BV132" s="35"/>
      <c r="BW132" s="35"/>
      <c r="BX132" s="35"/>
      <c r="BY132" s="35"/>
      <c r="BZ132" s="35"/>
      <c r="CA132" s="35"/>
      <c r="CB132" s="35"/>
      <c r="CC132" s="35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5"/>
      <c r="BA134" s="35"/>
      <c r="BB134" s="35"/>
      <c r="BC134" s="35"/>
      <c r="BD134" s="35"/>
      <c r="BE134" s="35"/>
      <c r="BF134" s="35"/>
      <c r="BG134" s="35"/>
      <c r="BH134" s="35"/>
      <c r="BI134" s="35"/>
      <c r="BJ134" s="35"/>
      <c r="BK134" s="35"/>
      <c r="BL134" s="35"/>
      <c r="BM134" s="35"/>
      <c r="BN134" s="35"/>
      <c r="BO134" s="35"/>
      <c r="BP134" s="35"/>
      <c r="BQ134" s="35"/>
      <c r="BR134" s="35"/>
      <c r="BS134" s="35"/>
      <c r="BT134" s="35"/>
      <c r="BU134" s="35"/>
      <c r="BV134" s="35"/>
      <c r="BW134" s="35"/>
      <c r="BX134" s="35"/>
      <c r="BY134" s="35"/>
      <c r="BZ134" s="35"/>
      <c r="CA134" s="35"/>
      <c r="CB134" s="35"/>
      <c r="CC134" s="35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5"/>
      <c r="BA136" s="35"/>
      <c r="BB136" s="35"/>
      <c r="BC136" s="35"/>
      <c r="BD136" s="35"/>
      <c r="BE136" s="35"/>
      <c r="BF136" s="35"/>
      <c r="BG136" s="35"/>
      <c r="BH136" s="35"/>
      <c r="BI136" s="35"/>
      <c r="BJ136" s="35"/>
      <c r="BK136" s="35"/>
      <c r="BL136" s="35"/>
      <c r="BM136" s="35"/>
      <c r="BN136" s="35"/>
      <c r="BO136" s="35"/>
      <c r="BP136" s="35"/>
      <c r="BQ136" s="35"/>
      <c r="BR136" s="35"/>
      <c r="BS136" s="35"/>
      <c r="BT136" s="35"/>
      <c r="BU136" s="35"/>
      <c r="BV136" s="35"/>
      <c r="BW136" s="35"/>
      <c r="BX136" s="35"/>
      <c r="BY136" s="35"/>
      <c r="BZ136" s="35"/>
      <c r="CA136" s="35"/>
      <c r="CB136" s="35"/>
      <c r="CC136" s="35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5"/>
      <c r="BA138" s="35"/>
      <c r="BB138" s="35"/>
      <c r="BC138" s="35"/>
      <c r="BD138" s="35"/>
      <c r="BE138" s="35"/>
      <c r="BF138" s="35"/>
      <c r="BG138" s="35"/>
      <c r="BH138" s="35"/>
      <c r="BI138" s="35"/>
      <c r="BJ138" s="35"/>
      <c r="BK138" s="35"/>
      <c r="BL138" s="35"/>
      <c r="BM138" s="35"/>
      <c r="BN138" s="35"/>
      <c r="BO138" s="35"/>
      <c r="BP138" s="35"/>
      <c r="BQ138" s="35"/>
      <c r="BR138" s="35"/>
      <c r="BS138" s="35"/>
      <c r="BT138" s="35"/>
      <c r="BU138" s="35"/>
      <c r="BV138" s="35"/>
      <c r="BW138" s="35"/>
      <c r="BX138" s="35"/>
      <c r="BY138" s="35"/>
      <c r="BZ138" s="35"/>
      <c r="CA138" s="35"/>
      <c r="CB138" s="35"/>
      <c r="CC138" s="35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5"/>
      <c r="BA140" s="35"/>
      <c r="BB140" s="35"/>
      <c r="BC140" s="35"/>
      <c r="BD140" s="35"/>
      <c r="BE140" s="35"/>
      <c r="BF140" s="35"/>
      <c r="BG140" s="35"/>
      <c r="BH140" s="35"/>
      <c r="BI140" s="35"/>
      <c r="BJ140" s="35"/>
      <c r="BK140" s="35"/>
      <c r="BL140" s="35"/>
      <c r="BM140" s="35"/>
      <c r="BN140" s="35"/>
      <c r="BO140" s="35"/>
      <c r="BP140" s="35"/>
      <c r="BQ140" s="35"/>
      <c r="BR140" s="35"/>
      <c r="BS140" s="35"/>
      <c r="BT140" s="35"/>
      <c r="BU140" s="35"/>
      <c r="BV140" s="35"/>
      <c r="BW140" s="35"/>
      <c r="BX140" s="35"/>
      <c r="BY140" s="35"/>
      <c r="BZ140" s="35"/>
      <c r="CA140" s="35"/>
      <c r="CB140" s="35"/>
      <c r="CC140" s="35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5"/>
      <c r="BA142" s="35"/>
      <c r="BB142" s="35"/>
      <c r="BC142" s="35"/>
      <c r="BD142" s="35"/>
      <c r="BE142" s="35"/>
      <c r="BF142" s="35"/>
      <c r="BG142" s="35"/>
      <c r="BH142" s="35"/>
      <c r="BI142" s="35"/>
      <c r="BJ142" s="35"/>
      <c r="BK142" s="35"/>
      <c r="BL142" s="35"/>
      <c r="BM142" s="35"/>
      <c r="BN142" s="35"/>
      <c r="BO142" s="35"/>
      <c r="BP142" s="35"/>
      <c r="BQ142" s="35"/>
      <c r="BR142" s="35"/>
      <c r="BS142" s="35"/>
      <c r="BT142" s="35"/>
      <c r="BU142" s="35"/>
      <c r="BV142" s="35"/>
      <c r="BW142" s="35"/>
      <c r="BX142" s="35"/>
      <c r="BY142" s="35"/>
      <c r="BZ142" s="35"/>
      <c r="CA142" s="35"/>
      <c r="CB142" s="35"/>
      <c r="CC142" s="35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5"/>
      <c r="BA144" s="35"/>
      <c r="BB144" s="35"/>
      <c r="BC144" s="35"/>
      <c r="BD144" s="35"/>
      <c r="BE144" s="35"/>
      <c r="BF144" s="35"/>
      <c r="BG144" s="35"/>
      <c r="BH144" s="35"/>
      <c r="BI144" s="35"/>
      <c r="BJ144" s="35"/>
      <c r="BK144" s="35"/>
      <c r="BL144" s="35"/>
      <c r="BM144" s="35"/>
      <c r="BN144" s="35"/>
      <c r="BO144" s="35"/>
      <c r="BP144" s="35"/>
      <c r="BQ144" s="35"/>
      <c r="BR144" s="35"/>
      <c r="BS144" s="35"/>
      <c r="BT144" s="35"/>
      <c r="BU144" s="35"/>
      <c r="BV144" s="35"/>
      <c r="BW144" s="35"/>
      <c r="BX144" s="35"/>
      <c r="BY144" s="35"/>
      <c r="BZ144" s="35"/>
      <c r="CA144" s="35"/>
      <c r="CB144" s="35"/>
      <c r="CC144" s="35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5"/>
      <c r="BA146" s="35"/>
      <c r="BB146" s="35"/>
      <c r="BC146" s="35"/>
      <c r="BD146" s="35"/>
      <c r="BE146" s="35"/>
      <c r="BF146" s="35"/>
      <c r="BG146" s="35"/>
      <c r="BH146" s="35"/>
      <c r="BI146" s="35"/>
      <c r="BJ146" s="35"/>
      <c r="BK146" s="35"/>
      <c r="BL146" s="35"/>
      <c r="BM146" s="35"/>
      <c r="BN146" s="35"/>
      <c r="BO146" s="35"/>
      <c r="BP146" s="35"/>
      <c r="BQ146" s="35"/>
      <c r="BR146" s="35"/>
      <c r="BS146" s="35"/>
      <c r="BT146" s="35"/>
      <c r="BU146" s="35"/>
      <c r="BV146" s="35"/>
      <c r="BW146" s="35"/>
      <c r="BX146" s="35"/>
      <c r="BY146" s="35"/>
      <c r="BZ146" s="35"/>
      <c r="CA146" s="35"/>
      <c r="CB146" s="35"/>
      <c r="CC146" s="35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5"/>
      <c r="BA148" s="35"/>
      <c r="BB148" s="35"/>
      <c r="BC148" s="35"/>
      <c r="BD148" s="35"/>
      <c r="BE148" s="35"/>
      <c r="BF148" s="35"/>
      <c r="BG148" s="35"/>
      <c r="BH148" s="35"/>
      <c r="BI148" s="35"/>
      <c r="BJ148" s="35"/>
      <c r="BK148" s="35"/>
      <c r="BL148" s="35"/>
      <c r="BM148" s="35"/>
      <c r="BN148" s="35"/>
      <c r="BO148" s="35"/>
      <c r="BP148" s="35"/>
      <c r="BQ148" s="35"/>
      <c r="BR148" s="35"/>
      <c r="BS148" s="35"/>
      <c r="BT148" s="35"/>
      <c r="BU148" s="35"/>
      <c r="BV148" s="35"/>
      <c r="BW148" s="35"/>
      <c r="BX148" s="35"/>
      <c r="BY148" s="35"/>
      <c r="BZ148" s="35"/>
      <c r="CA148" s="35"/>
      <c r="CB148" s="35"/>
      <c r="CC148" s="35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5"/>
      <c r="BA150" s="35"/>
      <c r="BB150" s="35"/>
      <c r="BC150" s="35"/>
      <c r="BD150" s="35"/>
      <c r="BE150" s="35"/>
      <c r="BF150" s="35"/>
      <c r="BG150" s="35"/>
      <c r="BH150" s="35"/>
      <c r="BI150" s="35"/>
      <c r="BJ150" s="35"/>
      <c r="BK150" s="35"/>
      <c r="BL150" s="35"/>
      <c r="BM150" s="35"/>
      <c r="BN150" s="35"/>
      <c r="BO150" s="35"/>
      <c r="BP150" s="35"/>
      <c r="BQ150" s="35"/>
      <c r="BR150" s="35"/>
      <c r="BS150" s="35"/>
      <c r="BT150" s="35"/>
      <c r="BU150" s="35"/>
      <c r="BV150" s="35"/>
      <c r="BW150" s="35"/>
      <c r="BX150" s="35"/>
      <c r="BY150" s="35"/>
      <c r="BZ150" s="35"/>
      <c r="CA150" s="35"/>
      <c r="CB150" s="35"/>
      <c r="CC150" s="35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5"/>
      <c r="BA152" s="35"/>
      <c r="BB152" s="35"/>
      <c r="BC152" s="35"/>
      <c r="BD152" s="35"/>
      <c r="BE152" s="35"/>
      <c r="BF152" s="35"/>
      <c r="BG152" s="35"/>
      <c r="BH152" s="35"/>
      <c r="BI152" s="35"/>
      <c r="BJ152" s="35"/>
      <c r="BK152" s="35"/>
      <c r="BL152" s="35"/>
      <c r="BM152" s="35"/>
      <c r="BN152" s="35"/>
      <c r="BO152" s="35"/>
      <c r="BP152" s="35"/>
      <c r="BQ152" s="35"/>
      <c r="BR152" s="35"/>
      <c r="BS152" s="35"/>
      <c r="BT152" s="35"/>
      <c r="BU152" s="35"/>
      <c r="BV152" s="35"/>
      <c r="BW152" s="35"/>
      <c r="BX152" s="35"/>
      <c r="BY152" s="35"/>
      <c r="BZ152" s="35"/>
      <c r="CA152" s="35"/>
      <c r="CB152" s="35"/>
      <c r="CC152" s="35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5"/>
      <c r="BA154" s="35"/>
      <c r="BB154" s="35"/>
      <c r="BC154" s="35"/>
      <c r="BD154" s="35"/>
      <c r="BE154" s="35"/>
      <c r="BF154" s="35"/>
      <c r="BG154" s="35"/>
      <c r="BH154" s="35"/>
      <c r="BI154" s="35"/>
      <c r="BJ154" s="35"/>
      <c r="BK154" s="35"/>
      <c r="BL154" s="35"/>
      <c r="BM154" s="35"/>
      <c r="BN154" s="35"/>
      <c r="BO154" s="35"/>
      <c r="BP154" s="35"/>
      <c r="BQ154" s="35"/>
      <c r="BR154" s="35"/>
      <c r="BS154" s="35"/>
      <c r="BT154" s="35"/>
      <c r="BU154" s="35"/>
      <c r="BV154" s="35"/>
      <c r="BW154" s="35"/>
      <c r="BX154" s="35"/>
      <c r="BY154" s="35"/>
      <c r="BZ154" s="35"/>
      <c r="CA154" s="35"/>
      <c r="CB154" s="35"/>
      <c r="CC154" s="35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5"/>
      <c r="BA156" s="35"/>
      <c r="BB156" s="35"/>
      <c r="BC156" s="35"/>
      <c r="BD156" s="35"/>
      <c r="BE156" s="35"/>
      <c r="BF156" s="35"/>
      <c r="BG156" s="35"/>
      <c r="BH156" s="35"/>
      <c r="BI156" s="35"/>
      <c r="BJ156" s="35"/>
      <c r="BK156" s="35"/>
      <c r="BL156" s="35"/>
      <c r="BM156" s="35"/>
      <c r="BN156" s="35"/>
      <c r="BO156" s="35"/>
      <c r="BP156" s="35"/>
      <c r="BQ156" s="35"/>
      <c r="BR156" s="35"/>
      <c r="BS156" s="35"/>
      <c r="BT156" s="35"/>
      <c r="BU156" s="35"/>
      <c r="BV156" s="35"/>
      <c r="BW156" s="35"/>
      <c r="BX156" s="35"/>
      <c r="BY156" s="35"/>
      <c r="BZ156" s="35"/>
      <c r="CA156" s="35"/>
      <c r="CB156" s="35"/>
      <c r="CC156" s="35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5"/>
      <c r="BA158" s="35"/>
      <c r="BB158" s="35"/>
      <c r="BC158" s="35"/>
      <c r="BD158" s="35"/>
      <c r="BE158" s="35"/>
      <c r="BF158" s="35"/>
      <c r="BG158" s="35"/>
      <c r="BH158" s="35"/>
      <c r="BI158" s="35"/>
      <c r="BJ158" s="35"/>
      <c r="BK158" s="35"/>
      <c r="BL158" s="35"/>
      <c r="BM158" s="35"/>
      <c r="BN158" s="35"/>
      <c r="BO158" s="35"/>
      <c r="BP158" s="35"/>
      <c r="BQ158" s="35"/>
      <c r="BR158" s="35"/>
      <c r="BS158" s="35"/>
      <c r="BT158" s="35"/>
      <c r="BU158" s="35"/>
      <c r="BV158" s="35"/>
      <c r="BW158" s="35"/>
      <c r="BX158" s="35"/>
      <c r="BY158" s="35"/>
      <c r="BZ158" s="35"/>
      <c r="CA158" s="35"/>
      <c r="CB158" s="35"/>
      <c r="CC158" s="35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5"/>
      <c r="BA160" s="35"/>
      <c r="BB160" s="35"/>
      <c r="BC160" s="35"/>
      <c r="BD160" s="35"/>
      <c r="BE160" s="35"/>
      <c r="BF160" s="35"/>
      <c r="BG160" s="35"/>
      <c r="BH160" s="35"/>
      <c r="BI160" s="35"/>
      <c r="BJ160" s="35"/>
      <c r="BK160" s="35"/>
      <c r="BL160" s="35"/>
      <c r="BM160" s="35"/>
      <c r="BN160" s="35"/>
      <c r="BO160" s="35"/>
      <c r="BP160" s="35"/>
      <c r="BQ160" s="35"/>
      <c r="BR160" s="35"/>
      <c r="BS160" s="35"/>
      <c r="BT160" s="35"/>
      <c r="BU160" s="35"/>
      <c r="BV160" s="35"/>
      <c r="BW160" s="35"/>
      <c r="BX160" s="35"/>
      <c r="BY160" s="35"/>
      <c r="BZ160" s="35"/>
      <c r="CA160" s="35"/>
      <c r="CB160" s="35"/>
      <c r="CC160" s="35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5"/>
      <c r="BA162" s="35"/>
      <c r="BB162" s="35"/>
      <c r="BC162" s="35"/>
      <c r="BD162" s="35"/>
      <c r="BE162" s="35"/>
      <c r="BF162" s="35"/>
      <c r="BG162" s="35"/>
      <c r="BH162" s="35"/>
      <c r="BI162" s="35"/>
      <c r="BJ162" s="35"/>
      <c r="BK162" s="35"/>
      <c r="BL162" s="35"/>
      <c r="BM162" s="35"/>
      <c r="BN162" s="35"/>
      <c r="BO162" s="35"/>
      <c r="BP162" s="35"/>
      <c r="BQ162" s="35"/>
      <c r="BR162" s="35"/>
      <c r="BS162" s="35"/>
      <c r="BT162" s="35"/>
      <c r="BU162" s="35"/>
      <c r="BV162" s="35"/>
      <c r="BW162" s="35"/>
      <c r="BX162" s="35"/>
      <c r="BY162" s="35"/>
      <c r="BZ162" s="35"/>
      <c r="CA162" s="35"/>
      <c r="CB162" s="35"/>
      <c r="CC162" s="35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5"/>
      <c r="BA164" s="35"/>
      <c r="BB164" s="35"/>
      <c r="BC164" s="35"/>
      <c r="BD164" s="35"/>
      <c r="BE164" s="35"/>
      <c r="BF164" s="35"/>
      <c r="BG164" s="35"/>
      <c r="BH164" s="35"/>
      <c r="BI164" s="35"/>
      <c r="BJ164" s="35"/>
      <c r="BK164" s="35"/>
      <c r="BL164" s="35"/>
      <c r="BM164" s="35"/>
      <c r="BN164" s="35"/>
      <c r="BO164" s="35"/>
      <c r="BP164" s="35"/>
      <c r="BQ164" s="35"/>
      <c r="BR164" s="35"/>
      <c r="BS164" s="35"/>
      <c r="BT164" s="35"/>
      <c r="BU164" s="35"/>
      <c r="BV164" s="35"/>
      <c r="BW164" s="35"/>
      <c r="BX164" s="35"/>
      <c r="BY164" s="35"/>
      <c r="BZ164" s="35"/>
      <c r="CA164" s="35"/>
      <c r="CB164" s="35"/>
      <c r="CC164" s="35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5"/>
      <c r="BA166" s="35"/>
      <c r="BB166" s="35"/>
      <c r="BC166" s="35"/>
      <c r="BD166" s="35"/>
      <c r="BE166" s="35"/>
      <c r="BF166" s="35"/>
      <c r="BG166" s="35"/>
      <c r="BH166" s="35"/>
      <c r="BI166" s="35"/>
      <c r="BJ166" s="35"/>
      <c r="BK166" s="35"/>
      <c r="BL166" s="35"/>
      <c r="BM166" s="35"/>
      <c r="BN166" s="35"/>
      <c r="BO166" s="35"/>
      <c r="BP166" s="35"/>
      <c r="BQ166" s="35"/>
      <c r="BR166" s="35"/>
      <c r="BS166" s="35"/>
      <c r="BT166" s="35"/>
      <c r="BU166" s="35"/>
      <c r="BV166" s="35"/>
      <c r="BW166" s="35"/>
      <c r="BX166" s="35"/>
      <c r="BY166" s="35"/>
      <c r="BZ166" s="35"/>
      <c r="CA166" s="35"/>
      <c r="CB166" s="35"/>
      <c r="CC166" s="35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5"/>
      <c r="BA168" s="35"/>
      <c r="BB168" s="35"/>
      <c r="BC168" s="35"/>
      <c r="BD168" s="35"/>
      <c r="BE168" s="35"/>
      <c r="BF168" s="35"/>
      <c r="BG168" s="35"/>
      <c r="BH168" s="35"/>
      <c r="BI168" s="35"/>
      <c r="BJ168" s="35"/>
      <c r="BK168" s="35"/>
      <c r="BL168" s="35"/>
      <c r="BM168" s="35"/>
      <c r="BN168" s="35"/>
      <c r="BO168" s="35"/>
      <c r="BP168" s="35"/>
      <c r="BQ168" s="35"/>
      <c r="BR168" s="35"/>
      <c r="BS168" s="35"/>
      <c r="BT168" s="35"/>
      <c r="BU168" s="35"/>
      <c r="BV168" s="35"/>
      <c r="BW168" s="35"/>
      <c r="BX168" s="35"/>
      <c r="BY168" s="35"/>
      <c r="BZ168" s="35"/>
      <c r="CA168" s="35"/>
      <c r="CB168" s="35"/>
      <c r="CC168" s="35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5"/>
      <c r="BA170" s="35"/>
      <c r="BB170" s="35"/>
      <c r="BC170" s="35"/>
      <c r="BD170" s="35"/>
      <c r="BE170" s="35"/>
      <c r="BF170" s="35"/>
      <c r="BG170" s="35"/>
      <c r="BH170" s="35"/>
      <c r="BI170" s="35"/>
      <c r="BJ170" s="35"/>
      <c r="BK170" s="35"/>
      <c r="BL170" s="35"/>
      <c r="BM170" s="35"/>
      <c r="BN170" s="35"/>
      <c r="BO170" s="35"/>
      <c r="BP170" s="35"/>
      <c r="BQ170" s="35"/>
      <c r="BR170" s="35"/>
      <c r="BS170" s="35"/>
      <c r="BT170" s="35"/>
      <c r="BU170" s="35"/>
      <c r="BV170" s="35"/>
      <c r="BW170" s="35"/>
      <c r="BX170" s="35"/>
      <c r="BY170" s="35"/>
      <c r="BZ170" s="35"/>
      <c r="CA170" s="35"/>
      <c r="CB170" s="35"/>
      <c r="CC170" s="35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5"/>
      <c r="BA172" s="35"/>
      <c r="BB172" s="35"/>
      <c r="BC172" s="35"/>
      <c r="BD172" s="35"/>
      <c r="BE172" s="35"/>
      <c r="BF172" s="35"/>
      <c r="BG172" s="35"/>
      <c r="BH172" s="35"/>
      <c r="BI172" s="35"/>
      <c r="BJ172" s="35"/>
      <c r="BK172" s="35"/>
      <c r="BL172" s="35"/>
      <c r="BM172" s="35"/>
      <c r="BN172" s="35"/>
      <c r="BO172" s="35"/>
      <c r="BP172" s="35"/>
      <c r="BQ172" s="35"/>
      <c r="BR172" s="35"/>
      <c r="BS172" s="35"/>
      <c r="BT172" s="35"/>
      <c r="BU172" s="35"/>
      <c r="BV172" s="35"/>
      <c r="BW172" s="35"/>
      <c r="BX172" s="35"/>
      <c r="BY172" s="35"/>
      <c r="BZ172" s="35"/>
      <c r="CA172" s="35"/>
      <c r="CB172" s="35"/>
      <c r="CC172" s="35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5"/>
      <c r="BA174" s="35"/>
      <c r="BB174" s="35"/>
      <c r="BC174" s="35"/>
      <c r="BD174" s="35"/>
      <c r="BE174" s="35"/>
      <c r="BF174" s="35"/>
      <c r="BG174" s="35"/>
      <c r="BH174" s="35"/>
      <c r="BI174" s="35"/>
      <c r="BJ174" s="35"/>
      <c r="BK174" s="35"/>
      <c r="BL174" s="35"/>
      <c r="BM174" s="35"/>
      <c r="BN174" s="35"/>
      <c r="BO174" s="35"/>
      <c r="BP174" s="35"/>
      <c r="BQ174" s="35"/>
      <c r="BR174" s="35"/>
      <c r="BS174" s="35"/>
      <c r="BT174" s="35"/>
      <c r="BU174" s="35"/>
      <c r="BV174" s="35"/>
      <c r="BW174" s="35"/>
      <c r="BX174" s="35"/>
      <c r="BY174" s="35"/>
      <c r="BZ174" s="35"/>
      <c r="CA174" s="35"/>
      <c r="CB174" s="35"/>
      <c r="CC174" s="35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5"/>
      <c r="BA176" s="35"/>
      <c r="BB176" s="35"/>
      <c r="BC176" s="35"/>
      <c r="BD176" s="35"/>
      <c r="BE176" s="35"/>
      <c r="BF176" s="35"/>
      <c r="BG176" s="35"/>
      <c r="BH176" s="35"/>
      <c r="BI176" s="35"/>
      <c r="BJ176" s="35"/>
      <c r="BK176" s="35"/>
      <c r="BL176" s="35"/>
      <c r="BM176" s="35"/>
      <c r="BN176" s="35"/>
      <c r="BO176" s="35"/>
      <c r="BP176" s="35"/>
      <c r="BQ176" s="35"/>
      <c r="BR176" s="35"/>
      <c r="BS176" s="35"/>
      <c r="BT176" s="35"/>
      <c r="BU176" s="35"/>
      <c r="BV176" s="35"/>
      <c r="BW176" s="35"/>
      <c r="BX176" s="35"/>
      <c r="BY176" s="35"/>
      <c r="BZ176" s="35"/>
      <c r="CA176" s="35"/>
      <c r="CB176" s="35"/>
      <c r="CC176" s="35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5"/>
      <c r="BA178" s="35"/>
      <c r="BB178" s="35"/>
      <c r="BC178" s="35"/>
      <c r="BD178" s="35"/>
      <c r="BE178" s="35"/>
      <c r="BF178" s="35"/>
      <c r="BG178" s="35"/>
      <c r="BH178" s="35"/>
      <c r="BI178" s="35"/>
      <c r="BJ178" s="35"/>
      <c r="BK178" s="35"/>
      <c r="BL178" s="35"/>
      <c r="BM178" s="35"/>
      <c r="BN178" s="35"/>
      <c r="BO178" s="35"/>
      <c r="BP178" s="35"/>
      <c r="BQ178" s="35"/>
      <c r="BR178" s="35"/>
      <c r="BS178" s="35"/>
      <c r="BT178" s="35"/>
      <c r="BU178" s="35"/>
      <c r="BV178" s="35"/>
      <c r="BW178" s="35"/>
      <c r="BX178" s="35"/>
      <c r="BY178" s="35"/>
      <c r="BZ178" s="35"/>
      <c r="CA178" s="35"/>
      <c r="CB178" s="35"/>
      <c r="CC178" s="35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5"/>
      <c r="BA180" s="35"/>
      <c r="BB180" s="35"/>
      <c r="BC180" s="35"/>
      <c r="BD180" s="35"/>
      <c r="BE180" s="35"/>
      <c r="BF180" s="35"/>
      <c r="BG180" s="35"/>
      <c r="BH180" s="35"/>
      <c r="BI180" s="35"/>
      <c r="BJ180" s="35"/>
      <c r="BK180" s="35"/>
      <c r="BL180" s="35"/>
      <c r="BM180" s="35"/>
      <c r="BN180" s="35"/>
      <c r="BO180" s="35"/>
      <c r="BP180" s="35"/>
      <c r="BQ180" s="35"/>
      <c r="BR180" s="35"/>
      <c r="BS180" s="35"/>
      <c r="BT180" s="35"/>
      <c r="BU180" s="35"/>
      <c r="BV180" s="35"/>
      <c r="BW180" s="35"/>
      <c r="BX180" s="35"/>
      <c r="BY180" s="35"/>
      <c r="BZ180" s="35"/>
      <c r="CA180" s="35"/>
      <c r="CB180" s="35"/>
      <c r="CC180" s="35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5"/>
      <c r="BA182" s="35"/>
      <c r="BB182" s="35"/>
      <c r="BC182" s="35"/>
      <c r="BD182" s="35"/>
      <c r="BE182" s="35"/>
      <c r="BF182" s="35"/>
      <c r="BG182" s="35"/>
      <c r="BH182" s="35"/>
      <c r="BI182" s="35"/>
      <c r="BJ182" s="35"/>
      <c r="BK182" s="35"/>
      <c r="BL182" s="35"/>
      <c r="BM182" s="35"/>
      <c r="BN182" s="35"/>
      <c r="BO182" s="35"/>
      <c r="BP182" s="35"/>
      <c r="BQ182" s="35"/>
      <c r="BR182" s="35"/>
      <c r="BS182" s="35"/>
      <c r="BT182" s="35"/>
      <c r="BU182" s="35"/>
      <c r="BV182" s="35"/>
      <c r="BW182" s="35"/>
      <c r="BX182" s="35"/>
      <c r="BY182" s="35"/>
      <c r="BZ182" s="35"/>
      <c r="CA182" s="35"/>
      <c r="CB182" s="35"/>
      <c r="CC182" s="35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5"/>
      <c r="BA184" s="35"/>
      <c r="BB184" s="35"/>
      <c r="BC184" s="35"/>
      <c r="BD184" s="35"/>
      <c r="BE184" s="35"/>
      <c r="BF184" s="35"/>
      <c r="BG184" s="35"/>
      <c r="BH184" s="35"/>
      <c r="BI184" s="35"/>
      <c r="BJ184" s="35"/>
      <c r="BK184" s="35"/>
      <c r="BL184" s="35"/>
      <c r="BM184" s="35"/>
      <c r="BN184" s="35"/>
      <c r="BO184" s="35"/>
      <c r="BP184" s="35"/>
      <c r="BQ184" s="35"/>
      <c r="BR184" s="35"/>
      <c r="BS184" s="35"/>
      <c r="BT184" s="35"/>
      <c r="BU184" s="35"/>
      <c r="BV184" s="35"/>
      <c r="BW184" s="35"/>
      <c r="BX184" s="35"/>
      <c r="BY184" s="35"/>
      <c r="BZ184" s="35"/>
      <c r="CA184" s="35"/>
      <c r="CB184" s="35"/>
      <c r="CC184" s="35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5"/>
      <c r="BA186" s="35"/>
      <c r="BB186" s="35"/>
      <c r="BC186" s="35"/>
      <c r="BD186" s="35"/>
      <c r="BE186" s="35"/>
      <c r="BF186" s="35"/>
      <c r="BG186" s="35"/>
      <c r="BH186" s="35"/>
      <c r="BI186" s="35"/>
      <c r="BJ186" s="35"/>
      <c r="BK186" s="35"/>
      <c r="BL186" s="35"/>
      <c r="BM186" s="35"/>
      <c r="BN186" s="35"/>
      <c r="BO186" s="35"/>
      <c r="BP186" s="35"/>
      <c r="BQ186" s="35"/>
      <c r="BR186" s="35"/>
      <c r="BS186" s="35"/>
      <c r="BT186" s="35"/>
      <c r="BU186" s="35"/>
      <c r="BV186" s="35"/>
      <c r="BW186" s="35"/>
      <c r="BX186" s="35"/>
      <c r="BY186" s="35"/>
      <c r="BZ186" s="35"/>
      <c r="CA186" s="35"/>
      <c r="CB186" s="35"/>
      <c r="CC186" s="35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5"/>
      <c r="BA188" s="35"/>
      <c r="BB188" s="35"/>
      <c r="BC188" s="35"/>
      <c r="BD188" s="35"/>
      <c r="BE188" s="35"/>
      <c r="BF188" s="35"/>
      <c r="BG188" s="35"/>
      <c r="BH188" s="35"/>
      <c r="BI188" s="35"/>
      <c r="BJ188" s="35"/>
      <c r="BK188" s="35"/>
      <c r="BL188" s="35"/>
      <c r="BM188" s="35"/>
      <c r="BN188" s="35"/>
      <c r="BO188" s="35"/>
      <c r="BP188" s="35"/>
      <c r="BQ188" s="35"/>
      <c r="BR188" s="35"/>
      <c r="BS188" s="35"/>
      <c r="BT188" s="35"/>
      <c r="BU188" s="35"/>
      <c r="BV188" s="35"/>
      <c r="BW188" s="35"/>
      <c r="BX188" s="35"/>
      <c r="BY188" s="35"/>
      <c r="BZ188" s="35"/>
      <c r="CA188" s="35"/>
      <c r="CB188" s="35"/>
      <c r="CC188" s="35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5"/>
      <c r="BA190" s="35"/>
      <c r="BB190" s="35"/>
      <c r="BC190" s="35"/>
      <c r="BD190" s="35"/>
      <c r="BE190" s="35"/>
      <c r="BF190" s="35"/>
      <c r="BG190" s="35"/>
      <c r="BH190" s="35"/>
      <c r="BI190" s="35"/>
      <c r="BJ190" s="35"/>
      <c r="BK190" s="35"/>
      <c r="BL190" s="35"/>
      <c r="BM190" s="35"/>
      <c r="BN190" s="35"/>
      <c r="BO190" s="35"/>
      <c r="BP190" s="35"/>
      <c r="BQ190" s="35"/>
      <c r="BR190" s="35"/>
      <c r="BS190" s="35"/>
      <c r="BT190" s="35"/>
      <c r="BU190" s="35"/>
      <c r="BV190" s="35"/>
      <c r="BW190" s="35"/>
      <c r="BX190" s="35"/>
      <c r="BY190" s="35"/>
      <c r="BZ190" s="35"/>
      <c r="CA190" s="35"/>
      <c r="CB190" s="35"/>
      <c r="CC190" s="35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5"/>
      <c r="BA192" s="35"/>
      <c r="BB192" s="35"/>
      <c r="BC192" s="35"/>
      <c r="BD192" s="35"/>
      <c r="BE192" s="35"/>
      <c r="BF192" s="35"/>
      <c r="BG192" s="35"/>
      <c r="BH192" s="35"/>
      <c r="BI192" s="35"/>
      <c r="BJ192" s="35"/>
      <c r="BK192" s="35"/>
      <c r="BL192" s="35"/>
      <c r="BM192" s="35"/>
      <c r="BN192" s="35"/>
      <c r="BO192" s="35"/>
      <c r="BP192" s="35"/>
      <c r="BQ192" s="35"/>
      <c r="BR192" s="35"/>
      <c r="BS192" s="35"/>
      <c r="BT192" s="35"/>
      <c r="BU192" s="35"/>
      <c r="BV192" s="35"/>
      <c r="BW192" s="35"/>
      <c r="BX192" s="35"/>
      <c r="BY192" s="35"/>
      <c r="BZ192" s="35"/>
      <c r="CA192" s="35"/>
      <c r="CB192" s="35"/>
      <c r="CC192" s="35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5"/>
      <c r="BA194" s="35"/>
      <c r="BB194" s="35"/>
      <c r="BC194" s="35"/>
      <c r="BD194" s="35"/>
      <c r="BE194" s="35"/>
      <c r="BF194" s="35"/>
      <c r="BG194" s="35"/>
      <c r="BH194" s="35"/>
      <c r="BI194" s="35"/>
      <c r="BJ194" s="35"/>
      <c r="BK194" s="35"/>
      <c r="BL194" s="35"/>
      <c r="BM194" s="35"/>
      <c r="BN194" s="35"/>
      <c r="BO194" s="35"/>
      <c r="BP194" s="35"/>
      <c r="BQ194" s="35"/>
      <c r="BR194" s="35"/>
      <c r="BS194" s="35"/>
      <c r="BT194" s="35"/>
      <c r="BU194" s="35"/>
      <c r="BV194" s="35"/>
      <c r="BW194" s="35"/>
      <c r="BX194" s="35"/>
      <c r="BY194" s="35"/>
      <c r="BZ194" s="35"/>
      <c r="CA194" s="35"/>
      <c r="CB194" s="35"/>
      <c r="CC194" s="35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5"/>
      <c r="BA196" s="35"/>
      <c r="BB196" s="35"/>
      <c r="BC196" s="35"/>
      <c r="BD196" s="35"/>
      <c r="BE196" s="35"/>
      <c r="BF196" s="35"/>
      <c r="BG196" s="35"/>
      <c r="BH196" s="35"/>
      <c r="BI196" s="35"/>
      <c r="BJ196" s="35"/>
      <c r="BK196" s="35"/>
      <c r="BL196" s="35"/>
      <c r="BM196" s="35"/>
      <c r="BN196" s="35"/>
      <c r="BO196" s="35"/>
      <c r="BP196" s="35"/>
      <c r="BQ196" s="35"/>
      <c r="BR196" s="35"/>
      <c r="BS196" s="35"/>
      <c r="BT196" s="35"/>
      <c r="BU196" s="35"/>
      <c r="BV196" s="35"/>
      <c r="BW196" s="35"/>
      <c r="BX196" s="35"/>
      <c r="BY196" s="35"/>
      <c r="BZ196" s="35"/>
      <c r="CA196" s="35"/>
      <c r="CB196" s="35"/>
      <c r="CC196" s="35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5"/>
      <c r="BA198" s="35"/>
      <c r="BB198" s="35"/>
      <c r="BC198" s="35"/>
      <c r="BD198" s="35"/>
      <c r="BE198" s="35"/>
      <c r="BF198" s="35"/>
      <c r="BG198" s="35"/>
      <c r="BH198" s="35"/>
      <c r="BI198" s="35"/>
      <c r="BJ198" s="35"/>
      <c r="BK198" s="35"/>
      <c r="BL198" s="35"/>
      <c r="BM198" s="35"/>
      <c r="BN198" s="35"/>
      <c r="BO198" s="35"/>
      <c r="BP198" s="35"/>
      <c r="BQ198" s="35"/>
      <c r="BR198" s="35"/>
      <c r="BS198" s="35"/>
      <c r="BT198" s="35"/>
      <c r="BU198" s="35"/>
      <c r="BV198" s="35"/>
      <c r="BW198" s="35"/>
      <c r="BX198" s="35"/>
      <c r="BY198" s="35"/>
      <c r="BZ198" s="35"/>
      <c r="CA198" s="35"/>
      <c r="CB198" s="35"/>
      <c r="CC198" s="35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5"/>
      <c r="BA200" s="35"/>
      <c r="BB200" s="35"/>
      <c r="BC200" s="35"/>
      <c r="BD200" s="35"/>
      <c r="BE200" s="35"/>
      <c r="BF200" s="35"/>
      <c r="BG200" s="35"/>
      <c r="BH200" s="35"/>
      <c r="BI200" s="35"/>
      <c r="BJ200" s="35"/>
      <c r="BK200" s="35"/>
      <c r="BL200" s="35"/>
      <c r="BM200" s="35"/>
      <c r="BN200" s="35"/>
      <c r="BO200" s="35"/>
      <c r="BP200" s="35"/>
      <c r="BQ200" s="35"/>
      <c r="BR200" s="35"/>
      <c r="BS200" s="35"/>
      <c r="BT200" s="35"/>
      <c r="BU200" s="35"/>
      <c r="BV200" s="35"/>
      <c r="BW200" s="35"/>
      <c r="BX200" s="35"/>
      <c r="BY200" s="35"/>
      <c r="BZ200" s="35"/>
      <c r="CA200" s="35"/>
      <c r="CB200" s="35"/>
      <c r="CC200" s="35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5"/>
      <c r="BA202" s="35"/>
      <c r="BB202" s="35"/>
      <c r="BC202" s="35"/>
      <c r="BD202" s="35"/>
      <c r="BE202" s="35"/>
      <c r="BF202" s="35"/>
      <c r="BG202" s="35"/>
      <c r="BH202" s="35"/>
      <c r="BI202" s="35"/>
      <c r="BJ202" s="35"/>
      <c r="BK202" s="35"/>
      <c r="BL202" s="35"/>
      <c r="BM202" s="35"/>
      <c r="BN202" s="35"/>
      <c r="BO202" s="35"/>
      <c r="BP202" s="35"/>
      <c r="BQ202" s="35"/>
      <c r="BR202" s="35"/>
      <c r="BS202" s="35"/>
      <c r="BT202" s="35"/>
      <c r="BU202" s="35"/>
      <c r="BV202" s="35"/>
      <c r="BW202" s="35"/>
      <c r="BX202" s="35"/>
      <c r="BY202" s="35"/>
      <c r="BZ202" s="35"/>
      <c r="CA202" s="35"/>
      <c r="CB202" s="35"/>
      <c r="CC202" s="35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5"/>
      <c r="BA204" s="35"/>
      <c r="BB204" s="35"/>
      <c r="BC204" s="35"/>
      <c r="BD204" s="35"/>
      <c r="BE204" s="35"/>
      <c r="BF204" s="35"/>
      <c r="BG204" s="35"/>
      <c r="BH204" s="35"/>
      <c r="BI204" s="35"/>
      <c r="BJ204" s="35"/>
      <c r="BK204" s="35"/>
      <c r="BL204" s="35"/>
      <c r="BM204" s="35"/>
      <c r="BN204" s="35"/>
      <c r="BO204" s="35"/>
      <c r="BP204" s="35"/>
      <c r="BQ204" s="35"/>
      <c r="BR204" s="35"/>
      <c r="BS204" s="35"/>
      <c r="BT204" s="35"/>
      <c r="BU204" s="35"/>
      <c r="BV204" s="35"/>
      <c r="BW204" s="35"/>
      <c r="BX204" s="35"/>
      <c r="BY204" s="35"/>
      <c r="BZ204" s="35"/>
      <c r="CA204" s="35"/>
      <c r="CB204" s="35"/>
      <c r="CC204" s="35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5"/>
      <c r="BA206" s="35"/>
      <c r="BB206" s="35"/>
      <c r="BC206" s="35"/>
      <c r="BD206" s="35"/>
      <c r="BE206" s="35"/>
      <c r="BF206" s="35"/>
      <c r="BG206" s="35"/>
      <c r="BH206" s="35"/>
      <c r="BI206" s="35"/>
      <c r="BJ206" s="35"/>
      <c r="BK206" s="35"/>
      <c r="BL206" s="35"/>
      <c r="BM206" s="35"/>
      <c r="BN206" s="35"/>
      <c r="BO206" s="35"/>
      <c r="BP206" s="35"/>
      <c r="BQ206" s="35"/>
      <c r="BR206" s="35"/>
      <c r="BS206" s="35"/>
      <c r="BT206" s="35"/>
      <c r="BU206" s="35"/>
      <c r="BV206" s="35"/>
      <c r="BW206" s="35"/>
      <c r="BX206" s="35"/>
      <c r="BY206" s="35"/>
      <c r="BZ206" s="35"/>
      <c r="CA206" s="35"/>
      <c r="CB206" s="35"/>
      <c r="CC206" s="35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47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48</v>
      </c>
      <c r="B3" s="41" t="s">
        <v>49</v>
      </c>
      <c r="C3" s="41" t="s">
        <v>50</v>
      </c>
      <c r="D3" s="41" t="s">
        <v>51</v>
      </c>
      <c r="E3" s="41" t="s">
        <v>52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2109</v>
      </c>
      <c r="B4" s="44">
        <f>SUMIF(D7:D996,"Expense",F7:F996)</f>
        <v>3461.63</v>
      </c>
      <c r="C4" s="45">
        <f>A4-B4</f>
        <v>-1352.63</v>
      </c>
      <c r="D4" s="46">
        <f>IFERROR(AVERAGE(F7:F996),0)</f>
        <v>618.9588889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53</v>
      </c>
      <c r="B6" s="48" t="s">
        <v>54</v>
      </c>
      <c r="C6" s="48" t="s">
        <v>14</v>
      </c>
      <c r="D6" s="48" t="s">
        <v>55</v>
      </c>
      <c r="E6" s="48" t="s">
        <v>56</v>
      </c>
      <c r="F6" s="49" t="s">
        <v>57</v>
      </c>
      <c r="G6" s="48" t="s">
        <v>58</v>
      </c>
      <c r="H6" s="48" t="s">
        <v>59</v>
      </c>
      <c r="I6" s="48" t="s">
        <v>5</v>
      </c>
      <c r="J6" s="5" t="s">
        <v>60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61</v>
      </c>
      <c r="C7" s="51" t="s">
        <v>62</v>
      </c>
      <c r="D7" s="51" t="s">
        <v>63</v>
      </c>
      <c r="E7" s="51" t="s">
        <v>64</v>
      </c>
      <c r="F7" s="52">
        <v>920.0</v>
      </c>
      <c r="G7" s="51" t="s">
        <v>26</v>
      </c>
      <c r="H7" s="51"/>
      <c r="I7" s="51" t="s">
        <v>65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66</v>
      </c>
      <c r="C8" s="51" t="s">
        <v>62</v>
      </c>
      <c r="D8" s="51" t="s">
        <v>63</v>
      </c>
      <c r="E8" s="51" t="s">
        <v>64</v>
      </c>
      <c r="F8" s="52">
        <v>1150.0</v>
      </c>
      <c r="G8" s="51" t="s">
        <v>29</v>
      </c>
      <c r="H8" s="51"/>
      <c r="I8" s="51" t="s">
        <v>65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35</v>
      </c>
      <c r="C9" s="51" t="s">
        <v>67</v>
      </c>
      <c r="D9" s="51" t="s">
        <v>32</v>
      </c>
      <c r="E9" s="51" t="s">
        <v>64</v>
      </c>
      <c r="F9" s="52">
        <v>956.0</v>
      </c>
      <c r="G9" s="51" t="s">
        <v>35</v>
      </c>
      <c r="H9" s="51"/>
      <c r="I9" s="51" t="s">
        <v>65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31</v>
      </c>
      <c r="C10" s="55" t="s">
        <v>67</v>
      </c>
      <c r="D10" s="55" t="s">
        <v>32</v>
      </c>
      <c r="E10" s="55" t="s">
        <v>64</v>
      </c>
      <c r="F10" s="56">
        <v>123.0</v>
      </c>
      <c r="G10" s="55" t="s">
        <v>31</v>
      </c>
      <c r="H10" s="55"/>
      <c r="I10" s="55" t="s">
        <v>65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68</v>
      </c>
      <c r="C11" s="58" t="s">
        <v>67</v>
      </c>
      <c r="D11" s="58" t="s">
        <v>32</v>
      </c>
      <c r="E11" s="58" t="s">
        <v>64</v>
      </c>
      <c r="F11" s="56">
        <v>1030.0</v>
      </c>
      <c r="G11" s="58" t="s">
        <v>36</v>
      </c>
      <c r="H11" s="58"/>
      <c r="I11" s="58" t="s">
        <v>65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69</v>
      </c>
      <c r="C12" s="55" t="s">
        <v>70</v>
      </c>
      <c r="D12" s="55" t="s">
        <v>63</v>
      </c>
      <c r="E12" s="55" t="s">
        <v>64</v>
      </c>
      <c r="F12" s="56">
        <v>69.0</v>
      </c>
      <c r="G12" s="55" t="s">
        <v>20</v>
      </c>
      <c r="H12" s="55"/>
      <c r="I12" s="55" t="s">
        <v>65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8" t="s">
        <v>71</v>
      </c>
      <c r="C13" s="58" t="s">
        <v>72</v>
      </c>
      <c r="D13" s="58" t="s">
        <v>63</v>
      </c>
      <c r="E13" s="58" t="s">
        <v>73</v>
      </c>
      <c r="F13" s="60">
        <v>185.69</v>
      </c>
      <c r="G13" s="58" t="s">
        <v>26</v>
      </c>
      <c r="H13" s="58"/>
      <c r="I13" s="58" t="s">
        <v>65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1">
        <v>46195.0</v>
      </c>
      <c r="B14" s="55" t="s">
        <v>74</v>
      </c>
      <c r="C14" s="55" t="s">
        <v>75</v>
      </c>
      <c r="D14" s="55" t="s">
        <v>63</v>
      </c>
      <c r="E14" s="55" t="s">
        <v>76</v>
      </c>
      <c r="F14" s="62">
        <v>228.44</v>
      </c>
      <c r="G14" s="55" t="s">
        <v>26</v>
      </c>
      <c r="H14" s="55"/>
      <c r="I14" s="55" t="s">
        <v>65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1"/>
      <c r="B15" s="63" t="s">
        <v>77</v>
      </c>
      <c r="C15" s="63" t="s">
        <v>70</v>
      </c>
      <c r="D15" s="63" t="s">
        <v>63</v>
      </c>
      <c r="E15" s="55"/>
      <c r="F15" s="64">
        <v>908.5</v>
      </c>
      <c r="G15" s="63" t="s">
        <v>20</v>
      </c>
      <c r="H15" s="55"/>
      <c r="I15" s="63" t="s">
        <v>65</v>
      </c>
      <c r="J15" s="53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4"/>
      <c r="B16" s="55"/>
      <c r="C16" s="55"/>
      <c r="D16" s="55"/>
      <c r="E16" s="55"/>
      <c r="F16" s="56"/>
      <c r="G16" s="55"/>
      <c r="H16" s="55"/>
      <c r="I16" s="55"/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7"/>
      <c r="B17" s="58"/>
      <c r="C17" s="58"/>
      <c r="D17" s="58"/>
      <c r="E17" s="58"/>
      <c r="F17" s="65"/>
      <c r="G17" s="58"/>
      <c r="H17" s="58"/>
      <c r="I17" s="58"/>
      <c r="J17" s="53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4"/>
      <c r="B18" s="55"/>
      <c r="C18" s="55"/>
      <c r="D18" s="55"/>
      <c r="E18" s="55"/>
      <c r="F18" s="56"/>
      <c r="G18" s="55"/>
      <c r="H18" s="55"/>
      <c r="I18" s="55"/>
      <c r="J18" s="53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58"/>
      <c r="C19" s="58"/>
      <c r="D19" s="58"/>
      <c r="E19" s="58"/>
      <c r="F19" s="65"/>
      <c r="G19" s="58"/>
      <c r="H19" s="58"/>
      <c r="I19" s="58"/>
      <c r="J19" s="53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4"/>
      <c r="B20" s="55"/>
      <c r="C20" s="55"/>
      <c r="D20" s="55"/>
      <c r="E20" s="55"/>
      <c r="F20" s="56"/>
      <c r="G20" s="55"/>
      <c r="H20" s="55"/>
      <c r="I20" s="55"/>
      <c r="J20" s="53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7"/>
      <c r="B21" s="58"/>
      <c r="C21" s="58"/>
      <c r="D21" s="58"/>
      <c r="E21" s="58"/>
      <c r="F21" s="65"/>
      <c r="G21" s="58"/>
      <c r="H21" s="58"/>
      <c r="I21" s="58"/>
      <c r="J21" s="53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4"/>
      <c r="B22" s="55"/>
      <c r="C22" s="55"/>
      <c r="D22" s="55"/>
      <c r="E22" s="55"/>
      <c r="F22" s="56"/>
      <c r="G22" s="55"/>
      <c r="H22" s="55"/>
      <c r="I22" s="55"/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7"/>
      <c r="B23" s="58"/>
      <c r="C23" s="58"/>
      <c r="D23" s="58"/>
      <c r="E23" s="58"/>
      <c r="F23" s="65"/>
      <c r="G23" s="58"/>
      <c r="H23" s="58"/>
      <c r="I23" s="58"/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4"/>
      <c r="B24" s="55"/>
      <c r="C24" s="55"/>
      <c r="D24" s="55"/>
      <c r="E24" s="55"/>
      <c r="F24" s="56"/>
      <c r="G24" s="55"/>
      <c r="H24" s="55"/>
      <c r="I24" s="55"/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5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5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5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5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5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5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5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5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5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5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5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5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5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5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5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5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5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5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5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5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5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5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5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5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5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5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5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5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5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5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5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5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5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5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5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5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5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5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5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5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5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5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5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5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5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5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5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5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5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5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5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5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5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5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5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5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5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5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5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5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5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5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5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5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5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5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5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5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5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5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5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5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5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5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5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5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5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5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5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5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5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5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5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5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5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5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5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5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5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5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5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5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5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5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5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5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5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5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5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5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5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5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5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5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5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5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5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5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5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5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5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5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5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5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5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5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5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5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5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5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5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5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5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5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5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5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5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5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5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5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5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5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5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5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5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5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5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5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5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5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5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5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5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5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5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5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5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5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5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5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5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5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5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5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5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5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5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5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5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5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5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5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5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5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5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5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5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5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5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5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5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5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5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5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5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5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5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5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5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5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5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5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5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5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5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5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5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5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5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5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5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5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5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5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5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5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5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5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5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5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5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5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5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5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5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5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5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5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5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5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5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5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5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5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5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5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5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5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5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5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5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5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5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5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5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5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5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5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5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5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5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5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5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5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5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5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5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5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5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5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5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5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5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5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5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5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5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5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5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5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5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5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5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5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5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5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5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5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5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5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5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5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5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5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5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5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5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5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5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5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5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5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5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5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5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5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5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5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5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5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5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5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5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5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5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5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5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5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5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5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5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5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5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5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5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5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5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5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5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5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5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5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5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5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5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5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5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5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5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5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5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5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5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5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5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5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5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5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5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5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5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5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5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5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5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5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5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5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5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5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5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5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5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5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5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5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5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5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5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5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5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5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5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5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5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5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5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5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5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5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5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5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5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5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5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5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5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5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5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5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5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5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5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5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5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5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5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5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5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5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5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5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5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5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5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5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5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5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5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5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5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5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5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5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5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5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5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5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5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5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5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5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5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5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5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5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5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5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5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5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5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5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5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5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5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5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5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5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5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5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5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5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5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5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5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5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5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5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5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5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5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5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5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5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5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5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5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5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5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5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5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5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5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5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5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5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5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5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5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5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5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5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5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5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5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5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5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5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5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5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5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5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5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5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5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5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5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5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5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5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5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5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5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5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5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5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5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5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5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5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5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5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5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5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5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5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5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5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5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5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5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5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5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5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5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5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G7:G996">
      <formula1>Events!$A$5:$A$505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4" t="s">
        <v>78</v>
      </c>
      <c r="B1" s="15"/>
      <c r="C1" s="15"/>
      <c r="D1" s="15"/>
      <c r="E1" s="15"/>
      <c r="F1" s="15"/>
      <c r="G1" s="15"/>
      <c r="H1" s="1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6"/>
      <c r="H2" s="66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7" t="s">
        <v>79</v>
      </c>
      <c r="B3" s="67" t="s">
        <v>80</v>
      </c>
      <c r="C3" s="67" t="s">
        <v>81</v>
      </c>
      <c r="D3" s="67" t="s">
        <v>82</v>
      </c>
      <c r="E3" s="67" t="s">
        <v>83</v>
      </c>
      <c r="F3" s="66"/>
      <c r="G3" s="66"/>
      <c r="H3" s="6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68">
        <f>SUMIF(E7:E206,"&gt;0",E7:E206)</f>
        <v>2136.058535</v>
      </c>
      <c r="B4" s="68">
        <f>SUMIF(E7:E206,"&lt;0",E7:E206)</f>
        <v>-2377.558535</v>
      </c>
      <c r="C4" s="68">
        <f>SUM(E7:E206)</f>
        <v>-241.5</v>
      </c>
      <c r="D4" s="69">
        <f>COUNTIF(F7:F206,"Settled")</f>
        <v>2</v>
      </c>
      <c r="E4" s="69">
        <f>COUNTIF(F7:F206,"Unsettled")</f>
        <v>34</v>
      </c>
      <c r="F4" s="66"/>
      <c r="G4" s="66"/>
      <c r="H4" s="66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6"/>
      <c r="H5" s="66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42</v>
      </c>
      <c r="B6" s="5" t="s">
        <v>84</v>
      </c>
      <c r="C6" s="5" t="s">
        <v>85</v>
      </c>
      <c r="D6" s="5" t="s">
        <v>86</v>
      </c>
      <c r="E6" s="5" t="s">
        <v>87</v>
      </c>
      <c r="F6" s="5" t="s">
        <v>5</v>
      </c>
      <c r="G6" s="66"/>
      <c r="H6" s="6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106.8223993</v>
      </c>
      <c r="C7" s="70">
        <f>IF(A7&lt;&gt;"",SUMIFS(Transactions!$F$7:$F$996,Transactions!$D$7:$D$996,"Income",Transactions!$E$7:$E$996,A7),"")</f>
        <v>0</v>
      </c>
      <c r="D7" s="70">
        <f>IF(A7&lt;&gt;"",SUMIFS(Transactions!$F$7:$F$996,Transactions!$D$7:$D$996,"Expense",Transactions!$E$7:$E$996,A7),"")</f>
        <v>0</v>
      </c>
      <c r="E7" s="68">
        <f t="shared" ref="E7:E206" si="1">IF(A7&lt;&gt;"",B7-C7-D7,"")</f>
        <v>106.8223993</v>
      </c>
      <c r="F7" s="68" t="str">
        <f t="shared" ref="F7:F206" si="2">IF(A7&lt;&gt;"",IF(E7=0,"Settled","Unsettled"),"")</f>
        <v>Unsettled</v>
      </c>
      <c r="G7" s="71"/>
      <c r="H7" s="66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68.74906593</v>
      </c>
      <c r="C8" s="70">
        <f>IF(A8&lt;&gt;"",SUMIFS(Transactions!$F$7:$F$996,Transactions!$D$7:$D$996,"Income",Transactions!$E$7:$E$996,A8),"")</f>
        <v>0</v>
      </c>
      <c r="D8" s="70">
        <f>IF(A8&lt;&gt;"",SUMIFS(Transactions!$F$7:$F$996,Transactions!$D$7:$D$996,"Expense",Transactions!$E$7:$E$996,A8),"")</f>
        <v>0</v>
      </c>
      <c r="E8" s="68">
        <f t="shared" si="1"/>
        <v>68.74906593</v>
      </c>
      <c r="F8" s="68" t="str">
        <f t="shared" si="2"/>
        <v>Unsettled</v>
      </c>
      <c r="G8" s="71"/>
      <c r="H8" s="66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68.74906593</v>
      </c>
      <c r="C9" s="70">
        <f>IF(A9&lt;&gt;"",SUMIFS(Transactions!$F$7:$F$996,Transactions!$D$7:$D$996,"Income",Transactions!$E$7:$E$996,A9),"")</f>
        <v>0</v>
      </c>
      <c r="D9" s="70">
        <f>IF(A9&lt;&gt;"",SUMIFS(Transactions!$F$7:$F$996,Transactions!$D$7:$D$996,"Expense",Transactions!$E$7:$E$996,A9),"")</f>
        <v>0</v>
      </c>
      <c r="E9" s="68">
        <f t="shared" si="1"/>
        <v>68.74906593</v>
      </c>
      <c r="F9" s="68" t="str">
        <f t="shared" si="2"/>
        <v>Unsettled</v>
      </c>
      <c r="G9" s="71"/>
      <c r="H9" s="66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68.74906593</v>
      </c>
      <c r="C10" s="70">
        <f>IF(A10&lt;&gt;"",SUMIFS(Transactions!$F$7:$F$996,Transactions!$D$7:$D$996,"Income",Transactions!$E$7:$E$996,A10),"")</f>
        <v>0</v>
      </c>
      <c r="D10" s="70">
        <f>IF(A10&lt;&gt;"",SUMIFS(Transactions!$F$7:$F$996,Transactions!$D$7:$D$996,"Expense",Transactions!$E$7:$E$996,A10),"")</f>
        <v>0</v>
      </c>
      <c r="E10" s="68">
        <f t="shared" si="1"/>
        <v>68.74906593</v>
      </c>
      <c r="F10" s="68" t="str">
        <f t="shared" si="2"/>
        <v>Unsettled</v>
      </c>
      <c r="G10" s="71"/>
      <c r="H10" s="66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106.8223993</v>
      </c>
      <c r="C11" s="70">
        <f>IF(A11&lt;&gt;"",SUMIFS(Transactions!$F$7:$F$996,Transactions!$D$7:$D$996,"Income",Transactions!$E$7:$E$996,A11),"")</f>
        <v>0</v>
      </c>
      <c r="D11" s="70">
        <f>IF(A11&lt;&gt;"",SUMIFS(Transactions!$F$7:$F$996,Transactions!$D$7:$D$996,"Expense",Transactions!$E$7:$E$996,A11),"")</f>
        <v>0</v>
      </c>
      <c r="E11" s="68">
        <f t="shared" si="1"/>
        <v>106.8223993</v>
      </c>
      <c r="F11" s="68" t="str">
        <f t="shared" si="2"/>
        <v>Unsettled</v>
      </c>
      <c r="G11" s="71"/>
      <c r="H11" s="66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2" t="str">
        <f>IF(Roster!$A$10&lt;&gt;"",Roster!$A$10,"")</f>
        <v>Griffin O'Neal-Freeman</v>
      </c>
      <c r="B12" s="72">
        <f t="array" ref="B12">IF(A12&lt;&gt;"",IFERROR(SUMPRODUCT((INDEX(Attendance!$B$7:$AZ$206,MATCH(A12,Attendance!$A$7:$A$206,0),0)=1)*Attendance!$B$4:$AZ$4),0),"")</f>
        <v>68.74906593</v>
      </c>
      <c r="C12" s="73">
        <f>IF(A12&lt;&gt;"",SUMIFS(Transactions!$F$7:$F$996,Transactions!$D$7:$D$996,"Income",Transactions!$E$7:$E$996,A12),"")</f>
        <v>0</v>
      </c>
      <c r="D12" s="73">
        <f>IF(A12&lt;&gt;"",SUMIFS(Transactions!$F$7:$F$996,Transactions!$D$7:$D$996,"Expense",Transactions!$E$7:$E$996,A12),"")</f>
        <v>0</v>
      </c>
      <c r="E12" s="74">
        <f t="shared" si="1"/>
        <v>68.74906593</v>
      </c>
      <c r="F12" s="74" t="str">
        <f t="shared" si="2"/>
        <v>Unsettled</v>
      </c>
      <c r="G12" s="71"/>
      <c r="H12" s="66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68.74906593</v>
      </c>
      <c r="C13" s="70">
        <f>IF(A13&lt;&gt;"",SUMIFS(Transactions!$F$7:$F$996,Transactions!$D$7:$D$996,"Income",Transactions!$E$7:$E$996,A13),"")</f>
        <v>0</v>
      </c>
      <c r="D13" s="70">
        <f>IF(A13&lt;&gt;"",SUMIFS(Transactions!$F$7:$F$996,Transactions!$D$7:$D$996,"Expense",Transactions!$E$7:$E$996,A13),"")</f>
        <v>0</v>
      </c>
      <c r="E13" s="68">
        <f t="shared" si="1"/>
        <v>68.74906593</v>
      </c>
      <c r="F13" s="68" t="str">
        <f t="shared" si="2"/>
        <v>Unsettled</v>
      </c>
      <c r="G13" s="71"/>
      <c r="H13" s="66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2" t="str">
        <f>IF(Roster!$A$12&lt;&gt;"",Roster!$A$12,"")</f>
        <v>Harry Park</v>
      </c>
      <c r="B14" s="72">
        <f t="array" ref="B14">IF(A14&lt;&gt;"",IFERROR(SUMPRODUCT((INDEX(Attendance!$B$7:$AZ$206,MATCH(A14,Attendance!$A$7:$A$206,0),0)=1)*Attendance!$B$4:$AZ$4),0),"")</f>
        <v>68.74906593</v>
      </c>
      <c r="C14" s="73">
        <f>IF(A14&lt;&gt;"",SUMIFS(Transactions!$F$7:$F$996,Transactions!$D$7:$D$996,"Income",Transactions!$E$7:$E$996,A14),"")</f>
        <v>0</v>
      </c>
      <c r="D14" s="73">
        <f>IF(A14&lt;&gt;"",SUMIFS(Transactions!$F$7:$F$996,Transactions!$D$7:$D$996,"Expense",Transactions!$E$7:$E$996,A14),"")</f>
        <v>0</v>
      </c>
      <c r="E14" s="74">
        <f t="shared" si="1"/>
        <v>68.74906593</v>
      </c>
      <c r="F14" s="74" t="str">
        <f t="shared" si="2"/>
        <v>Unsettled</v>
      </c>
      <c r="G14" s="71"/>
      <c r="H14" s="66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35.89192308</v>
      </c>
      <c r="C15" s="70">
        <f>IF(A15&lt;&gt;"",SUMIFS(Transactions!$F$7:$F$996,Transactions!$D$7:$D$996,"Income",Transactions!$E$7:$E$996,A15),"")</f>
        <v>0</v>
      </c>
      <c r="D15" s="70">
        <f>IF(A15&lt;&gt;"",SUMIFS(Transactions!$F$7:$F$996,Transactions!$D$7:$D$996,"Expense",Transactions!$E$7:$E$996,A15),"")</f>
        <v>0</v>
      </c>
      <c r="E15" s="68">
        <f t="shared" si="1"/>
        <v>35.89192308</v>
      </c>
      <c r="F15" s="68" t="str">
        <f t="shared" si="2"/>
        <v>Unsettled</v>
      </c>
      <c r="G15" s="71"/>
      <c r="H15" s="66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2" t="str">
        <f>IF(Roster!$A$14&lt;&gt;"",Roster!$A$14,"")</f>
        <v>Jake Murray</v>
      </c>
      <c r="B16" s="72">
        <f t="array" ref="B16">IF(A16&lt;&gt;"",IFERROR(SUMPRODUCT((INDEX(Attendance!$B$7:$AZ$206,MATCH(A16,Attendance!$A$7:$A$206,0),0)=1)*Attendance!$B$4:$AZ$4),0),"")</f>
        <v>106.8223993</v>
      </c>
      <c r="C16" s="73">
        <f>IF(A16&lt;&gt;"",SUMIFS(Transactions!$F$7:$F$996,Transactions!$D$7:$D$996,"Income",Transactions!$E$7:$E$996,A16),"")</f>
        <v>0</v>
      </c>
      <c r="D16" s="73">
        <f>IF(A16&lt;&gt;"",SUMIFS(Transactions!$F$7:$F$996,Transactions!$D$7:$D$996,"Expense",Transactions!$E$7:$E$996,A16),"")</f>
        <v>2367.44</v>
      </c>
      <c r="E16" s="74">
        <f t="shared" si="1"/>
        <v>-2260.617601</v>
      </c>
      <c r="F16" s="74" t="str">
        <f t="shared" si="2"/>
        <v>Unsettled</v>
      </c>
      <c r="G16" s="71"/>
      <c r="H16" s="66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68.74906593</v>
      </c>
      <c r="C17" s="70">
        <f>IF(A17&lt;&gt;"",SUMIFS(Transactions!$F$7:$F$996,Transactions!$D$7:$D$996,"Income",Transactions!$E$7:$E$996,A17),"")</f>
        <v>0</v>
      </c>
      <c r="D17" s="70">
        <f>IF(A17&lt;&gt;"",SUMIFS(Transactions!$F$7:$F$996,Transactions!$D$7:$D$996,"Expense",Transactions!$E$7:$E$996,A17),"")</f>
        <v>185.69</v>
      </c>
      <c r="E17" s="68">
        <f t="shared" si="1"/>
        <v>-116.9409341</v>
      </c>
      <c r="F17" s="68" t="str">
        <f t="shared" si="2"/>
        <v>Unsettled</v>
      </c>
      <c r="G17" s="71"/>
      <c r="H17" s="66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2" t="str">
        <f>IF(Roster!$A$16&lt;&gt;"",Roster!$A$16,"")</f>
        <v>Jimmy Towle</v>
      </c>
      <c r="B18" s="72">
        <f t="array" ref="B18">IF(A18&lt;&gt;"",IFERROR(SUMPRODUCT((INDEX(Attendance!$B$7:$AZ$206,MATCH(A18,Attendance!$A$7:$A$206,0),0)=1)*Attendance!$B$4:$AZ$4),0),"")</f>
        <v>28.75</v>
      </c>
      <c r="C18" s="73">
        <f>IF(A18&lt;&gt;"",SUMIFS(Transactions!$F$7:$F$996,Transactions!$D$7:$D$996,"Income",Transactions!$E$7:$E$996,A18),"")</f>
        <v>0</v>
      </c>
      <c r="D18" s="73">
        <f>IF(A18&lt;&gt;"",SUMIFS(Transactions!$F$7:$F$996,Transactions!$D$7:$D$996,"Expense",Transactions!$E$7:$E$996,A18),"")</f>
        <v>0</v>
      </c>
      <c r="E18" s="74">
        <f t="shared" si="1"/>
        <v>28.75</v>
      </c>
      <c r="F18" s="74" t="str">
        <f t="shared" si="2"/>
        <v>Unsettled</v>
      </c>
      <c r="G18" s="71"/>
      <c r="H18" s="66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68.74906593</v>
      </c>
      <c r="C19" s="70">
        <f>IF(A19&lt;&gt;"",SUMIFS(Transactions!$F$7:$F$996,Transactions!$D$7:$D$996,"Income",Transactions!$E$7:$E$996,A19),"")</f>
        <v>0</v>
      </c>
      <c r="D19" s="70">
        <f>IF(A19&lt;&gt;"",SUMIFS(Transactions!$F$7:$F$996,Transactions!$D$7:$D$996,"Expense",Transactions!$E$7:$E$996,A19),"")</f>
        <v>0</v>
      </c>
      <c r="E19" s="68">
        <f t="shared" si="1"/>
        <v>68.74906593</v>
      </c>
      <c r="F19" s="68" t="str">
        <f t="shared" si="2"/>
        <v>Unsettled</v>
      </c>
      <c r="G19" s="71"/>
      <c r="H19" s="66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2" t="str">
        <f>IF(Roster!$A$18&lt;&gt;"",Roster!$A$18,"")</f>
        <v>Kasey Schock</v>
      </c>
      <c r="B20" s="72">
        <f t="array" ref="B20">IF(A20&lt;&gt;"",IFERROR(SUMPRODUCT((INDEX(Attendance!$B$7:$AZ$206,MATCH(A20,Attendance!$A$7:$A$206,0),0)=1)*Attendance!$B$4:$AZ$4),0),"")</f>
        <v>68.74906593</v>
      </c>
      <c r="C20" s="73">
        <f>IF(A20&lt;&gt;"",SUMIFS(Transactions!$F$7:$F$996,Transactions!$D$7:$D$996,"Income",Transactions!$E$7:$E$996,A20),"")</f>
        <v>0</v>
      </c>
      <c r="D20" s="73">
        <f>IF(A20&lt;&gt;"",SUMIFS(Transactions!$F$7:$F$996,Transactions!$D$7:$D$996,"Expense",Transactions!$E$7:$E$996,A20),"")</f>
        <v>0</v>
      </c>
      <c r="E20" s="74">
        <f t="shared" si="1"/>
        <v>68.74906593</v>
      </c>
      <c r="F20" s="74" t="str">
        <f t="shared" si="2"/>
        <v>Unsettled</v>
      </c>
      <c r="G20" s="71"/>
      <c r="H20" s="66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68.74906593</v>
      </c>
      <c r="C21" s="70">
        <f>IF(A21&lt;&gt;"",SUMIFS(Transactions!$F$7:$F$996,Transactions!$D$7:$D$996,"Income",Transactions!$E$7:$E$996,A21),"")</f>
        <v>0</v>
      </c>
      <c r="D21" s="70">
        <f>IF(A21&lt;&gt;"",SUMIFS(Transactions!$F$7:$F$996,Transactions!$D$7:$D$996,"Expense",Transactions!$E$7:$E$996,A21),"")</f>
        <v>0</v>
      </c>
      <c r="E21" s="68">
        <f t="shared" si="1"/>
        <v>68.74906593</v>
      </c>
      <c r="F21" s="68" t="str">
        <f t="shared" si="2"/>
        <v>Unsettled</v>
      </c>
      <c r="G21" s="71"/>
      <c r="H21" s="66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2" t="str">
        <f>IF(Roster!$A$20&lt;&gt;"",Roster!$A$20,"")</f>
        <v>Kit Asterin</v>
      </c>
      <c r="B22" s="72">
        <f t="array" ref="B22">IF(A22&lt;&gt;"",IFERROR(SUMPRODUCT((INDEX(Attendance!$B$7:$AZ$206,MATCH(A22,Attendance!$A$7:$A$206,0),0)=1)*Attendance!$B$4:$AZ$4),0),"")</f>
        <v>68.74906593</v>
      </c>
      <c r="C22" s="73">
        <f>IF(A22&lt;&gt;"",SUMIFS(Transactions!$F$7:$F$996,Transactions!$D$7:$D$996,"Income",Transactions!$E$7:$E$996,A22),"")</f>
        <v>0</v>
      </c>
      <c r="D22" s="73">
        <f>IF(A22&lt;&gt;"",SUMIFS(Transactions!$F$7:$F$996,Transactions!$D$7:$D$996,"Expense",Transactions!$E$7:$E$996,A22),"")</f>
        <v>0</v>
      </c>
      <c r="E22" s="74">
        <f t="shared" si="1"/>
        <v>68.74906593</v>
      </c>
      <c r="F22" s="74" t="str">
        <f t="shared" si="2"/>
        <v>Unsettled</v>
      </c>
      <c r="G22" s="71"/>
      <c r="H22" s="66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106.8223993</v>
      </c>
      <c r="C23" s="70">
        <f>IF(A23&lt;&gt;"",SUMIFS(Transactions!$F$7:$F$996,Transactions!$D$7:$D$996,"Income",Transactions!$E$7:$E$996,A23),"")</f>
        <v>0</v>
      </c>
      <c r="D23" s="70">
        <f>IF(A23&lt;&gt;"",SUMIFS(Transactions!$F$7:$F$996,Transactions!$D$7:$D$996,"Expense",Transactions!$E$7:$E$996,A23),"")</f>
        <v>0</v>
      </c>
      <c r="E23" s="68">
        <f t="shared" si="1"/>
        <v>106.8223993</v>
      </c>
      <c r="F23" s="68" t="str">
        <f t="shared" si="2"/>
        <v>Unsettled</v>
      </c>
      <c r="G23" s="71"/>
      <c r="H23" s="66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2" t="str">
        <f>IF(Roster!$A$22&lt;&gt;"",Roster!$A$22,"")</f>
        <v>Lexie Thomas</v>
      </c>
      <c r="B24" s="72">
        <f t="array" ref="B24">IF(A24&lt;&gt;"",IFERROR(SUMPRODUCT((INDEX(Attendance!$B$7:$AZ$206,MATCH(A24,Attendance!$A$7:$A$206,0),0)=1)*Attendance!$B$4:$AZ$4),0),"")</f>
        <v>68.74906593</v>
      </c>
      <c r="C24" s="73">
        <f>IF(A24&lt;&gt;"",SUMIFS(Transactions!$F$7:$F$996,Transactions!$D$7:$D$996,"Income",Transactions!$E$7:$E$996,A24),"")</f>
        <v>0</v>
      </c>
      <c r="D24" s="73">
        <f>IF(A24&lt;&gt;"",SUMIFS(Transactions!$F$7:$F$996,Transactions!$D$7:$D$996,"Expense",Transactions!$E$7:$E$996,A24),"")</f>
        <v>0</v>
      </c>
      <c r="E24" s="74">
        <f t="shared" si="1"/>
        <v>68.74906593</v>
      </c>
      <c r="F24" s="74" t="str">
        <f t="shared" si="2"/>
        <v>Unsettled</v>
      </c>
      <c r="G24" s="71"/>
      <c r="H24" s="66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28.75</v>
      </c>
      <c r="C25" s="70">
        <f>IF(A25&lt;&gt;"",SUMIFS(Transactions!$F$7:$F$996,Transactions!$D$7:$D$996,"Income",Transactions!$E$7:$E$996,A25),"")</f>
        <v>0</v>
      </c>
      <c r="D25" s="70">
        <f>IF(A25&lt;&gt;"",SUMIFS(Transactions!$F$7:$F$996,Transactions!$D$7:$D$996,"Expense",Transactions!$E$7:$E$996,A25),"")</f>
        <v>0</v>
      </c>
      <c r="E25" s="68">
        <f t="shared" si="1"/>
        <v>28.75</v>
      </c>
      <c r="F25" s="68" t="str">
        <f t="shared" si="2"/>
        <v>Unsettled</v>
      </c>
      <c r="G25" s="71"/>
      <c r="H25" s="66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2" t="str">
        <f>IF(Roster!$A$24&lt;&gt;"",Roster!$A$24,"")</f>
        <v>Max Sheppard</v>
      </c>
      <c r="B26" s="72">
        <f t="array" ref="B26">IF(A26&lt;&gt;"",IFERROR(SUMPRODUCT((INDEX(Attendance!$B$7:$AZ$206,MATCH(A26,Attendance!$A$7:$A$206,0),0)=1)*Attendance!$B$4:$AZ$4),0),"")</f>
        <v>68.74906593</v>
      </c>
      <c r="C26" s="73">
        <f>IF(A26&lt;&gt;"",SUMIFS(Transactions!$F$7:$F$996,Transactions!$D$7:$D$996,"Income",Transactions!$E$7:$E$996,A26),"")</f>
        <v>0</v>
      </c>
      <c r="D26" s="73">
        <f>IF(A26&lt;&gt;"",SUMIFS(Transactions!$F$7:$F$996,Transactions!$D$7:$D$996,"Expense",Transactions!$E$7:$E$996,A26),"")</f>
        <v>0</v>
      </c>
      <c r="E26" s="74">
        <f t="shared" si="1"/>
        <v>68.74906593</v>
      </c>
      <c r="F26" s="74" t="str">
        <f t="shared" si="2"/>
        <v>Unsettled</v>
      </c>
      <c r="G26" s="71"/>
      <c r="H26" s="66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68.74906593</v>
      </c>
      <c r="C27" s="70">
        <f>IF(A27&lt;&gt;"",SUMIFS(Transactions!$F$7:$F$996,Transactions!$D$7:$D$996,"Income",Transactions!$E$7:$E$996,A27),"")</f>
        <v>0</v>
      </c>
      <c r="D27" s="70">
        <f>IF(A27&lt;&gt;"",SUMIFS(Transactions!$F$7:$F$996,Transactions!$D$7:$D$996,"Expense",Transactions!$E$7:$E$996,A27),"")</f>
        <v>0</v>
      </c>
      <c r="E27" s="68">
        <f t="shared" si="1"/>
        <v>68.74906593</v>
      </c>
      <c r="F27" s="68" t="str">
        <f t="shared" si="2"/>
        <v>Unsettled</v>
      </c>
      <c r="G27" s="71"/>
      <c r="H27" s="66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2" t="str">
        <f>IF(Roster!$A$26&lt;&gt;"",Roster!$A$26,"")</f>
        <v>Patrick McMullen</v>
      </c>
      <c r="B28" s="72">
        <f t="array" ref="B28">IF(A28&lt;&gt;"",IFERROR(SUMPRODUCT((INDEX(Attendance!$B$7:$AZ$206,MATCH(A28,Attendance!$A$7:$A$206,0),0)=1)*Attendance!$B$4:$AZ$4),0),"")</f>
        <v>68.74906593</v>
      </c>
      <c r="C28" s="73">
        <f>IF(A28&lt;&gt;"",SUMIFS(Transactions!$F$7:$F$996,Transactions!$D$7:$D$996,"Income",Transactions!$E$7:$E$996,A28),"")</f>
        <v>0</v>
      </c>
      <c r="D28" s="73">
        <f>IF(A28&lt;&gt;"",SUMIFS(Transactions!$F$7:$F$996,Transactions!$D$7:$D$996,"Expense",Transactions!$E$7:$E$996,A28),"")</f>
        <v>0</v>
      </c>
      <c r="E28" s="74">
        <f t="shared" si="1"/>
        <v>68.74906593</v>
      </c>
      <c r="F28" s="74" t="str">
        <f t="shared" si="2"/>
        <v>Unsettled</v>
      </c>
      <c r="G28" s="71"/>
      <c r="H28" s="66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68.74906593</v>
      </c>
      <c r="C29" s="70">
        <f>IF(A29&lt;&gt;"",SUMIFS(Transactions!$F$7:$F$996,Transactions!$D$7:$D$996,"Income",Transactions!$E$7:$E$996,A29),"")</f>
        <v>0</v>
      </c>
      <c r="D29" s="70">
        <f>IF(A29&lt;&gt;"",SUMIFS(Transactions!$F$7:$F$996,Transactions!$D$7:$D$996,"Expense",Transactions!$E$7:$E$996,A29),"")</f>
        <v>0</v>
      </c>
      <c r="E29" s="68">
        <f t="shared" si="1"/>
        <v>68.74906593</v>
      </c>
      <c r="F29" s="68" t="str">
        <f t="shared" si="2"/>
        <v>Unsettled</v>
      </c>
      <c r="G29" s="71"/>
      <c r="H29" s="66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2" t="str">
        <f>IF(Roster!$A$28&lt;&gt;"",Roster!$A$28,"")</f>
        <v>Ryan Kindell</v>
      </c>
      <c r="B30" s="72">
        <f t="array" ref="B30">IF(A30&lt;&gt;"",IFERROR(SUMPRODUCT((INDEX(Attendance!$B$7:$AZ$206,MATCH(A30,Attendance!$A$7:$A$206,0),0)=1)*Attendance!$B$4:$AZ$4),0),"")</f>
        <v>68.74906593</v>
      </c>
      <c r="C30" s="73">
        <f>IF(A30&lt;&gt;"",SUMIFS(Transactions!$F$7:$F$996,Transactions!$D$7:$D$996,"Income",Transactions!$E$7:$E$996,A30),"")</f>
        <v>0</v>
      </c>
      <c r="D30" s="73">
        <f>IF(A30&lt;&gt;"",SUMIFS(Transactions!$F$7:$F$996,Transactions!$D$7:$D$996,"Expense",Transactions!$E$7:$E$996,A30),"")</f>
        <v>0</v>
      </c>
      <c r="E30" s="74">
        <f t="shared" si="1"/>
        <v>68.74906593</v>
      </c>
      <c r="F30" s="74" t="str">
        <f t="shared" si="2"/>
        <v>Unsettled</v>
      </c>
      <c r="G30" s="71"/>
      <c r="H30" s="66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68.74906593</v>
      </c>
      <c r="C31" s="70">
        <f>IF(A31&lt;&gt;"",SUMIFS(Transactions!$F$7:$F$996,Transactions!$D$7:$D$996,"Income",Transactions!$E$7:$E$996,A31),"")</f>
        <v>0</v>
      </c>
      <c r="D31" s="70">
        <f>IF(A31&lt;&gt;"",SUMIFS(Transactions!$F$7:$F$996,Transactions!$D$7:$D$996,"Expense",Transactions!$E$7:$E$996,A31),"")</f>
        <v>0</v>
      </c>
      <c r="E31" s="68">
        <f t="shared" si="1"/>
        <v>68.74906593</v>
      </c>
      <c r="F31" s="68" t="str">
        <f t="shared" si="2"/>
        <v>Unsettled</v>
      </c>
      <c r="G31" s="71"/>
      <c r="H31" s="66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2" t="str">
        <f>IF(Roster!$A$30&lt;&gt;"",Roster!$A$30,"")</f>
        <v>Sam Gombiner</v>
      </c>
      <c r="B32" s="72">
        <f t="array" ref="B32">IF(A32&lt;&gt;"",IFERROR(SUMPRODUCT((INDEX(Attendance!$B$7:$AZ$206,MATCH(A32,Attendance!$A$7:$A$206,0),0)=1)*Attendance!$B$4:$AZ$4),0),"")</f>
        <v>28.75</v>
      </c>
      <c r="C32" s="73">
        <f>IF(A32&lt;&gt;"",SUMIFS(Transactions!$F$7:$F$996,Transactions!$D$7:$D$996,"Income",Transactions!$E$7:$E$996,A32),"")</f>
        <v>0</v>
      </c>
      <c r="D32" s="73">
        <f>IF(A32&lt;&gt;"",SUMIFS(Transactions!$F$7:$F$996,Transactions!$D$7:$D$996,"Expense",Transactions!$E$7:$E$996,A32),"")</f>
        <v>0</v>
      </c>
      <c r="E32" s="74">
        <f t="shared" si="1"/>
        <v>28.75</v>
      </c>
      <c r="F32" s="74" t="str">
        <f t="shared" si="2"/>
        <v>Unsettled</v>
      </c>
      <c r="G32" s="71"/>
      <c r="H32" s="66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68.74906593</v>
      </c>
      <c r="C33" s="70">
        <f>IF(A33&lt;&gt;"",SUMIFS(Transactions!$F$7:$F$996,Transactions!$D$7:$D$996,"Income",Transactions!$E$7:$E$996,A33),"")</f>
        <v>0</v>
      </c>
      <c r="D33" s="70">
        <f>IF(A33&lt;&gt;"",SUMIFS(Transactions!$F$7:$F$996,Transactions!$D$7:$D$996,"Expense",Transactions!$E$7:$E$996,A33),"")</f>
        <v>0</v>
      </c>
      <c r="E33" s="68">
        <f t="shared" si="1"/>
        <v>68.74906593</v>
      </c>
      <c r="F33" s="68" t="str">
        <f t="shared" si="2"/>
        <v>Unsettled</v>
      </c>
      <c r="G33" s="71"/>
      <c r="H33" s="66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2" t="str">
        <f>IF(Roster!$A$32&lt;&gt;"",Roster!$A$32,"")</f>
        <v>Sarah Lynch</v>
      </c>
      <c r="B34" s="72">
        <f t="array" ref="B34">IF(A34&lt;&gt;"",IFERROR(SUMPRODUCT((INDEX(Attendance!$B$7:$AZ$206,MATCH(A34,Attendance!$A$7:$A$206,0),0)=1)*Attendance!$B$4:$AZ$4),0),"")</f>
        <v>28.75</v>
      </c>
      <c r="C34" s="73">
        <f>IF(A34&lt;&gt;"",SUMIFS(Transactions!$F$7:$F$996,Transactions!$D$7:$D$996,"Income",Transactions!$E$7:$E$996,A34),"")</f>
        <v>0</v>
      </c>
      <c r="D34" s="73">
        <f>IF(A34&lt;&gt;"",SUMIFS(Transactions!$F$7:$F$996,Transactions!$D$7:$D$996,"Expense",Transactions!$E$7:$E$996,A34),"")</f>
        <v>0</v>
      </c>
      <c r="E34" s="74">
        <f t="shared" si="1"/>
        <v>28.75</v>
      </c>
      <c r="F34" s="74" t="str">
        <f t="shared" si="2"/>
        <v>Unsettled</v>
      </c>
      <c r="G34" s="71"/>
      <c r="H34" s="66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106.8223993</v>
      </c>
      <c r="C35" s="70">
        <f>IF(A35&lt;&gt;"",SUMIFS(Transactions!$F$7:$F$996,Transactions!$D$7:$D$996,"Income",Transactions!$E$7:$E$996,A35),"")</f>
        <v>0</v>
      </c>
      <c r="D35" s="70">
        <f>IF(A35&lt;&gt;"",SUMIFS(Transactions!$F$7:$F$996,Transactions!$D$7:$D$996,"Expense",Transactions!$E$7:$E$996,A35),"")</f>
        <v>0</v>
      </c>
      <c r="E35" s="68">
        <f t="shared" si="1"/>
        <v>106.8223993</v>
      </c>
      <c r="F35" s="68" t="str">
        <f t="shared" si="2"/>
        <v>Unsettled</v>
      </c>
      <c r="G35" s="71"/>
      <c r="H35" s="66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2" t="str">
        <f>IF(Roster!$A$34&lt;&gt;"",Roster!$A$34,"")</f>
        <v>Vivian Shen</v>
      </c>
      <c r="B36" s="72">
        <f t="array" ref="B36">IF(A36&lt;&gt;"",IFERROR(SUMPRODUCT((INDEX(Attendance!$B$7:$AZ$206,MATCH(A36,Attendance!$A$7:$A$206,0),0)=1)*Attendance!$B$4:$AZ$4),0),"")</f>
        <v>106.8223993</v>
      </c>
      <c r="C36" s="73">
        <f>IF(A36&lt;&gt;"",SUMIFS(Transactions!$F$7:$F$996,Transactions!$D$7:$D$996,"Income",Transactions!$E$7:$E$996,A36),"")</f>
        <v>0</v>
      </c>
      <c r="D36" s="73">
        <f>IF(A36&lt;&gt;"",SUMIFS(Transactions!$F$7:$F$996,Transactions!$D$7:$D$996,"Expense",Transactions!$E$7:$E$996,A36),"")</f>
        <v>0</v>
      </c>
      <c r="E36" s="74">
        <f t="shared" si="1"/>
        <v>106.8223993</v>
      </c>
      <c r="F36" s="74" t="str">
        <f t="shared" si="2"/>
        <v>Unsettled</v>
      </c>
      <c r="G36" s="71"/>
      <c r="H36" s="66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28.75</v>
      </c>
      <c r="C37" s="70">
        <f>IF(A37&lt;&gt;"",SUMIFS(Transactions!$F$7:$F$996,Transactions!$D$7:$D$996,"Income",Transactions!$E$7:$E$996,A37),"")</f>
        <v>0</v>
      </c>
      <c r="D37" s="70">
        <f>IF(A37&lt;&gt;"",SUMIFS(Transactions!$F$7:$F$996,Transactions!$D$7:$D$996,"Expense",Transactions!$E$7:$E$996,A37),"")</f>
        <v>0</v>
      </c>
      <c r="E37" s="68">
        <f t="shared" si="1"/>
        <v>28.75</v>
      </c>
      <c r="F37" s="68" t="str">
        <f t="shared" si="2"/>
        <v>Unsettled</v>
      </c>
      <c r="G37" s="71"/>
      <c r="H37" s="66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2" t="str">
        <f>IF(Roster!$A$36&lt;&gt;"",Roster!$A$36,"")</f>
        <v>Annette Kukunas-Piper</v>
      </c>
      <c r="B38" s="72">
        <f t="array" ref="B38">IF(A38&lt;&gt;"",IFERROR(SUMPRODUCT((INDEX(Attendance!$B$7:$AZ$206,MATCH(A38,Attendance!$A$7:$A$206,0),0)=1)*Attendance!$B$4:$AZ$4),0),"")</f>
        <v>61.60714286</v>
      </c>
      <c r="C38" s="73">
        <f>IF(A38&lt;&gt;"",SUMIFS(Transactions!$F$7:$F$996,Transactions!$D$7:$D$996,"Income",Transactions!$E$7:$E$996,A38),"")</f>
        <v>0</v>
      </c>
      <c r="D38" s="73">
        <f>IF(A38&lt;&gt;"",SUMIFS(Transactions!$F$7:$F$996,Transactions!$D$7:$D$996,"Expense",Transactions!$E$7:$E$996,A38),"")</f>
        <v>0</v>
      </c>
      <c r="E38" s="74">
        <f t="shared" si="1"/>
        <v>61.60714286</v>
      </c>
      <c r="F38" s="74" t="str">
        <f t="shared" si="2"/>
        <v>Unsettled</v>
      </c>
      <c r="G38" s="71"/>
      <c r="H38" s="66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61.60714286</v>
      </c>
      <c r="C39" s="70">
        <f>IF(A39&lt;&gt;"",SUMIFS(Transactions!$F$7:$F$996,Transactions!$D$7:$D$996,"Income",Transactions!$E$7:$E$996,A39),"")</f>
        <v>0</v>
      </c>
      <c r="D39" s="70">
        <f>IF(A39&lt;&gt;"",SUMIFS(Transactions!$F$7:$F$996,Transactions!$D$7:$D$996,"Expense",Transactions!$E$7:$E$996,A39),"")</f>
        <v>0</v>
      </c>
      <c r="E39" s="68">
        <f t="shared" si="1"/>
        <v>61.60714286</v>
      </c>
      <c r="F39" s="68" t="str">
        <f t="shared" si="2"/>
        <v>Unsettled</v>
      </c>
      <c r="G39" s="71"/>
      <c r="H39" s="66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2" t="str">
        <f>IF(Roster!$A$38&lt;&gt;"",Roster!$A$38,"")</f>
        <v>Ryan Birchard</v>
      </c>
      <c r="B40" s="72">
        <f t="array" ref="B40">IF(A40&lt;&gt;"",IFERROR(SUMPRODUCT((INDEX(Attendance!$B$7:$AZ$206,MATCH(A40,Attendance!$A$7:$A$206,0),0)=1)*Attendance!$B$4:$AZ$4),0),"")</f>
        <v>61.60714286</v>
      </c>
      <c r="C40" s="73">
        <f>IF(A40&lt;&gt;"",SUMIFS(Transactions!$F$7:$F$996,Transactions!$D$7:$D$996,"Income",Transactions!$E$7:$E$996,A40),"")</f>
        <v>0</v>
      </c>
      <c r="D40" s="73">
        <f>IF(A40&lt;&gt;"",SUMIFS(Transactions!$F$7:$F$996,Transactions!$D$7:$D$996,"Expense",Transactions!$E$7:$E$996,A40),"")</f>
        <v>0</v>
      </c>
      <c r="E40" s="74">
        <f t="shared" si="1"/>
        <v>61.60714286</v>
      </c>
      <c r="F40" s="74" t="str">
        <f t="shared" si="2"/>
        <v>Unsettled</v>
      </c>
      <c r="G40" s="71"/>
      <c r="H40" s="66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0">
        <f>IF(A41&lt;&gt;"",SUMIFS(Transactions!$F$7:$F$996,Transactions!$D$7:$D$996,"Income",Transactions!$E$7:$E$996,A41),"")</f>
        <v>0</v>
      </c>
      <c r="D41" s="70">
        <f>IF(A41&lt;&gt;"",SUMIFS(Transactions!$F$7:$F$996,Transactions!$D$7:$D$996,"Expense",Transactions!$E$7:$E$996,A41),"")</f>
        <v>0</v>
      </c>
      <c r="E41" s="68">
        <f t="shared" si="1"/>
        <v>0</v>
      </c>
      <c r="F41" s="68" t="str">
        <f t="shared" si="2"/>
        <v>Settled</v>
      </c>
      <c r="G41" s="71"/>
      <c r="H41" s="66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2" t="str">
        <f>IF(Roster!$A$40&lt;&gt;"",Roster!$A$40,"")</f>
        <v>Lily Nguyen</v>
      </c>
      <c r="B42" s="72">
        <f t="array" ref="B42">IF(A42&lt;&gt;"",IFERROR(SUMPRODUCT((INDEX(Attendance!$B$7:$AZ$206,MATCH(A42,Attendance!$A$7:$A$206,0),0)=1)*Attendance!$B$4:$AZ$4),0),"")</f>
        <v>0</v>
      </c>
      <c r="C42" s="73">
        <f>IF(A42&lt;&gt;"",SUMIFS(Transactions!$F$7:$F$996,Transactions!$D$7:$D$996,"Income",Transactions!$E$7:$E$996,A42),"")</f>
        <v>0</v>
      </c>
      <c r="D42" s="73">
        <f>IF(A42&lt;&gt;"",SUMIFS(Transactions!$F$7:$F$996,Transactions!$D$7:$D$996,"Expense",Transactions!$E$7:$E$996,A42),"")</f>
        <v>0</v>
      </c>
      <c r="E42" s="74">
        <f t="shared" si="1"/>
        <v>0</v>
      </c>
      <c r="F42" s="74" t="str">
        <f t="shared" si="2"/>
        <v>Settled</v>
      </c>
      <c r="G42" s="71"/>
      <c r="H42" s="66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0" t="str">
        <f>IF(A43&lt;&gt;"",SUMIFS(Transactions!$F$7:$F$996,Transactions!$D$7:$D$996,"Income",Transactions!$E$7:$E$996,A43),"")</f>
        <v/>
      </c>
      <c r="D43" s="70" t="str">
        <f>IF(A43&lt;&gt;"",SUMIFS(Transactions!$F$7:$F$996,Transactions!$D$7:$D$996,"Expense",Transactions!$E$7:$E$996,A43),"")</f>
        <v/>
      </c>
      <c r="E43" s="68" t="str">
        <f t="shared" si="1"/>
        <v/>
      </c>
      <c r="F43" s="68" t="str">
        <f t="shared" si="2"/>
        <v/>
      </c>
      <c r="G43" s="71"/>
      <c r="H43" s="66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2" t="str">
        <f>IF(Roster!$A$42&lt;&gt;"",Roster!$A$42,"")</f>
        <v/>
      </c>
      <c r="B44" s="72" t="str">
        <f t="array" ref="B44">IF(A44&lt;&gt;"",IFERROR(SUMPRODUCT((INDEX(Attendance!$B$7:$AZ$206,MATCH(A44,Attendance!$A$7:$A$206,0),0)=1)*Attendance!$B$4:$AZ$4),0),"")</f>
        <v/>
      </c>
      <c r="C44" s="73" t="str">
        <f>IF(A44&lt;&gt;"",SUMIFS(Transactions!$F$7:$F$996,Transactions!$D$7:$D$996,"Income",Transactions!$E$7:$E$996,A44),"")</f>
        <v/>
      </c>
      <c r="D44" s="73" t="str">
        <f>IF(A44&lt;&gt;"",SUMIFS(Transactions!$F$7:$F$996,Transactions!$D$7:$D$996,"Expense",Transactions!$E$7:$E$996,A44),"")</f>
        <v/>
      </c>
      <c r="E44" s="74" t="str">
        <f t="shared" si="1"/>
        <v/>
      </c>
      <c r="F44" s="74" t="str">
        <f t="shared" si="2"/>
        <v/>
      </c>
      <c r="G44" s="71"/>
      <c r="H44" s="66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0" t="str">
        <f>IF(A45&lt;&gt;"",SUMIFS(Transactions!$F$7:$F$996,Transactions!$D$7:$D$996,"Income",Transactions!$E$7:$E$996,A45),"")</f>
        <v/>
      </c>
      <c r="D45" s="70" t="str">
        <f>IF(A45&lt;&gt;"",SUMIFS(Transactions!$F$7:$F$996,Transactions!$D$7:$D$996,"Expense",Transactions!$E$7:$E$996,A45),"")</f>
        <v/>
      </c>
      <c r="E45" s="68" t="str">
        <f t="shared" si="1"/>
        <v/>
      </c>
      <c r="F45" s="68" t="str">
        <f t="shared" si="2"/>
        <v/>
      </c>
      <c r="G45" s="71"/>
      <c r="H45" s="66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2" t="str">
        <f>IF(Roster!$A$44&lt;&gt;"",Roster!$A$44,"")</f>
        <v/>
      </c>
      <c r="B46" s="72" t="str">
        <f t="array" ref="B46">IF(A46&lt;&gt;"",IFERROR(SUMPRODUCT((INDEX(Attendance!$B$7:$AZ$206,MATCH(A46,Attendance!$A$7:$A$206,0),0)=1)*Attendance!$B$4:$AZ$4),0),"")</f>
        <v/>
      </c>
      <c r="C46" s="73" t="str">
        <f>IF(A46&lt;&gt;"",SUMIFS(Transactions!$F$7:$F$996,Transactions!$D$7:$D$996,"Income",Transactions!$E$7:$E$996,A46),"")</f>
        <v/>
      </c>
      <c r="D46" s="73" t="str">
        <f>IF(A46&lt;&gt;"",SUMIFS(Transactions!$F$7:$F$996,Transactions!$D$7:$D$996,"Expense",Transactions!$E$7:$E$996,A46),"")</f>
        <v/>
      </c>
      <c r="E46" s="74" t="str">
        <f t="shared" si="1"/>
        <v/>
      </c>
      <c r="F46" s="74" t="str">
        <f t="shared" si="2"/>
        <v/>
      </c>
      <c r="G46" s="71"/>
      <c r="H46" s="66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0" t="str">
        <f>IF(A47&lt;&gt;"",SUMIFS(Transactions!$F$7:$F$996,Transactions!$D$7:$D$996,"Income",Transactions!$E$7:$E$996,A47),"")</f>
        <v/>
      </c>
      <c r="D47" s="70" t="str">
        <f>IF(A47&lt;&gt;"",SUMIFS(Transactions!$F$7:$F$996,Transactions!$D$7:$D$996,"Expense",Transactions!$E$7:$E$996,A47),"")</f>
        <v/>
      </c>
      <c r="E47" s="68" t="str">
        <f t="shared" si="1"/>
        <v/>
      </c>
      <c r="F47" s="68" t="str">
        <f t="shared" si="2"/>
        <v/>
      </c>
      <c r="G47" s="71"/>
      <c r="H47" s="66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2" t="str">
        <f>IF(Roster!$A$46&lt;&gt;"",Roster!$A$46,"")</f>
        <v/>
      </c>
      <c r="B48" s="72" t="str">
        <f t="array" ref="B48">IF(A48&lt;&gt;"",IFERROR(SUMPRODUCT((INDEX(Attendance!$B$7:$AZ$206,MATCH(A48,Attendance!$A$7:$A$206,0),0)=1)*Attendance!$B$4:$AZ$4),0),"")</f>
        <v/>
      </c>
      <c r="C48" s="73" t="str">
        <f>IF(A48&lt;&gt;"",SUMIFS(Transactions!$F$7:$F$996,Transactions!$D$7:$D$996,"Income",Transactions!$E$7:$E$996,A48),"")</f>
        <v/>
      </c>
      <c r="D48" s="73" t="str">
        <f>IF(A48&lt;&gt;"",SUMIFS(Transactions!$F$7:$F$996,Transactions!$D$7:$D$996,"Expense",Transactions!$E$7:$E$996,A48),"")</f>
        <v/>
      </c>
      <c r="E48" s="74" t="str">
        <f t="shared" si="1"/>
        <v/>
      </c>
      <c r="F48" s="74" t="str">
        <f t="shared" si="2"/>
        <v/>
      </c>
      <c r="G48" s="71"/>
      <c r="H48" s="66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0" t="str">
        <f>IF(A49&lt;&gt;"",SUMIFS(Transactions!$F$7:$F$996,Transactions!$D$7:$D$996,"Income",Transactions!$E$7:$E$996,A49),"")</f>
        <v/>
      </c>
      <c r="D49" s="70" t="str">
        <f>IF(A49&lt;&gt;"",SUMIFS(Transactions!$F$7:$F$996,Transactions!$D$7:$D$996,"Expense",Transactions!$E$7:$E$996,A49),"")</f>
        <v/>
      </c>
      <c r="E49" s="68" t="str">
        <f t="shared" si="1"/>
        <v/>
      </c>
      <c r="F49" s="68" t="str">
        <f t="shared" si="2"/>
        <v/>
      </c>
      <c r="G49" s="71"/>
      <c r="H49" s="66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2" t="str">
        <f>IF(Roster!$A$48&lt;&gt;"",Roster!$A$48,"")</f>
        <v/>
      </c>
      <c r="B50" s="72" t="str">
        <f t="array" ref="B50">IF(A50&lt;&gt;"",IFERROR(SUMPRODUCT((INDEX(Attendance!$B$7:$AZ$206,MATCH(A50,Attendance!$A$7:$A$206,0),0)=1)*Attendance!$B$4:$AZ$4),0),"")</f>
        <v/>
      </c>
      <c r="C50" s="73" t="str">
        <f>IF(A50&lt;&gt;"",SUMIFS(Transactions!$F$7:$F$996,Transactions!$D$7:$D$996,"Income",Transactions!$E$7:$E$996,A50),"")</f>
        <v/>
      </c>
      <c r="D50" s="73" t="str">
        <f>IF(A50&lt;&gt;"",SUMIFS(Transactions!$F$7:$F$996,Transactions!$D$7:$D$996,"Expense",Transactions!$E$7:$E$996,A50),"")</f>
        <v/>
      </c>
      <c r="E50" s="74" t="str">
        <f t="shared" si="1"/>
        <v/>
      </c>
      <c r="F50" s="74" t="str">
        <f t="shared" si="2"/>
        <v/>
      </c>
      <c r="G50" s="71"/>
      <c r="H50" s="66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0" t="str">
        <f>IF(A51&lt;&gt;"",SUMIFS(Transactions!$F$7:$F$996,Transactions!$D$7:$D$996,"Income",Transactions!$E$7:$E$996,A51),"")</f>
        <v/>
      </c>
      <c r="D51" s="70" t="str">
        <f>IF(A51&lt;&gt;"",SUMIFS(Transactions!$F$7:$F$996,Transactions!$D$7:$D$996,"Expense",Transactions!$E$7:$E$996,A51),"")</f>
        <v/>
      </c>
      <c r="E51" s="68" t="str">
        <f t="shared" si="1"/>
        <v/>
      </c>
      <c r="F51" s="68" t="str">
        <f t="shared" si="2"/>
        <v/>
      </c>
      <c r="G51" s="71"/>
      <c r="H51" s="66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2" t="str">
        <f>IF(Roster!$A$50&lt;&gt;"",Roster!$A$50,"")</f>
        <v/>
      </c>
      <c r="B52" s="72" t="str">
        <f t="array" ref="B52">IF(A52&lt;&gt;"",IFERROR(SUMPRODUCT((INDEX(Attendance!$B$7:$AZ$206,MATCH(A52,Attendance!$A$7:$A$206,0),0)=1)*Attendance!$B$4:$AZ$4),0),"")</f>
        <v/>
      </c>
      <c r="C52" s="73" t="str">
        <f>IF(A52&lt;&gt;"",SUMIFS(Transactions!$F$7:$F$996,Transactions!$D$7:$D$996,"Income",Transactions!$E$7:$E$996,A52),"")</f>
        <v/>
      </c>
      <c r="D52" s="73" t="str">
        <f>IF(A52&lt;&gt;"",SUMIFS(Transactions!$F$7:$F$996,Transactions!$D$7:$D$996,"Expense",Transactions!$E$7:$E$996,A52),"")</f>
        <v/>
      </c>
      <c r="E52" s="74" t="str">
        <f t="shared" si="1"/>
        <v/>
      </c>
      <c r="F52" s="74" t="str">
        <f t="shared" si="2"/>
        <v/>
      </c>
      <c r="G52" s="71"/>
      <c r="H52" s="66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0" t="str">
        <f>IF(A53&lt;&gt;"",SUMIFS(Transactions!$F$7:$F$996,Transactions!$D$7:$D$996,"Income",Transactions!$E$7:$E$996,A53),"")</f>
        <v/>
      </c>
      <c r="D53" s="70" t="str">
        <f>IF(A53&lt;&gt;"",SUMIFS(Transactions!$F$7:$F$996,Transactions!$D$7:$D$996,"Expense",Transactions!$E$7:$E$996,A53),"")</f>
        <v/>
      </c>
      <c r="E53" s="68" t="str">
        <f t="shared" si="1"/>
        <v/>
      </c>
      <c r="F53" s="68" t="str">
        <f t="shared" si="2"/>
        <v/>
      </c>
      <c r="G53" s="71"/>
      <c r="H53" s="66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2" t="str">
        <f>IF(Roster!$A$52&lt;&gt;"",Roster!$A$52,"")</f>
        <v/>
      </c>
      <c r="B54" s="72" t="str">
        <f t="array" ref="B54">IF(A54&lt;&gt;"",IFERROR(SUMPRODUCT((INDEX(Attendance!$B$7:$AZ$206,MATCH(A54,Attendance!$A$7:$A$206,0),0)=1)*Attendance!$B$4:$AZ$4),0),"")</f>
        <v/>
      </c>
      <c r="C54" s="73" t="str">
        <f>IF(A54&lt;&gt;"",SUMIFS(Transactions!$F$7:$F$996,Transactions!$D$7:$D$996,"Income",Transactions!$E$7:$E$996,A54),"")</f>
        <v/>
      </c>
      <c r="D54" s="73" t="str">
        <f>IF(A54&lt;&gt;"",SUMIFS(Transactions!$F$7:$F$996,Transactions!$D$7:$D$996,"Expense",Transactions!$E$7:$E$996,A54),"")</f>
        <v/>
      </c>
      <c r="E54" s="74" t="str">
        <f t="shared" si="1"/>
        <v/>
      </c>
      <c r="F54" s="74" t="str">
        <f t="shared" si="2"/>
        <v/>
      </c>
      <c r="G54" s="71"/>
      <c r="H54" s="66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0" t="str">
        <f>IF(A55&lt;&gt;"",SUMIFS(Transactions!$F$7:$F$996,Transactions!$D$7:$D$996,"Income",Transactions!$E$7:$E$996,A55),"")</f>
        <v/>
      </c>
      <c r="D55" s="70" t="str">
        <f>IF(A55&lt;&gt;"",SUMIFS(Transactions!$F$7:$F$996,Transactions!$D$7:$D$996,"Expense",Transactions!$E$7:$E$996,A55),"")</f>
        <v/>
      </c>
      <c r="E55" s="68" t="str">
        <f t="shared" si="1"/>
        <v/>
      </c>
      <c r="F55" s="68" t="str">
        <f t="shared" si="2"/>
        <v/>
      </c>
      <c r="G55" s="71"/>
      <c r="H55" s="66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2" t="str">
        <f>IF(Roster!$A$54&lt;&gt;"",Roster!$A$54,"")</f>
        <v/>
      </c>
      <c r="B56" s="72" t="str">
        <f t="array" ref="B56">IF(A56&lt;&gt;"",IFERROR(SUMPRODUCT((INDEX(Attendance!$B$7:$AZ$206,MATCH(A56,Attendance!$A$7:$A$206,0),0)=1)*Attendance!$B$4:$AZ$4),0),"")</f>
        <v/>
      </c>
      <c r="C56" s="73" t="str">
        <f>IF(A56&lt;&gt;"",SUMIFS(Transactions!$F$7:$F$996,Transactions!$D$7:$D$996,"Income",Transactions!$E$7:$E$996,A56),"")</f>
        <v/>
      </c>
      <c r="D56" s="73" t="str">
        <f>IF(A56&lt;&gt;"",SUMIFS(Transactions!$F$7:$F$996,Transactions!$D$7:$D$996,"Expense",Transactions!$E$7:$E$996,A56),"")</f>
        <v/>
      </c>
      <c r="E56" s="74" t="str">
        <f t="shared" si="1"/>
        <v/>
      </c>
      <c r="F56" s="74" t="str">
        <f t="shared" si="2"/>
        <v/>
      </c>
      <c r="G56" s="71"/>
      <c r="H56" s="66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0" t="str">
        <f>IF(A57&lt;&gt;"",SUMIFS(Transactions!$F$7:$F$996,Transactions!$D$7:$D$996,"Income",Transactions!$E$7:$E$996,A57),"")</f>
        <v/>
      </c>
      <c r="D57" s="70" t="str">
        <f>IF(A57&lt;&gt;"",SUMIFS(Transactions!$F$7:$F$996,Transactions!$D$7:$D$996,"Expense",Transactions!$E$7:$E$996,A57),"")</f>
        <v/>
      </c>
      <c r="E57" s="68" t="str">
        <f t="shared" si="1"/>
        <v/>
      </c>
      <c r="F57" s="68" t="str">
        <f t="shared" si="2"/>
        <v/>
      </c>
      <c r="G57" s="71"/>
      <c r="H57" s="66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2" t="str">
        <f>IF(Roster!$A$56&lt;&gt;"",Roster!$A$56,"")</f>
        <v/>
      </c>
      <c r="B58" s="72" t="str">
        <f t="array" ref="B58">IF(A58&lt;&gt;"",IFERROR(SUMPRODUCT((INDEX(Attendance!$B$7:$AZ$206,MATCH(A58,Attendance!$A$7:$A$206,0),0)=1)*Attendance!$B$4:$AZ$4),0),"")</f>
        <v/>
      </c>
      <c r="C58" s="73" t="str">
        <f>IF(A58&lt;&gt;"",SUMIFS(Transactions!$F$7:$F$996,Transactions!$D$7:$D$996,"Income",Transactions!$E$7:$E$996,A58),"")</f>
        <v/>
      </c>
      <c r="D58" s="73" t="str">
        <f>IF(A58&lt;&gt;"",SUMIFS(Transactions!$F$7:$F$996,Transactions!$D$7:$D$996,"Expense",Transactions!$E$7:$E$996,A58),"")</f>
        <v/>
      </c>
      <c r="E58" s="74" t="str">
        <f t="shared" si="1"/>
        <v/>
      </c>
      <c r="F58" s="74" t="str">
        <f t="shared" si="2"/>
        <v/>
      </c>
      <c r="G58" s="71"/>
      <c r="H58" s="66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0" t="str">
        <f>IF(A59&lt;&gt;"",SUMIFS(Transactions!$F$7:$F$996,Transactions!$D$7:$D$996,"Income",Transactions!$E$7:$E$996,A59),"")</f>
        <v/>
      </c>
      <c r="D59" s="70" t="str">
        <f>IF(A59&lt;&gt;"",SUMIFS(Transactions!$F$7:$F$996,Transactions!$D$7:$D$996,"Expense",Transactions!$E$7:$E$996,A59),"")</f>
        <v/>
      </c>
      <c r="E59" s="68" t="str">
        <f t="shared" si="1"/>
        <v/>
      </c>
      <c r="F59" s="68" t="str">
        <f t="shared" si="2"/>
        <v/>
      </c>
      <c r="G59" s="71"/>
      <c r="H59" s="66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2" t="str">
        <f>IF(Roster!$A$58&lt;&gt;"",Roster!$A$58,"")</f>
        <v/>
      </c>
      <c r="B60" s="72" t="str">
        <f t="array" ref="B60">IF(A60&lt;&gt;"",IFERROR(SUMPRODUCT((INDEX(Attendance!$B$7:$AZ$206,MATCH(A60,Attendance!$A$7:$A$206,0),0)=1)*Attendance!$B$4:$AZ$4),0),"")</f>
        <v/>
      </c>
      <c r="C60" s="73" t="str">
        <f>IF(A60&lt;&gt;"",SUMIFS(Transactions!$F$7:$F$996,Transactions!$D$7:$D$996,"Income",Transactions!$E$7:$E$996,A60),"")</f>
        <v/>
      </c>
      <c r="D60" s="73" t="str">
        <f>IF(A60&lt;&gt;"",SUMIFS(Transactions!$F$7:$F$996,Transactions!$D$7:$D$996,"Expense",Transactions!$E$7:$E$996,A60),"")</f>
        <v/>
      </c>
      <c r="E60" s="74" t="str">
        <f t="shared" si="1"/>
        <v/>
      </c>
      <c r="F60" s="74" t="str">
        <f t="shared" si="2"/>
        <v/>
      </c>
      <c r="G60" s="71"/>
      <c r="H60" s="66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0" t="str">
        <f>IF(A61&lt;&gt;"",SUMIFS(Transactions!$F$7:$F$996,Transactions!$D$7:$D$996,"Income",Transactions!$E$7:$E$996,A61),"")</f>
        <v/>
      </c>
      <c r="D61" s="70" t="str">
        <f>IF(A61&lt;&gt;"",SUMIFS(Transactions!$F$7:$F$996,Transactions!$D$7:$D$996,"Expense",Transactions!$E$7:$E$996,A61),"")</f>
        <v/>
      </c>
      <c r="E61" s="68" t="str">
        <f t="shared" si="1"/>
        <v/>
      </c>
      <c r="F61" s="68" t="str">
        <f t="shared" si="2"/>
        <v/>
      </c>
      <c r="G61" s="71"/>
      <c r="H61" s="66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2" t="str">
        <f>IF(Roster!$A$60&lt;&gt;"",Roster!$A$60,"")</f>
        <v/>
      </c>
      <c r="B62" s="72" t="str">
        <f t="array" ref="B62">IF(A62&lt;&gt;"",IFERROR(SUMPRODUCT((INDEX(Attendance!$B$7:$AZ$206,MATCH(A62,Attendance!$A$7:$A$206,0),0)=1)*Attendance!$B$4:$AZ$4),0),"")</f>
        <v/>
      </c>
      <c r="C62" s="73" t="str">
        <f>IF(A62&lt;&gt;"",SUMIFS(Transactions!$F$7:$F$996,Transactions!$D$7:$D$996,"Income",Transactions!$E$7:$E$996,A62),"")</f>
        <v/>
      </c>
      <c r="D62" s="73" t="str">
        <f>IF(A62&lt;&gt;"",SUMIFS(Transactions!$F$7:$F$996,Transactions!$D$7:$D$996,"Expense",Transactions!$E$7:$E$996,A62),"")</f>
        <v/>
      </c>
      <c r="E62" s="74" t="str">
        <f t="shared" si="1"/>
        <v/>
      </c>
      <c r="F62" s="74" t="str">
        <f t="shared" si="2"/>
        <v/>
      </c>
      <c r="G62" s="71"/>
      <c r="H62" s="66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0" t="str">
        <f>IF(A63&lt;&gt;"",SUMIFS(Transactions!$F$7:$F$996,Transactions!$D$7:$D$996,"Income",Transactions!$E$7:$E$996,A63),"")</f>
        <v/>
      </c>
      <c r="D63" s="70" t="str">
        <f>IF(A63&lt;&gt;"",SUMIFS(Transactions!$F$7:$F$996,Transactions!$D$7:$D$996,"Expense",Transactions!$E$7:$E$996,A63),"")</f>
        <v/>
      </c>
      <c r="E63" s="68" t="str">
        <f t="shared" si="1"/>
        <v/>
      </c>
      <c r="F63" s="68" t="str">
        <f t="shared" si="2"/>
        <v/>
      </c>
      <c r="G63" s="71"/>
      <c r="H63" s="66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2" t="str">
        <f>IF(Roster!$A$62&lt;&gt;"",Roster!$A$62,"")</f>
        <v/>
      </c>
      <c r="B64" s="72" t="str">
        <f t="array" ref="B64">IF(A64&lt;&gt;"",IFERROR(SUMPRODUCT((INDEX(Attendance!$B$7:$AZ$206,MATCH(A64,Attendance!$A$7:$A$206,0),0)=1)*Attendance!$B$4:$AZ$4),0),"")</f>
        <v/>
      </c>
      <c r="C64" s="73" t="str">
        <f>IF(A64&lt;&gt;"",SUMIFS(Transactions!$F$7:$F$996,Transactions!$D$7:$D$996,"Income",Transactions!$E$7:$E$996,A64),"")</f>
        <v/>
      </c>
      <c r="D64" s="73" t="str">
        <f>IF(A64&lt;&gt;"",SUMIFS(Transactions!$F$7:$F$996,Transactions!$D$7:$D$996,"Expense",Transactions!$E$7:$E$996,A64),"")</f>
        <v/>
      </c>
      <c r="E64" s="74" t="str">
        <f t="shared" si="1"/>
        <v/>
      </c>
      <c r="F64" s="74" t="str">
        <f t="shared" si="2"/>
        <v/>
      </c>
      <c r="G64" s="71"/>
      <c r="H64" s="66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0" t="str">
        <f>IF(A65&lt;&gt;"",SUMIFS(Transactions!$F$7:$F$996,Transactions!$D$7:$D$996,"Income",Transactions!$E$7:$E$996,A65),"")</f>
        <v/>
      </c>
      <c r="D65" s="70" t="str">
        <f>IF(A65&lt;&gt;"",SUMIFS(Transactions!$F$7:$F$996,Transactions!$D$7:$D$996,"Expense",Transactions!$E$7:$E$996,A65),"")</f>
        <v/>
      </c>
      <c r="E65" s="68" t="str">
        <f t="shared" si="1"/>
        <v/>
      </c>
      <c r="F65" s="68" t="str">
        <f t="shared" si="2"/>
        <v/>
      </c>
      <c r="G65" s="71"/>
      <c r="H65" s="66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2" t="str">
        <f>IF(Roster!$A$64&lt;&gt;"",Roster!$A$64,"")</f>
        <v/>
      </c>
      <c r="B66" s="72" t="str">
        <f t="array" ref="B66">IF(A66&lt;&gt;"",IFERROR(SUMPRODUCT((INDEX(Attendance!$B$7:$AZ$206,MATCH(A66,Attendance!$A$7:$A$206,0),0)=1)*Attendance!$B$4:$AZ$4),0),"")</f>
        <v/>
      </c>
      <c r="C66" s="73" t="str">
        <f>IF(A66&lt;&gt;"",SUMIFS(Transactions!$F$7:$F$996,Transactions!$D$7:$D$996,"Income",Transactions!$E$7:$E$996,A66),"")</f>
        <v/>
      </c>
      <c r="D66" s="73" t="str">
        <f>IF(A66&lt;&gt;"",SUMIFS(Transactions!$F$7:$F$996,Transactions!$D$7:$D$996,"Expense",Transactions!$E$7:$E$996,A66),"")</f>
        <v/>
      </c>
      <c r="E66" s="74" t="str">
        <f t="shared" si="1"/>
        <v/>
      </c>
      <c r="F66" s="74" t="str">
        <f t="shared" si="2"/>
        <v/>
      </c>
      <c r="G66" s="71"/>
      <c r="H66" s="66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0" t="str">
        <f>IF(A67&lt;&gt;"",SUMIFS(Transactions!$F$7:$F$996,Transactions!$D$7:$D$996,"Income",Transactions!$E$7:$E$996,A67),"")</f>
        <v/>
      </c>
      <c r="D67" s="70" t="str">
        <f>IF(A67&lt;&gt;"",SUMIFS(Transactions!$F$7:$F$996,Transactions!$D$7:$D$996,"Expense",Transactions!$E$7:$E$996,A67),"")</f>
        <v/>
      </c>
      <c r="E67" s="68" t="str">
        <f t="shared" si="1"/>
        <v/>
      </c>
      <c r="F67" s="68" t="str">
        <f t="shared" si="2"/>
        <v/>
      </c>
      <c r="G67" s="71"/>
      <c r="H67" s="66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2" t="str">
        <f>IF(Roster!$A$66&lt;&gt;"",Roster!$A$66,"")</f>
        <v/>
      </c>
      <c r="B68" s="72" t="str">
        <f t="array" ref="B68">IF(A68&lt;&gt;"",IFERROR(SUMPRODUCT((INDEX(Attendance!$B$7:$AZ$206,MATCH(A68,Attendance!$A$7:$A$206,0),0)=1)*Attendance!$B$4:$AZ$4),0),"")</f>
        <v/>
      </c>
      <c r="C68" s="73" t="str">
        <f>IF(A68&lt;&gt;"",SUMIFS(Transactions!$F$7:$F$996,Transactions!$D$7:$D$996,"Income",Transactions!$E$7:$E$996,A68),"")</f>
        <v/>
      </c>
      <c r="D68" s="73" t="str">
        <f>IF(A68&lt;&gt;"",SUMIFS(Transactions!$F$7:$F$996,Transactions!$D$7:$D$996,"Expense",Transactions!$E$7:$E$996,A68),"")</f>
        <v/>
      </c>
      <c r="E68" s="74" t="str">
        <f t="shared" si="1"/>
        <v/>
      </c>
      <c r="F68" s="74" t="str">
        <f t="shared" si="2"/>
        <v/>
      </c>
      <c r="G68" s="71"/>
      <c r="H68" s="66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0" t="str">
        <f>IF(A69&lt;&gt;"",SUMIFS(Transactions!$F$7:$F$996,Transactions!$D$7:$D$996,"Income",Transactions!$E$7:$E$996,A69),"")</f>
        <v/>
      </c>
      <c r="D69" s="70" t="str">
        <f>IF(A69&lt;&gt;"",SUMIFS(Transactions!$F$7:$F$996,Transactions!$D$7:$D$996,"Expense",Transactions!$E$7:$E$996,A69),"")</f>
        <v/>
      </c>
      <c r="E69" s="68" t="str">
        <f t="shared" si="1"/>
        <v/>
      </c>
      <c r="F69" s="68" t="str">
        <f t="shared" si="2"/>
        <v/>
      </c>
      <c r="G69" s="71"/>
      <c r="H69" s="66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2" t="str">
        <f>IF(Roster!$A$68&lt;&gt;"",Roster!$A$68,"")</f>
        <v/>
      </c>
      <c r="B70" s="72" t="str">
        <f t="array" ref="B70">IF(A70&lt;&gt;"",IFERROR(SUMPRODUCT((INDEX(Attendance!$B$7:$AZ$206,MATCH(A70,Attendance!$A$7:$A$206,0),0)=1)*Attendance!$B$4:$AZ$4),0),"")</f>
        <v/>
      </c>
      <c r="C70" s="73" t="str">
        <f>IF(A70&lt;&gt;"",SUMIFS(Transactions!$F$7:$F$996,Transactions!$D$7:$D$996,"Income",Transactions!$E$7:$E$996,A70),"")</f>
        <v/>
      </c>
      <c r="D70" s="73" t="str">
        <f>IF(A70&lt;&gt;"",SUMIFS(Transactions!$F$7:$F$996,Transactions!$D$7:$D$996,"Expense",Transactions!$E$7:$E$996,A70),"")</f>
        <v/>
      </c>
      <c r="E70" s="74" t="str">
        <f t="shared" si="1"/>
        <v/>
      </c>
      <c r="F70" s="74" t="str">
        <f t="shared" si="2"/>
        <v/>
      </c>
      <c r="G70" s="71"/>
      <c r="H70" s="66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0" t="str">
        <f>IF(A71&lt;&gt;"",SUMIFS(Transactions!$F$7:$F$996,Transactions!$D$7:$D$996,"Income",Transactions!$E$7:$E$996,A71),"")</f>
        <v/>
      </c>
      <c r="D71" s="70" t="str">
        <f>IF(A71&lt;&gt;"",SUMIFS(Transactions!$F$7:$F$996,Transactions!$D$7:$D$996,"Expense",Transactions!$E$7:$E$996,A71),"")</f>
        <v/>
      </c>
      <c r="E71" s="68" t="str">
        <f t="shared" si="1"/>
        <v/>
      </c>
      <c r="F71" s="68" t="str">
        <f t="shared" si="2"/>
        <v/>
      </c>
      <c r="G71" s="71"/>
      <c r="H71" s="66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2" t="str">
        <f>IF(Roster!$A$70&lt;&gt;"",Roster!$A$70,"")</f>
        <v/>
      </c>
      <c r="B72" s="72" t="str">
        <f t="array" ref="B72">IF(A72&lt;&gt;"",IFERROR(SUMPRODUCT((INDEX(Attendance!$B$7:$AZ$206,MATCH(A72,Attendance!$A$7:$A$206,0),0)=1)*Attendance!$B$4:$AZ$4),0),"")</f>
        <v/>
      </c>
      <c r="C72" s="73" t="str">
        <f>IF(A72&lt;&gt;"",SUMIFS(Transactions!$F$7:$F$996,Transactions!$D$7:$D$996,"Income",Transactions!$E$7:$E$996,A72),"")</f>
        <v/>
      </c>
      <c r="D72" s="73" t="str">
        <f>IF(A72&lt;&gt;"",SUMIFS(Transactions!$F$7:$F$996,Transactions!$D$7:$D$996,"Expense",Transactions!$E$7:$E$996,A72),"")</f>
        <v/>
      </c>
      <c r="E72" s="74" t="str">
        <f t="shared" si="1"/>
        <v/>
      </c>
      <c r="F72" s="74" t="str">
        <f t="shared" si="2"/>
        <v/>
      </c>
      <c r="G72" s="71"/>
      <c r="H72" s="66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0" t="str">
        <f>IF(A73&lt;&gt;"",SUMIFS(Transactions!$F$7:$F$996,Transactions!$D$7:$D$996,"Income",Transactions!$E$7:$E$996,A73),"")</f>
        <v/>
      </c>
      <c r="D73" s="70" t="str">
        <f>IF(A73&lt;&gt;"",SUMIFS(Transactions!$F$7:$F$996,Transactions!$D$7:$D$996,"Expense",Transactions!$E$7:$E$996,A73),"")</f>
        <v/>
      </c>
      <c r="E73" s="68" t="str">
        <f t="shared" si="1"/>
        <v/>
      </c>
      <c r="F73" s="68" t="str">
        <f t="shared" si="2"/>
        <v/>
      </c>
      <c r="G73" s="71"/>
      <c r="H73" s="66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2" t="str">
        <f>IF(Roster!$A$72&lt;&gt;"",Roster!$A$72,"")</f>
        <v/>
      </c>
      <c r="B74" s="72" t="str">
        <f t="array" ref="B74">IF(A74&lt;&gt;"",IFERROR(SUMPRODUCT((INDEX(Attendance!$B$7:$AZ$206,MATCH(A74,Attendance!$A$7:$A$206,0),0)=1)*Attendance!$B$4:$AZ$4),0),"")</f>
        <v/>
      </c>
      <c r="C74" s="73" t="str">
        <f>IF(A74&lt;&gt;"",SUMIFS(Transactions!$F$7:$F$996,Transactions!$D$7:$D$996,"Income",Transactions!$E$7:$E$996,A74),"")</f>
        <v/>
      </c>
      <c r="D74" s="73" t="str">
        <f>IF(A74&lt;&gt;"",SUMIFS(Transactions!$F$7:$F$996,Transactions!$D$7:$D$996,"Expense",Transactions!$E$7:$E$996,A74),"")</f>
        <v/>
      </c>
      <c r="E74" s="74" t="str">
        <f t="shared" si="1"/>
        <v/>
      </c>
      <c r="F74" s="74" t="str">
        <f t="shared" si="2"/>
        <v/>
      </c>
      <c r="G74" s="71"/>
      <c r="H74" s="66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0" t="str">
        <f>IF(A75&lt;&gt;"",SUMIFS(Transactions!$F$7:$F$996,Transactions!$D$7:$D$996,"Income",Transactions!$E$7:$E$996,A75),"")</f>
        <v/>
      </c>
      <c r="D75" s="70" t="str">
        <f>IF(A75&lt;&gt;"",SUMIFS(Transactions!$F$7:$F$996,Transactions!$D$7:$D$996,"Expense",Transactions!$E$7:$E$996,A75),"")</f>
        <v/>
      </c>
      <c r="E75" s="68" t="str">
        <f t="shared" si="1"/>
        <v/>
      </c>
      <c r="F75" s="68" t="str">
        <f t="shared" si="2"/>
        <v/>
      </c>
      <c r="G75" s="71"/>
      <c r="H75" s="66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2" t="str">
        <f>IF(Roster!$A$74&lt;&gt;"",Roster!$A$74,"")</f>
        <v/>
      </c>
      <c r="B76" s="72" t="str">
        <f t="array" ref="B76">IF(A76&lt;&gt;"",IFERROR(SUMPRODUCT((INDEX(Attendance!$B$7:$AZ$206,MATCH(A76,Attendance!$A$7:$A$206,0),0)=1)*Attendance!$B$4:$AZ$4),0),"")</f>
        <v/>
      </c>
      <c r="C76" s="73" t="str">
        <f>IF(A76&lt;&gt;"",SUMIFS(Transactions!$F$7:$F$996,Transactions!$D$7:$D$996,"Income",Transactions!$E$7:$E$996,A76),"")</f>
        <v/>
      </c>
      <c r="D76" s="73" t="str">
        <f>IF(A76&lt;&gt;"",SUMIFS(Transactions!$F$7:$F$996,Transactions!$D$7:$D$996,"Expense",Transactions!$E$7:$E$996,A76),"")</f>
        <v/>
      </c>
      <c r="E76" s="74" t="str">
        <f t="shared" si="1"/>
        <v/>
      </c>
      <c r="F76" s="74" t="str">
        <f t="shared" si="2"/>
        <v/>
      </c>
      <c r="G76" s="71"/>
      <c r="H76" s="66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0" t="str">
        <f>IF(A77&lt;&gt;"",SUMIFS(Transactions!$F$7:$F$996,Transactions!$D$7:$D$996,"Income",Transactions!$E$7:$E$996,A77),"")</f>
        <v/>
      </c>
      <c r="D77" s="70" t="str">
        <f>IF(A77&lt;&gt;"",SUMIFS(Transactions!$F$7:$F$996,Transactions!$D$7:$D$996,"Expense",Transactions!$E$7:$E$996,A77),"")</f>
        <v/>
      </c>
      <c r="E77" s="68" t="str">
        <f t="shared" si="1"/>
        <v/>
      </c>
      <c r="F77" s="68" t="str">
        <f t="shared" si="2"/>
        <v/>
      </c>
      <c r="G77" s="71"/>
      <c r="H77" s="66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2" t="str">
        <f>IF(Roster!$A$76&lt;&gt;"",Roster!$A$76,"")</f>
        <v/>
      </c>
      <c r="B78" s="72" t="str">
        <f t="array" ref="B78">IF(A78&lt;&gt;"",IFERROR(SUMPRODUCT((INDEX(Attendance!$B$7:$AZ$206,MATCH(A78,Attendance!$A$7:$A$206,0),0)=1)*Attendance!$B$4:$AZ$4),0),"")</f>
        <v/>
      </c>
      <c r="C78" s="73" t="str">
        <f>IF(A78&lt;&gt;"",SUMIFS(Transactions!$F$7:$F$996,Transactions!$D$7:$D$996,"Income",Transactions!$E$7:$E$996,A78),"")</f>
        <v/>
      </c>
      <c r="D78" s="73" t="str">
        <f>IF(A78&lt;&gt;"",SUMIFS(Transactions!$F$7:$F$996,Transactions!$D$7:$D$996,"Expense",Transactions!$E$7:$E$996,A78),"")</f>
        <v/>
      </c>
      <c r="E78" s="74" t="str">
        <f t="shared" si="1"/>
        <v/>
      </c>
      <c r="F78" s="74" t="str">
        <f t="shared" si="2"/>
        <v/>
      </c>
      <c r="G78" s="71"/>
      <c r="H78" s="66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0" t="str">
        <f>IF(A79&lt;&gt;"",SUMIFS(Transactions!$F$7:$F$996,Transactions!$D$7:$D$996,"Income",Transactions!$E$7:$E$996,A79),"")</f>
        <v/>
      </c>
      <c r="D79" s="70" t="str">
        <f>IF(A79&lt;&gt;"",SUMIFS(Transactions!$F$7:$F$996,Transactions!$D$7:$D$996,"Expense",Transactions!$E$7:$E$996,A79),"")</f>
        <v/>
      </c>
      <c r="E79" s="68" t="str">
        <f t="shared" si="1"/>
        <v/>
      </c>
      <c r="F79" s="68" t="str">
        <f t="shared" si="2"/>
        <v/>
      </c>
      <c r="G79" s="71"/>
      <c r="H79" s="66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2" t="str">
        <f>IF(Roster!$A$78&lt;&gt;"",Roster!$A$78,"")</f>
        <v/>
      </c>
      <c r="B80" s="72" t="str">
        <f t="array" ref="B80">IF(A80&lt;&gt;"",IFERROR(SUMPRODUCT((INDEX(Attendance!$B$7:$AZ$206,MATCH(A80,Attendance!$A$7:$A$206,0),0)=1)*Attendance!$B$4:$AZ$4),0),"")</f>
        <v/>
      </c>
      <c r="C80" s="73" t="str">
        <f>IF(A80&lt;&gt;"",SUMIFS(Transactions!$F$7:$F$996,Transactions!$D$7:$D$996,"Income",Transactions!$E$7:$E$996,A80),"")</f>
        <v/>
      </c>
      <c r="D80" s="73" t="str">
        <f>IF(A80&lt;&gt;"",SUMIFS(Transactions!$F$7:$F$996,Transactions!$D$7:$D$996,"Expense",Transactions!$E$7:$E$996,A80),"")</f>
        <v/>
      </c>
      <c r="E80" s="74" t="str">
        <f t="shared" si="1"/>
        <v/>
      </c>
      <c r="F80" s="74" t="str">
        <f t="shared" si="2"/>
        <v/>
      </c>
      <c r="G80" s="71"/>
      <c r="H80" s="66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0" t="str">
        <f>IF(A81&lt;&gt;"",SUMIFS(Transactions!$F$7:$F$996,Transactions!$D$7:$D$996,"Income",Transactions!$E$7:$E$996,A81),"")</f>
        <v/>
      </c>
      <c r="D81" s="70" t="str">
        <f>IF(A81&lt;&gt;"",SUMIFS(Transactions!$F$7:$F$996,Transactions!$D$7:$D$996,"Expense",Transactions!$E$7:$E$996,A81),"")</f>
        <v/>
      </c>
      <c r="E81" s="68" t="str">
        <f t="shared" si="1"/>
        <v/>
      </c>
      <c r="F81" s="68" t="str">
        <f t="shared" si="2"/>
        <v/>
      </c>
      <c r="G81" s="71"/>
      <c r="H81" s="66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2" t="str">
        <f>IF(Roster!$A$80&lt;&gt;"",Roster!$A$80,"")</f>
        <v/>
      </c>
      <c r="B82" s="72" t="str">
        <f t="array" ref="B82">IF(A82&lt;&gt;"",IFERROR(SUMPRODUCT((INDEX(Attendance!$B$7:$AZ$206,MATCH(A82,Attendance!$A$7:$A$206,0),0)=1)*Attendance!$B$4:$AZ$4),0),"")</f>
        <v/>
      </c>
      <c r="C82" s="73" t="str">
        <f>IF(A82&lt;&gt;"",SUMIFS(Transactions!$F$7:$F$996,Transactions!$D$7:$D$996,"Income",Transactions!$E$7:$E$996,A82),"")</f>
        <v/>
      </c>
      <c r="D82" s="73" t="str">
        <f>IF(A82&lt;&gt;"",SUMIFS(Transactions!$F$7:$F$996,Transactions!$D$7:$D$996,"Expense",Transactions!$E$7:$E$996,A82),"")</f>
        <v/>
      </c>
      <c r="E82" s="74" t="str">
        <f t="shared" si="1"/>
        <v/>
      </c>
      <c r="F82" s="74" t="str">
        <f t="shared" si="2"/>
        <v/>
      </c>
      <c r="G82" s="71"/>
      <c r="H82" s="66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0" t="str">
        <f>IF(A83&lt;&gt;"",SUMIFS(Transactions!$F$7:$F$996,Transactions!$D$7:$D$996,"Income",Transactions!$E$7:$E$996,A83),"")</f>
        <v/>
      </c>
      <c r="D83" s="70" t="str">
        <f>IF(A83&lt;&gt;"",SUMIFS(Transactions!$F$7:$F$996,Transactions!$D$7:$D$996,"Expense",Transactions!$E$7:$E$996,A83),"")</f>
        <v/>
      </c>
      <c r="E83" s="68" t="str">
        <f t="shared" si="1"/>
        <v/>
      </c>
      <c r="F83" s="68" t="str">
        <f t="shared" si="2"/>
        <v/>
      </c>
      <c r="G83" s="71"/>
      <c r="H83" s="66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2" t="str">
        <f>IF(Roster!$A$82&lt;&gt;"",Roster!$A$82,"")</f>
        <v/>
      </c>
      <c r="B84" s="72" t="str">
        <f t="array" ref="B84">IF(A84&lt;&gt;"",IFERROR(SUMPRODUCT((INDEX(Attendance!$B$7:$AZ$206,MATCH(A84,Attendance!$A$7:$A$206,0),0)=1)*Attendance!$B$4:$AZ$4),0),"")</f>
        <v/>
      </c>
      <c r="C84" s="73" t="str">
        <f>IF(A84&lt;&gt;"",SUMIFS(Transactions!$F$7:$F$996,Transactions!$D$7:$D$996,"Income",Transactions!$E$7:$E$996,A84),"")</f>
        <v/>
      </c>
      <c r="D84" s="73" t="str">
        <f>IF(A84&lt;&gt;"",SUMIFS(Transactions!$F$7:$F$996,Transactions!$D$7:$D$996,"Expense",Transactions!$E$7:$E$996,A84),"")</f>
        <v/>
      </c>
      <c r="E84" s="74" t="str">
        <f t="shared" si="1"/>
        <v/>
      </c>
      <c r="F84" s="74" t="str">
        <f t="shared" si="2"/>
        <v/>
      </c>
      <c r="G84" s="71"/>
      <c r="H84" s="66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0" t="str">
        <f>IF(A85&lt;&gt;"",SUMIFS(Transactions!$F$7:$F$996,Transactions!$D$7:$D$996,"Income",Transactions!$E$7:$E$996,A85),"")</f>
        <v/>
      </c>
      <c r="D85" s="70" t="str">
        <f>IF(A85&lt;&gt;"",SUMIFS(Transactions!$F$7:$F$996,Transactions!$D$7:$D$996,"Expense",Transactions!$E$7:$E$996,A85),"")</f>
        <v/>
      </c>
      <c r="E85" s="68" t="str">
        <f t="shared" si="1"/>
        <v/>
      </c>
      <c r="F85" s="68" t="str">
        <f t="shared" si="2"/>
        <v/>
      </c>
      <c r="G85" s="71"/>
      <c r="H85" s="66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2" t="str">
        <f>IF(Roster!$A$84&lt;&gt;"",Roster!$A$84,"")</f>
        <v/>
      </c>
      <c r="B86" s="72" t="str">
        <f t="array" ref="B86">IF(A86&lt;&gt;"",IFERROR(SUMPRODUCT((INDEX(Attendance!$B$7:$AZ$206,MATCH(A86,Attendance!$A$7:$A$206,0),0)=1)*Attendance!$B$4:$AZ$4),0),"")</f>
        <v/>
      </c>
      <c r="C86" s="73" t="str">
        <f>IF(A86&lt;&gt;"",SUMIFS(Transactions!$F$7:$F$996,Transactions!$D$7:$D$996,"Income",Transactions!$E$7:$E$996,A86),"")</f>
        <v/>
      </c>
      <c r="D86" s="73" t="str">
        <f>IF(A86&lt;&gt;"",SUMIFS(Transactions!$F$7:$F$996,Transactions!$D$7:$D$996,"Expense",Transactions!$E$7:$E$996,A86),"")</f>
        <v/>
      </c>
      <c r="E86" s="74" t="str">
        <f t="shared" si="1"/>
        <v/>
      </c>
      <c r="F86" s="74" t="str">
        <f t="shared" si="2"/>
        <v/>
      </c>
      <c r="G86" s="71"/>
      <c r="H86" s="66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0" t="str">
        <f>IF(A87&lt;&gt;"",SUMIFS(Transactions!$F$7:$F$996,Transactions!$D$7:$D$996,"Income",Transactions!$E$7:$E$996,A87),"")</f>
        <v/>
      </c>
      <c r="D87" s="70" t="str">
        <f>IF(A87&lt;&gt;"",SUMIFS(Transactions!$F$7:$F$996,Transactions!$D$7:$D$996,"Expense",Transactions!$E$7:$E$996,A87),"")</f>
        <v/>
      </c>
      <c r="E87" s="68" t="str">
        <f t="shared" si="1"/>
        <v/>
      </c>
      <c r="F87" s="68" t="str">
        <f t="shared" si="2"/>
        <v/>
      </c>
      <c r="G87" s="71"/>
      <c r="H87" s="66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2" t="str">
        <f>IF(Roster!$A$86&lt;&gt;"",Roster!$A$86,"")</f>
        <v/>
      </c>
      <c r="B88" s="72" t="str">
        <f t="array" ref="B88">IF(A88&lt;&gt;"",IFERROR(SUMPRODUCT((INDEX(Attendance!$B$7:$AZ$206,MATCH(A88,Attendance!$A$7:$A$206,0),0)=1)*Attendance!$B$4:$AZ$4),0),"")</f>
        <v/>
      </c>
      <c r="C88" s="73" t="str">
        <f>IF(A88&lt;&gt;"",SUMIFS(Transactions!$F$7:$F$996,Transactions!$D$7:$D$996,"Income",Transactions!$E$7:$E$996,A88),"")</f>
        <v/>
      </c>
      <c r="D88" s="73" t="str">
        <f>IF(A88&lt;&gt;"",SUMIFS(Transactions!$F$7:$F$996,Transactions!$D$7:$D$996,"Expense",Transactions!$E$7:$E$996,A88),"")</f>
        <v/>
      </c>
      <c r="E88" s="74" t="str">
        <f t="shared" si="1"/>
        <v/>
      </c>
      <c r="F88" s="74" t="str">
        <f t="shared" si="2"/>
        <v/>
      </c>
      <c r="G88" s="71"/>
      <c r="H88" s="66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0" t="str">
        <f>IF(A89&lt;&gt;"",SUMIFS(Transactions!$F$7:$F$996,Transactions!$D$7:$D$996,"Income",Transactions!$E$7:$E$996,A89),"")</f>
        <v/>
      </c>
      <c r="D89" s="70" t="str">
        <f>IF(A89&lt;&gt;"",SUMIFS(Transactions!$F$7:$F$996,Transactions!$D$7:$D$996,"Expense",Transactions!$E$7:$E$996,A89),"")</f>
        <v/>
      </c>
      <c r="E89" s="68" t="str">
        <f t="shared" si="1"/>
        <v/>
      </c>
      <c r="F89" s="68" t="str">
        <f t="shared" si="2"/>
        <v/>
      </c>
      <c r="G89" s="71"/>
      <c r="H89" s="66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2" t="str">
        <f>IF(Roster!$A$88&lt;&gt;"",Roster!$A$88,"")</f>
        <v/>
      </c>
      <c r="B90" s="72" t="str">
        <f t="array" ref="B90">IF(A90&lt;&gt;"",IFERROR(SUMPRODUCT((INDEX(Attendance!$B$7:$AZ$206,MATCH(A90,Attendance!$A$7:$A$206,0),0)=1)*Attendance!$B$4:$AZ$4),0),"")</f>
        <v/>
      </c>
      <c r="C90" s="73" t="str">
        <f>IF(A90&lt;&gt;"",SUMIFS(Transactions!$F$7:$F$996,Transactions!$D$7:$D$996,"Income",Transactions!$E$7:$E$996,A90),"")</f>
        <v/>
      </c>
      <c r="D90" s="73" t="str">
        <f>IF(A90&lt;&gt;"",SUMIFS(Transactions!$F$7:$F$996,Transactions!$D$7:$D$996,"Expense",Transactions!$E$7:$E$996,A90),"")</f>
        <v/>
      </c>
      <c r="E90" s="74" t="str">
        <f t="shared" si="1"/>
        <v/>
      </c>
      <c r="F90" s="74" t="str">
        <f t="shared" si="2"/>
        <v/>
      </c>
      <c r="G90" s="71"/>
      <c r="H90" s="66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0" t="str">
        <f>IF(A91&lt;&gt;"",SUMIFS(Transactions!$F$7:$F$996,Transactions!$D$7:$D$996,"Income",Transactions!$E$7:$E$996,A91),"")</f>
        <v/>
      </c>
      <c r="D91" s="70" t="str">
        <f>IF(A91&lt;&gt;"",SUMIFS(Transactions!$F$7:$F$996,Transactions!$D$7:$D$996,"Expense",Transactions!$E$7:$E$996,A91),"")</f>
        <v/>
      </c>
      <c r="E91" s="68" t="str">
        <f t="shared" si="1"/>
        <v/>
      </c>
      <c r="F91" s="68" t="str">
        <f t="shared" si="2"/>
        <v/>
      </c>
      <c r="G91" s="71"/>
      <c r="H91" s="66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2" t="str">
        <f>IF(Roster!$A$90&lt;&gt;"",Roster!$A$90,"")</f>
        <v/>
      </c>
      <c r="B92" s="72" t="str">
        <f t="array" ref="B92">IF(A92&lt;&gt;"",IFERROR(SUMPRODUCT((INDEX(Attendance!$B$7:$AZ$206,MATCH(A92,Attendance!$A$7:$A$206,0),0)=1)*Attendance!$B$4:$AZ$4),0),"")</f>
        <v/>
      </c>
      <c r="C92" s="73" t="str">
        <f>IF(A92&lt;&gt;"",SUMIFS(Transactions!$F$7:$F$996,Transactions!$D$7:$D$996,"Income",Transactions!$E$7:$E$996,A92),"")</f>
        <v/>
      </c>
      <c r="D92" s="73" t="str">
        <f>IF(A92&lt;&gt;"",SUMIFS(Transactions!$F$7:$F$996,Transactions!$D$7:$D$996,"Expense",Transactions!$E$7:$E$996,A92),"")</f>
        <v/>
      </c>
      <c r="E92" s="74" t="str">
        <f t="shared" si="1"/>
        <v/>
      </c>
      <c r="F92" s="74" t="str">
        <f t="shared" si="2"/>
        <v/>
      </c>
      <c r="G92" s="71"/>
      <c r="H92" s="66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0" t="str">
        <f>IF(A93&lt;&gt;"",SUMIFS(Transactions!$F$7:$F$996,Transactions!$D$7:$D$996,"Income",Transactions!$E$7:$E$996,A93),"")</f>
        <v/>
      </c>
      <c r="D93" s="70" t="str">
        <f>IF(A93&lt;&gt;"",SUMIFS(Transactions!$F$7:$F$996,Transactions!$D$7:$D$996,"Expense",Transactions!$E$7:$E$996,A93),"")</f>
        <v/>
      </c>
      <c r="E93" s="68" t="str">
        <f t="shared" si="1"/>
        <v/>
      </c>
      <c r="F93" s="68" t="str">
        <f t="shared" si="2"/>
        <v/>
      </c>
      <c r="G93" s="71"/>
      <c r="H93" s="66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2" t="str">
        <f>IF(Roster!$A$92&lt;&gt;"",Roster!$A$92,"")</f>
        <v/>
      </c>
      <c r="B94" s="72" t="str">
        <f t="array" ref="B94">IF(A94&lt;&gt;"",IFERROR(SUMPRODUCT((INDEX(Attendance!$B$7:$AZ$206,MATCH(A94,Attendance!$A$7:$A$206,0),0)=1)*Attendance!$B$4:$AZ$4),0),"")</f>
        <v/>
      </c>
      <c r="C94" s="73" t="str">
        <f>IF(A94&lt;&gt;"",SUMIFS(Transactions!$F$7:$F$996,Transactions!$D$7:$D$996,"Income",Transactions!$E$7:$E$996,A94),"")</f>
        <v/>
      </c>
      <c r="D94" s="73" t="str">
        <f>IF(A94&lt;&gt;"",SUMIFS(Transactions!$F$7:$F$996,Transactions!$D$7:$D$996,"Expense",Transactions!$E$7:$E$996,A94),"")</f>
        <v/>
      </c>
      <c r="E94" s="74" t="str">
        <f t="shared" si="1"/>
        <v/>
      </c>
      <c r="F94" s="74" t="str">
        <f t="shared" si="2"/>
        <v/>
      </c>
      <c r="G94" s="71"/>
      <c r="H94" s="66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0" t="str">
        <f>IF(A95&lt;&gt;"",SUMIFS(Transactions!$F$7:$F$996,Transactions!$D$7:$D$996,"Income",Transactions!$E$7:$E$996,A95),"")</f>
        <v/>
      </c>
      <c r="D95" s="70" t="str">
        <f>IF(A95&lt;&gt;"",SUMIFS(Transactions!$F$7:$F$996,Transactions!$D$7:$D$996,"Expense",Transactions!$E$7:$E$996,A95),"")</f>
        <v/>
      </c>
      <c r="E95" s="68" t="str">
        <f t="shared" si="1"/>
        <v/>
      </c>
      <c r="F95" s="68" t="str">
        <f t="shared" si="2"/>
        <v/>
      </c>
      <c r="G95" s="71"/>
      <c r="H95" s="66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2" t="str">
        <f>IF(Roster!$A$94&lt;&gt;"",Roster!$A$94,"")</f>
        <v/>
      </c>
      <c r="B96" s="72" t="str">
        <f t="array" ref="B96">IF(A96&lt;&gt;"",IFERROR(SUMPRODUCT((INDEX(Attendance!$B$7:$AZ$206,MATCH(A96,Attendance!$A$7:$A$206,0),0)=1)*Attendance!$B$4:$AZ$4),0),"")</f>
        <v/>
      </c>
      <c r="C96" s="73" t="str">
        <f>IF(A96&lt;&gt;"",SUMIFS(Transactions!$F$7:$F$996,Transactions!$D$7:$D$996,"Income",Transactions!$E$7:$E$996,A96),"")</f>
        <v/>
      </c>
      <c r="D96" s="73" t="str">
        <f>IF(A96&lt;&gt;"",SUMIFS(Transactions!$F$7:$F$996,Transactions!$D$7:$D$996,"Expense",Transactions!$E$7:$E$996,A96),"")</f>
        <v/>
      </c>
      <c r="E96" s="74" t="str">
        <f t="shared" si="1"/>
        <v/>
      </c>
      <c r="F96" s="74" t="str">
        <f t="shared" si="2"/>
        <v/>
      </c>
      <c r="G96" s="71"/>
      <c r="H96" s="66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0" t="str">
        <f>IF(A97&lt;&gt;"",SUMIFS(Transactions!$F$7:$F$996,Transactions!$D$7:$D$996,"Income",Transactions!$E$7:$E$996,A97),"")</f>
        <v/>
      </c>
      <c r="D97" s="70" t="str">
        <f>IF(A97&lt;&gt;"",SUMIFS(Transactions!$F$7:$F$996,Transactions!$D$7:$D$996,"Expense",Transactions!$E$7:$E$996,A97),"")</f>
        <v/>
      </c>
      <c r="E97" s="68" t="str">
        <f t="shared" si="1"/>
        <v/>
      </c>
      <c r="F97" s="68" t="str">
        <f t="shared" si="2"/>
        <v/>
      </c>
      <c r="G97" s="71"/>
      <c r="H97" s="66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2" t="str">
        <f>IF(Roster!$A$96&lt;&gt;"",Roster!$A$96,"")</f>
        <v/>
      </c>
      <c r="B98" s="72" t="str">
        <f t="array" ref="B98">IF(A98&lt;&gt;"",IFERROR(SUMPRODUCT((INDEX(Attendance!$B$7:$AZ$206,MATCH(A98,Attendance!$A$7:$A$206,0),0)=1)*Attendance!$B$4:$AZ$4),0),"")</f>
        <v/>
      </c>
      <c r="C98" s="73" t="str">
        <f>IF(A98&lt;&gt;"",SUMIFS(Transactions!$F$7:$F$996,Transactions!$D$7:$D$996,"Income",Transactions!$E$7:$E$996,A98),"")</f>
        <v/>
      </c>
      <c r="D98" s="73" t="str">
        <f>IF(A98&lt;&gt;"",SUMIFS(Transactions!$F$7:$F$996,Transactions!$D$7:$D$996,"Expense",Transactions!$E$7:$E$996,A98),"")</f>
        <v/>
      </c>
      <c r="E98" s="74" t="str">
        <f t="shared" si="1"/>
        <v/>
      </c>
      <c r="F98" s="74" t="str">
        <f t="shared" si="2"/>
        <v/>
      </c>
      <c r="G98" s="71"/>
      <c r="H98" s="66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0" t="str">
        <f>IF(A99&lt;&gt;"",SUMIFS(Transactions!$F$7:$F$996,Transactions!$D$7:$D$996,"Income",Transactions!$E$7:$E$996,A99),"")</f>
        <v/>
      </c>
      <c r="D99" s="70" t="str">
        <f>IF(A99&lt;&gt;"",SUMIFS(Transactions!$F$7:$F$996,Transactions!$D$7:$D$996,"Expense",Transactions!$E$7:$E$996,A99),"")</f>
        <v/>
      </c>
      <c r="E99" s="68" t="str">
        <f t="shared" si="1"/>
        <v/>
      </c>
      <c r="F99" s="68" t="str">
        <f t="shared" si="2"/>
        <v/>
      </c>
      <c r="G99" s="71"/>
      <c r="H99" s="66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2" t="str">
        <f>IF(Roster!$A$98&lt;&gt;"",Roster!$A$98,"")</f>
        <v/>
      </c>
      <c r="B100" s="72" t="str">
        <f t="array" ref="B100">IF(A100&lt;&gt;"",IFERROR(SUMPRODUCT((INDEX(Attendance!$B$7:$AZ$206,MATCH(A100,Attendance!$A$7:$A$206,0),0)=1)*Attendance!$B$4:$AZ$4),0),"")</f>
        <v/>
      </c>
      <c r="C100" s="73" t="str">
        <f>IF(A100&lt;&gt;"",SUMIFS(Transactions!$F$7:$F$996,Transactions!$D$7:$D$996,"Income",Transactions!$E$7:$E$996,A100),"")</f>
        <v/>
      </c>
      <c r="D100" s="73" t="str">
        <f>IF(A100&lt;&gt;"",SUMIFS(Transactions!$F$7:$F$996,Transactions!$D$7:$D$996,"Expense",Transactions!$E$7:$E$996,A100),"")</f>
        <v/>
      </c>
      <c r="E100" s="74" t="str">
        <f t="shared" si="1"/>
        <v/>
      </c>
      <c r="F100" s="74" t="str">
        <f t="shared" si="2"/>
        <v/>
      </c>
      <c r="G100" s="71"/>
      <c r="H100" s="66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0" t="str">
        <f>IF(A101&lt;&gt;"",SUMIFS(Transactions!$F$7:$F$996,Transactions!$D$7:$D$996,"Income",Transactions!$E$7:$E$996,A101),"")</f>
        <v/>
      </c>
      <c r="D101" s="70" t="str">
        <f>IF(A101&lt;&gt;"",SUMIFS(Transactions!$F$7:$F$996,Transactions!$D$7:$D$996,"Expense",Transactions!$E$7:$E$996,A101),"")</f>
        <v/>
      </c>
      <c r="E101" s="68" t="str">
        <f t="shared" si="1"/>
        <v/>
      </c>
      <c r="F101" s="68" t="str">
        <f t="shared" si="2"/>
        <v/>
      </c>
      <c r="G101" s="71"/>
      <c r="H101" s="66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2" t="str">
        <f>IF(Roster!$A$100&lt;&gt;"",Roster!$A$100,"")</f>
        <v/>
      </c>
      <c r="B102" s="72" t="str">
        <f t="array" ref="B102">IF(A102&lt;&gt;"",IFERROR(SUMPRODUCT((INDEX(Attendance!$B$7:$AZ$206,MATCH(A102,Attendance!$A$7:$A$206,0),0)=1)*Attendance!$B$4:$AZ$4),0),"")</f>
        <v/>
      </c>
      <c r="C102" s="73" t="str">
        <f>IF(A102&lt;&gt;"",SUMIFS(Transactions!$F$7:$F$996,Transactions!$D$7:$D$996,"Income",Transactions!$E$7:$E$996,A102),"")</f>
        <v/>
      </c>
      <c r="D102" s="73" t="str">
        <f>IF(A102&lt;&gt;"",SUMIFS(Transactions!$F$7:$F$996,Transactions!$D$7:$D$996,"Expense",Transactions!$E$7:$E$996,A102),"")</f>
        <v/>
      </c>
      <c r="E102" s="74" t="str">
        <f t="shared" si="1"/>
        <v/>
      </c>
      <c r="F102" s="74" t="str">
        <f t="shared" si="2"/>
        <v/>
      </c>
      <c r="G102" s="71"/>
      <c r="H102" s="66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0" t="str">
        <f>IF(A103&lt;&gt;"",SUMIFS(Transactions!$F$7:$F$996,Transactions!$D$7:$D$996,"Income",Transactions!$E$7:$E$996,A103),"")</f>
        <v/>
      </c>
      <c r="D103" s="70" t="str">
        <f>IF(A103&lt;&gt;"",SUMIFS(Transactions!$F$7:$F$996,Transactions!$D$7:$D$996,"Expense",Transactions!$E$7:$E$996,A103),"")</f>
        <v/>
      </c>
      <c r="E103" s="68" t="str">
        <f t="shared" si="1"/>
        <v/>
      </c>
      <c r="F103" s="68" t="str">
        <f t="shared" si="2"/>
        <v/>
      </c>
      <c r="G103" s="71"/>
      <c r="H103" s="66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2" t="str">
        <f>IF(Roster!$A$102&lt;&gt;"",Roster!$A$102,"")</f>
        <v/>
      </c>
      <c r="B104" s="72" t="str">
        <f t="array" ref="B104">IF(A104&lt;&gt;"",IFERROR(SUMPRODUCT((INDEX(Attendance!$B$7:$AZ$206,MATCH(A104,Attendance!$A$7:$A$206,0),0)=1)*Attendance!$B$4:$AZ$4),0),"")</f>
        <v/>
      </c>
      <c r="C104" s="73" t="str">
        <f>IF(A104&lt;&gt;"",SUMIFS(Transactions!$F$7:$F$996,Transactions!$D$7:$D$996,"Income",Transactions!$E$7:$E$996,A104),"")</f>
        <v/>
      </c>
      <c r="D104" s="73" t="str">
        <f>IF(A104&lt;&gt;"",SUMIFS(Transactions!$F$7:$F$996,Transactions!$D$7:$D$996,"Expense",Transactions!$E$7:$E$996,A104),"")</f>
        <v/>
      </c>
      <c r="E104" s="74" t="str">
        <f t="shared" si="1"/>
        <v/>
      </c>
      <c r="F104" s="74" t="str">
        <f t="shared" si="2"/>
        <v/>
      </c>
      <c r="G104" s="71"/>
      <c r="H104" s="66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0" t="str">
        <f>IF(A105&lt;&gt;"",SUMIFS(Transactions!$F$7:$F$996,Transactions!$D$7:$D$996,"Income",Transactions!$E$7:$E$996,A105),"")</f>
        <v/>
      </c>
      <c r="D105" s="70" t="str">
        <f>IF(A105&lt;&gt;"",SUMIFS(Transactions!$F$7:$F$996,Transactions!$D$7:$D$996,"Expense",Transactions!$E$7:$E$996,A105),"")</f>
        <v/>
      </c>
      <c r="E105" s="68" t="str">
        <f t="shared" si="1"/>
        <v/>
      </c>
      <c r="F105" s="68" t="str">
        <f t="shared" si="2"/>
        <v/>
      </c>
      <c r="G105" s="71"/>
      <c r="H105" s="66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2" t="str">
        <f>IF(Roster!$A$104&lt;&gt;"",Roster!$A$104,"")</f>
        <v/>
      </c>
      <c r="B106" s="72" t="str">
        <f t="array" ref="B106">IF(A106&lt;&gt;"",IFERROR(SUMPRODUCT((INDEX(Attendance!$B$7:$AZ$206,MATCH(A106,Attendance!$A$7:$A$206,0),0)=1)*Attendance!$B$4:$AZ$4),0),"")</f>
        <v/>
      </c>
      <c r="C106" s="73" t="str">
        <f>IF(A106&lt;&gt;"",SUMIFS(Transactions!$F$7:$F$996,Transactions!$D$7:$D$996,"Income",Transactions!$E$7:$E$996,A106),"")</f>
        <v/>
      </c>
      <c r="D106" s="73" t="str">
        <f>IF(A106&lt;&gt;"",SUMIFS(Transactions!$F$7:$F$996,Transactions!$D$7:$D$996,"Expense",Transactions!$E$7:$E$996,A106),"")</f>
        <v/>
      </c>
      <c r="E106" s="74" t="str">
        <f t="shared" si="1"/>
        <v/>
      </c>
      <c r="F106" s="74" t="str">
        <f t="shared" si="2"/>
        <v/>
      </c>
      <c r="G106" s="71"/>
      <c r="H106" s="66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0" t="str">
        <f>IF(A107&lt;&gt;"",SUMIFS(Transactions!$F$7:$F$996,Transactions!$D$7:$D$996,"Income",Transactions!$E$7:$E$996,A107),"")</f>
        <v/>
      </c>
      <c r="D107" s="70" t="str">
        <f>IF(A107&lt;&gt;"",SUMIFS(Transactions!$F$7:$F$996,Transactions!$D$7:$D$996,"Expense",Transactions!$E$7:$E$996,A107),"")</f>
        <v/>
      </c>
      <c r="E107" s="68" t="str">
        <f t="shared" si="1"/>
        <v/>
      </c>
      <c r="F107" s="68" t="str">
        <f t="shared" si="2"/>
        <v/>
      </c>
      <c r="G107" s="71"/>
      <c r="H107" s="66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2" t="str">
        <f>IF(Roster!$A$106&lt;&gt;"",Roster!$A$106,"")</f>
        <v/>
      </c>
      <c r="B108" s="72" t="str">
        <f t="array" ref="B108">IF(A108&lt;&gt;"",IFERROR(SUMPRODUCT((INDEX(Attendance!$B$7:$AZ$206,MATCH(A108,Attendance!$A$7:$A$206,0),0)=1)*Attendance!$B$4:$AZ$4),0),"")</f>
        <v/>
      </c>
      <c r="C108" s="73" t="str">
        <f>IF(A108&lt;&gt;"",SUMIFS(Transactions!$F$7:$F$996,Transactions!$D$7:$D$996,"Income",Transactions!$E$7:$E$996,A108),"")</f>
        <v/>
      </c>
      <c r="D108" s="73" t="str">
        <f>IF(A108&lt;&gt;"",SUMIFS(Transactions!$F$7:$F$996,Transactions!$D$7:$D$996,"Expense",Transactions!$E$7:$E$996,A108),"")</f>
        <v/>
      </c>
      <c r="E108" s="74" t="str">
        <f t="shared" si="1"/>
        <v/>
      </c>
      <c r="F108" s="74" t="str">
        <f t="shared" si="2"/>
        <v/>
      </c>
      <c r="G108" s="71"/>
      <c r="H108" s="66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0" t="str">
        <f>IF(A109&lt;&gt;"",SUMIFS(Transactions!$F$7:$F$996,Transactions!$D$7:$D$996,"Income",Transactions!$E$7:$E$996,A109),"")</f>
        <v/>
      </c>
      <c r="D109" s="70" t="str">
        <f>IF(A109&lt;&gt;"",SUMIFS(Transactions!$F$7:$F$996,Transactions!$D$7:$D$996,"Expense",Transactions!$E$7:$E$996,A109),"")</f>
        <v/>
      </c>
      <c r="E109" s="68" t="str">
        <f t="shared" si="1"/>
        <v/>
      </c>
      <c r="F109" s="68" t="str">
        <f t="shared" si="2"/>
        <v/>
      </c>
      <c r="G109" s="71"/>
      <c r="H109" s="66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2" t="str">
        <f>IF(Roster!$A$108&lt;&gt;"",Roster!$A$108,"")</f>
        <v/>
      </c>
      <c r="B110" s="72" t="str">
        <f t="array" ref="B110">IF(A110&lt;&gt;"",IFERROR(SUMPRODUCT((INDEX(Attendance!$B$7:$AZ$206,MATCH(A110,Attendance!$A$7:$A$206,0),0)=1)*Attendance!$B$4:$AZ$4),0),"")</f>
        <v/>
      </c>
      <c r="C110" s="73" t="str">
        <f>IF(A110&lt;&gt;"",SUMIFS(Transactions!$F$7:$F$996,Transactions!$D$7:$D$996,"Income",Transactions!$E$7:$E$996,A110),"")</f>
        <v/>
      </c>
      <c r="D110" s="73" t="str">
        <f>IF(A110&lt;&gt;"",SUMIFS(Transactions!$F$7:$F$996,Transactions!$D$7:$D$996,"Expense",Transactions!$E$7:$E$996,A110),"")</f>
        <v/>
      </c>
      <c r="E110" s="74" t="str">
        <f t="shared" si="1"/>
        <v/>
      </c>
      <c r="F110" s="74" t="str">
        <f t="shared" si="2"/>
        <v/>
      </c>
      <c r="G110" s="71"/>
      <c r="H110" s="66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0" t="str">
        <f>IF(A111&lt;&gt;"",SUMIFS(Transactions!$F$7:$F$996,Transactions!$D$7:$D$996,"Income",Transactions!$E$7:$E$996,A111),"")</f>
        <v/>
      </c>
      <c r="D111" s="70" t="str">
        <f>IF(A111&lt;&gt;"",SUMIFS(Transactions!$F$7:$F$996,Transactions!$D$7:$D$996,"Expense",Transactions!$E$7:$E$996,A111),"")</f>
        <v/>
      </c>
      <c r="E111" s="68" t="str">
        <f t="shared" si="1"/>
        <v/>
      </c>
      <c r="F111" s="68" t="str">
        <f t="shared" si="2"/>
        <v/>
      </c>
      <c r="G111" s="71"/>
      <c r="H111" s="66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2" t="str">
        <f>IF(Roster!$A$110&lt;&gt;"",Roster!$A$110,"")</f>
        <v/>
      </c>
      <c r="B112" s="72" t="str">
        <f t="array" ref="B112">IF(A112&lt;&gt;"",IFERROR(SUMPRODUCT((INDEX(Attendance!$B$7:$AZ$206,MATCH(A112,Attendance!$A$7:$A$206,0),0)=1)*Attendance!$B$4:$AZ$4),0),"")</f>
        <v/>
      </c>
      <c r="C112" s="73" t="str">
        <f>IF(A112&lt;&gt;"",SUMIFS(Transactions!$F$7:$F$996,Transactions!$D$7:$D$996,"Income",Transactions!$E$7:$E$996,A112),"")</f>
        <v/>
      </c>
      <c r="D112" s="73" t="str">
        <f>IF(A112&lt;&gt;"",SUMIFS(Transactions!$F$7:$F$996,Transactions!$D$7:$D$996,"Expense",Transactions!$E$7:$E$996,A112),"")</f>
        <v/>
      </c>
      <c r="E112" s="74" t="str">
        <f t="shared" si="1"/>
        <v/>
      </c>
      <c r="F112" s="74" t="str">
        <f t="shared" si="2"/>
        <v/>
      </c>
      <c r="G112" s="71"/>
      <c r="H112" s="66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0" t="str">
        <f>IF(A113&lt;&gt;"",SUMIFS(Transactions!$F$7:$F$996,Transactions!$D$7:$D$996,"Income",Transactions!$E$7:$E$996,A113),"")</f>
        <v/>
      </c>
      <c r="D113" s="70" t="str">
        <f>IF(A113&lt;&gt;"",SUMIFS(Transactions!$F$7:$F$996,Transactions!$D$7:$D$996,"Expense",Transactions!$E$7:$E$996,A113),"")</f>
        <v/>
      </c>
      <c r="E113" s="68" t="str">
        <f t="shared" si="1"/>
        <v/>
      </c>
      <c r="F113" s="68" t="str">
        <f t="shared" si="2"/>
        <v/>
      </c>
      <c r="G113" s="71"/>
      <c r="H113" s="66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2" t="str">
        <f>IF(Roster!$A$112&lt;&gt;"",Roster!$A$112,"")</f>
        <v/>
      </c>
      <c r="B114" s="72" t="str">
        <f t="array" ref="B114">IF(A114&lt;&gt;"",IFERROR(SUMPRODUCT((INDEX(Attendance!$B$7:$AZ$206,MATCH(A114,Attendance!$A$7:$A$206,0),0)=1)*Attendance!$B$4:$AZ$4),0),"")</f>
        <v/>
      </c>
      <c r="C114" s="73" t="str">
        <f>IF(A114&lt;&gt;"",SUMIFS(Transactions!$F$7:$F$996,Transactions!$D$7:$D$996,"Income",Transactions!$E$7:$E$996,A114),"")</f>
        <v/>
      </c>
      <c r="D114" s="73" t="str">
        <f>IF(A114&lt;&gt;"",SUMIFS(Transactions!$F$7:$F$996,Transactions!$D$7:$D$996,"Expense",Transactions!$E$7:$E$996,A114),"")</f>
        <v/>
      </c>
      <c r="E114" s="74" t="str">
        <f t="shared" si="1"/>
        <v/>
      </c>
      <c r="F114" s="74" t="str">
        <f t="shared" si="2"/>
        <v/>
      </c>
      <c r="G114" s="71"/>
      <c r="H114" s="66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0" t="str">
        <f>IF(A115&lt;&gt;"",SUMIFS(Transactions!$F$7:$F$996,Transactions!$D$7:$D$996,"Income",Transactions!$E$7:$E$996,A115),"")</f>
        <v/>
      </c>
      <c r="D115" s="70" t="str">
        <f>IF(A115&lt;&gt;"",SUMIFS(Transactions!$F$7:$F$996,Transactions!$D$7:$D$996,"Expense",Transactions!$E$7:$E$996,A115),"")</f>
        <v/>
      </c>
      <c r="E115" s="68" t="str">
        <f t="shared" si="1"/>
        <v/>
      </c>
      <c r="F115" s="68" t="str">
        <f t="shared" si="2"/>
        <v/>
      </c>
      <c r="G115" s="71"/>
      <c r="H115" s="66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2" t="str">
        <f>IF(Roster!$A$114&lt;&gt;"",Roster!$A$114,"")</f>
        <v/>
      </c>
      <c r="B116" s="72" t="str">
        <f t="array" ref="B116">IF(A116&lt;&gt;"",IFERROR(SUMPRODUCT((INDEX(Attendance!$B$7:$AZ$206,MATCH(A116,Attendance!$A$7:$A$206,0),0)=1)*Attendance!$B$4:$AZ$4),0),"")</f>
        <v/>
      </c>
      <c r="C116" s="73" t="str">
        <f>IF(A116&lt;&gt;"",SUMIFS(Transactions!$F$7:$F$996,Transactions!$D$7:$D$996,"Income",Transactions!$E$7:$E$996,A116),"")</f>
        <v/>
      </c>
      <c r="D116" s="73" t="str">
        <f>IF(A116&lt;&gt;"",SUMIFS(Transactions!$F$7:$F$996,Transactions!$D$7:$D$996,"Expense",Transactions!$E$7:$E$996,A116),"")</f>
        <v/>
      </c>
      <c r="E116" s="74" t="str">
        <f t="shared" si="1"/>
        <v/>
      </c>
      <c r="F116" s="74" t="str">
        <f t="shared" si="2"/>
        <v/>
      </c>
      <c r="G116" s="71"/>
      <c r="H116" s="66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0" t="str">
        <f>IF(A117&lt;&gt;"",SUMIFS(Transactions!$F$7:$F$996,Transactions!$D$7:$D$996,"Income",Transactions!$E$7:$E$996,A117),"")</f>
        <v/>
      </c>
      <c r="D117" s="70" t="str">
        <f>IF(A117&lt;&gt;"",SUMIFS(Transactions!$F$7:$F$996,Transactions!$D$7:$D$996,"Expense",Transactions!$E$7:$E$996,A117),"")</f>
        <v/>
      </c>
      <c r="E117" s="68" t="str">
        <f t="shared" si="1"/>
        <v/>
      </c>
      <c r="F117" s="68" t="str">
        <f t="shared" si="2"/>
        <v/>
      </c>
      <c r="G117" s="71"/>
      <c r="H117" s="66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2" t="str">
        <f>IF(Roster!$A$116&lt;&gt;"",Roster!$A$116,"")</f>
        <v/>
      </c>
      <c r="B118" s="72" t="str">
        <f t="array" ref="B118">IF(A118&lt;&gt;"",IFERROR(SUMPRODUCT((INDEX(Attendance!$B$7:$AZ$206,MATCH(A118,Attendance!$A$7:$A$206,0),0)=1)*Attendance!$B$4:$AZ$4),0),"")</f>
        <v/>
      </c>
      <c r="C118" s="73" t="str">
        <f>IF(A118&lt;&gt;"",SUMIFS(Transactions!$F$7:$F$996,Transactions!$D$7:$D$996,"Income",Transactions!$E$7:$E$996,A118),"")</f>
        <v/>
      </c>
      <c r="D118" s="73" t="str">
        <f>IF(A118&lt;&gt;"",SUMIFS(Transactions!$F$7:$F$996,Transactions!$D$7:$D$996,"Expense",Transactions!$E$7:$E$996,A118),"")</f>
        <v/>
      </c>
      <c r="E118" s="74" t="str">
        <f t="shared" si="1"/>
        <v/>
      </c>
      <c r="F118" s="74" t="str">
        <f t="shared" si="2"/>
        <v/>
      </c>
      <c r="G118" s="71"/>
      <c r="H118" s="66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0" t="str">
        <f>IF(A119&lt;&gt;"",SUMIFS(Transactions!$F$7:$F$996,Transactions!$D$7:$D$996,"Income",Transactions!$E$7:$E$996,A119),"")</f>
        <v/>
      </c>
      <c r="D119" s="70" t="str">
        <f>IF(A119&lt;&gt;"",SUMIFS(Transactions!$F$7:$F$996,Transactions!$D$7:$D$996,"Expense",Transactions!$E$7:$E$996,A119),"")</f>
        <v/>
      </c>
      <c r="E119" s="68" t="str">
        <f t="shared" si="1"/>
        <v/>
      </c>
      <c r="F119" s="68" t="str">
        <f t="shared" si="2"/>
        <v/>
      </c>
      <c r="G119" s="71"/>
      <c r="H119" s="66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2" t="str">
        <f>IF(Roster!$A$118&lt;&gt;"",Roster!$A$118,"")</f>
        <v/>
      </c>
      <c r="B120" s="72" t="str">
        <f t="array" ref="B120">IF(A120&lt;&gt;"",IFERROR(SUMPRODUCT((INDEX(Attendance!$B$7:$AZ$206,MATCH(A120,Attendance!$A$7:$A$206,0),0)=1)*Attendance!$B$4:$AZ$4),0),"")</f>
        <v/>
      </c>
      <c r="C120" s="73" t="str">
        <f>IF(A120&lt;&gt;"",SUMIFS(Transactions!$F$7:$F$996,Transactions!$D$7:$D$996,"Income",Transactions!$E$7:$E$996,A120),"")</f>
        <v/>
      </c>
      <c r="D120" s="73" t="str">
        <f>IF(A120&lt;&gt;"",SUMIFS(Transactions!$F$7:$F$996,Transactions!$D$7:$D$996,"Expense",Transactions!$E$7:$E$996,A120),"")</f>
        <v/>
      </c>
      <c r="E120" s="74" t="str">
        <f t="shared" si="1"/>
        <v/>
      </c>
      <c r="F120" s="74" t="str">
        <f t="shared" si="2"/>
        <v/>
      </c>
      <c r="G120" s="71"/>
      <c r="H120" s="66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0" t="str">
        <f>IF(A121&lt;&gt;"",SUMIFS(Transactions!$F$7:$F$996,Transactions!$D$7:$D$996,"Income",Transactions!$E$7:$E$996,A121),"")</f>
        <v/>
      </c>
      <c r="D121" s="70" t="str">
        <f>IF(A121&lt;&gt;"",SUMIFS(Transactions!$F$7:$F$996,Transactions!$D$7:$D$996,"Expense",Transactions!$E$7:$E$996,A121),"")</f>
        <v/>
      </c>
      <c r="E121" s="68" t="str">
        <f t="shared" si="1"/>
        <v/>
      </c>
      <c r="F121" s="68" t="str">
        <f t="shared" si="2"/>
        <v/>
      </c>
      <c r="G121" s="71"/>
      <c r="H121" s="66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2" t="str">
        <f>IF(Roster!$A$120&lt;&gt;"",Roster!$A$120,"")</f>
        <v/>
      </c>
      <c r="B122" s="72" t="str">
        <f t="array" ref="B122">IF(A122&lt;&gt;"",IFERROR(SUMPRODUCT((INDEX(Attendance!$B$7:$AZ$206,MATCH(A122,Attendance!$A$7:$A$206,0),0)=1)*Attendance!$B$4:$AZ$4),0),"")</f>
        <v/>
      </c>
      <c r="C122" s="73" t="str">
        <f>IF(A122&lt;&gt;"",SUMIFS(Transactions!$F$7:$F$996,Transactions!$D$7:$D$996,"Income",Transactions!$E$7:$E$996,A122),"")</f>
        <v/>
      </c>
      <c r="D122" s="73" t="str">
        <f>IF(A122&lt;&gt;"",SUMIFS(Transactions!$F$7:$F$996,Transactions!$D$7:$D$996,"Expense",Transactions!$E$7:$E$996,A122),"")</f>
        <v/>
      </c>
      <c r="E122" s="74" t="str">
        <f t="shared" si="1"/>
        <v/>
      </c>
      <c r="F122" s="74" t="str">
        <f t="shared" si="2"/>
        <v/>
      </c>
      <c r="G122" s="71"/>
      <c r="H122" s="66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0" t="str">
        <f>IF(A123&lt;&gt;"",SUMIFS(Transactions!$F$7:$F$996,Transactions!$D$7:$D$996,"Income",Transactions!$E$7:$E$996,A123),"")</f>
        <v/>
      </c>
      <c r="D123" s="70" t="str">
        <f>IF(A123&lt;&gt;"",SUMIFS(Transactions!$F$7:$F$996,Transactions!$D$7:$D$996,"Expense",Transactions!$E$7:$E$996,A123),"")</f>
        <v/>
      </c>
      <c r="E123" s="68" t="str">
        <f t="shared" si="1"/>
        <v/>
      </c>
      <c r="F123" s="68" t="str">
        <f t="shared" si="2"/>
        <v/>
      </c>
      <c r="G123" s="71"/>
      <c r="H123" s="66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2" t="str">
        <f>IF(Roster!$A$122&lt;&gt;"",Roster!$A$122,"")</f>
        <v/>
      </c>
      <c r="B124" s="72" t="str">
        <f t="array" ref="B124">IF(A124&lt;&gt;"",IFERROR(SUMPRODUCT((INDEX(Attendance!$B$7:$AZ$206,MATCH(A124,Attendance!$A$7:$A$206,0),0)=1)*Attendance!$B$4:$AZ$4),0),"")</f>
        <v/>
      </c>
      <c r="C124" s="73" t="str">
        <f>IF(A124&lt;&gt;"",SUMIFS(Transactions!$F$7:$F$996,Transactions!$D$7:$D$996,"Income",Transactions!$E$7:$E$996,A124),"")</f>
        <v/>
      </c>
      <c r="D124" s="73" t="str">
        <f>IF(A124&lt;&gt;"",SUMIFS(Transactions!$F$7:$F$996,Transactions!$D$7:$D$996,"Expense",Transactions!$E$7:$E$996,A124),"")</f>
        <v/>
      </c>
      <c r="E124" s="74" t="str">
        <f t="shared" si="1"/>
        <v/>
      </c>
      <c r="F124" s="74" t="str">
        <f t="shared" si="2"/>
        <v/>
      </c>
      <c r="G124" s="71"/>
      <c r="H124" s="66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0" t="str">
        <f>IF(A125&lt;&gt;"",SUMIFS(Transactions!$F$7:$F$996,Transactions!$D$7:$D$996,"Income",Transactions!$E$7:$E$996,A125),"")</f>
        <v/>
      </c>
      <c r="D125" s="70" t="str">
        <f>IF(A125&lt;&gt;"",SUMIFS(Transactions!$F$7:$F$996,Transactions!$D$7:$D$996,"Expense",Transactions!$E$7:$E$996,A125),"")</f>
        <v/>
      </c>
      <c r="E125" s="68" t="str">
        <f t="shared" si="1"/>
        <v/>
      </c>
      <c r="F125" s="68" t="str">
        <f t="shared" si="2"/>
        <v/>
      </c>
      <c r="G125" s="71"/>
      <c r="H125" s="66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2" t="str">
        <f>IF(Roster!$A$124&lt;&gt;"",Roster!$A$124,"")</f>
        <v/>
      </c>
      <c r="B126" s="72" t="str">
        <f t="array" ref="B126">IF(A126&lt;&gt;"",IFERROR(SUMPRODUCT((INDEX(Attendance!$B$7:$AZ$206,MATCH(A126,Attendance!$A$7:$A$206,0),0)=1)*Attendance!$B$4:$AZ$4),0),"")</f>
        <v/>
      </c>
      <c r="C126" s="73" t="str">
        <f>IF(A126&lt;&gt;"",SUMIFS(Transactions!$F$7:$F$996,Transactions!$D$7:$D$996,"Income",Transactions!$E$7:$E$996,A126),"")</f>
        <v/>
      </c>
      <c r="D126" s="73" t="str">
        <f>IF(A126&lt;&gt;"",SUMIFS(Transactions!$F$7:$F$996,Transactions!$D$7:$D$996,"Expense",Transactions!$E$7:$E$996,A126),"")</f>
        <v/>
      </c>
      <c r="E126" s="74" t="str">
        <f t="shared" si="1"/>
        <v/>
      </c>
      <c r="F126" s="74" t="str">
        <f t="shared" si="2"/>
        <v/>
      </c>
      <c r="G126" s="71"/>
      <c r="H126" s="66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0" t="str">
        <f>IF(A127&lt;&gt;"",SUMIFS(Transactions!$F$7:$F$996,Transactions!$D$7:$D$996,"Income",Transactions!$E$7:$E$996,A127),"")</f>
        <v/>
      </c>
      <c r="D127" s="70" t="str">
        <f>IF(A127&lt;&gt;"",SUMIFS(Transactions!$F$7:$F$996,Transactions!$D$7:$D$996,"Expense",Transactions!$E$7:$E$996,A127),"")</f>
        <v/>
      </c>
      <c r="E127" s="68" t="str">
        <f t="shared" si="1"/>
        <v/>
      </c>
      <c r="F127" s="68" t="str">
        <f t="shared" si="2"/>
        <v/>
      </c>
      <c r="G127" s="71"/>
      <c r="H127" s="66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2" t="str">
        <f>IF(Roster!$A$126&lt;&gt;"",Roster!$A$126,"")</f>
        <v/>
      </c>
      <c r="B128" s="72" t="str">
        <f t="array" ref="B128">IF(A128&lt;&gt;"",IFERROR(SUMPRODUCT((INDEX(Attendance!$B$7:$AZ$206,MATCH(A128,Attendance!$A$7:$A$206,0),0)=1)*Attendance!$B$4:$AZ$4),0),"")</f>
        <v/>
      </c>
      <c r="C128" s="73" t="str">
        <f>IF(A128&lt;&gt;"",SUMIFS(Transactions!$F$7:$F$996,Transactions!$D$7:$D$996,"Income",Transactions!$E$7:$E$996,A128),"")</f>
        <v/>
      </c>
      <c r="D128" s="73" t="str">
        <f>IF(A128&lt;&gt;"",SUMIFS(Transactions!$F$7:$F$996,Transactions!$D$7:$D$996,"Expense",Transactions!$E$7:$E$996,A128),"")</f>
        <v/>
      </c>
      <c r="E128" s="74" t="str">
        <f t="shared" si="1"/>
        <v/>
      </c>
      <c r="F128" s="74" t="str">
        <f t="shared" si="2"/>
        <v/>
      </c>
      <c r="G128" s="71"/>
      <c r="H128" s="66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0" t="str">
        <f>IF(A129&lt;&gt;"",SUMIFS(Transactions!$F$7:$F$996,Transactions!$D$7:$D$996,"Income",Transactions!$E$7:$E$996,A129),"")</f>
        <v/>
      </c>
      <c r="D129" s="70" t="str">
        <f>IF(A129&lt;&gt;"",SUMIFS(Transactions!$F$7:$F$996,Transactions!$D$7:$D$996,"Expense",Transactions!$E$7:$E$996,A129),"")</f>
        <v/>
      </c>
      <c r="E129" s="68" t="str">
        <f t="shared" si="1"/>
        <v/>
      </c>
      <c r="F129" s="68" t="str">
        <f t="shared" si="2"/>
        <v/>
      </c>
      <c r="G129" s="71"/>
      <c r="H129" s="66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2" t="str">
        <f>IF(Roster!$A$128&lt;&gt;"",Roster!$A$128,"")</f>
        <v/>
      </c>
      <c r="B130" s="72" t="str">
        <f t="array" ref="B130">IF(A130&lt;&gt;"",IFERROR(SUMPRODUCT((INDEX(Attendance!$B$7:$AZ$206,MATCH(A130,Attendance!$A$7:$A$206,0),0)=1)*Attendance!$B$4:$AZ$4),0),"")</f>
        <v/>
      </c>
      <c r="C130" s="73" t="str">
        <f>IF(A130&lt;&gt;"",SUMIFS(Transactions!$F$7:$F$996,Transactions!$D$7:$D$996,"Income",Transactions!$E$7:$E$996,A130),"")</f>
        <v/>
      </c>
      <c r="D130" s="73" t="str">
        <f>IF(A130&lt;&gt;"",SUMIFS(Transactions!$F$7:$F$996,Transactions!$D$7:$D$996,"Expense",Transactions!$E$7:$E$996,A130),"")</f>
        <v/>
      </c>
      <c r="E130" s="74" t="str">
        <f t="shared" si="1"/>
        <v/>
      </c>
      <c r="F130" s="74" t="str">
        <f t="shared" si="2"/>
        <v/>
      </c>
      <c r="G130" s="71"/>
      <c r="H130" s="66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0" t="str">
        <f>IF(A131&lt;&gt;"",SUMIFS(Transactions!$F$7:$F$996,Transactions!$D$7:$D$996,"Income",Transactions!$E$7:$E$996,A131),"")</f>
        <v/>
      </c>
      <c r="D131" s="70" t="str">
        <f>IF(A131&lt;&gt;"",SUMIFS(Transactions!$F$7:$F$996,Transactions!$D$7:$D$996,"Expense",Transactions!$E$7:$E$996,A131),"")</f>
        <v/>
      </c>
      <c r="E131" s="68" t="str">
        <f t="shared" si="1"/>
        <v/>
      </c>
      <c r="F131" s="68" t="str">
        <f t="shared" si="2"/>
        <v/>
      </c>
      <c r="G131" s="71"/>
      <c r="H131" s="66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2" t="str">
        <f>IF(Roster!$A$130&lt;&gt;"",Roster!$A$130,"")</f>
        <v/>
      </c>
      <c r="B132" s="72" t="str">
        <f t="array" ref="B132">IF(A132&lt;&gt;"",IFERROR(SUMPRODUCT((INDEX(Attendance!$B$7:$AZ$206,MATCH(A132,Attendance!$A$7:$A$206,0),0)=1)*Attendance!$B$4:$AZ$4),0),"")</f>
        <v/>
      </c>
      <c r="C132" s="73" t="str">
        <f>IF(A132&lt;&gt;"",SUMIFS(Transactions!$F$7:$F$996,Transactions!$D$7:$D$996,"Income",Transactions!$E$7:$E$996,A132),"")</f>
        <v/>
      </c>
      <c r="D132" s="73" t="str">
        <f>IF(A132&lt;&gt;"",SUMIFS(Transactions!$F$7:$F$996,Transactions!$D$7:$D$996,"Expense",Transactions!$E$7:$E$996,A132),"")</f>
        <v/>
      </c>
      <c r="E132" s="74" t="str">
        <f t="shared" si="1"/>
        <v/>
      </c>
      <c r="F132" s="74" t="str">
        <f t="shared" si="2"/>
        <v/>
      </c>
      <c r="G132" s="71"/>
      <c r="H132" s="66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0" t="str">
        <f>IF(A133&lt;&gt;"",SUMIFS(Transactions!$F$7:$F$996,Transactions!$D$7:$D$996,"Income",Transactions!$E$7:$E$996,A133),"")</f>
        <v/>
      </c>
      <c r="D133" s="70" t="str">
        <f>IF(A133&lt;&gt;"",SUMIFS(Transactions!$F$7:$F$996,Transactions!$D$7:$D$996,"Expense",Transactions!$E$7:$E$996,A133),"")</f>
        <v/>
      </c>
      <c r="E133" s="68" t="str">
        <f t="shared" si="1"/>
        <v/>
      </c>
      <c r="F133" s="68" t="str">
        <f t="shared" si="2"/>
        <v/>
      </c>
      <c r="G133" s="71"/>
      <c r="H133" s="66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2" t="str">
        <f>IF(Roster!$A$132&lt;&gt;"",Roster!$A$132,"")</f>
        <v/>
      </c>
      <c r="B134" s="72" t="str">
        <f t="array" ref="B134">IF(A134&lt;&gt;"",IFERROR(SUMPRODUCT((INDEX(Attendance!$B$7:$AZ$206,MATCH(A134,Attendance!$A$7:$A$206,0),0)=1)*Attendance!$B$4:$AZ$4),0),"")</f>
        <v/>
      </c>
      <c r="C134" s="73" t="str">
        <f>IF(A134&lt;&gt;"",SUMIFS(Transactions!$F$7:$F$996,Transactions!$D$7:$D$996,"Income",Transactions!$E$7:$E$996,A134),"")</f>
        <v/>
      </c>
      <c r="D134" s="73" t="str">
        <f>IF(A134&lt;&gt;"",SUMIFS(Transactions!$F$7:$F$996,Transactions!$D$7:$D$996,"Expense",Transactions!$E$7:$E$996,A134),"")</f>
        <v/>
      </c>
      <c r="E134" s="74" t="str">
        <f t="shared" si="1"/>
        <v/>
      </c>
      <c r="F134" s="74" t="str">
        <f t="shared" si="2"/>
        <v/>
      </c>
      <c r="G134" s="71"/>
      <c r="H134" s="66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0" t="str">
        <f>IF(A135&lt;&gt;"",SUMIFS(Transactions!$F$7:$F$996,Transactions!$D$7:$D$996,"Income",Transactions!$E$7:$E$996,A135),"")</f>
        <v/>
      </c>
      <c r="D135" s="70" t="str">
        <f>IF(A135&lt;&gt;"",SUMIFS(Transactions!$F$7:$F$996,Transactions!$D$7:$D$996,"Expense",Transactions!$E$7:$E$996,A135),"")</f>
        <v/>
      </c>
      <c r="E135" s="68" t="str">
        <f t="shared" si="1"/>
        <v/>
      </c>
      <c r="F135" s="68" t="str">
        <f t="shared" si="2"/>
        <v/>
      </c>
      <c r="G135" s="71"/>
      <c r="H135" s="66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2" t="str">
        <f>IF(Roster!$A$134&lt;&gt;"",Roster!$A$134,"")</f>
        <v/>
      </c>
      <c r="B136" s="72" t="str">
        <f t="array" ref="B136">IF(A136&lt;&gt;"",IFERROR(SUMPRODUCT((INDEX(Attendance!$B$7:$AZ$206,MATCH(A136,Attendance!$A$7:$A$206,0),0)=1)*Attendance!$B$4:$AZ$4),0),"")</f>
        <v/>
      </c>
      <c r="C136" s="73" t="str">
        <f>IF(A136&lt;&gt;"",SUMIFS(Transactions!$F$7:$F$996,Transactions!$D$7:$D$996,"Income",Transactions!$E$7:$E$996,A136),"")</f>
        <v/>
      </c>
      <c r="D136" s="73" t="str">
        <f>IF(A136&lt;&gt;"",SUMIFS(Transactions!$F$7:$F$996,Transactions!$D$7:$D$996,"Expense",Transactions!$E$7:$E$996,A136),"")</f>
        <v/>
      </c>
      <c r="E136" s="74" t="str">
        <f t="shared" si="1"/>
        <v/>
      </c>
      <c r="F136" s="74" t="str">
        <f t="shared" si="2"/>
        <v/>
      </c>
      <c r="G136" s="71"/>
      <c r="H136" s="66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0" t="str">
        <f>IF(A137&lt;&gt;"",SUMIFS(Transactions!$F$7:$F$996,Transactions!$D$7:$D$996,"Income",Transactions!$E$7:$E$996,A137),"")</f>
        <v/>
      </c>
      <c r="D137" s="70" t="str">
        <f>IF(A137&lt;&gt;"",SUMIFS(Transactions!$F$7:$F$996,Transactions!$D$7:$D$996,"Expense",Transactions!$E$7:$E$996,A137),"")</f>
        <v/>
      </c>
      <c r="E137" s="68" t="str">
        <f t="shared" si="1"/>
        <v/>
      </c>
      <c r="F137" s="68" t="str">
        <f t="shared" si="2"/>
        <v/>
      </c>
      <c r="G137" s="71"/>
      <c r="H137" s="66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2" t="str">
        <f>IF(Roster!$A$136&lt;&gt;"",Roster!$A$136,"")</f>
        <v/>
      </c>
      <c r="B138" s="72" t="str">
        <f t="array" ref="B138">IF(A138&lt;&gt;"",IFERROR(SUMPRODUCT((INDEX(Attendance!$B$7:$AZ$206,MATCH(A138,Attendance!$A$7:$A$206,0),0)=1)*Attendance!$B$4:$AZ$4),0),"")</f>
        <v/>
      </c>
      <c r="C138" s="73" t="str">
        <f>IF(A138&lt;&gt;"",SUMIFS(Transactions!$F$7:$F$996,Transactions!$D$7:$D$996,"Income",Transactions!$E$7:$E$996,A138),"")</f>
        <v/>
      </c>
      <c r="D138" s="73" t="str">
        <f>IF(A138&lt;&gt;"",SUMIFS(Transactions!$F$7:$F$996,Transactions!$D$7:$D$996,"Expense",Transactions!$E$7:$E$996,A138),"")</f>
        <v/>
      </c>
      <c r="E138" s="74" t="str">
        <f t="shared" si="1"/>
        <v/>
      </c>
      <c r="F138" s="74" t="str">
        <f t="shared" si="2"/>
        <v/>
      </c>
      <c r="G138" s="71"/>
      <c r="H138" s="66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0" t="str">
        <f>IF(A139&lt;&gt;"",SUMIFS(Transactions!$F$7:$F$996,Transactions!$D$7:$D$996,"Income",Transactions!$E$7:$E$996,A139),"")</f>
        <v/>
      </c>
      <c r="D139" s="70" t="str">
        <f>IF(A139&lt;&gt;"",SUMIFS(Transactions!$F$7:$F$996,Transactions!$D$7:$D$996,"Expense",Transactions!$E$7:$E$996,A139),"")</f>
        <v/>
      </c>
      <c r="E139" s="68" t="str">
        <f t="shared" si="1"/>
        <v/>
      </c>
      <c r="F139" s="68" t="str">
        <f t="shared" si="2"/>
        <v/>
      </c>
      <c r="G139" s="71"/>
      <c r="H139" s="66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2" t="str">
        <f>IF(Roster!$A$138&lt;&gt;"",Roster!$A$138,"")</f>
        <v/>
      </c>
      <c r="B140" s="72" t="str">
        <f t="array" ref="B140">IF(A140&lt;&gt;"",IFERROR(SUMPRODUCT((INDEX(Attendance!$B$7:$AZ$206,MATCH(A140,Attendance!$A$7:$A$206,0),0)=1)*Attendance!$B$4:$AZ$4),0),"")</f>
        <v/>
      </c>
      <c r="C140" s="73" t="str">
        <f>IF(A140&lt;&gt;"",SUMIFS(Transactions!$F$7:$F$996,Transactions!$D$7:$D$996,"Income",Transactions!$E$7:$E$996,A140),"")</f>
        <v/>
      </c>
      <c r="D140" s="73" t="str">
        <f>IF(A140&lt;&gt;"",SUMIFS(Transactions!$F$7:$F$996,Transactions!$D$7:$D$996,"Expense",Transactions!$E$7:$E$996,A140),"")</f>
        <v/>
      </c>
      <c r="E140" s="74" t="str">
        <f t="shared" si="1"/>
        <v/>
      </c>
      <c r="F140" s="74" t="str">
        <f t="shared" si="2"/>
        <v/>
      </c>
      <c r="G140" s="71"/>
      <c r="H140" s="66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0" t="str">
        <f>IF(A141&lt;&gt;"",SUMIFS(Transactions!$F$7:$F$996,Transactions!$D$7:$D$996,"Income",Transactions!$E$7:$E$996,A141),"")</f>
        <v/>
      </c>
      <c r="D141" s="70" t="str">
        <f>IF(A141&lt;&gt;"",SUMIFS(Transactions!$F$7:$F$996,Transactions!$D$7:$D$996,"Expense",Transactions!$E$7:$E$996,A141),"")</f>
        <v/>
      </c>
      <c r="E141" s="68" t="str">
        <f t="shared" si="1"/>
        <v/>
      </c>
      <c r="F141" s="68" t="str">
        <f t="shared" si="2"/>
        <v/>
      </c>
      <c r="G141" s="71"/>
      <c r="H141" s="66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2" t="str">
        <f>IF(Roster!$A$140&lt;&gt;"",Roster!$A$140,"")</f>
        <v/>
      </c>
      <c r="B142" s="72" t="str">
        <f t="array" ref="B142">IF(A142&lt;&gt;"",IFERROR(SUMPRODUCT((INDEX(Attendance!$B$7:$AZ$206,MATCH(A142,Attendance!$A$7:$A$206,0),0)=1)*Attendance!$B$4:$AZ$4),0),"")</f>
        <v/>
      </c>
      <c r="C142" s="73" t="str">
        <f>IF(A142&lt;&gt;"",SUMIFS(Transactions!$F$7:$F$996,Transactions!$D$7:$D$996,"Income",Transactions!$E$7:$E$996,A142),"")</f>
        <v/>
      </c>
      <c r="D142" s="73" t="str">
        <f>IF(A142&lt;&gt;"",SUMIFS(Transactions!$F$7:$F$996,Transactions!$D$7:$D$996,"Expense",Transactions!$E$7:$E$996,A142),"")</f>
        <v/>
      </c>
      <c r="E142" s="74" t="str">
        <f t="shared" si="1"/>
        <v/>
      </c>
      <c r="F142" s="74" t="str">
        <f t="shared" si="2"/>
        <v/>
      </c>
      <c r="G142" s="71"/>
      <c r="H142" s="66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0" t="str">
        <f>IF(A143&lt;&gt;"",SUMIFS(Transactions!$F$7:$F$996,Transactions!$D$7:$D$996,"Income",Transactions!$E$7:$E$996,A143),"")</f>
        <v/>
      </c>
      <c r="D143" s="70" t="str">
        <f>IF(A143&lt;&gt;"",SUMIFS(Transactions!$F$7:$F$996,Transactions!$D$7:$D$996,"Expense",Transactions!$E$7:$E$996,A143),"")</f>
        <v/>
      </c>
      <c r="E143" s="68" t="str">
        <f t="shared" si="1"/>
        <v/>
      </c>
      <c r="F143" s="68" t="str">
        <f t="shared" si="2"/>
        <v/>
      </c>
      <c r="G143" s="71"/>
      <c r="H143" s="66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2" t="str">
        <f>IF(Roster!$A$142&lt;&gt;"",Roster!$A$142,"")</f>
        <v/>
      </c>
      <c r="B144" s="72" t="str">
        <f t="array" ref="B144">IF(A144&lt;&gt;"",IFERROR(SUMPRODUCT((INDEX(Attendance!$B$7:$AZ$206,MATCH(A144,Attendance!$A$7:$A$206,0),0)=1)*Attendance!$B$4:$AZ$4),0),"")</f>
        <v/>
      </c>
      <c r="C144" s="73" t="str">
        <f>IF(A144&lt;&gt;"",SUMIFS(Transactions!$F$7:$F$996,Transactions!$D$7:$D$996,"Income",Transactions!$E$7:$E$996,A144),"")</f>
        <v/>
      </c>
      <c r="D144" s="73" t="str">
        <f>IF(A144&lt;&gt;"",SUMIFS(Transactions!$F$7:$F$996,Transactions!$D$7:$D$996,"Expense",Transactions!$E$7:$E$996,A144),"")</f>
        <v/>
      </c>
      <c r="E144" s="74" t="str">
        <f t="shared" si="1"/>
        <v/>
      </c>
      <c r="F144" s="74" t="str">
        <f t="shared" si="2"/>
        <v/>
      </c>
      <c r="G144" s="71"/>
      <c r="H144" s="66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0" t="str">
        <f>IF(A145&lt;&gt;"",SUMIFS(Transactions!$F$7:$F$996,Transactions!$D$7:$D$996,"Income",Transactions!$E$7:$E$996,A145),"")</f>
        <v/>
      </c>
      <c r="D145" s="70" t="str">
        <f>IF(A145&lt;&gt;"",SUMIFS(Transactions!$F$7:$F$996,Transactions!$D$7:$D$996,"Expense",Transactions!$E$7:$E$996,A145),"")</f>
        <v/>
      </c>
      <c r="E145" s="68" t="str">
        <f t="shared" si="1"/>
        <v/>
      </c>
      <c r="F145" s="68" t="str">
        <f t="shared" si="2"/>
        <v/>
      </c>
      <c r="G145" s="71"/>
      <c r="H145" s="66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2" t="str">
        <f>IF(Roster!$A$144&lt;&gt;"",Roster!$A$144,"")</f>
        <v/>
      </c>
      <c r="B146" s="72" t="str">
        <f t="array" ref="B146">IF(A146&lt;&gt;"",IFERROR(SUMPRODUCT((INDEX(Attendance!$B$7:$AZ$206,MATCH(A146,Attendance!$A$7:$A$206,0),0)=1)*Attendance!$B$4:$AZ$4),0),"")</f>
        <v/>
      </c>
      <c r="C146" s="73" t="str">
        <f>IF(A146&lt;&gt;"",SUMIFS(Transactions!$F$7:$F$996,Transactions!$D$7:$D$996,"Income",Transactions!$E$7:$E$996,A146),"")</f>
        <v/>
      </c>
      <c r="D146" s="73" t="str">
        <f>IF(A146&lt;&gt;"",SUMIFS(Transactions!$F$7:$F$996,Transactions!$D$7:$D$996,"Expense",Transactions!$E$7:$E$996,A146),"")</f>
        <v/>
      </c>
      <c r="E146" s="74" t="str">
        <f t="shared" si="1"/>
        <v/>
      </c>
      <c r="F146" s="74" t="str">
        <f t="shared" si="2"/>
        <v/>
      </c>
      <c r="G146" s="71"/>
      <c r="H146" s="66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0" t="str">
        <f>IF(A147&lt;&gt;"",SUMIFS(Transactions!$F$7:$F$996,Transactions!$D$7:$D$996,"Income",Transactions!$E$7:$E$996,A147),"")</f>
        <v/>
      </c>
      <c r="D147" s="70" t="str">
        <f>IF(A147&lt;&gt;"",SUMIFS(Transactions!$F$7:$F$996,Transactions!$D$7:$D$996,"Expense",Transactions!$E$7:$E$996,A147),"")</f>
        <v/>
      </c>
      <c r="E147" s="68" t="str">
        <f t="shared" si="1"/>
        <v/>
      </c>
      <c r="F147" s="68" t="str">
        <f t="shared" si="2"/>
        <v/>
      </c>
      <c r="G147" s="71"/>
      <c r="H147" s="66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2" t="str">
        <f>IF(Roster!$A$146&lt;&gt;"",Roster!$A$146,"")</f>
        <v/>
      </c>
      <c r="B148" s="72" t="str">
        <f t="array" ref="B148">IF(A148&lt;&gt;"",IFERROR(SUMPRODUCT((INDEX(Attendance!$B$7:$AZ$206,MATCH(A148,Attendance!$A$7:$A$206,0),0)=1)*Attendance!$B$4:$AZ$4),0),"")</f>
        <v/>
      </c>
      <c r="C148" s="73" t="str">
        <f>IF(A148&lt;&gt;"",SUMIFS(Transactions!$F$7:$F$996,Transactions!$D$7:$D$996,"Income",Transactions!$E$7:$E$996,A148),"")</f>
        <v/>
      </c>
      <c r="D148" s="73" t="str">
        <f>IF(A148&lt;&gt;"",SUMIFS(Transactions!$F$7:$F$996,Transactions!$D$7:$D$996,"Expense",Transactions!$E$7:$E$996,A148),"")</f>
        <v/>
      </c>
      <c r="E148" s="74" t="str">
        <f t="shared" si="1"/>
        <v/>
      </c>
      <c r="F148" s="74" t="str">
        <f t="shared" si="2"/>
        <v/>
      </c>
      <c r="G148" s="71"/>
      <c r="H148" s="6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0" t="str">
        <f>IF(A149&lt;&gt;"",SUMIFS(Transactions!$F$7:$F$996,Transactions!$D$7:$D$996,"Income",Transactions!$E$7:$E$996,A149),"")</f>
        <v/>
      </c>
      <c r="D149" s="70" t="str">
        <f>IF(A149&lt;&gt;"",SUMIFS(Transactions!$F$7:$F$996,Transactions!$D$7:$D$996,"Expense",Transactions!$E$7:$E$996,A149),"")</f>
        <v/>
      </c>
      <c r="E149" s="68" t="str">
        <f t="shared" si="1"/>
        <v/>
      </c>
      <c r="F149" s="68" t="str">
        <f t="shared" si="2"/>
        <v/>
      </c>
      <c r="G149" s="71"/>
      <c r="H149" s="6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2" t="str">
        <f>IF(Roster!$A$148&lt;&gt;"",Roster!$A$148,"")</f>
        <v/>
      </c>
      <c r="B150" s="72" t="str">
        <f t="array" ref="B150">IF(A150&lt;&gt;"",IFERROR(SUMPRODUCT((INDEX(Attendance!$B$7:$AZ$206,MATCH(A150,Attendance!$A$7:$A$206,0),0)=1)*Attendance!$B$4:$AZ$4),0),"")</f>
        <v/>
      </c>
      <c r="C150" s="73" t="str">
        <f>IF(A150&lt;&gt;"",SUMIFS(Transactions!$F$7:$F$996,Transactions!$D$7:$D$996,"Income",Transactions!$E$7:$E$996,A150),"")</f>
        <v/>
      </c>
      <c r="D150" s="73" t="str">
        <f>IF(A150&lt;&gt;"",SUMIFS(Transactions!$F$7:$F$996,Transactions!$D$7:$D$996,"Expense",Transactions!$E$7:$E$996,A150),"")</f>
        <v/>
      </c>
      <c r="E150" s="74" t="str">
        <f t="shared" si="1"/>
        <v/>
      </c>
      <c r="F150" s="74" t="str">
        <f t="shared" si="2"/>
        <v/>
      </c>
      <c r="G150" s="71"/>
      <c r="H150" s="6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0" t="str">
        <f>IF(A151&lt;&gt;"",SUMIFS(Transactions!$F$7:$F$996,Transactions!$D$7:$D$996,"Income",Transactions!$E$7:$E$996,A151),"")</f>
        <v/>
      </c>
      <c r="D151" s="70" t="str">
        <f>IF(A151&lt;&gt;"",SUMIFS(Transactions!$F$7:$F$996,Transactions!$D$7:$D$996,"Expense",Transactions!$E$7:$E$996,A151),"")</f>
        <v/>
      </c>
      <c r="E151" s="68" t="str">
        <f t="shared" si="1"/>
        <v/>
      </c>
      <c r="F151" s="68" t="str">
        <f t="shared" si="2"/>
        <v/>
      </c>
      <c r="G151" s="71"/>
      <c r="H151" s="6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2" t="str">
        <f>IF(Roster!$A$150&lt;&gt;"",Roster!$A$150,"")</f>
        <v/>
      </c>
      <c r="B152" s="72" t="str">
        <f t="array" ref="B152">IF(A152&lt;&gt;"",IFERROR(SUMPRODUCT((INDEX(Attendance!$B$7:$AZ$206,MATCH(A152,Attendance!$A$7:$A$206,0),0)=1)*Attendance!$B$4:$AZ$4),0),"")</f>
        <v/>
      </c>
      <c r="C152" s="73" t="str">
        <f>IF(A152&lt;&gt;"",SUMIFS(Transactions!$F$7:$F$996,Transactions!$D$7:$D$996,"Income",Transactions!$E$7:$E$996,A152),"")</f>
        <v/>
      </c>
      <c r="D152" s="73" t="str">
        <f>IF(A152&lt;&gt;"",SUMIFS(Transactions!$F$7:$F$996,Transactions!$D$7:$D$996,"Expense",Transactions!$E$7:$E$996,A152),"")</f>
        <v/>
      </c>
      <c r="E152" s="74" t="str">
        <f t="shared" si="1"/>
        <v/>
      </c>
      <c r="F152" s="74" t="str">
        <f t="shared" si="2"/>
        <v/>
      </c>
      <c r="G152" s="71"/>
      <c r="H152" s="6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0" t="str">
        <f>IF(A153&lt;&gt;"",SUMIFS(Transactions!$F$7:$F$996,Transactions!$D$7:$D$996,"Income",Transactions!$E$7:$E$996,A153),"")</f>
        <v/>
      </c>
      <c r="D153" s="70" t="str">
        <f>IF(A153&lt;&gt;"",SUMIFS(Transactions!$F$7:$F$996,Transactions!$D$7:$D$996,"Expense",Transactions!$E$7:$E$996,A153),"")</f>
        <v/>
      </c>
      <c r="E153" s="68" t="str">
        <f t="shared" si="1"/>
        <v/>
      </c>
      <c r="F153" s="68" t="str">
        <f t="shared" si="2"/>
        <v/>
      </c>
      <c r="G153" s="71"/>
      <c r="H153" s="6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2" t="str">
        <f>IF(Roster!$A$152&lt;&gt;"",Roster!$A$152,"")</f>
        <v/>
      </c>
      <c r="B154" s="72" t="str">
        <f t="array" ref="B154">IF(A154&lt;&gt;"",IFERROR(SUMPRODUCT((INDEX(Attendance!$B$7:$AZ$206,MATCH(A154,Attendance!$A$7:$A$206,0),0)=1)*Attendance!$B$4:$AZ$4),0),"")</f>
        <v/>
      </c>
      <c r="C154" s="73" t="str">
        <f>IF(A154&lt;&gt;"",SUMIFS(Transactions!$F$7:$F$996,Transactions!$D$7:$D$996,"Income",Transactions!$E$7:$E$996,A154),"")</f>
        <v/>
      </c>
      <c r="D154" s="73" t="str">
        <f>IF(A154&lt;&gt;"",SUMIFS(Transactions!$F$7:$F$996,Transactions!$D$7:$D$996,"Expense",Transactions!$E$7:$E$996,A154),"")</f>
        <v/>
      </c>
      <c r="E154" s="74" t="str">
        <f t="shared" si="1"/>
        <v/>
      </c>
      <c r="F154" s="74" t="str">
        <f t="shared" si="2"/>
        <v/>
      </c>
      <c r="G154" s="71"/>
      <c r="H154" s="6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0" t="str">
        <f>IF(A155&lt;&gt;"",SUMIFS(Transactions!$F$7:$F$996,Transactions!$D$7:$D$996,"Income",Transactions!$E$7:$E$996,A155),"")</f>
        <v/>
      </c>
      <c r="D155" s="70" t="str">
        <f>IF(A155&lt;&gt;"",SUMIFS(Transactions!$F$7:$F$996,Transactions!$D$7:$D$996,"Expense",Transactions!$E$7:$E$996,A155),"")</f>
        <v/>
      </c>
      <c r="E155" s="68" t="str">
        <f t="shared" si="1"/>
        <v/>
      </c>
      <c r="F155" s="68" t="str">
        <f t="shared" si="2"/>
        <v/>
      </c>
      <c r="G155" s="71"/>
      <c r="H155" s="6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2" t="str">
        <f>IF(Roster!$A$154&lt;&gt;"",Roster!$A$154,"")</f>
        <v/>
      </c>
      <c r="B156" s="72" t="str">
        <f t="array" ref="B156">IF(A156&lt;&gt;"",IFERROR(SUMPRODUCT((INDEX(Attendance!$B$7:$AZ$206,MATCH(A156,Attendance!$A$7:$A$206,0),0)=1)*Attendance!$B$4:$AZ$4),0),"")</f>
        <v/>
      </c>
      <c r="C156" s="73" t="str">
        <f>IF(A156&lt;&gt;"",SUMIFS(Transactions!$F$7:$F$996,Transactions!$D$7:$D$996,"Income",Transactions!$E$7:$E$996,A156),"")</f>
        <v/>
      </c>
      <c r="D156" s="73" t="str">
        <f>IF(A156&lt;&gt;"",SUMIFS(Transactions!$F$7:$F$996,Transactions!$D$7:$D$996,"Expense",Transactions!$E$7:$E$996,A156),"")</f>
        <v/>
      </c>
      <c r="E156" s="74" t="str">
        <f t="shared" si="1"/>
        <v/>
      </c>
      <c r="F156" s="74" t="str">
        <f t="shared" si="2"/>
        <v/>
      </c>
      <c r="G156" s="71"/>
      <c r="H156" s="6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0" t="str">
        <f>IF(A157&lt;&gt;"",SUMIFS(Transactions!$F$7:$F$996,Transactions!$D$7:$D$996,"Income",Transactions!$E$7:$E$996,A157),"")</f>
        <v/>
      </c>
      <c r="D157" s="70" t="str">
        <f>IF(A157&lt;&gt;"",SUMIFS(Transactions!$F$7:$F$996,Transactions!$D$7:$D$996,"Expense",Transactions!$E$7:$E$996,A157),"")</f>
        <v/>
      </c>
      <c r="E157" s="68" t="str">
        <f t="shared" si="1"/>
        <v/>
      </c>
      <c r="F157" s="68" t="str">
        <f t="shared" si="2"/>
        <v/>
      </c>
      <c r="G157" s="71"/>
      <c r="H157" s="6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2" t="str">
        <f>IF(Roster!$A$156&lt;&gt;"",Roster!$A$156,"")</f>
        <v/>
      </c>
      <c r="B158" s="72" t="str">
        <f t="array" ref="B158">IF(A158&lt;&gt;"",IFERROR(SUMPRODUCT((INDEX(Attendance!$B$7:$AZ$206,MATCH(A158,Attendance!$A$7:$A$206,0),0)=1)*Attendance!$B$4:$AZ$4),0),"")</f>
        <v/>
      </c>
      <c r="C158" s="73" t="str">
        <f>IF(A158&lt;&gt;"",SUMIFS(Transactions!$F$7:$F$996,Transactions!$D$7:$D$996,"Income",Transactions!$E$7:$E$996,A158),"")</f>
        <v/>
      </c>
      <c r="D158" s="73" t="str">
        <f>IF(A158&lt;&gt;"",SUMIFS(Transactions!$F$7:$F$996,Transactions!$D$7:$D$996,"Expense",Transactions!$E$7:$E$996,A158),"")</f>
        <v/>
      </c>
      <c r="E158" s="74" t="str">
        <f t="shared" si="1"/>
        <v/>
      </c>
      <c r="F158" s="74" t="str">
        <f t="shared" si="2"/>
        <v/>
      </c>
      <c r="G158" s="71"/>
      <c r="H158" s="6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0" t="str">
        <f>IF(A159&lt;&gt;"",SUMIFS(Transactions!$F$7:$F$996,Transactions!$D$7:$D$996,"Income",Transactions!$E$7:$E$996,A159),"")</f>
        <v/>
      </c>
      <c r="D159" s="70" t="str">
        <f>IF(A159&lt;&gt;"",SUMIFS(Transactions!$F$7:$F$996,Transactions!$D$7:$D$996,"Expense",Transactions!$E$7:$E$996,A159),"")</f>
        <v/>
      </c>
      <c r="E159" s="68" t="str">
        <f t="shared" si="1"/>
        <v/>
      </c>
      <c r="F159" s="68" t="str">
        <f t="shared" si="2"/>
        <v/>
      </c>
      <c r="G159" s="71"/>
      <c r="H159" s="6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2" t="str">
        <f>IF(Roster!$A$158&lt;&gt;"",Roster!$A$158,"")</f>
        <v/>
      </c>
      <c r="B160" s="72" t="str">
        <f t="array" ref="B160">IF(A160&lt;&gt;"",IFERROR(SUMPRODUCT((INDEX(Attendance!$B$7:$AZ$206,MATCH(A160,Attendance!$A$7:$A$206,0),0)=1)*Attendance!$B$4:$AZ$4),0),"")</f>
        <v/>
      </c>
      <c r="C160" s="73" t="str">
        <f>IF(A160&lt;&gt;"",SUMIFS(Transactions!$F$7:$F$996,Transactions!$D$7:$D$996,"Income",Transactions!$E$7:$E$996,A160),"")</f>
        <v/>
      </c>
      <c r="D160" s="73" t="str">
        <f>IF(A160&lt;&gt;"",SUMIFS(Transactions!$F$7:$F$996,Transactions!$D$7:$D$996,"Expense",Transactions!$E$7:$E$996,A160),"")</f>
        <v/>
      </c>
      <c r="E160" s="74" t="str">
        <f t="shared" si="1"/>
        <v/>
      </c>
      <c r="F160" s="74" t="str">
        <f t="shared" si="2"/>
        <v/>
      </c>
      <c r="G160" s="71"/>
      <c r="H160" s="6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0" t="str">
        <f>IF(A161&lt;&gt;"",SUMIFS(Transactions!$F$7:$F$996,Transactions!$D$7:$D$996,"Income",Transactions!$E$7:$E$996,A161),"")</f>
        <v/>
      </c>
      <c r="D161" s="70" t="str">
        <f>IF(A161&lt;&gt;"",SUMIFS(Transactions!$F$7:$F$996,Transactions!$D$7:$D$996,"Expense",Transactions!$E$7:$E$996,A161),"")</f>
        <v/>
      </c>
      <c r="E161" s="68" t="str">
        <f t="shared" si="1"/>
        <v/>
      </c>
      <c r="F161" s="68" t="str">
        <f t="shared" si="2"/>
        <v/>
      </c>
      <c r="G161" s="71"/>
      <c r="H161" s="6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2" t="str">
        <f>IF(Roster!$A$160&lt;&gt;"",Roster!$A$160,"")</f>
        <v/>
      </c>
      <c r="B162" s="72" t="str">
        <f t="array" ref="B162">IF(A162&lt;&gt;"",IFERROR(SUMPRODUCT((INDEX(Attendance!$B$7:$AZ$206,MATCH(A162,Attendance!$A$7:$A$206,0),0)=1)*Attendance!$B$4:$AZ$4),0),"")</f>
        <v/>
      </c>
      <c r="C162" s="73" t="str">
        <f>IF(A162&lt;&gt;"",SUMIFS(Transactions!$F$7:$F$996,Transactions!$D$7:$D$996,"Income",Transactions!$E$7:$E$996,A162),"")</f>
        <v/>
      </c>
      <c r="D162" s="73" t="str">
        <f>IF(A162&lt;&gt;"",SUMIFS(Transactions!$F$7:$F$996,Transactions!$D$7:$D$996,"Expense",Transactions!$E$7:$E$996,A162),"")</f>
        <v/>
      </c>
      <c r="E162" s="74" t="str">
        <f t="shared" si="1"/>
        <v/>
      </c>
      <c r="F162" s="74" t="str">
        <f t="shared" si="2"/>
        <v/>
      </c>
      <c r="G162" s="71"/>
      <c r="H162" s="6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0" t="str">
        <f>IF(A163&lt;&gt;"",SUMIFS(Transactions!$F$7:$F$996,Transactions!$D$7:$D$996,"Income",Transactions!$E$7:$E$996,A163),"")</f>
        <v/>
      </c>
      <c r="D163" s="70" t="str">
        <f>IF(A163&lt;&gt;"",SUMIFS(Transactions!$F$7:$F$996,Transactions!$D$7:$D$996,"Expense",Transactions!$E$7:$E$996,A163),"")</f>
        <v/>
      </c>
      <c r="E163" s="68" t="str">
        <f t="shared" si="1"/>
        <v/>
      </c>
      <c r="F163" s="68" t="str">
        <f t="shared" si="2"/>
        <v/>
      </c>
      <c r="G163" s="71"/>
      <c r="H163" s="6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2" t="str">
        <f>IF(Roster!$A$162&lt;&gt;"",Roster!$A$162,"")</f>
        <v/>
      </c>
      <c r="B164" s="72" t="str">
        <f t="array" ref="B164">IF(A164&lt;&gt;"",IFERROR(SUMPRODUCT((INDEX(Attendance!$B$7:$AZ$206,MATCH(A164,Attendance!$A$7:$A$206,0),0)=1)*Attendance!$B$4:$AZ$4),0),"")</f>
        <v/>
      </c>
      <c r="C164" s="73" t="str">
        <f>IF(A164&lt;&gt;"",SUMIFS(Transactions!$F$7:$F$996,Transactions!$D$7:$D$996,"Income",Transactions!$E$7:$E$996,A164),"")</f>
        <v/>
      </c>
      <c r="D164" s="73" t="str">
        <f>IF(A164&lt;&gt;"",SUMIFS(Transactions!$F$7:$F$996,Transactions!$D$7:$D$996,"Expense",Transactions!$E$7:$E$996,A164),"")</f>
        <v/>
      </c>
      <c r="E164" s="74" t="str">
        <f t="shared" si="1"/>
        <v/>
      </c>
      <c r="F164" s="74" t="str">
        <f t="shared" si="2"/>
        <v/>
      </c>
      <c r="G164" s="71"/>
      <c r="H164" s="6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0" t="str">
        <f>IF(A165&lt;&gt;"",SUMIFS(Transactions!$F$7:$F$996,Transactions!$D$7:$D$996,"Income",Transactions!$E$7:$E$996,A165),"")</f>
        <v/>
      </c>
      <c r="D165" s="70" t="str">
        <f>IF(A165&lt;&gt;"",SUMIFS(Transactions!$F$7:$F$996,Transactions!$D$7:$D$996,"Expense",Transactions!$E$7:$E$996,A165),"")</f>
        <v/>
      </c>
      <c r="E165" s="68" t="str">
        <f t="shared" si="1"/>
        <v/>
      </c>
      <c r="F165" s="68" t="str">
        <f t="shared" si="2"/>
        <v/>
      </c>
      <c r="G165" s="71"/>
      <c r="H165" s="6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2" t="str">
        <f>IF(Roster!$A$164&lt;&gt;"",Roster!$A$164,"")</f>
        <v/>
      </c>
      <c r="B166" s="72" t="str">
        <f t="array" ref="B166">IF(A166&lt;&gt;"",IFERROR(SUMPRODUCT((INDEX(Attendance!$B$7:$AZ$206,MATCH(A166,Attendance!$A$7:$A$206,0),0)=1)*Attendance!$B$4:$AZ$4),0),"")</f>
        <v/>
      </c>
      <c r="C166" s="73" t="str">
        <f>IF(A166&lt;&gt;"",SUMIFS(Transactions!$F$7:$F$996,Transactions!$D$7:$D$996,"Income",Transactions!$E$7:$E$996,A166),"")</f>
        <v/>
      </c>
      <c r="D166" s="73" t="str">
        <f>IF(A166&lt;&gt;"",SUMIFS(Transactions!$F$7:$F$996,Transactions!$D$7:$D$996,"Expense",Transactions!$E$7:$E$996,A166),"")</f>
        <v/>
      </c>
      <c r="E166" s="74" t="str">
        <f t="shared" si="1"/>
        <v/>
      </c>
      <c r="F166" s="74" t="str">
        <f t="shared" si="2"/>
        <v/>
      </c>
      <c r="G166" s="71"/>
      <c r="H166" s="6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0" t="str">
        <f>IF(A167&lt;&gt;"",SUMIFS(Transactions!$F$7:$F$996,Transactions!$D$7:$D$996,"Income",Transactions!$E$7:$E$996,A167),"")</f>
        <v/>
      </c>
      <c r="D167" s="70" t="str">
        <f>IF(A167&lt;&gt;"",SUMIFS(Transactions!$F$7:$F$996,Transactions!$D$7:$D$996,"Expense",Transactions!$E$7:$E$996,A167),"")</f>
        <v/>
      </c>
      <c r="E167" s="68" t="str">
        <f t="shared" si="1"/>
        <v/>
      </c>
      <c r="F167" s="68" t="str">
        <f t="shared" si="2"/>
        <v/>
      </c>
      <c r="G167" s="71"/>
      <c r="H167" s="6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2" t="str">
        <f>IF(Roster!$A$166&lt;&gt;"",Roster!$A$166,"")</f>
        <v/>
      </c>
      <c r="B168" s="72" t="str">
        <f t="array" ref="B168">IF(A168&lt;&gt;"",IFERROR(SUMPRODUCT((INDEX(Attendance!$B$7:$AZ$206,MATCH(A168,Attendance!$A$7:$A$206,0),0)=1)*Attendance!$B$4:$AZ$4),0),"")</f>
        <v/>
      </c>
      <c r="C168" s="73" t="str">
        <f>IF(A168&lt;&gt;"",SUMIFS(Transactions!$F$7:$F$996,Transactions!$D$7:$D$996,"Income",Transactions!$E$7:$E$996,A168),"")</f>
        <v/>
      </c>
      <c r="D168" s="73" t="str">
        <f>IF(A168&lt;&gt;"",SUMIFS(Transactions!$F$7:$F$996,Transactions!$D$7:$D$996,"Expense",Transactions!$E$7:$E$996,A168),"")</f>
        <v/>
      </c>
      <c r="E168" s="74" t="str">
        <f t="shared" si="1"/>
        <v/>
      </c>
      <c r="F168" s="74" t="str">
        <f t="shared" si="2"/>
        <v/>
      </c>
      <c r="G168" s="71"/>
      <c r="H168" s="6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0" t="str">
        <f>IF(A169&lt;&gt;"",SUMIFS(Transactions!$F$7:$F$996,Transactions!$D$7:$D$996,"Income",Transactions!$E$7:$E$996,A169),"")</f>
        <v/>
      </c>
      <c r="D169" s="70" t="str">
        <f>IF(A169&lt;&gt;"",SUMIFS(Transactions!$F$7:$F$996,Transactions!$D$7:$D$996,"Expense",Transactions!$E$7:$E$996,A169),"")</f>
        <v/>
      </c>
      <c r="E169" s="68" t="str">
        <f t="shared" si="1"/>
        <v/>
      </c>
      <c r="F169" s="68" t="str">
        <f t="shared" si="2"/>
        <v/>
      </c>
      <c r="G169" s="71"/>
      <c r="H169" s="6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2" t="str">
        <f>IF(Roster!$A$168&lt;&gt;"",Roster!$A$168,"")</f>
        <v/>
      </c>
      <c r="B170" s="72" t="str">
        <f t="array" ref="B170">IF(A170&lt;&gt;"",IFERROR(SUMPRODUCT((INDEX(Attendance!$B$7:$AZ$206,MATCH(A170,Attendance!$A$7:$A$206,0),0)=1)*Attendance!$B$4:$AZ$4),0),"")</f>
        <v/>
      </c>
      <c r="C170" s="73" t="str">
        <f>IF(A170&lt;&gt;"",SUMIFS(Transactions!$F$7:$F$996,Transactions!$D$7:$D$996,"Income",Transactions!$E$7:$E$996,A170),"")</f>
        <v/>
      </c>
      <c r="D170" s="73" t="str">
        <f>IF(A170&lt;&gt;"",SUMIFS(Transactions!$F$7:$F$996,Transactions!$D$7:$D$996,"Expense",Transactions!$E$7:$E$996,A170),"")</f>
        <v/>
      </c>
      <c r="E170" s="74" t="str">
        <f t="shared" si="1"/>
        <v/>
      </c>
      <c r="F170" s="74" t="str">
        <f t="shared" si="2"/>
        <v/>
      </c>
      <c r="G170" s="71"/>
      <c r="H170" s="6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0" t="str">
        <f>IF(A171&lt;&gt;"",SUMIFS(Transactions!$F$7:$F$996,Transactions!$D$7:$D$996,"Income",Transactions!$E$7:$E$996,A171),"")</f>
        <v/>
      </c>
      <c r="D171" s="70" t="str">
        <f>IF(A171&lt;&gt;"",SUMIFS(Transactions!$F$7:$F$996,Transactions!$D$7:$D$996,"Expense",Transactions!$E$7:$E$996,A171),"")</f>
        <v/>
      </c>
      <c r="E171" s="68" t="str">
        <f t="shared" si="1"/>
        <v/>
      </c>
      <c r="F171" s="68" t="str">
        <f t="shared" si="2"/>
        <v/>
      </c>
      <c r="G171" s="71"/>
      <c r="H171" s="6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2" t="str">
        <f>IF(Roster!$A$170&lt;&gt;"",Roster!$A$170,"")</f>
        <v/>
      </c>
      <c r="B172" s="72" t="str">
        <f t="array" ref="B172">IF(A172&lt;&gt;"",IFERROR(SUMPRODUCT((INDEX(Attendance!$B$7:$AZ$206,MATCH(A172,Attendance!$A$7:$A$206,0),0)=1)*Attendance!$B$4:$AZ$4),0),"")</f>
        <v/>
      </c>
      <c r="C172" s="73" t="str">
        <f>IF(A172&lt;&gt;"",SUMIFS(Transactions!$F$7:$F$996,Transactions!$D$7:$D$996,"Income",Transactions!$E$7:$E$996,A172),"")</f>
        <v/>
      </c>
      <c r="D172" s="73" t="str">
        <f>IF(A172&lt;&gt;"",SUMIFS(Transactions!$F$7:$F$996,Transactions!$D$7:$D$996,"Expense",Transactions!$E$7:$E$996,A172),"")</f>
        <v/>
      </c>
      <c r="E172" s="74" t="str">
        <f t="shared" si="1"/>
        <v/>
      </c>
      <c r="F172" s="74" t="str">
        <f t="shared" si="2"/>
        <v/>
      </c>
      <c r="G172" s="71"/>
      <c r="H172" s="6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0" t="str">
        <f>IF(A173&lt;&gt;"",SUMIFS(Transactions!$F$7:$F$996,Transactions!$D$7:$D$996,"Income",Transactions!$E$7:$E$996,A173),"")</f>
        <v/>
      </c>
      <c r="D173" s="70" t="str">
        <f>IF(A173&lt;&gt;"",SUMIFS(Transactions!$F$7:$F$996,Transactions!$D$7:$D$996,"Expense",Transactions!$E$7:$E$996,A173),"")</f>
        <v/>
      </c>
      <c r="E173" s="68" t="str">
        <f t="shared" si="1"/>
        <v/>
      </c>
      <c r="F173" s="68" t="str">
        <f t="shared" si="2"/>
        <v/>
      </c>
      <c r="G173" s="71"/>
      <c r="H173" s="6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2" t="str">
        <f>IF(Roster!$A$172&lt;&gt;"",Roster!$A$172,"")</f>
        <v/>
      </c>
      <c r="B174" s="72" t="str">
        <f t="array" ref="B174">IF(A174&lt;&gt;"",IFERROR(SUMPRODUCT((INDEX(Attendance!$B$7:$AZ$206,MATCH(A174,Attendance!$A$7:$A$206,0),0)=1)*Attendance!$B$4:$AZ$4),0),"")</f>
        <v/>
      </c>
      <c r="C174" s="73" t="str">
        <f>IF(A174&lt;&gt;"",SUMIFS(Transactions!$F$7:$F$996,Transactions!$D$7:$D$996,"Income",Transactions!$E$7:$E$996,A174),"")</f>
        <v/>
      </c>
      <c r="D174" s="73" t="str">
        <f>IF(A174&lt;&gt;"",SUMIFS(Transactions!$F$7:$F$996,Transactions!$D$7:$D$996,"Expense",Transactions!$E$7:$E$996,A174),"")</f>
        <v/>
      </c>
      <c r="E174" s="74" t="str">
        <f t="shared" si="1"/>
        <v/>
      </c>
      <c r="F174" s="74" t="str">
        <f t="shared" si="2"/>
        <v/>
      </c>
      <c r="G174" s="71"/>
      <c r="H174" s="6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0" t="str">
        <f>IF(A175&lt;&gt;"",SUMIFS(Transactions!$F$7:$F$996,Transactions!$D$7:$D$996,"Income",Transactions!$E$7:$E$996,A175),"")</f>
        <v/>
      </c>
      <c r="D175" s="70" t="str">
        <f>IF(A175&lt;&gt;"",SUMIFS(Transactions!$F$7:$F$996,Transactions!$D$7:$D$996,"Expense",Transactions!$E$7:$E$996,A175),"")</f>
        <v/>
      </c>
      <c r="E175" s="68" t="str">
        <f t="shared" si="1"/>
        <v/>
      </c>
      <c r="F175" s="68" t="str">
        <f t="shared" si="2"/>
        <v/>
      </c>
      <c r="G175" s="71"/>
      <c r="H175" s="6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2" t="str">
        <f>IF(Roster!$A$174&lt;&gt;"",Roster!$A$174,"")</f>
        <v/>
      </c>
      <c r="B176" s="72" t="str">
        <f t="array" ref="B176">IF(A176&lt;&gt;"",IFERROR(SUMPRODUCT((INDEX(Attendance!$B$7:$AZ$206,MATCH(A176,Attendance!$A$7:$A$206,0),0)=1)*Attendance!$B$4:$AZ$4),0),"")</f>
        <v/>
      </c>
      <c r="C176" s="73" t="str">
        <f>IF(A176&lt;&gt;"",SUMIFS(Transactions!$F$7:$F$996,Transactions!$D$7:$D$996,"Income",Transactions!$E$7:$E$996,A176),"")</f>
        <v/>
      </c>
      <c r="D176" s="73" t="str">
        <f>IF(A176&lt;&gt;"",SUMIFS(Transactions!$F$7:$F$996,Transactions!$D$7:$D$996,"Expense",Transactions!$E$7:$E$996,A176),"")</f>
        <v/>
      </c>
      <c r="E176" s="74" t="str">
        <f t="shared" si="1"/>
        <v/>
      </c>
      <c r="F176" s="74" t="str">
        <f t="shared" si="2"/>
        <v/>
      </c>
      <c r="G176" s="71"/>
      <c r="H176" s="6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0" t="str">
        <f>IF(A177&lt;&gt;"",SUMIFS(Transactions!$F$7:$F$996,Transactions!$D$7:$D$996,"Income",Transactions!$E$7:$E$996,A177),"")</f>
        <v/>
      </c>
      <c r="D177" s="70" t="str">
        <f>IF(A177&lt;&gt;"",SUMIFS(Transactions!$F$7:$F$996,Transactions!$D$7:$D$996,"Expense",Transactions!$E$7:$E$996,A177),"")</f>
        <v/>
      </c>
      <c r="E177" s="68" t="str">
        <f t="shared" si="1"/>
        <v/>
      </c>
      <c r="F177" s="68" t="str">
        <f t="shared" si="2"/>
        <v/>
      </c>
      <c r="G177" s="71"/>
      <c r="H177" s="6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2" t="str">
        <f>IF(Roster!$A$176&lt;&gt;"",Roster!$A$176,"")</f>
        <v/>
      </c>
      <c r="B178" s="72" t="str">
        <f t="array" ref="B178">IF(A178&lt;&gt;"",IFERROR(SUMPRODUCT((INDEX(Attendance!$B$7:$AZ$206,MATCH(A178,Attendance!$A$7:$A$206,0),0)=1)*Attendance!$B$4:$AZ$4),0),"")</f>
        <v/>
      </c>
      <c r="C178" s="73" t="str">
        <f>IF(A178&lt;&gt;"",SUMIFS(Transactions!$F$7:$F$996,Transactions!$D$7:$D$996,"Income",Transactions!$E$7:$E$996,A178),"")</f>
        <v/>
      </c>
      <c r="D178" s="73" t="str">
        <f>IF(A178&lt;&gt;"",SUMIFS(Transactions!$F$7:$F$996,Transactions!$D$7:$D$996,"Expense",Transactions!$E$7:$E$996,A178),"")</f>
        <v/>
      </c>
      <c r="E178" s="74" t="str">
        <f t="shared" si="1"/>
        <v/>
      </c>
      <c r="F178" s="74" t="str">
        <f t="shared" si="2"/>
        <v/>
      </c>
      <c r="G178" s="71"/>
      <c r="H178" s="6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0" t="str">
        <f>IF(A179&lt;&gt;"",SUMIFS(Transactions!$F$7:$F$996,Transactions!$D$7:$D$996,"Income",Transactions!$E$7:$E$996,A179),"")</f>
        <v/>
      </c>
      <c r="D179" s="70" t="str">
        <f>IF(A179&lt;&gt;"",SUMIFS(Transactions!$F$7:$F$996,Transactions!$D$7:$D$996,"Expense",Transactions!$E$7:$E$996,A179),"")</f>
        <v/>
      </c>
      <c r="E179" s="68" t="str">
        <f t="shared" si="1"/>
        <v/>
      </c>
      <c r="F179" s="68" t="str">
        <f t="shared" si="2"/>
        <v/>
      </c>
      <c r="G179" s="71"/>
      <c r="H179" s="66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2" t="str">
        <f>IF(Roster!$A$178&lt;&gt;"",Roster!$A$178,"")</f>
        <v/>
      </c>
      <c r="B180" s="72" t="str">
        <f t="array" ref="B180">IF(A180&lt;&gt;"",IFERROR(SUMPRODUCT((INDEX(Attendance!$B$7:$AZ$206,MATCH(A180,Attendance!$A$7:$A$206,0),0)=1)*Attendance!$B$4:$AZ$4),0),"")</f>
        <v/>
      </c>
      <c r="C180" s="73" t="str">
        <f>IF(A180&lt;&gt;"",SUMIFS(Transactions!$F$7:$F$996,Transactions!$D$7:$D$996,"Income",Transactions!$E$7:$E$996,A180),"")</f>
        <v/>
      </c>
      <c r="D180" s="73" t="str">
        <f>IF(A180&lt;&gt;"",SUMIFS(Transactions!$F$7:$F$996,Transactions!$D$7:$D$996,"Expense",Transactions!$E$7:$E$996,A180),"")</f>
        <v/>
      </c>
      <c r="E180" s="74" t="str">
        <f t="shared" si="1"/>
        <v/>
      </c>
      <c r="F180" s="74" t="str">
        <f t="shared" si="2"/>
        <v/>
      </c>
      <c r="G180" s="71"/>
      <c r="H180" s="66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0" t="str">
        <f>IF(A181&lt;&gt;"",SUMIFS(Transactions!$F$7:$F$996,Transactions!$D$7:$D$996,"Income",Transactions!$E$7:$E$996,A181),"")</f>
        <v/>
      </c>
      <c r="D181" s="70" t="str">
        <f>IF(A181&lt;&gt;"",SUMIFS(Transactions!$F$7:$F$996,Transactions!$D$7:$D$996,"Expense",Transactions!$E$7:$E$996,A181),"")</f>
        <v/>
      </c>
      <c r="E181" s="68" t="str">
        <f t="shared" si="1"/>
        <v/>
      </c>
      <c r="F181" s="68" t="str">
        <f t="shared" si="2"/>
        <v/>
      </c>
      <c r="G181" s="71"/>
      <c r="H181" s="66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2" t="str">
        <f>IF(Roster!$A$180&lt;&gt;"",Roster!$A$180,"")</f>
        <v/>
      </c>
      <c r="B182" s="72" t="str">
        <f t="array" ref="B182">IF(A182&lt;&gt;"",IFERROR(SUMPRODUCT((INDEX(Attendance!$B$7:$AZ$206,MATCH(A182,Attendance!$A$7:$A$206,0),0)=1)*Attendance!$B$4:$AZ$4),0),"")</f>
        <v/>
      </c>
      <c r="C182" s="73" t="str">
        <f>IF(A182&lt;&gt;"",SUMIFS(Transactions!$F$7:$F$996,Transactions!$D$7:$D$996,"Income",Transactions!$E$7:$E$996,A182),"")</f>
        <v/>
      </c>
      <c r="D182" s="73" t="str">
        <f>IF(A182&lt;&gt;"",SUMIFS(Transactions!$F$7:$F$996,Transactions!$D$7:$D$996,"Expense",Transactions!$E$7:$E$996,A182),"")</f>
        <v/>
      </c>
      <c r="E182" s="74" t="str">
        <f t="shared" si="1"/>
        <v/>
      </c>
      <c r="F182" s="74" t="str">
        <f t="shared" si="2"/>
        <v/>
      </c>
      <c r="G182" s="71"/>
      <c r="H182" s="66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0" t="str">
        <f>IF(A183&lt;&gt;"",SUMIFS(Transactions!$F$7:$F$996,Transactions!$D$7:$D$996,"Income",Transactions!$E$7:$E$996,A183),"")</f>
        <v/>
      </c>
      <c r="D183" s="70" t="str">
        <f>IF(A183&lt;&gt;"",SUMIFS(Transactions!$F$7:$F$996,Transactions!$D$7:$D$996,"Expense",Transactions!$E$7:$E$996,A183),"")</f>
        <v/>
      </c>
      <c r="E183" s="68" t="str">
        <f t="shared" si="1"/>
        <v/>
      </c>
      <c r="F183" s="68" t="str">
        <f t="shared" si="2"/>
        <v/>
      </c>
      <c r="G183" s="71"/>
      <c r="H183" s="66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2" t="str">
        <f>IF(Roster!$A$182&lt;&gt;"",Roster!$A$182,"")</f>
        <v/>
      </c>
      <c r="B184" s="72" t="str">
        <f t="array" ref="B184">IF(A184&lt;&gt;"",IFERROR(SUMPRODUCT((INDEX(Attendance!$B$7:$AZ$206,MATCH(A184,Attendance!$A$7:$A$206,0),0)=1)*Attendance!$B$4:$AZ$4),0),"")</f>
        <v/>
      </c>
      <c r="C184" s="73" t="str">
        <f>IF(A184&lt;&gt;"",SUMIFS(Transactions!$F$7:$F$996,Transactions!$D$7:$D$996,"Income",Transactions!$E$7:$E$996,A184),"")</f>
        <v/>
      </c>
      <c r="D184" s="73" t="str">
        <f>IF(A184&lt;&gt;"",SUMIFS(Transactions!$F$7:$F$996,Transactions!$D$7:$D$996,"Expense",Transactions!$E$7:$E$996,A184),"")</f>
        <v/>
      </c>
      <c r="E184" s="74" t="str">
        <f t="shared" si="1"/>
        <v/>
      </c>
      <c r="F184" s="74" t="str">
        <f t="shared" si="2"/>
        <v/>
      </c>
      <c r="G184" s="71"/>
      <c r="H184" s="66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0" t="str">
        <f>IF(A185&lt;&gt;"",SUMIFS(Transactions!$F$7:$F$996,Transactions!$D$7:$D$996,"Income",Transactions!$E$7:$E$996,A185),"")</f>
        <v/>
      </c>
      <c r="D185" s="70" t="str">
        <f>IF(A185&lt;&gt;"",SUMIFS(Transactions!$F$7:$F$996,Transactions!$D$7:$D$996,"Expense",Transactions!$E$7:$E$996,A185),"")</f>
        <v/>
      </c>
      <c r="E185" s="68" t="str">
        <f t="shared" si="1"/>
        <v/>
      </c>
      <c r="F185" s="68" t="str">
        <f t="shared" si="2"/>
        <v/>
      </c>
      <c r="G185" s="71"/>
      <c r="H185" s="66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2" t="str">
        <f>IF(Roster!$A$184&lt;&gt;"",Roster!$A$184,"")</f>
        <v/>
      </c>
      <c r="B186" s="72" t="str">
        <f t="array" ref="B186">IF(A186&lt;&gt;"",IFERROR(SUMPRODUCT((INDEX(Attendance!$B$7:$AZ$206,MATCH(A186,Attendance!$A$7:$A$206,0),0)=1)*Attendance!$B$4:$AZ$4),0),"")</f>
        <v/>
      </c>
      <c r="C186" s="73" t="str">
        <f>IF(A186&lt;&gt;"",SUMIFS(Transactions!$F$7:$F$996,Transactions!$D$7:$D$996,"Income",Transactions!$E$7:$E$996,A186),"")</f>
        <v/>
      </c>
      <c r="D186" s="73" t="str">
        <f>IF(A186&lt;&gt;"",SUMIFS(Transactions!$F$7:$F$996,Transactions!$D$7:$D$996,"Expense",Transactions!$E$7:$E$996,A186),"")</f>
        <v/>
      </c>
      <c r="E186" s="74" t="str">
        <f t="shared" si="1"/>
        <v/>
      </c>
      <c r="F186" s="74" t="str">
        <f t="shared" si="2"/>
        <v/>
      </c>
      <c r="G186" s="71"/>
      <c r="H186" s="66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0" t="str">
        <f>IF(A187&lt;&gt;"",SUMIFS(Transactions!$F$7:$F$996,Transactions!$D$7:$D$996,"Income",Transactions!$E$7:$E$996,A187),"")</f>
        <v/>
      </c>
      <c r="D187" s="70" t="str">
        <f>IF(A187&lt;&gt;"",SUMIFS(Transactions!$F$7:$F$996,Transactions!$D$7:$D$996,"Expense",Transactions!$E$7:$E$996,A187),"")</f>
        <v/>
      </c>
      <c r="E187" s="68" t="str">
        <f t="shared" si="1"/>
        <v/>
      </c>
      <c r="F187" s="68" t="str">
        <f t="shared" si="2"/>
        <v/>
      </c>
      <c r="G187" s="71"/>
      <c r="H187" s="66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2" t="str">
        <f>IF(Roster!$A$186&lt;&gt;"",Roster!$A$186,"")</f>
        <v/>
      </c>
      <c r="B188" s="72" t="str">
        <f t="array" ref="B188">IF(A188&lt;&gt;"",IFERROR(SUMPRODUCT((INDEX(Attendance!$B$7:$AZ$206,MATCH(A188,Attendance!$A$7:$A$206,0),0)=1)*Attendance!$B$4:$AZ$4),0),"")</f>
        <v/>
      </c>
      <c r="C188" s="73" t="str">
        <f>IF(A188&lt;&gt;"",SUMIFS(Transactions!$F$7:$F$996,Transactions!$D$7:$D$996,"Income",Transactions!$E$7:$E$996,A188),"")</f>
        <v/>
      </c>
      <c r="D188" s="73" t="str">
        <f>IF(A188&lt;&gt;"",SUMIFS(Transactions!$F$7:$F$996,Transactions!$D$7:$D$996,"Expense",Transactions!$E$7:$E$996,A188),"")</f>
        <v/>
      </c>
      <c r="E188" s="74" t="str">
        <f t="shared" si="1"/>
        <v/>
      </c>
      <c r="F188" s="74" t="str">
        <f t="shared" si="2"/>
        <v/>
      </c>
      <c r="G188" s="71"/>
      <c r="H188" s="66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0" t="str">
        <f>IF(A189&lt;&gt;"",SUMIFS(Transactions!$F$7:$F$996,Transactions!$D$7:$D$996,"Income",Transactions!$E$7:$E$996,A189),"")</f>
        <v/>
      </c>
      <c r="D189" s="70" t="str">
        <f>IF(A189&lt;&gt;"",SUMIFS(Transactions!$F$7:$F$996,Transactions!$D$7:$D$996,"Expense",Transactions!$E$7:$E$996,A189),"")</f>
        <v/>
      </c>
      <c r="E189" s="68" t="str">
        <f t="shared" si="1"/>
        <v/>
      </c>
      <c r="F189" s="68" t="str">
        <f t="shared" si="2"/>
        <v/>
      </c>
      <c r="G189" s="71"/>
      <c r="H189" s="66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2" t="str">
        <f>IF(Roster!$A$188&lt;&gt;"",Roster!$A$188,"")</f>
        <v/>
      </c>
      <c r="B190" s="72" t="str">
        <f t="array" ref="B190">IF(A190&lt;&gt;"",IFERROR(SUMPRODUCT((INDEX(Attendance!$B$7:$AZ$206,MATCH(A190,Attendance!$A$7:$A$206,0),0)=1)*Attendance!$B$4:$AZ$4),0),"")</f>
        <v/>
      </c>
      <c r="C190" s="73" t="str">
        <f>IF(A190&lt;&gt;"",SUMIFS(Transactions!$F$7:$F$996,Transactions!$D$7:$D$996,"Income",Transactions!$E$7:$E$996,A190),"")</f>
        <v/>
      </c>
      <c r="D190" s="73" t="str">
        <f>IF(A190&lt;&gt;"",SUMIFS(Transactions!$F$7:$F$996,Transactions!$D$7:$D$996,"Expense",Transactions!$E$7:$E$996,A190),"")</f>
        <v/>
      </c>
      <c r="E190" s="74" t="str">
        <f t="shared" si="1"/>
        <v/>
      </c>
      <c r="F190" s="74" t="str">
        <f t="shared" si="2"/>
        <v/>
      </c>
      <c r="G190" s="71"/>
      <c r="H190" s="66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0" t="str">
        <f>IF(A191&lt;&gt;"",SUMIFS(Transactions!$F$7:$F$996,Transactions!$D$7:$D$996,"Income",Transactions!$E$7:$E$996,A191),"")</f>
        <v/>
      </c>
      <c r="D191" s="70" t="str">
        <f>IF(A191&lt;&gt;"",SUMIFS(Transactions!$F$7:$F$996,Transactions!$D$7:$D$996,"Expense",Transactions!$E$7:$E$996,A191),"")</f>
        <v/>
      </c>
      <c r="E191" s="68" t="str">
        <f t="shared" si="1"/>
        <v/>
      </c>
      <c r="F191" s="68" t="str">
        <f t="shared" si="2"/>
        <v/>
      </c>
      <c r="G191" s="71"/>
      <c r="H191" s="66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2" t="str">
        <f>IF(Roster!$A$190&lt;&gt;"",Roster!$A$190,"")</f>
        <v/>
      </c>
      <c r="B192" s="72" t="str">
        <f t="array" ref="B192">IF(A192&lt;&gt;"",IFERROR(SUMPRODUCT((INDEX(Attendance!$B$7:$AZ$206,MATCH(A192,Attendance!$A$7:$A$206,0),0)=1)*Attendance!$B$4:$AZ$4),0),"")</f>
        <v/>
      </c>
      <c r="C192" s="73" t="str">
        <f>IF(A192&lt;&gt;"",SUMIFS(Transactions!$F$7:$F$996,Transactions!$D$7:$D$996,"Income",Transactions!$E$7:$E$996,A192),"")</f>
        <v/>
      </c>
      <c r="D192" s="73" t="str">
        <f>IF(A192&lt;&gt;"",SUMIFS(Transactions!$F$7:$F$996,Transactions!$D$7:$D$996,"Expense",Transactions!$E$7:$E$996,A192),"")</f>
        <v/>
      </c>
      <c r="E192" s="74" t="str">
        <f t="shared" si="1"/>
        <v/>
      </c>
      <c r="F192" s="74" t="str">
        <f t="shared" si="2"/>
        <v/>
      </c>
      <c r="G192" s="71"/>
      <c r="H192" s="66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0" t="str">
        <f>IF(A193&lt;&gt;"",SUMIFS(Transactions!$F$7:$F$996,Transactions!$D$7:$D$996,"Income",Transactions!$E$7:$E$996,A193),"")</f>
        <v/>
      </c>
      <c r="D193" s="70" t="str">
        <f>IF(A193&lt;&gt;"",SUMIFS(Transactions!$F$7:$F$996,Transactions!$D$7:$D$996,"Expense",Transactions!$E$7:$E$996,A193),"")</f>
        <v/>
      </c>
      <c r="E193" s="68" t="str">
        <f t="shared" si="1"/>
        <v/>
      </c>
      <c r="F193" s="68" t="str">
        <f t="shared" si="2"/>
        <v/>
      </c>
      <c r="G193" s="71"/>
      <c r="H193" s="66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2" t="str">
        <f>IF(Roster!$A$192&lt;&gt;"",Roster!$A$192,"")</f>
        <v/>
      </c>
      <c r="B194" s="72" t="str">
        <f t="array" ref="B194">IF(A194&lt;&gt;"",IFERROR(SUMPRODUCT((INDEX(Attendance!$B$7:$AZ$206,MATCH(A194,Attendance!$A$7:$A$206,0),0)=1)*Attendance!$B$4:$AZ$4),0),"")</f>
        <v/>
      </c>
      <c r="C194" s="73" t="str">
        <f>IF(A194&lt;&gt;"",SUMIFS(Transactions!$F$7:$F$996,Transactions!$D$7:$D$996,"Income",Transactions!$E$7:$E$996,A194),"")</f>
        <v/>
      </c>
      <c r="D194" s="73" t="str">
        <f>IF(A194&lt;&gt;"",SUMIFS(Transactions!$F$7:$F$996,Transactions!$D$7:$D$996,"Expense",Transactions!$E$7:$E$996,A194),"")</f>
        <v/>
      </c>
      <c r="E194" s="74" t="str">
        <f t="shared" si="1"/>
        <v/>
      </c>
      <c r="F194" s="74" t="str">
        <f t="shared" si="2"/>
        <v/>
      </c>
      <c r="G194" s="71"/>
      <c r="H194" s="66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0" t="str">
        <f>IF(A195&lt;&gt;"",SUMIFS(Transactions!$F$7:$F$996,Transactions!$D$7:$D$996,"Income",Transactions!$E$7:$E$996,A195),"")</f>
        <v/>
      </c>
      <c r="D195" s="70" t="str">
        <f>IF(A195&lt;&gt;"",SUMIFS(Transactions!$F$7:$F$996,Transactions!$D$7:$D$996,"Expense",Transactions!$E$7:$E$996,A195),"")</f>
        <v/>
      </c>
      <c r="E195" s="68" t="str">
        <f t="shared" si="1"/>
        <v/>
      </c>
      <c r="F195" s="68" t="str">
        <f t="shared" si="2"/>
        <v/>
      </c>
      <c r="G195" s="71"/>
      <c r="H195" s="66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2" t="str">
        <f>IF(Roster!$A$194&lt;&gt;"",Roster!$A$194,"")</f>
        <v/>
      </c>
      <c r="B196" s="72" t="str">
        <f t="array" ref="B196">IF(A196&lt;&gt;"",IFERROR(SUMPRODUCT((INDEX(Attendance!$B$7:$AZ$206,MATCH(A196,Attendance!$A$7:$A$206,0),0)=1)*Attendance!$B$4:$AZ$4),0),"")</f>
        <v/>
      </c>
      <c r="C196" s="73" t="str">
        <f>IF(A196&lt;&gt;"",SUMIFS(Transactions!$F$7:$F$996,Transactions!$D$7:$D$996,"Income",Transactions!$E$7:$E$996,A196),"")</f>
        <v/>
      </c>
      <c r="D196" s="73" t="str">
        <f>IF(A196&lt;&gt;"",SUMIFS(Transactions!$F$7:$F$996,Transactions!$D$7:$D$996,"Expense",Transactions!$E$7:$E$996,A196),"")</f>
        <v/>
      </c>
      <c r="E196" s="74" t="str">
        <f t="shared" si="1"/>
        <v/>
      </c>
      <c r="F196" s="74" t="str">
        <f t="shared" si="2"/>
        <v/>
      </c>
      <c r="G196" s="71"/>
      <c r="H196" s="66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0" t="str">
        <f>IF(A197&lt;&gt;"",SUMIFS(Transactions!$F$7:$F$996,Transactions!$D$7:$D$996,"Income",Transactions!$E$7:$E$996,A197),"")</f>
        <v/>
      </c>
      <c r="D197" s="70" t="str">
        <f>IF(A197&lt;&gt;"",SUMIFS(Transactions!$F$7:$F$996,Transactions!$D$7:$D$996,"Expense",Transactions!$E$7:$E$996,A197),"")</f>
        <v/>
      </c>
      <c r="E197" s="68" t="str">
        <f t="shared" si="1"/>
        <v/>
      </c>
      <c r="F197" s="68" t="str">
        <f t="shared" si="2"/>
        <v/>
      </c>
      <c r="G197" s="71"/>
      <c r="H197" s="66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2" t="str">
        <f>IF(Roster!$A$196&lt;&gt;"",Roster!$A$196,"")</f>
        <v/>
      </c>
      <c r="B198" s="72" t="str">
        <f t="array" ref="B198">IF(A198&lt;&gt;"",IFERROR(SUMPRODUCT((INDEX(Attendance!$B$7:$AZ$206,MATCH(A198,Attendance!$A$7:$A$206,0),0)=1)*Attendance!$B$4:$AZ$4),0),"")</f>
        <v/>
      </c>
      <c r="C198" s="73" t="str">
        <f>IF(A198&lt;&gt;"",SUMIFS(Transactions!$F$7:$F$996,Transactions!$D$7:$D$996,"Income",Transactions!$E$7:$E$996,A198),"")</f>
        <v/>
      </c>
      <c r="D198" s="73" t="str">
        <f>IF(A198&lt;&gt;"",SUMIFS(Transactions!$F$7:$F$996,Transactions!$D$7:$D$996,"Expense",Transactions!$E$7:$E$996,A198),"")</f>
        <v/>
      </c>
      <c r="E198" s="74" t="str">
        <f t="shared" si="1"/>
        <v/>
      </c>
      <c r="F198" s="74" t="str">
        <f t="shared" si="2"/>
        <v/>
      </c>
      <c r="G198" s="71"/>
      <c r="H198" s="66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0" t="str">
        <f>IF(A199&lt;&gt;"",SUMIFS(Transactions!$F$7:$F$996,Transactions!$D$7:$D$996,"Income",Transactions!$E$7:$E$996,A199),"")</f>
        <v/>
      </c>
      <c r="D199" s="70" t="str">
        <f>IF(A199&lt;&gt;"",SUMIFS(Transactions!$F$7:$F$996,Transactions!$D$7:$D$996,"Expense",Transactions!$E$7:$E$996,A199),"")</f>
        <v/>
      </c>
      <c r="E199" s="68" t="str">
        <f t="shared" si="1"/>
        <v/>
      </c>
      <c r="F199" s="68" t="str">
        <f t="shared" si="2"/>
        <v/>
      </c>
      <c r="G199" s="71"/>
      <c r="H199" s="66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2" t="str">
        <f>IF(Roster!$A$198&lt;&gt;"",Roster!$A$198,"")</f>
        <v/>
      </c>
      <c r="B200" s="72" t="str">
        <f t="array" ref="B200">IF(A200&lt;&gt;"",IFERROR(SUMPRODUCT((INDEX(Attendance!$B$7:$AZ$206,MATCH(A200,Attendance!$A$7:$A$206,0),0)=1)*Attendance!$B$4:$AZ$4),0),"")</f>
        <v/>
      </c>
      <c r="C200" s="73" t="str">
        <f>IF(A200&lt;&gt;"",SUMIFS(Transactions!$F$7:$F$996,Transactions!$D$7:$D$996,"Income",Transactions!$E$7:$E$996,A200),"")</f>
        <v/>
      </c>
      <c r="D200" s="73" t="str">
        <f>IF(A200&lt;&gt;"",SUMIFS(Transactions!$F$7:$F$996,Transactions!$D$7:$D$996,"Expense",Transactions!$E$7:$E$996,A200),"")</f>
        <v/>
      </c>
      <c r="E200" s="74" t="str">
        <f t="shared" si="1"/>
        <v/>
      </c>
      <c r="F200" s="74" t="str">
        <f t="shared" si="2"/>
        <v/>
      </c>
      <c r="G200" s="71"/>
      <c r="H200" s="66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0" t="str">
        <f>IF(A201&lt;&gt;"",SUMIFS(Transactions!$F$7:$F$996,Transactions!$D$7:$D$996,"Income",Transactions!$E$7:$E$996,A201),"")</f>
        <v/>
      </c>
      <c r="D201" s="70" t="str">
        <f>IF(A201&lt;&gt;"",SUMIFS(Transactions!$F$7:$F$996,Transactions!$D$7:$D$996,"Expense",Transactions!$E$7:$E$996,A201),"")</f>
        <v/>
      </c>
      <c r="E201" s="68" t="str">
        <f t="shared" si="1"/>
        <v/>
      </c>
      <c r="F201" s="68" t="str">
        <f t="shared" si="2"/>
        <v/>
      </c>
      <c r="G201" s="71"/>
      <c r="H201" s="66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2" t="str">
        <f>IF(Roster!$A$200&lt;&gt;"",Roster!$A$200,"")</f>
        <v/>
      </c>
      <c r="B202" s="72" t="str">
        <f t="array" ref="B202">IF(A202&lt;&gt;"",IFERROR(SUMPRODUCT((INDEX(Attendance!$B$7:$AZ$206,MATCH(A202,Attendance!$A$7:$A$206,0),0)=1)*Attendance!$B$4:$AZ$4),0),"")</f>
        <v/>
      </c>
      <c r="C202" s="73" t="str">
        <f>IF(A202&lt;&gt;"",SUMIFS(Transactions!$F$7:$F$996,Transactions!$D$7:$D$996,"Income",Transactions!$E$7:$E$996,A202),"")</f>
        <v/>
      </c>
      <c r="D202" s="73" t="str">
        <f>IF(A202&lt;&gt;"",SUMIFS(Transactions!$F$7:$F$996,Transactions!$D$7:$D$996,"Expense",Transactions!$E$7:$E$996,A202),"")</f>
        <v/>
      </c>
      <c r="E202" s="74" t="str">
        <f t="shared" si="1"/>
        <v/>
      </c>
      <c r="F202" s="74" t="str">
        <f t="shared" si="2"/>
        <v/>
      </c>
      <c r="G202" s="71"/>
      <c r="H202" s="66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0" t="str">
        <f>IF(A203&lt;&gt;"",SUMIFS(Transactions!$F$7:$F$996,Transactions!$D$7:$D$996,"Income",Transactions!$E$7:$E$996,A203),"")</f>
        <v/>
      </c>
      <c r="D203" s="70" t="str">
        <f>IF(A203&lt;&gt;"",SUMIFS(Transactions!$F$7:$F$996,Transactions!$D$7:$D$996,"Expense",Transactions!$E$7:$E$996,A203),"")</f>
        <v/>
      </c>
      <c r="E203" s="68" t="str">
        <f t="shared" si="1"/>
        <v/>
      </c>
      <c r="F203" s="68" t="str">
        <f t="shared" si="2"/>
        <v/>
      </c>
      <c r="G203" s="71"/>
      <c r="H203" s="66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2" t="str">
        <f>IF(Roster!$A$202&lt;&gt;"",Roster!$A$202,"")</f>
        <v/>
      </c>
      <c r="B204" s="72" t="str">
        <f t="array" ref="B204">IF(A204&lt;&gt;"",IFERROR(SUMPRODUCT((INDEX(Attendance!$B$7:$AZ$206,MATCH(A204,Attendance!$A$7:$A$206,0),0)=1)*Attendance!$B$4:$AZ$4),0),"")</f>
        <v/>
      </c>
      <c r="C204" s="73" t="str">
        <f>IF(A204&lt;&gt;"",SUMIFS(Transactions!$F$7:$F$996,Transactions!$D$7:$D$996,"Income",Transactions!$E$7:$E$996,A204),"")</f>
        <v/>
      </c>
      <c r="D204" s="73" t="str">
        <f>IF(A204&lt;&gt;"",SUMIFS(Transactions!$F$7:$F$996,Transactions!$D$7:$D$996,"Expense",Transactions!$E$7:$E$996,A204),"")</f>
        <v/>
      </c>
      <c r="E204" s="74" t="str">
        <f t="shared" si="1"/>
        <v/>
      </c>
      <c r="F204" s="74" t="str">
        <f t="shared" si="2"/>
        <v/>
      </c>
      <c r="G204" s="71"/>
      <c r="H204" s="66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0" t="str">
        <f>IF(A205&lt;&gt;"",SUMIFS(Transactions!$F$7:$F$996,Transactions!$D$7:$D$996,"Income",Transactions!$E$7:$E$996,A205),"")</f>
        <v/>
      </c>
      <c r="D205" s="70" t="str">
        <f>IF(A205&lt;&gt;"",SUMIFS(Transactions!$F$7:$F$996,Transactions!$D$7:$D$996,"Expense",Transactions!$E$7:$E$996,A205),"")</f>
        <v/>
      </c>
      <c r="E205" s="68" t="str">
        <f t="shared" si="1"/>
        <v/>
      </c>
      <c r="F205" s="68" t="str">
        <f t="shared" si="2"/>
        <v/>
      </c>
      <c r="G205" s="71"/>
      <c r="H205" s="66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2" t="str">
        <f>IF(Roster!$A$204&lt;&gt;"",Roster!$A$204,"")</f>
        <v/>
      </c>
      <c r="B206" s="72" t="str">
        <f t="array" ref="B206">IF(A206&lt;&gt;"",IFERROR(SUMPRODUCT((INDEX(Attendance!$B$7:$AZ$206,MATCH(A206,Attendance!$A$7:$A$206,0),0)=1)*Attendance!$B$4:$AZ$4),0),"")</f>
        <v/>
      </c>
      <c r="C206" s="73" t="str">
        <f>IF(A206&lt;&gt;"",SUMIFS(Transactions!$F$7:$F$996,Transactions!$D$7:$D$996,"Income",Transactions!$E$7:$E$996,A206),"")</f>
        <v/>
      </c>
      <c r="D206" s="73" t="str">
        <f>IF(A206&lt;&gt;"",SUMIFS(Transactions!$F$7:$F$996,Transactions!$D$7:$D$996,"Expense",Transactions!$E$7:$E$996,A206),"")</f>
        <v/>
      </c>
      <c r="E206" s="74" t="str">
        <f t="shared" si="1"/>
        <v/>
      </c>
      <c r="F206" s="74" t="str">
        <f t="shared" si="2"/>
        <v/>
      </c>
      <c r="G206" s="71"/>
      <c r="H206" s="66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7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>
      <c r="A2" s="79" t="s">
        <v>89</v>
      </c>
      <c r="B2" s="76"/>
      <c r="C2" s="76"/>
      <c r="D2" s="76"/>
      <c r="E2" s="76"/>
      <c r="F2" s="76"/>
      <c r="G2" s="76"/>
      <c r="H2" s="76"/>
      <c r="I2" s="76"/>
      <c r="J2" s="77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>
      <c r="A3" s="80" t="s">
        <v>53</v>
      </c>
      <c r="B3" s="80" t="s">
        <v>54</v>
      </c>
      <c r="C3" s="80" t="s">
        <v>14</v>
      </c>
      <c r="D3" s="80" t="s">
        <v>55</v>
      </c>
      <c r="E3" s="80" t="s">
        <v>56</v>
      </c>
      <c r="F3" s="80" t="s">
        <v>57</v>
      </c>
      <c r="G3" s="80" t="s">
        <v>58</v>
      </c>
      <c r="H3" s="80" t="s">
        <v>59</v>
      </c>
      <c r="I3" s="80" t="s">
        <v>6</v>
      </c>
      <c r="J3" s="80" t="s">
        <v>90</v>
      </c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>
      <c r="A4" s="81">
        <v>46192.0</v>
      </c>
      <c r="B4" s="82" t="s">
        <v>71</v>
      </c>
      <c r="C4" s="82" t="s">
        <v>91</v>
      </c>
      <c r="D4" s="82" t="s">
        <v>63</v>
      </c>
      <c r="E4" s="82" t="s">
        <v>92</v>
      </c>
      <c r="F4" s="83">
        <v>185.69</v>
      </c>
      <c r="G4" s="82" t="s">
        <v>26</v>
      </c>
      <c r="H4" s="84"/>
      <c r="I4" s="82" t="s">
        <v>93</v>
      </c>
      <c r="J4" s="85" t="s">
        <v>94</v>
      </c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>
      <c r="A5" s="86">
        <v>46195.0</v>
      </c>
      <c r="B5" s="87" t="s">
        <v>95</v>
      </c>
      <c r="C5" s="87" t="s">
        <v>75</v>
      </c>
      <c r="D5" s="87" t="s">
        <v>63</v>
      </c>
      <c r="E5" s="87" t="s">
        <v>76</v>
      </c>
      <c r="F5" s="87">
        <v>228.44</v>
      </c>
      <c r="G5" s="87" t="s">
        <v>26</v>
      </c>
      <c r="H5" s="88"/>
      <c r="I5" s="87" t="s">
        <v>96</v>
      </c>
      <c r="J5" s="85" t="s">
        <v>94</v>
      </c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>
      <c r="A6" s="84"/>
      <c r="B6" s="84"/>
      <c r="C6" s="84"/>
      <c r="D6" s="84"/>
      <c r="E6" s="84"/>
      <c r="F6" s="84"/>
      <c r="G6" s="84"/>
      <c r="H6" s="84"/>
      <c r="I6" s="84"/>
      <c r="J6" s="89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>
      <c r="A7" s="90"/>
      <c r="B7" s="88"/>
      <c r="C7" s="88"/>
      <c r="D7" s="88"/>
      <c r="E7" s="88"/>
      <c r="F7" s="88"/>
      <c r="G7" s="88"/>
      <c r="H7" s="88"/>
      <c r="I7" s="88"/>
      <c r="J7" s="89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>
      <c r="A8" s="91"/>
      <c r="B8" s="84"/>
      <c r="C8" s="84"/>
      <c r="D8" s="84"/>
      <c r="E8" s="84"/>
      <c r="F8" s="84"/>
      <c r="G8" s="84"/>
      <c r="H8" s="84"/>
      <c r="I8" s="84"/>
      <c r="J8" s="89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>
      <c r="A9" s="88"/>
      <c r="B9" s="88"/>
      <c r="C9" s="88"/>
      <c r="D9" s="88"/>
      <c r="E9" s="88"/>
      <c r="F9" s="88"/>
      <c r="G9" s="88"/>
      <c r="H9" s="88"/>
      <c r="I9" s="88"/>
      <c r="J9" s="89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>
      <c r="A10" s="84"/>
      <c r="B10" s="84"/>
      <c r="C10" s="84"/>
      <c r="D10" s="84"/>
      <c r="E10" s="84"/>
      <c r="F10" s="84"/>
      <c r="G10" s="84"/>
      <c r="H10" s="84"/>
      <c r="I10" s="84"/>
      <c r="J10" s="89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>
      <c r="A11" s="88"/>
      <c r="B11" s="88"/>
      <c r="C11" s="88"/>
      <c r="D11" s="88"/>
      <c r="E11" s="88"/>
      <c r="F11" s="88"/>
      <c r="G11" s="88"/>
      <c r="H11" s="88"/>
      <c r="I11" s="88"/>
      <c r="J11" s="89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>
      <c r="A12" s="84"/>
      <c r="B12" s="84"/>
      <c r="C12" s="84"/>
      <c r="D12" s="84"/>
      <c r="E12" s="84"/>
      <c r="F12" s="84"/>
      <c r="G12" s="84"/>
      <c r="H12" s="84"/>
      <c r="I12" s="84"/>
      <c r="J12" s="89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>
      <c r="A13" s="88"/>
      <c r="B13" s="88"/>
      <c r="C13" s="88"/>
      <c r="D13" s="88"/>
      <c r="E13" s="88"/>
      <c r="F13" s="88"/>
      <c r="G13" s="88"/>
      <c r="H13" s="88"/>
      <c r="I13" s="88"/>
      <c r="J13" s="89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>
      <c r="A14" s="84"/>
      <c r="B14" s="84"/>
      <c r="C14" s="84"/>
      <c r="D14" s="84"/>
      <c r="E14" s="84"/>
      <c r="F14" s="84"/>
      <c r="G14" s="84"/>
      <c r="H14" s="84"/>
      <c r="I14" s="84"/>
      <c r="J14" s="89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>
      <c r="A15" s="88"/>
      <c r="B15" s="88"/>
      <c r="C15" s="88"/>
      <c r="D15" s="88"/>
      <c r="E15" s="88"/>
      <c r="F15" s="88"/>
      <c r="G15" s="88"/>
      <c r="H15" s="88"/>
      <c r="I15" s="88"/>
      <c r="J15" s="89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>
      <c r="A16" s="84"/>
      <c r="B16" s="84"/>
      <c r="C16" s="84"/>
      <c r="D16" s="84"/>
      <c r="E16" s="84"/>
      <c r="F16" s="84"/>
      <c r="G16" s="84"/>
      <c r="H16" s="84"/>
      <c r="I16" s="84"/>
      <c r="J16" s="89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>
      <c r="A17" s="88"/>
      <c r="B17" s="88"/>
      <c r="C17" s="88"/>
      <c r="D17" s="88"/>
      <c r="E17" s="88"/>
      <c r="F17" s="88"/>
      <c r="G17" s="88"/>
      <c r="H17" s="88"/>
      <c r="I17" s="88"/>
      <c r="J17" s="89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>
      <c r="A18" s="84"/>
      <c r="B18" s="84"/>
      <c r="C18" s="84"/>
      <c r="D18" s="84"/>
      <c r="E18" s="84"/>
      <c r="F18" s="84"/>
      <c r="G18" s="84"/>
      <c r="H18" s="84"/>
      <c r="I18" s="84"/>
      <c r="J18" s="89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>
      <c r="A19" s="88"/>
      <c r="B19" s="88"/>
      <c r="C19" s="88"/>
      <c r="D19" s="88"/>
      <c r="E19" s="88"/>
      <c r="F19" s="88"/>
      <c r="G19" s="88"/>
      <c r="H19" s="88"/>
      <c r="I19" s="88"/>
      <c r="J19" s="89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>
      <c r="A20" s="84"/>
      <c r="B20" s="84"/>
      <c r="C20" s="84"/>
      <c r="D20" s="84"/>
      <c r="E20" s="84"/>
      <c r="F20" s="84"/>
      <c r="G20" s="84"/>
      <c r="H20" s="84"/>
      <c r="I20" s="84"/>
      <c r="J20" s="89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5.75" customHeight="1">
      <c r="A21" s="88"/>
      <c r="B21" s="88"/>
      <c r="C21" s="88"/>
      <c r="D21" s="88"/>
      <c r="E21" s="88"/>
      <c r="F21" s="88"/>
      <c r="G21" s="88"/>
      <c r="H21" s="88"/>
      <c r="I21" s="88"/>
      <c r="J21" s="89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5.75" customHeight="1">
      <c r="A22" s="84"/>
      <c r="B22" s="84"/>
      <c r="C22" s="84"/>
      <c r="D22" s="84"/>
      <c r="E22" s="84"/>
      <c r="F22" s="84"/>
      <c r="G22" s="84"/>
      <c r="H22" s="84"/>
      <c r="I22" s="84"/>
      <c r="J22" s="89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5.75" customHeight="1">
      <c r="A23" s="88"/>
      <c r="B23" s="88"/>
      <c r="C23" s="88"/>
      <c r="D23" s="88"/>
      <c r="E23" s="88"/>
      <c r="F23" s="88"/>
      <c r="G23" s="88"/>
      <c r="H23" s="88"/>
      <c r="I23" s="88"/>
      <c r="J23" s="89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5.75" customHeight="1">
      <c r="A24" s="84"/>
      <c r="B24" s="84"/>
      <c r="C24" s="84"/>
      <c r="D24" s="84"/>
      <c r="E24" s="84"/>
      <c r="F24" s="84"/>
      <c r="G24" s="84"/>
      <c r="H24" s="84"/>
      <c r="I24" s="84"/>
      <c r="J24" s="89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5.75" customHeight="1">
      <c r="A25" s="88"/>
      <c r="B25" s="88"/>
      <c r="C25" s="88"/>
      <c r="D25" s="88"/>
      <c r="E25" s="88"/>
      <c r="F25" s="88"/>
      <c r="G25" s="88"/>
      <c r="H25" s="88"/>
      <c r="I25" s="88"/>
      <c r="J25" s="89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5.75" customHeight="1">
      <c r="A26" s="84"/>
      <c r="B26" s="84"/>
      <c r="C26" s="84"/>
      <c r="D26" s="84"/>
      <c r="E26" s="84"/>
      <c r="F26" s="84"/>
      <c r="G26" s="84"/>
      <c r="H26" s="84"/>
      <c r="I26" s="84"/>
      <c r="J26" s="89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5.75" customHeight="1">
      <c r="A27" s="88"/>
      <c r="B27" s="88"/>
      <c r="C27" s="88"/>
      <c r="D27" s="88"/>
      <c r="E27" s="88"/>
      <c r="F27" s="88"/>
      <c r="G27" s="88"/>
      <c r="H27" s="88"/>
      <c r="I27" s="88"/>
      <c r="J27" s="89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5.75" customHeight="1">
      <c r="A28" s="84"/>
      <c r="B28" s="84"/>
      <c r="C28" s="84"/>
      <c r="D28" s="84"/>
      <c r="E28" s="84"/>
      <c r="F28" s="84"/>
      <c r="G28" s="84"/>
      <c r="H28" s="84"/>
      <c r="I28" s="84"/>
      <c r="J28" s="89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5.75" customHeight="1">
      <c r="A29" s="88"/>
      <c r="B29" s="88"/>
      <c r="C29" s="88"/>
      <c r="D29" s="88"/>
      <c r="E29" s="88"/>
      <c r="F29" s="88"/>
      <c r="G29" s="88"/>
      <c r="H29" s="88"/>
      <c r="I29" s="88"/>
      <c r="J29" s="89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5.75" customHeight="1">
      <c r="A30" s="84"/>
      <c r="B30" s="84"/>
      <c r="C30" s="84"/>
      <c r="D30" s="84"/>
      <c r="E30" s="84"/>
      <c r="F30" s="84"/>
      <c r="G30" s="84"/>
      <c r="H30" s="84"/>
      <c r="I30" s="84"/>
      <c r="J30" s="89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5.75" customHeight="1">
      <c r="A31" s="88"/>
      <c r="B31" s="88"/>
      <c r="C31" s="88"/>
      <c r="D31" s="88"/>
      <c r="E31" s="88"/>
      <c r="F31" s="88"/>
      <c r="G31" s="88"/>
      <c r="H31" s="88"/>
      <c r="I31" s="88"/>
      <c r="J31" s="89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5.75" customHeight="1">
      <c r="A32" s="84"/>
      <c r="B32" s="84"/>
      <c r="C32" s="84"/>
      <c r="D32" s="84"/>
      <c r="E32" s="84"/>
      <c r="F32" s="84"/>
      <c r="G32" s="84"/>
      <c r="H32" s="84"/>
      <c r="I32" s="84"/>
      <c r="J32" s="89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5.75" customHeight="1">
      <c r="A33" s="88"/>
      <c r="B33" s="88"/>
      <c r="C33" s="88"/>
      <c r="D33" s="88"/>
      <c r="E33" s="88"/>
      <c r="F33" s="88"/>
      <c r="G33" s="88"/>
      <c r="H33" s="88"/>
      <c r="I33" s="88"/>
      <c r="J33" s="89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5.75" customHeight="1">
      <c r="A34" s="84"/>
      <c r="B34" s="84"/>
      <c r="C34" s="84"/>
      <c r="D34" s="84"/>
      <c r="E34" s="84"/>
      <c r="F34" s="84"/>
      <c r="G34" s="84"/>
      <c r="H34" s="84"/>
      <c r="I34" s="84"/>
      <c r="J34" s="89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5.75" customHeight="1">
      <c r="A35" s="88"/>
      <c r="B35" s="88"/>
      <c r="C35" s="88"/>
      <c r="D35" s="88"/>
      <c r="E35" s="88"/>
      <c r="F35" s="88"/>
      <c r="G35" s="88"/>
      <c r="H35" s="88"/>
      <c r="I35" s="88"/>
      <c r="J35" s="89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5.75" customHeight="1">
      <c r="A36" s="84"/>
      <c r="B36" s="84"/>
      <c r="C36" s="84"/>
      <c r="D36" s="84"/>
      <c r="E36" s="84"/>
      <c r="F36" s="84"/>
      <c r="G36" s="84"/>
      <c r="H36" s="84"/>
      <c r="I36" s="84"/>
      <c r="J36" s="89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5.75" customHeight="1">
      <c r="A37" s="88"/>
      <c r="B37" s="88"/>
      <c r="C37" s="88"/>
      <c r="D37" s="88"/>
      <c r="E37" s="88"/>
      <c r="F37" s="88"/>
      <c r="G37" s="88"/>
      <c r="H37" s="88"/>
      <c r="I37" s="88"/>
      <c r="J37" s="89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5.75" customHeight="1">
      <c r="A38" s="84"/>
      <c r="B38" s="84"/>
      <c r="C38" s="84"/>
      <c r="D38" s="84"/>
      <c r="E38" s="84"/>
      <c r="F38" s="84"/>
      <c r="G38" s="84"/>
      <c r="H38" s="84"/>
      <c r="I38" s="84"/>
      <c r="J38" s="89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5.75" customHeight="1">
      <c r="A39" s="88"/>
      <c r="B39" s="88"/>
      <c r="C39" s="88"/>
      <c r="D39" s="88"/>
      <c r="E39" s="88"/>
      <c r="F39" s="88"/>
      <c r="G39" s="88"/>
      <c r="H39" s="88"/>
      <c r="I39" s="88"/>
      <c r="J39" s="89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5.75" customHeight="1">
      <c r="A40" s="84"/>
      <c r="B40" s="84"/>
      <c r="C40" s="84"/>
      <c r="D40" s="84"/>
      <c r="E40" s="84"/>
      <c r="F40" s="84"/>
      <c r="G40" s="84"/>
      <c r="H40" s="84"/>
      <c r="I40" s="84"/>
      <c r="J40" s="89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5.75" customHeight="1">
      <c r="A41" s="88"/>
      <c r="B41" s="88"/>
      <c r="C41" s="88"/>
      <c r="D41" s="88"/>
      <c r="E41" s="88"/>
      <c r="F41" s="88"/>
      <c r="G41" s="88"/>
      <c r="H41" s="88"/>
      <c r="I41" s="88"/>
      <c r="J41" s="89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5.75" customHeight="1">
      <c r="A42" s="84"/>
      <c r="B42" s="84"/>
      <c r="C42" s="84"/>
      <c r="D42" s="84"/>
      <c r="E42" s="84"/>
      <c r="F42" s="84"/>
      <c r="G42" s="84"/>
      <c r="H42" s="84"/>
      <c r="I42" s="84"/>
      <c r="J42" s="89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5.75" customHeight="1">
      <c r="A43" s="88"/>
      <c r="B43" s="88"/>
      <c r="C43" s="88"/>
      <c r="D43" s="88"/>
      <c r="E43" s="88"/>
      <c r="F43" s="88"/>
      <c r="G43" s="88"/>
      <c r="H43" s="88"/>
      <c r="I43" s="88"/>
      <c r="J43" s="89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5.75" customHeight="1">
      <c r="A44" s="84"/>
      <c r="B44" s="84"/>
      <c r="C44" s="84"/>
      <c r="D44" s="84"/>
      <c r="E44" s="84"/>
      <c r="F44" s="84"/>
      <c r="G44" s="84"/>
      <c r="H44" s="84"/>
      <c r="I44" s="84"/>
      <c r="J44" s="89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5.75" customHeight="1">
      <c r="A45" s="88"/>
      <c r="B45" s="88"/>
      <c r="C45" s="88"/>
      <c r="D45" s="88"/>
      <c r="E45" s="88"/>
      <c r="F45" s="88"/>
      <c r="G45" s="88"/>
      <c r="H45" s="88"/>
      <c r="I45" s="88"/>
      <c r="J45" s="89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5.75" customHeight="1">
      <c r="A46" s="84"/>
      <c r="B46" s="84"/>
      <c r="C46" s="84"/>
      <c r="D46" s="84"/>
      <c r="E46" s="84"/>
      <c r="F46" s="84"/>
      <c r="G46" s="84"/>
      <c r="H46" s="84"/>
      <c r="I46" s="84"/>
      <c r="J46" s="89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5.75" customHeight="1">
      <c r="A47" s="88"/>
      <c r="B47" s="88"/>
      <c r="C47" s="88"/>
      <c r="D47" s="88"/>
      <c r="E47" s="88"/>
      <c r="F47" s="88"/>
      <c r="G47" s="88"/>
      <c r="H47" s="88"/>
      <c r="I47" s="88"/>
      <c r="J47" s="89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5.75" customHeight="1">
      <c r="A48" s="84"/>
      <c r="B48" s="84"/>
      <c r="C48" s="84"/>
      <c r="D48" s="84"/>
      <c r="E48" s="84"/>
      <c r="F48" s="84"/>
      <c r="G48" s="84"/>
      <c r="H48" s="84"/>
      <c r="I48" s="84"/>
      <c r="J48" s="89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5.75" customHeight="1">
      <c r="A49" s="88"/>
      <c r="B49" s="88"/>
      <c r="C49" s="88"/>
      <c r="D49" s="88"/>
      <c r="E49" s="88"/>
      <c r="F49" s="88"/>
      <c r="G49" s="88"/>
      <c r="H49" s="88"/>
      <c r="I49" s="88"/>
      <c r="J49" s="89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5.75" customHeight="1">
      <c r="A50" s="84"/>
      <c r="B50" s="84"/>
      <c r="C50" s="84"/>
      <c r="D50" s="84"/>
      <c r="E50" s="84"/>
      <c r="F50" s="84"/>
      <c r="G50" s="84"/>
      <c r="H50" s="84"/>
      <c r="I50" s="84"/>
      <c r="J50" s="89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5.75" customHeight="1">
      <c r="A51" s="88"/>
      <c r="B51" s="88"/>
      <c r="C51" s="88"/>
      <c r="D51" s="88"/>
      <c r="E51" s="88"/>
      <c r="F51" s="88"/>
      <c r="G51" s="88"/>
      <c r="H51" s="88"/>
      <c r="I51" s="88"/>
      <c r="J51" s="89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5.75" customHeight="1">
      <c r="A52" s="84"/>
      <c r="B52" s="84"/>
      <c r="C52" s="84"/>
      <c r="D52" s="84"/>
      <c r="E52" s="84"/>
      <c r="F52" s="84"/>
      <c r="G52" s="84"/>
      <c r="H52" s="84"/>
      <c r="I52" s="84"/>
      <c r="J52" s="89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5.75" customHeight="1">
      <c r="A53" s="88"/>
      <c r="B53" s="88"/>
      <c r="C53" s="88"/>
      <c r="D53" s="88"/>
      <c r="E53" s="88"/>
      <c r="F53" s="88"/>
      <c r="G53" s="88"/>
      <c r="H53" s="88"/>
      <c r="I53" s="88"/>
      <c r="J53" s="89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5.75" customHeight="1">
      <c r="A54" s="84"/>
      <c r="B54" s="84"/>
      <c r="C54" s="84"/>
      <c r="D54" s="84"/>
      <c r="E54" s="84"/>
      <c r="F54" s="84"/>
      <c r="G54" s="84"/>
      <c r="H54" s="84"/>
      <c r="I54" s="84"/>
      <c r="J54" s="89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5.75" customHeight="1">
      <c r="A55" s="88"/>
      <c r="B55" s="88"/>
      <c r="C55" s="88"/>
      <c r="D55" s="88"/>
      <c r="E55" s="88"/>
      <c r="F55" s="88"/>
      <c r="G55" s="88"/>
      <c r="H55" s="88"/>
      <c r="I55" s="88"/>
      <c r="J55" s="89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5.75" customHeight="1">
      <c r="A56" s="84"/>
      <c r="B56" s="84"/>
      <c r="C56" s="84"/>
      <c r="D56" s="84"/>
      <c r="E56" s="84"/>
      <c r="F56" s="84"/>
      <c r="G56" s="84"/>
      <c r="H56" s="84"/>
      <c r="I56" s="84"/>
      <c r="J56" s="89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5.75" customHeight="1">
      <c r="A57" s="88"/>
      <c r="B57" s="88"/>
      <c r="C57" s="88"/>
      <c r="D57" s="88"/>
      <c r="E57" s="88"/>
      <c r="F57" s="88"/>
      <c r="G57" s="88"/>
      <c r="H57" s="88"/>
      <c r="I57" s="88"/>
      <c r="J57" s="89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5.75" customHeight="1">
      <c r="A58" s="84"/>
      <c r="B58" s="84"/>
      <c r="C58" s="84"/>
      <c r="D58" s="84"/>
      <c r="E58" s="84"/>
      <c r="F58" s="84"/>
      <c r="G58" s="84"/>
      <c r="H58" s="84"/>
      <c r="I58" s="84"/>
      <c r="J58" s="89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5.75" customHeight="1">
      <c r="A59" s="88"/>
      <c r="B59" s="88"/>
      <c r="C59" s="88"/>
      <c r="D59" s="88"/>
      <c r="E59" s="88"/>
      <c r="F59" s="88"/>
      <c r="G59" s="88"/>
      <c r="H59" s="88"/>
      <c r="I59" s="88"/>
      <c r="J59" s="89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5.75" customHeight="1">
      <c r="A60" s="84"/>
      <c r="B60" s="84"/>
      <c r="C60" s="84"/>
      <c r="D60" s="84"/>
      <c r="E60" s="84"/>
      <c r="F60" s="84"/>
      <c r="G60" s="84"/>
      <c r="H60" s="84"/>
      <c r="I60" s="84"/>
      <c r="J60" s="89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5.75" customHeight="1">
      <c r="A61" s="88"/>
      <c r="B61" s="88"/>
      <c r="C61" s="88"/>
      <c r="D61" s="88"/>
      <c r="E61" s="88"/>
      <c r="F61" s="88"/>
      <c r="G61" s="88"/>
      <c r="H61" s="88"/>
      <c r="I61" s="88"/>
      <c r="J61" s="89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5.75" customHeight="1">
      <c r="A62" s="84"/>
      <c r="B62" s="84"/>
      <c r="C62" s="84"/>
      <c r="D62" s="84"/>
      <c r="E62" s="84"/>
      <c r="F62" s="84"/>
      <c r="G62" s="84"/>
      <c r="H62" s="84"/>
      <c r="I62" s="84"/>
      <c r="J62" s="89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5.75" customHeight="1">
      <c r="A63" s="88"/>
      <c r="B63" s="88"/>
      <c r="C63" s="88"/>
      <c r="D63" s="88"/>
      <c r="E63" s="88"/>
      <c r="F63" s="88"/>
      <c r="G63" s="88"/>
      <c r="H63" s="88"/>
      <c r="I63" s="88"/>
      <c r="J63" s="89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5.75" customHeight="1">
      <c r="A64" s="84"/>
      <c r="B64" s="84"/>
      <c r="C64" s="84"/>
      <c r="D64" s="84"/>
      <c r="E64" s="84"/>
      <c r="F64" s="84"/>
      <c r="G64" s="84"/>
      <c r="H64" s="84"/>
      <c r="I64" s="84"/>
      <c r="J64" s="89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5.75" customHeight="1">
      <c r="A65" s="88"/>
      <c r="B65" s="88"/>
      <c r="C65" s="88"/>
      <c r="D65" s="88"/>
      <c r="E65" s="88"/>
      <c r="F65" s="88"/>
      <c r="G65" s="88"/>
      <c r="H65" s="88"/>
      <c r="I65" s="88"/>
      <c r="J65" s="89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5.75" customHeight="1">
      <c r="A66" s="84"/>
      <c r="B66" s="84"/>
      <c r="C66" s="84"/>
      <c r="D66" s="84"/>
      <c r="E66" s="84"/>
      <c r="F66" s="84"/>
      <c r="G66" s="84"/>
      <c r="H66" s="84"/>
      <c r="I66" s="84"/>
      <c r="J66" s="89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5.75" customHeight="1">
      <c r="A67" s="88"/>
      <c r="B67" s="88"/>
      <c r="C67" s="88"/>
      <c r="D67" s="88"/>
      <c r="E67" s="88"/>
      <c r="F67" s="88"/>
      <c r="G67" s="88"/>
      <c r="H67" s="88"/>
      <c r="I67" s="88"/>
      <c r="J67" s="89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5.75" customHeight="1">
      <c r="A68" s="84"/>
      <c r="B68" s="84"/>
      <c r="C68" s="84"/>
      <c r="D68" s="84"/>
      <c r="E68" s="84"/>
      <c r="F68" s="84"/>
      <c r="G68" s="84"/>
      <c r="H68" s="84"/>
      <c r="I68" s="84"/>
      <c r="J68" s="89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5.75" customHeight="1">
      <c r="A69" s="88"/>
      <c r="B69" s="88"/>
      <c r="C69" s="88"/>
      <c r="D69" s="88"/>
      <c r="E69" s="88"/>
      <c r="F69" s="88"/>
      <c r="G69" s="88"/>
      <c r="H69" s="88"/>
      <c r="I69" s="88"/>
      <c r="J69" s="89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5.75" customHeight="1">
      <c r="A70" s="84"/>
      <c r="B70" s="84"/>
      <c r="C70" s="84"/>
      <c r="D70" s="84"/>
      <c r="E70" s="84"/>
      <c r="F70" s="84"/>
      <c r="G70" s="84"/>
      <c r="H70" s="84"/>
      <c r="I70" s="84"/>
      <c r="J70" s="89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5.75" customHeight="1">
      <c r="A71" s="88"/>
      <c r="B71" s="88"/>
      <c r="C71" s="88"/>
      <c r="D71" s="88"/>
      <c r="E71" s="88"/>
      <c r="F71" s="88"/>
      <c r="G71" s="88"/>
      <c r="H71" s="88"/>
      <c r="I71" s="88"/>
      <c r="J71" s="89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5.75" customHeight="1">
      <c r="A72" s="84"/>
      <c r="B72" s="84"/>
      <c r="C72" s="84"/>
      <c r="D72" s="84"/>
      <c r="E72" s="84"/>
      <c r="F72" s="84"/>
      <c r="G72" s="84"/>
      <c r="H72" s="84"/>
      <c r="I72" s="84"/>
      <c r="J72" s="89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5.75" customHeight="1">
      <c r="A73" s="88"/>
      <c r="B73" s="88"/>
      <c r="C73" s="88"/>
      <c r="D73" s="88"/>
      <c r="E73" s="88"/>
      <c r="F73" s="88"/>
      <c r="G73" s="88"/>
      <c r="H73" s="88"/>
      <c r="I73" s="88"/>
      <c r="J73" s="89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5.75" customHeight="1">
      <c r="A74" s="84"/>
      <c r="B74" s="84"/>
      <c r="C74" s="84"/>
      <c r="D74" s="84"/>
      <c r="E74" s="84"/>
      <c r="F74" s="84"/>
      <c r="G74" s="84"/>
      <c r="H74" s="84"/>
      <c r="I74" s="84"/>
      <c r="J74" s="89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5.75" customHeight="1">
      <c r="A75" s="88"/>
      <c r="B75" s="88"/>
      <c r="C75" s="88"/>
      <c r="D75" s="88"/>
      <c r="E75" s="88"/>
      <c r="F75" s="88"/>
      <c r="G75" s="88"/>
      <c r="H75" s="88"/>
      <c r="I75" s="88"/>
      <c r="J75" s="89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5.75" customHeight="1">
      <c r="A76" s="84"/>
      <c r="B76" s="84"/>
      <c r="C76" s="84"/>
      <c r="D76" s="84"/>
      <c r="E76" s="84"/>
      <c r="F76" s="84"/>
      <c r="G76" s="84"/>
      <c r="H76" s="84"/>
      <c r="I76" s="84"/>
      <c r="J76" s="89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5.75" customHeight="1">
      <c r="A77" s="88"/>
      <c r="B77" s="88"/>
      <c r="C77" s="88"/>
      <c r="D77" s="88"/>
      <c r="E77" s="88"/>
      <c r="F77" s="88"/>
      <c r="G77" s="88"/>
      <c r="H77" s="88"/>
      <c r="I77" s="88"/>
      <c r="J77" s="89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5.75" customHeight="1">
      <c r="A78" s="84"/>
      <c r="B78" s="84"/>
      <c r="C78" s="84"/>
      <c r="D78" s="84"/>
      <c r="E78" s="84"/>
      <c r="F78" s="84"/>
      <c r="G78" s="84"/>
      <c r="H78" s="84"/>
      <c r="I78" s="84"/>
      <c r="J78" s="89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5.75" customHeight="1">
      <c r="A79" s="88"/>
      <c r="B79" s="88"/>
      <c r="C79" s="88"/>
      <c r="D79" s="88"/>
      <c r="E79" s="88"/>
      <c r="F79" s="88"/>
      <c r="G79" s="88"/>
      <c r="H79" s="88"/>
      <c r="I79" s="88"/>
      <c r="J79" s="89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5.75" customHeight="1">
      <c r="A80" s="84"/>
      <c r="B80" s="84"/>
      <c r="C80" s="84"/>
      <c r="D80" s="84"/>
      <c r="E80" s="84"/>
      <c r="F80" s="84"/>
      <c r="G80" s="84"/>
      <c r="H80" s="84"/>
      <c r="I80" s="84"/>
      <c r="J80" s="89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5.75" customHeight="1">
      <c r="A81" s="88"/>
      <c r="B81" s="88"/>
      <c r="C81" s="88"/>
      <c r="D81" s="88"/>
      <c r="E81" s="88"/>
      <c r="F81" s="88"/>
      <c r="G81" s="88"/>
      <c r="H81" s="88"/>
      <c r="I81" s="88"/>
      <c r="J81" s="89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5.75" customHeight="1">
      <c r="A82" s="84"/>
      <c r="B82" s="84"/>
      <c r="C82" s="84"/>
      <c r="D82" s="84"/>
      <c r="E82" s="84"/>
      <c r="F82" s="84"/>
      <c r="G82" s="84"/>
      <c r="H82" s="84"/>
      <c r="I82" s="84"/>
      <c r="J82" s="89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5.75" customHeight="1">
      <c r="A83" s="88"/>
      <c r="B83" s="88"/>
      <c r="C83" s="88"/>
      <c r="D83" s="88"/>
      <c r="E83" s="88"/>
      <c r="F83" s="88"/>
      <c r="G83" s="88"/>
      <c r="H83" s="88"/>
      <c r="I83" s="88"/>
      <c r="J83" s="89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5.75" customHeight="1">
      <c r="A84" s="84"/>
      <c r="B84" s="84"/>
      <c r="C84" s="84"/>
      <c r="D84" s="84"/>
      <c r="E84" s="84"/>
      <c r="F84" s="84"/>
      <c r="G84" s="84"/>
      <c r="H84" s="84"/>
      <c r="I84" s="84"/>
      <c r="J84" s="89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5.75" customHeight="1">
      <c r="A85" s="88"/>
      <c r="B85" s="88"/>
      <c r="C85" s="88"/>
      <c r="D85" s="88"/>
      <c r="E85" s="88"/>
      <c r="F85" s="88"/>
      <c r="G85" s="88"/>
      <c r="H85" s="88"/>
      <c r="I85" s="88"/>
      <c r="J85" s="89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5.75" customHeight="1">
      <c r="A86" s="84"/>
      <c r="B86" s="84"/>
      <c r="C86" s="84"/>
      <c r="D86" s="84"/>
      <c r="E86" s="84"/>
      <c r="F86" s="84"/>
      <c r="G86" s="84"/>
      <c r="H86" s="84"/>
      <c r="I86" s="84"/>
      <c r="J86" s="89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5.75" customHeight="1">
      <c r="A87" s="88"/>
      <c r="B87" s="88"/>
      <c r="C87" s="88"/>
      <c r="D87" s="88"/>
      <c r="E87" s="88"/>
      <c r="F87" s="88"/>
      <c r="G87" s="88"/>
      <c r="H87" s="88"/>
      <c r="I87" s="88"/>
      <c r="J87" s="89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5.75" customHeight="1">
      <c r="A88" s="84"/>
      <c r="B88" s="84"/>
      <c r="C88" s="84"/>
      <c r="D88" s="84"/>
      <c r="E88" s="84"/>
      <c r="F88" s="84"/>
      <c r="G88" s="84"/>
      <c r="H88" s="84"/>
      <c r="I88" s="84"/>
      <c r="J88" s="89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5.75" customHeight="1">
      <c r="A89" s="88"/>
      <c r="B89" s="88"/>
      <c r="C89" s="88"/>
      <c r="D89" s="88"/>
      <c r="E89" s="88"/>
      <c r="F89" s="88"/>
      <c r="G89" s="88"/>
      <c r="H89" s="88"/>
      <c r="I89" s="88"/>
      <c r="J89" s="89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5.75" customHeight="1">
      <c r="A90" s="84"/>
      <c r="B90" s="84"/>
      <c r="C90" s="84"/>
      <c r="D90" s="84"/>
      <c r="E90" s="84"/>
      <c r="F90" s="84"/>
      <c r="G90" s="84"/>
      <c r="H90" s="84"/>
      <c r="I90" s="84"/>
      <c r="J90" s="89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5.75" customHeight="1">
      <c r="A91" s="88"/>
      <c r="B91" s="88"/>
      <c r="C91" s="88"/>
      <c r="D91" s="88"/>
      <c r="E91" s="88"/>
      <c r="F91" s="88"/>
      <c r="G91" s="88"/>
      <c r="H91" s="88"/>
      <c r="I91" s="88"/>
      <c r="J91" s="89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5.75" customHeight="1">
      <c r="A92" s="84"/>
      <c r="B92" s="84"/>
      <c r="C92" s="84"/>
      <c r="D92" s="84"/>
      <c r="E92" s="84"/>
      <c r="F92" s="84"/>
      <c r="G92" s="84"/>
      <c r="H92" s="84"/>
      <c r="I92" s="84"/>
      <c r="J92" s="89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5.75" customHeight="1">
      <c r="A93" s="88"/>
      <c r="B93" s="88"/>
      <c r="C93" s="88"/>
      <c r="D93" s="88"/>
      <c r="E93" s="88"/>
      <c r="F93" s="88"/>
      <c r="G93" s="88"/>
      <c r="H93" s="88"/>
      <c r="I93" s="88"/>
      <c r="J93" s="89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5.75" customHeight="1">
      <c r="A94" s="84"/>
      <c r="B94" s="84"/>
      <c r="C94" s="84"/>
      <c r="D94" s="84"/>
      <c r="E94" s="84"/>
      <c r="F94" s="84"/>
      <c r="G94" s="84"/>
      <c r="H94" s="84"/>
      <c r="I94" s="84"/>
      <c r="J94" s="89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5.75" customHeight="1">
      <c r="A95" s="88"/>
      <c r="B95" s="88"/>
      <c r="C95" s="88"/>
      <c r="D95" s="88"/>
      <c r="E95" s="88"/>
      <c r="F95" s="88"/>
      <c r="G95" s="88"/>
      <c r="H95" s="88"/>
      <c r="I95" s="88"/>
      <c r="J95" s="89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5.75" customHeight="1">
      <c r="A96" s="84"/>
      <c r="B96" s="84"/>
      <c r="C96" s="84"/>
      <c r="D96" s="84"/>
      <c r="E96" s="84"/>
      <c r="F96" s="84"/>
      <c r="G96" s="84"/>
      <c r="H96" s="84"/>
      <c r="I96" s="84"/>
      <c r="J96" s="89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5.75" customHeight="1">
      <c r="A97" s="88"/>
      <c r="B97" s="88"/>
      <c r="C97" s="88"/>
      <c r="D97" s="88"/>
      <c r="E97" s="88"/>
      <c r="F97" s="88"/>
      <c r="G97" s="88"/>
      <c r="H97" s="88"/>
      <c r="I97" s="88"/>
      <c r="J97" s="89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5.75" customHeight="1">
      <c r="A98" s="84"/>
      <c r="B98" s="84"/>
      <c r="C98" s="84"/>
      <c r="D98" s="84"/>
      <c r="E98" s="84"/>
      <c r="F98" s="84"/>
      <c r="G98" s="84"/>
      <c r="H98" s="84"/>
      <c r="I98" s="84"/>
      <c r="J98" s="89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5.75" customHeight="1">
      <c r="A99" s="88"/>
      <c r="B99" s="88"/>
      <c r="C99" s="88"/>
      <c r="D99" s="88"/>
      <c r="E99" s="88"/>
      <c r="F99" s="88"/>
      <c r="G99" s="88"/>
      <c r="H99" s="88"/>
      <c r="I99" s="88"/>
      <c r="J99" s="89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5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9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  <row r="101" ht="15.75" customHeight="1">
      <c r="A101" s="88"/>
      <c r="B101" s="88"/>
      <c r="C101" s="88"/>
      <c r="D101" s="88"/>
      <c r="E101" s="88"/>
      <c r="F101" s="88"/>
      <c r="G101" s="88"/>
      <c r="H101" s="88"/>
      <c r="I101" s="88"/>
      <c r="J101" s="89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</row>
    <row r="102" ht="15.75" customHeight="1">
      <c r="A102" s="84"/>
      <c r="B102" s="84"/>
      <c r="C102" s="84"/>
      <c r="D102" s="84"/>
      <c r="E102" s="84"/>
      <c r="F102" s="84"/>
      <c r="G102" s="84"/>
      <c r="H102" s="84"/>
      <c r="I102" s="84"/>
      <c r="J102" s="89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</row>
    <row r="103" ht="15.75" customHeight="1">
      <c r="A103" s="88"/>
      <c r="B103" s="88"/>
      <c r="C103" s="88"/>
      <c r="D103" s="88"/>
      <c r="E103" s="88"/>
      <c r="F103" s="88"/>
      <c r="G103" s="88"/>
      <c r="H103" s="88"/>
      <c r="I103" s="88"/>
      <c r="J103" s="89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 ht="15.75" customHeight="1">
      <c r="A104" s="84"/>
      <c r="B104" s="84"/>
      <c r="C104" s="84"/>
      <c r="D104" s="84"/>
      <c r="E104" s="84"/>
      <c r="F104" s="84"/>
      <c r="G104" s="84"/>
      <c r="H104" s="84"/>
      <c r="I104" s="84"/>
      <c r="J104" s="89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</row>
    <row r="105" ht="15.75" customHeight="1">
      <c r="A105" s="88"/>
      <c r="B105" s="88"/>
      <c r="C105" s="88"/>
      <c r="D105" s="88"/>
      <c r="E105" s="88"/>
      <c r="F105" s="88"/>
      <c r="G105" s="88"/>
      <c r="H105" s="88"/>
      <c r="I105" s="88"/>
      <c r="J105" s="89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</row>
    <row r="106" ht="15.75" customHeight="1">
      <c r="A106" s="84"/>
      <c r="B106" s="84"/>
      <c r="C106" s="84"/>
      <c r="D106" s="84"/>
      <c r="E106" s="84"/>
      <c r="F106" s="84"/>
      <c r="G106" s="84"/>
      <c r="H106" s="84"/>
      <c r="I106" s="84"/>
      <c r="J106" s="89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 ht="15.75" customHeight="1">
      <c r="A107" s="88"/>
      <c r="B107" s="88"/>
      <c r="C107" s="88"/>
      <c r="D107" s="88"/>
      <c r="E107" s="88"/>
      <c r="F107" s="88"/>
      <c r="G107" s="88"/>
      <c r="H107" s="88"/>
      <c r="I107" s="88"/>
      <c r="J107" s="89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</row>
    <row r="108" ht="15.75" customHeight="1">
      <c r="A108" s="84"/>
      <c r="B108" s="84"/>
      <c r="C108" s="84"/>
      <c r="D108" s="84"/>
      <c r="E108" s="84"/>
      <c r="F108" s="84"/>
      <c r="G108" s="84"/>
      <c r="H108" s="84"/>
      <c r="I108" s="84"/>
      <c r="J108" s="89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</row>
    <row r="109" ht="15.75" customHeight="1">
      <c r="A109" s="88"/>
      <c r="B109" s="88"/>
      <c r="C109" s="88"/>
      <c r="D109" s="88"/>
      <c r="E109" s="88"/>
      <c r="F109" s="88"/>
      <c r="G109" s="88"/>
      <c r="H109" s="88"/>
      <c r="I109" s="88"/>
      <c r="J109" s="89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</row>
    <row r="110" ht="15.75" customHeight="1">
      <c r="A110" s="84"/>
      <c r="B110" s="84"/>
      <c r="C110" s="84"/>
      <c r="D110" s="84"/>
      <c r="E110" s="84"/>
      <c r="F110" s="84"/>
      <c r="G110" s="84"/>
      <c r="H110" s="84"/>
      <c r="I110" s="84"/>
      <c r="J110" s="89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</row>
    <row r="111" ht="15.75" customHeight="1">
      <c r="A111" s="88"/>
      <c r="B111" s="88"/>
      <c r="C111" s="88"/>
      <c r="D111" s="88"/>
      <c r="E111" s="88"/>
      <c r="F111" s="88"/>
      <c r="G111" s="88"/>
      <c r="H111" s="88"/>
      <c r="I111" s="88"/>
      <c r="J111" s="89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</row>
    <row r="112" ht="15.75" customHeight="1">
      <c r="A112" s="84"/>
      <c r="B112" s="84"/>
      <c r="C112" s="84"/>
      <c r="D112" s="84"/>
      <c r="E112" s="84"/>
      <c r="F112" s="84"/>
      <c r="G112" s="84"/>
      <c r="H112" s="84"/>
      <c r="I112" s="84"/>
      <c r="J112" s="89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</row>
    <row r="113" ht="15.75" customHeight="1">
      <c r="A113" s="88"/>
      <c r="B113" s="88"/>
      <c r="C113" s="88"/>
      <c r="D113" s="88"/>
      <c r="E113" s="88"/>
      <c r="F113" s="88"/>
      <c r="G113" s="88"/>
      <c r="H113" s="88"/>
      <c r="I113" s="88"/>
      <c r="J113" s="89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</row>
    <row r="114" ht="15.75" customHeight="1">
      <c r="A114" s="84"/>
      <c r="B114" s="84"/>
      <c r="C114" s="84"/>
      <c r="D114" s="84"/>
      <c r="E114" s="84"/>
      <c r="F114" s="84"/>
      <c r="G114" s="84"/>
      <c r="H114" s="84"/>
      <c r="I114" s="84"/>
      <c r="J114" s="89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</row>
    <row r="115" ht="15.75" customHeight="1">
      <c r="A115" s="88"/>
      <c r="B115" s="88"/>
      <c r="C115" s="88"/>
      <c r="D115" s="88"/>
      <c r="E115" s="88"/>
      <c r="F115" s="88"/>
      <c r="G115" s="88"/>
      <c r="H115" s="88"/>
      <c r="I115" s="88"/>
      <c r="J115" s="89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</row>
    <row r="116" ht="15.75" customHeight="1">
      <c r="A116" s="84"/>
      <c r="B116" s="84"/>
      <c r="C116" s="84"/>
      <c r="D116" s="84"/>
      <c r="E116" s="84"/>
      <c r="F116" s="84"/>
      <c r="G116" s="84"/>
      <c r="H116" s="84"/>
      <c r="I116" s="84"/>
      <c r="J116" s="89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</row>
    <row r="117" ht="15.75" customHeight="1">
      <c r="A117" s="88"/>
      <c r="B117" s="88"/>
      <c r="C117" s="88"/>
      <c r="D117" s="88"/>
      <c r="E117" s="88"/>
      <c r="F117" s="88"/>
      <c r="G117" s="88"/>
      <c r="H117" s="88"/>
      <c r="I117" s="88"/>
      <c r="J117" s="89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</row>
    <row r="118" ht="15.75" customHeight="1">
      <c r="A118" s="84"/>
      <c r="B118" s="84"/>
      <c r="C118" s="84"/>
      <c r="D118" s="84"/>
      <c r="E118" s="84"/>
      <c r="F118" s="84"/>
      <c r="G118" s="84"/>
      <c r="H118" s="84"/>
      <c r="I118" s="84"/>
      <c r="J118" s="89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</row>
    <row r="119" ht="15.75" customHeight="1">
      <c r="A119" s="88"/>
      <c r="B119" s="88"/>
      <c r="C119" s="88"/>
      <c r="D119" s="88"/>
      <c r="E119" s="88"/>
      <c r="F119" s="88"/>
      <c r="G119" s="88"/>
      <c r="H119" s="88"/>
      <c r="I119" s="88"/>
      <c r="J119" s="89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</row>
    <row r="120" ht="15.75" customHeight="1">
      <c r="A120" s="84"/>
      <c r="B120" s="84"/>
      <c r="C120" s="84"/>
      <c r="D120" s="84"/>
      <c r="E120" s="84"/>
      <c r="F120" s="84"/>
      <c r="G120" s="84"/>
      <c r="H120" s="84"/>
      <c r="I120" s="84"/>
      <c r="J120" s="89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</row>
    <row r="121" ht="15.75" customHeight="1">
      <c r="A121" s="88"/>
      <c r="B121" s="88"/>
      <c r="C121" s="88"/>
      <c r="D121" s="88"/>
      <c r="E121" s="88"/>
      <c r="F121" s="88"/>
      <c r="G121" s="88"/>
      <c r="H121" s="88"/>
      <c r="I121" s="88"/>
      <c r="J121" s="89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</row>
    <row r="122" ht="15.75" customHeight="1">
      <c r="A122" s="84"/>
      <c r="B122" s="84"/>
      <c r="C122" s="84"/>
      <c r="D122" s="84"/>
      <c r="E122" s="84"/>
      <c r="F122" s="84"/>
      <c r="G122" s="84"/>
      <c r="H122" s="84"/>
      <c r="I122" s="84"/>
      <c r="J122" s="89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</row>
    <row r="123" ht="15.75" customHeight="1">
      <c r="A123" s="88"/>
      <c r="B123" s="88"/>
      <c r="C123" s="88"/>
      <c r="D123" s="88"/>
      <c r="E123" s="88"/>
      <c r="F123" s="88"/>
      <c r="G123" s="88"/>
      <c r="H123" s="88"/>
      <c r="I123" s="88"/>
      <c r="J123" s="89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</row>
    <row r="124" ht="15.75" customHeight="1">
      <c r="A124" s="84"/>
      <c r="B124" s="84"/>
      <c r="C124" s="84"/>
      <c r="D124" s="84"/>
      <c r="E124" s="84"/>
      <c r="F124" s="84"/>
      <c r="G124" s="84"/>
      <c r="H124" s="84"/>
      <c r="I124" s="84"/>
      <c r="J124" s="89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</row>
    <row r="125" ht="15.75" customHeight="1">
      <c r="A125" s="88"/>
      <c r="B125" s="88"/>
      <c r="C125" s="88"/>
      <c r="D125" s="88"/>
      <c r="E125" s="88"/>
      <c r="F125" s="88"/>
      <c r="G125" s="88"/>
      <c r="H125" s="88"/>
      <c r="I125" s="88"/>
      <c r="J125" s="89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</row>
    <row r="126" ht="15.75" customHeight="1">
      <c r="A126" s="84"/>
      <c r="B126" s="84"/>
      <c r="C126" s="84"/>
      <c r="D126" s="84"/>
      <c r="E126" s="84"/>
      <c r="F126" s="84"/>
      <c r="G126" s="84"/>
      <c r="H126" s="84"/>
      <c r="I126" s="84"/>
      <c r="J126" s="89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</row>
    <row r="127" ht="15.75" customHeight="1">
      <c r="A127" s="88"/>
      <c r="B127" s="88"/>
      <c r="C127" s="88"/>
      <c r="D127" s="88"/>
      <c r="E127" s="88"/>
      <c r="F127" s="88"/>
      <c r="G127" s="88"/>
      <c r="H127" s="88"/>
      <c r="I127" s="88"/>
      <c r="J127" s="89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</row>
    <row r="128" ht="15.75" customHeight="1">
      <c r="A128" s="84"/>
      <c r="B128" s="84"/>
      <c r="C128" s="84"/>
      <c r="D128" s="84"/>
      <c r="E128" s="84"/>
      <c r="F128" s="84"/>
      <c r="G128" s="84"/>
      <c r="H128" s="84"/>
      <c r="I128" s="84"/>
      <c r="J128" s="89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</row>
    <row r="129" ht="15.75" customHeight="1">
      <c r="A129" s="88"/>
      <c r="B129" s="88"/>
      <c r="C129" s="88"/>
      <c r="D129" s="88"/>
      <c r="E129" s="88"/>
      <c r="F129" s="88"/>
      <c r="G129" s="88"/>
      <c r="H129" s="88"/>
      <c r="I129" s="88"/>
      <c r="J129" s="89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</row>
    <row r="130" ht="15.75" customHeight="1">
      <c r="A130" s="84"/>
      <c r="B130" s="84"/>
      <c r="C130" s="84"/>
      <c r="D130" s="84"/>
      <c r="E130" s="84"/>
      <c r="F130" s="84"/>
      <c r="G130" s="84"/>
      <c r="H130" s="84"/>
      <c r="I130" s="84"/>
      <c r="J130" s="89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</row>
    <row r="131" ht="15.75" customHeight="1">
      <c r="A131" s="88"/>
      <c r="B131" s="88"/>
      <c r="C131" s="88"/>
      <c r="D131" s="88"/>
      <c r="E131" s="88"/>
      <c r="F131" s="88"/>
      <c r="G131" s="88"/>
      <c r="H131" s="88"/>
      <c r="I131" s="88"/>
      <c r="J131" s="89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</row>
    <row r="132" ht="15.75" customHeight="1">
      <c r="A132" s="84"/>
      <c r="B132" s="84"/>
      <c r="C132" s="84"/>
      <c r="D132" s="84"/>
      <c r="E132" s="84"/>
      <c r="F132" s="84"/>
      <c r="G132" s="84"/>
      <c r="H132" s="84"/>
      <c r="I132" s="84"/>
      <c r="J132" s="89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</row>
    <row r="133" ht="15.75" customHeight="1">
      <c r="A133" s="88"/>
      <c r="B133" s="88"/>
      <c r="C133" s="88"/>
      <c r="D133" s="88"/>
      <c r="E133" s="88"/>
      <c r="F133" s="88"/>
      <c r="G133" s="88"/>
      <c r="H133" s="88"/>
      <c r="I133" s="88"/>
      <c r="J133" s="89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</row>
    <row r="134" ht="15.75" customHeight="1">
      <c r="A134" s="84"/>
      <c r="B134" s="84"/>
      <c r="C134" s="84"/>
      <c r="D134" s="84"/>
      <c r="E134" s="84"/>
      <c r="F134" s="84"/>
      <c r="G134" s="84"/>
      <c r="H134" s="84"/>
      <c r="I134" s="84"/>
      <c r="J134" s="89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</row>
    <row r="135" ht="15.75" customHeight="1">
      <c r="A135" s="88"/>
      <c r="B135" s="88"/>
      <c r="C135" s="88"/>
      <c r="D135" s="88"/>
      <c r="E135" s="88"/>
      <c r="F135" s="88"/>
      <c r="G135" s="88"/>
      <c r="H135" s="88"/>
      <c r="I135" s="88"/>
      <c r="J135" s="89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</row>
    <row r="136" ht="15.75" customHeight="1">
      <c r="A136" s="84"/>
      <c r="B136" s="84"/>
      <c r="C136" s="84"/>
      <c r="D136" s="84"/>
      <c r="E136" s="84"/>
      <c r="F136" s="84"/>
      <c r="G136" s="84"/>
      <c r="H136" s="84"/>
      <c r="I136" s="84"/>
      <c r="J136" s="89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</row>
    <row r="137" ht="15.75" customHeight="1">
      <c r="A137" s="88"/>
      <c r="B137" s="88"/>
      <c r="C137" s="88"/>
      <c r="D137" s="88"/>
      <c r="E137" s="88"/>
      <c r="F137" s="88"/>
      <c r="G137" s="88"/>
      <c r="H137" s="88"/>
      <c r="I137" s="88"/>
      <c r="J137" s="89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</row>
    <row r="138" ht="15.75" customHeight="1">
      <c r="A138" s="84"/>
      <c r="B138" s="84"/>
      <c r="C138" s="84"/>
      <c r="D138" s="84"/>
      <c r="E138" s="84"/>
      <c r="F138" s="84"/>
      <c r="G138" s="84"/>
      <c r="H138" s="84"/>
      <c r="I138" s="84"/>
      <c r="J138" s="89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</row>
    <row r="139" ht="15.75" customHeight="1">
      <c r="A139" s="88"/>
      <c r="B139" s="88"/>
      <c r="C139" s="88"/>
      <c r="D139" s="88"/>
      <c r="E139" s="88"/>
      <c r="F139" s="88"/>
      <c r="G139" s="88"/>
      <c r="H139" s="88"/>
      <c r="I139" s="88"/>
      <c r="J139" s="89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</row>
    <row r="140" ht="15.75" customHeight="1">
      <c r="A140" s="84"/>
      <c r="B140" s="84"/>
      <c r="C140" s="84"/>
      <c r="D140" s="84"/>
      <c r="E140" s="84"/>
      <c r="F140" s="84"/>
      <c r="G140" s="84"/>
      <c r="H140" s="84"/>
      <c r="I140" s="84"/>
      <c r="J140" s="89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</row>
    <row r="141" ht="15.75" customHeight="1">
      <c r="A141" s="88"/>
      <c r="B141" s="88"/>
      <c r="C141" s="88"/>
      <c r="D141" s="88"/>
      <c r="E141" s="88"/>
      <c r="F141" s="88"/>
      <c r="G141" s="88"/>
      <c r="H141" s="88"/>
      <c r="I141" s="88"/>
      <c r="J141" s="89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</row>
    <row r="142" ht="15.75" customHeight="1">
      <c r="A142" s="84"/>
      <c r="B142" s="84"/>
      <c r="C142" s="84"/>
      <c r="D142" s="84"/>
      <c r="E142" s="84"/>
      <c r="F142" s="84"/>
      <c r="G142" s="84"/>
      <c r="H142" s="84"/>
      <c r="I142" s="84"/>
      <c r="J142" s="89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</row>
    <row r="143" ht="15.75" customHeight="1">
      <c r="A143" s="88"/>
      <c r="B143" s="88"/>
      <c r="C143" s="88"/>
      <c r="D143" s="88"/>
      <c r="E143" s="88"/>
      <c r="F143" s="88"/>
      <c r="G143" s="88"/>
      <c r="H143" s="88"/>
      <c r="I143" s="88"/>
      <c r="J143" s="89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</row>
    <row r="144" ht="15.75" customHeight="1">
      <c r="A144" s="84"/>
      <c r="B144" s="84"/>
      <c r="C144" s="84"/>
      <c r="D144" s="84"/>
      <c r="E144" s="84"/>
      <c r="F144" s="84"/>
      <c r="G144" s="84"/>
      <c r="H144" s="84"/>
      <c r="I144" s="84"/>
      <c r="J144" s="89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</row>
    <row r="145" ht="15.75" customHeight="1">
      <c r="A145" s="88"/>
      <c r="B145" s="88"/>
      <c r="C145" s="88"/>
      <c r="D145" s="88"/>
      <c r="E145" s="88"/>
      <c r="F145" s="88"/>
      <c r="G145" s="88"/>
      <c r="H145" s="88"/>
      <c r="I145" s="88"/>
      <c r="J145" s="89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</row>
    <row r="146" ht="15.75" customHeight="1">
      <c r="A146" s="84"/>
      <c r="B146" s="84"/>
      <c r="C146" s="84"/>
      <c r="D146" s="84"/>
      <c r="E146" s="84"/>
      <c r="F146" s="84"/>
      <c r="G146" s="84"/>
      <c r="H146" s="84"/>
      <c r="I146" s="84"/>
      <c r="J146" s="89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</row>
    <row r="147" ht="15.75" customHeight="1">
      <c r="A147" s="88"/>
      <c r="B147" s="88"/>
      <c r="C147" s="88"/>
      <c r="D147" s="88"/>
      <c r="E147" s="88"/>
      <c r="F147" s="88"/>
      <c r="G147" s="88"/>
      <c r="H147" s="88"/>
      <c r="I147" s="88"/>
      <c r="J147" s="89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</row>
    <row r="148" ht="15.75" customHeight="1">
      <c r="A148" s="84"/>
      <c r="B148" s="84"/>
      <c r="C148" s="84"/>
      <c r="D148" s="84"/>
      <c r="E148" s="84"/>
      <c r="F148" s="84"/>
      <c r="G148" s="84"/>
      <c r="H148" s="84"/>
      <c r="I148" s="84"/>
      <c r="J148" s="89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</row>
    <row r="149" ht="15.75" customHeight="1">
      <c r="A149" s="88"/>
      <c r="B149" s="88"/>
      <c r="C149" s="88"/>
      <c r="D149" s="88"/>
      <c r="E149" s="88"/>
      <c r="F149" s="88"/>
      <c r="G149" s="88"/>
      <c r="H149" s="88"/>
      <c r="I149" s="88"/>
      <c r="J149" s="89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</row>
    <row r="150" ht="15.75" customHeight="1">
      <c r="A150" s="84"/>
      <c r="B150" s="84"/>
      <c r="C150" s="84"/>
      <c r="D150" s="84"/>
      <c r="E150" s="84"/>
      <c r="F150" s="84"/>
      <c r="G150" s="84"/>
      <c r="H150" s="84"/>
      <c r="I150" s="84"/>
      <c r="J150" s="89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</row>
    <row r="151" ht="15.75" customHeight="1">
      <c r="A151" s="88"/>
      <c r="B151" s="88"/>
      <c r="C151" s="88"/>
      <c r="D151" s="88"/>
      <c r="E151" s="88"/>
      <c r="F151" s="88"/>
      <c r="G151" s="88"/>
      <c r="H151" s="88"/>
      <c r="I151" s="88"/>
      <c r="J151" s="89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</row>
    <row r="152" ht="15.75" customHeight="1">
      <c r="A152" s="84"/>
      <c r="B152" s="84"/>
      <c r="C152" s="84"/>
      <c r="D152" s="84"/>
      <c r="E152" s="84"/>
      <c r="F152" s="84"/>
      <c r="G152" s="84"/>
      <c r="H152" s="84"/>
      <c r="I152" s="84"/>
      <c r="J152" s="89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</row>
    <row r="153" ht="15.75" customHeight="1">
      <c r="A153" s="88"/>
      <c r="B153" s="88"/>
      <c r="C153" s="88"/>
      <c r="D153" s="88"/>
      <c r="E153" s="88"/>
      <c r="F153" s="88"/>
      <c r="G153" s="88"/>
      <c r="H153" s="88"/>
      <c r="I153" s="88"/>
      <c r="J153" s="89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</row>
    <row r="154" ht="15.75" customHeight="1">
      <c r="A154" s="84"/>
      <c r="B154" s="84"/>
      <c r="C154" s="84"/>
      <c r="D154" s="84"/>
      <c r="E154" s="84"/>
      <c r="F154" s="84"/>
      <c r="G154" s="84"/>
      <c r="H154" s="84"/>
      <c r="I154" s="84"/>
      <c r="J154" s="89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</row>
    <row r="155" ht="15.75" customHeight="1">
      <c r="A155" s="88"/>
      <c r="B155" s="88"/>
      <c r="C155" s="88"/>
      <c r="D155" s="88"/>
      <c r="E155" s="88"/>
      <c r="F155" s="88"/>
      <c r="G155" s="88"/>
      <c r="H155" s="88"/>
      <c r="I155" s="88"/>
      <c r="J155" s="89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</row>
    <row r="156" ht="15.75" customHeight="1">
      <c r="A156" s="84"/>
      <c r="B156" s="84"/>
      <c r="C156" s="84"/>
      <c r="D156" s="84"/>
      <c r="E156" s="84"/>
      <c r="F156" s="84"/>
      <c r="G156" s="84"/>
      <c r="H156" s="84"/>
      <c r="I156" s="84"/>
      <c r="J156" s="89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</row>
    <row r="157" ht="15.75" customHeight="1">
      <c r="A157" s="88"/>
      <c r="B157" s="88"/>
      <c r="C157" s="88"/>
      <c r="D157" s="88"/>
      <c r="E157" s="88"/>
      <c r="F157" s="88"/>
      <c r="G157" s="88"/>
      <c r="H157" s="88"/>
      <c r="I157" s="88"/>
      <c r="J157" s="89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</row>
    <row r="158" ht="15.75" customHeight="1">
      <c r="A158" s="84"/>
      <c r="B158" s="84"/>
      <c r="C158" s="84"/>
      <c r="D158" s="84"/>
      <c r="E158" s="84"/>
      <c r="F158" s="84"/>
      <c r="G158" s="84"/>
      <c r="H158" s="84"/>
      <c r="I158" s="84"/>
      <c r="J158" s="89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</row>
    <row r="159" ht="15.75" customHeight="1">
      <c r="A159" s="88"/>
      <c r="B159" s="88"/>
      <c r="C159" s="88"/>
      <c r="D159" s="88"/>
      <c r="E159" s="88"/>
      <c r="F159" s="88"/>
      <c r="G159" s="88"/>
      <c r="H159" s="88"/>
      <c r="I159" s="88"/>
      <c r="J159" s="89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</row>
    <row r="160" ht="15.75" customHeight="1">
      <c r="A160" s="84"/>
      <c r="B160" s="84"/>
      <c r="C160" s="84"/>
      <c r="D160" s="84"/>
      <c r="E160" s="84"/>
      <c r="F160" s="84"/>
      <c r="G160" s="84"/>
      <c r="H160" s="84"/>
      <c r="I160" s="84"/>
      <c r="J160" s="89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</row>
    <row r="161" ht="15.75" customHeight="1">
      <c r="A161" s="88"/>
      <c r="B161" s="88"/>
      <c r="C161" s="88"/>
      <c r="D161" s="88"/>
      <c r="E161" s="88"/>
      <c r="F161" s="88"/>
      <c r="G161" s="88"/>
      <c r="H161" s="88"/>
      <c r="I161" s="88"/>
      <c r="J161" s="89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</row>
    <row r="162" ht="15.75" customHeight="1">
      <c r="A162" s="84"/>
      <c r="B162" s="84"/>
      <c r="C162" s="84"/>
      <c r="D162" s="84"/>
      <c r="E162" s="84"/>
      <c r="F162" s="84"/>
      <c r="G162" s="84"/>
      <c r="H162" s="84"/>
      <c r="I162" s="84"/>
      <c r="J162" s="89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</row>
    <row r="163" ht="15.75" customHeight="1">
      <c r="A163" s="88"/>
      <c r="B163" s="88"/>
      <c r="C163" s="88"/>
      <c r="D163" s="88"/>
      <c r="E163" s="88"/>
      <c r="F163" s="88"/>
      <c r="G163" s="88"/>
      <c r="H163" s="88"/>
      <c r="I163" s="88"/>
      <c r="J163" s="89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</row>
    <row r="164" ht="15.75" customHeight="1">
      <c r="A164" s="84"/>
      <c r="B164" s="84"/>
      <c r="C164" s="84"/>
      <c r="D164" s="84"/>
      <c r="E164" s="84"/>
      <c r="F164" s="84"/>
      <c r="G164" s="84"/>
      <c r="H164" s="84"/>
      <c r="I164" s="84"/>
      <c r="J164" s="89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</row>
    <row r="165" ht="15.75" customHeight="1">
      <c r="A165" s="88"/>
      <c r="B165" s="88"/>
      <c r="C165" s="88"/>
      <c r="D165" s="88"/>
      <c r="E165" s="88"/>
      <c r="F165" s="88"/>
      <c r="G165" s="88"/>
      <c r="H165" s="88"/>
      <c r="I165" s="88"/>
      <c r="J165" s="89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</row>
    <row r="166" ht="15.75" customHeight="1">
      <c r="A166" s="84"/>
      <c r="B166" s="84"/>
      <c r="C166" s="84"/>
      <c r="D166" s="84"/>
      <c r="E166" s="84"/>
      <c r="F166" s="84"/>
      <c r="G166" s="84"/>
      <c r="H166" s="84"/>
      <c r="I166" s="84"/>
      <c r="J166" s="89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</row>
    <row r="167" ht="15.75" customHeight="1">
      <c r="A167" s="88"/>
      <c r="B167" s="88"/>
      <c r="C167" s="88"/>
      <c r="D167" s="88"/>
      <c r="E167" s="88"/>
      <c r="F167" s="88"/>
      <c r="G167" s="88"/>
      <c r="H167" s="88"/>
      <c r="I167" s="88"/>
      <c r="J167" s="89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</row>
    <row r="168" ht="15.75" customHeight="1">
      <c r="A168" s="84"/>
      <c r="B168" s="84"/>
      <c r="C168" s="84"/>
      <c r="D168" s="84"/>
      <c r="E168" s="84"/>
      <c r="F168" s="84"/>
      <c r="G168" s="84"/>
      <c r="H168" s="84"/>
      <c r="I168" s="84"/>
      <c r="J168" s="89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</row>
    <row r="169" ht="15.75" customHeight="1">
      <c r="A169" s="88"/>
      <c r="B169" s="88"/>
      <c r="C169" s="88"/>
      <c r="D169" s="88"/>
      <c r="E169" s="88"/>
      <c r="F169" s="88"/>
      <c r="G169" s="88"/>
      <c r="H169" s="88"/>
      <c r="I169" s="88"/>
      <c r="J169" s="89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</row>
    <row r="170" ht="15.75" customHeight="1">
      <c r="A170" s="84"/>
      <c r="B170" s="84"/>
      <c r="C170" s="84"/>
      <c r="D170" s="84"/>
      <c r="E170" s="84"/>
      <c r="F170" s="84"/>
      <c r="G170" s="84"/>
      <c r="H170" s="84"/>
      <c r="I170" s="84"/>
      <c r="J170" s="89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</row>
    <row r="171" ht="15.75" customHeight="1">
      <c r="A171" s="88"/>
      <c r="B171" s="88"/>
      <c r="C171" s="88"/>
      <c r="D171" s="88"/>
      <c r="E171" s="88"/>
      <c r="F171" s="88"/>
      <c r="G171" s="88"/>
      <c r="H171" s="88"/>
      <c r="I171" s="88"/>
      <c r="J171" s="89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</row>
    <row r="172" ht="15.75" customHeight="1">
      <c r="A172" s="84"/>
      <c r="B172" s="84"/>
      <c r="C172" s="84"/>
      <c r="D172" s="84"/>
      <c r="E172" s="84"/>
      <c r="F172" s="84"/>
      <c r="G172" s="84"/>
      <c r="H172" s="84"/>
      <c r="I172" s="84"/>
      <c r="J172" s="89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</row>
    <row r="173" ht="15.75" customHeight="1">
      <c r="A173" s="88"/>
      <c r="B173" s="88"/>
      <c r="C173" s="88"/>
      <c r="D173" s="88"/>
      <c r="E173" s="88"/>
      <c r="F173" s="88"/>
      <c r="G173" s="88"/>
      <c r="H173" s="88"/>
      <c r="I173" s="88"/>
      <c r="J173" s="89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</row>
    <row r="174" ht="15.75" customHeight="1">
      <c r="A174" s="84"/>
      <c r="B174" s="84"/>
      <c r="C174" s="84"/>
      <c r="D174" s="84"/>
      <c r="E174" s="84"/>
      <c r="F174" s="84"/>
      <c r="G174" s="84"/>
      <c r="H174" s="84"/>
      <c r="I174" s="84"/>
      <c r="J174" s="89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</row>
    <row r="175" ht="15.75" customHeight="1">
      <c r="A175" s="88"/>
      <c r="B175" s="88"/>
      <c r="C175" s="88"/>
      <c r="D175" s="88"/>
      <c r="E175" s="88"/>
      <c r="F175" s="88"/>
      <c r="G175" s="88"/>
      <c r="H175" s="88"/>
      <c r="I175" s="88"/>
      <c r="J175" s="89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</row>
    <row r="176" ht="15.75" customHeight="1">
      <c r="A176" s="84"/>
      <c r="B176" s="84"/>
      <c r="C176" s="84"/>
      <c r="D176" s="84"/>
      <c r="E176" s="84"/>
      <c r="F176" s="84"/>
      <c r="G176" s="84"/>
      <c r="H176" s="84"/>
      <c r="I176" s="84"/>
      <c r="J176" s="89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</row>
    <row r="177" ht="15.75" customHeight="1">
      <c r="A177" s="88"/>
      <c r="B177" s="88"/>
      <c r="C177" s="88"/>
      <c r="D177" s="88"/>
      <c r="E177" s="88"/>
      <c r="F177" s="88"/>
      <c r="G177" s="88"/>
      <c r="H177" s="88"/>
      <c r="I177" s="88"/>
      <c r="J177" s="89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</row>
    <row r="178" ht="15.75" customHeight="1">
      <c r="A178" s="84"/>
      <c r="B178" s="84"/>
      <c r="C178" s="84"/>
      <c r="D178" s="84"/>
      <c r="E178" s="84"/>
      <c r="F178" s="84"/>
      <c r="G178" s="84"/>
      <c r="H178" s="84"/>
      <c r="I178" s="84"/>
      <c r="J178" s="89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</row>
    <row r="179" ht="15.75" customHeight="1">
      <c r="A179" s="88"/>
      <c r="B179" s="88"/>
      <c r="C179" s="88"/>
      <c r="D179" s="88"/>
      <c r="E179" s="88"/>
      <c r="F179" s="88"/>
      <c r="G179" s="88"/>
      <c r="H179" s="88"/>
      <c r="I179" s="88"/>
      <c r="J179" s="89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</row>
    <row r="180" ht="15.75" customHeight="1">
      <c r="A180" s="84"/>
      <c r="B180" s="84"/>
      <c r="C180" s="84"/>
      <c r="D180" s="84"/>
      <c r="E180" s="84"/>
      <c r="F180" s="84"/>
      <c r="G180" s="84"/>
      <c r="H180" s="84"/>
      <c r="I180" s="84"/>
      <c r="J180" s="89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</row>
    <row r="181" ht="15.75" customHeight="1">
      <c r="A181" s="88"/>
      <c r="B181" s="88"/>
      <c r="C181" s="88"/>
      <c r="D181" s="88"/>
      <c r="E181" s="88"/>
      <c r="F181" s="88"/>
      <c r="G181" s="88"/>
      <c r="H181" s="88"/>
      <c r="I181" s="88"/>
      <c r="J181" s="89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</row>
    <row r="182" ht="15.75" customHeight="1">
      <c r="A182" s="84"/>
      <c r="B182" s="84"/>
      <c r="C182" s="84"/>
      <c r="D182" s="84"/>
      <c r="E182" s="84"/>
      <c r="F182" s="84"/>
      <c r="G182" s="84"/>
      <c r="H182" s="84"/>
      <c r="I182" s="84"/>
      <c r="J182" s="89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</row>
    <row r="183" ht="15.75" customHeight="1">
      <c r="A183" s="88"/>
      <c r="B183" s="88"/>
      <c r="C183" s="88"/>
      <c r="D183" s="88"/>
      <c r="E183" s="88"/>
      <c r="F183" s="88"/>
      <c r="G183" s="88"/>
      <c r="H183" s="88"/>
      <c r="I183" s="88"/>
      <c r="J183" s="89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</row>
    <row r="184" ht="15.75" customHeight="1">
      <c r="A184" s="84"/>
      <c r="B184" s="84"/>
      <c r="C184" s="84"/>
      <c r="D184" s="84"/>
      <c r="E184" s="84"/>
      <c r="F184" s="84"/>
      <c r="G184" s="84"/>
      <c r="H184" s="84"/>
      <c r="I184" s="84"/>
      <c r="J184" s="89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</row>
    <row r="185" ht="15.75" customHeight="1">
      <c r="A185" s="88"/>
      <c r="B185" s="88"/>
      <c r="C185" s="88"/>
      <c r="D185" s="88"/>
      <c r="E185" s="88"/>
      <c r="F185" s="88"/>
      <c r="G185" s="88"/>
      <c r="H185" s="88"/>
      <c r="I185" s="88"/>
      <c r="J185" s="89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</row>
    <row r="186" ht="15.75" customHeight="1">
      <c r="A186" s="84"/>
      <c r="B186" s="84"/>
      <c r="C186" s="84"/>
      <c r="D186" s="84"/>
      <c r="E186" s="84"/>
      <c r="F186" s="84"/>
      <c r="G186" s="84"/>
      <c r="H186" s="84"/>
      <c r="I186" s="84"/>
      <c r="J186" s="89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</row>
    <row r="187" ht="15.75" customHeight="1">
      <c r="A187" s="88"/>
      <c r="B187" s="88"/>
      <c r="C187" s="88"/>
      <c r="D187" s="88"/>
      <c r="E187" s="88"/>
      <c r="F187" s="88"/>
      <c r="G187" s="88"/>
      <c r="H187" s="88"/>
      <c r="I187" s="88"/>
      <c r="J187" s="89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</row>
    <row r="188" ht="15.75" customHeight="1">
      <c r="A188" s="84"/>
      <c r="B188" s="84"/>
      <c r="C188" s="84"/>
      <c r="D188" s="84"/>
      <c r="E188" s="84"/>
      <c r="F188" s="84"/>
      <c r="G188" s="84"/>
      <c r="H188" s="84"/>
      <c r="I188" s="84"/>
      <c r="J188" s="89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</row>
    <row r="189" ht="15.75" customHeight="1">
      <c r="A189" s="88"/>
      <c r="B189" s="88"/>
      <c r="C189" s="88"/>
      <c r="D189" s="88"/>
      <c r="E189" s="88"/>
      <c r="F189" s="88"/>
      <c r="G189" s="88"/>
      <c r="H189" s="88"/>
      <c r="I189" s="88"/>
      <c r="J189" s="89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</row>
    <row r="190" ht="15.75" customHeight="1">
      <c r="A190" s="84"/>
      <c r="B190" s="84"/>
      <c r="C190" s="84"/>
      <c r="D190" s="84"/>
      <c r="E190" s="84"/>
      <c r="F190" s="84"/>
      <c r="G190" s="84"/>
      <c r="H190" s="84"/>
      <c r="I190" s="84"/>
      <c r="J190" s="89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</row>
    <row r="191" ht="15.75" customHeight="1">
      <c r="A191" s="88"/>
      <c r="B191" s="88"/>
      <c r="C191" s="88"/>
      <c r="D191" s="88"/>
      <c r="E191" s="88"/>
      <c r="F191" s="88"/>
      <c r="G191" s="88"/>
      <c r="H191" s="88"/>
      <c r="I191" s="88"/>
      <c r="J191" s="89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</row>
    <row r="192" ht="15.75" customHeight="1">
      <c r="A192" s="84"/>
      <c r="B192" s="84"/>
      <c r="C192" s="84"/>
      <c r="D192" s="84"/>
      <c r="E192" s="84"/>
      <c r="F192" s="84"/>
      <c r="G192" s="84"/>
      <c r="H192" s="84"/>
      <c r="I192" s="84"/>
      <c r="J192" s="89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</row>
    <row r="193" ht="15.75" customHeight="1">
      <c r="A193" s="88"/>
      <c r="B193" s="88"/>
      <c r="C193" s="88"/>
      <c r="D193" s="88"/>
      <c r="E193" s="88"/>
      <c r="F193" s="88"/>
      <c r="G193" s="88"/>
      <c r="H193" s="88"/>
      <c r="I193" s="88"/>
      <c r="J193" s="89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</row>
    <row r="194" ht="15.75" customHeight="1">
      <c r="A194" s="84"/>
      <c r="B194" s="84"/>
      <c r="C194" s="84"/>
      <c r="D194" s="84"/>
      <c r="E194" s="84"/>
      <c r="F194" s="84"/>
      <c r="G194" s="84"/>
      <c r="H194" s="84"/>
      <c r="I194" s="84"/>
      <c r="J194" s="89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</row>
    <row r="195" ht="15.75" customHeight="1">
      <c r="A195" s="88"/>
      <c r="B195" s="88"/>
      <c r="C195" s="88"/>
      <c r="D195" s="88"/>
      <c r="E195" s="88"/>
      <c r="F195" s="88"/>
      <c r="G195" s="88"/>
      <c r="H195" s="88"/>
      <c r="I195" s="88"/>
      <c r="J195" s="89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</row>
    <row r="196" ht="15.75" customHeight="1">
      <c r="A196" s="84"/>
      <c r="B196" s="84"/>
      <c r="C196" s="84"/>
      <c r="D196" s="84"/>
      <c r="E196" s="84"/>
      <c r="F196" s="84"/>
      <c r="G196" s="84"/>
      <c r="H196" s="84"/>
      <c r="I196" s="84"/>
      <c r="J196" s="89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</row>
    <row r="197" ht="15.75" customHeight="1">
      <c r="A197" s="88"/>
      <c r="B197" s="88"/>
      <c r="C197" s="88"/>
      <c r="D197" s="88"/>
      <c r="E197" s="88"/>
      <c r="F197" s="88"/>
      <c r="G197" s="88"/>
      <c r="H197" s="88"/>
      <c r="I197" s="88"/>
      <c r="J197" s="89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</row>
    <row r="198" ht="15.75" customHeight="1">
      <c r="A198" s="84"/>
      <c r="B198" s="84"/>
      <c r="C198" s="84"/>
      <c r="D198" s="84"/>
      <c r="E198" s="84"/>
      <c r="F198" s="84"/>
      <c r="G198" s="84"/>
      <c r="H198" s="84"/>
      <c r="I198" s="84"/>
      <c r="J198" s="89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</row>
    <row r="199" ht="15.75" customHeight="1">
      <c r="A199" s="88"/>
      <c r="B199" s="88"/>
      <c r="C199" s="88"/>
      <c r="D199" s="88"/>
      <c r="E199" s="88"/>
      <c r="F199" s="88"/>
      <c r="G199" s="88"/>
      <c r="H199" s="88"/>
      <c r="I199" s="88"/>
      <c r="J199" s="89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</row>
    <row r="200" ht="15.75" customHeight="1">
      <c r="A200" s="84"/>
      <c r="B200" s="84"/>
      <c r="C200" s="84"/>
      <c r="D200" s="84"/>
      <c r="E200" s="84"/>
      <c r="F200" s="84"/>
      <c r="G200" s="84"/>
      <c r="H200" s="84"/>
      <c r="I200" s="84"/>
      <c r="J200" s="89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</row>
    <row r="201" ht="15.75" customHeight="1">
      <c r="A201" s="88"/>
      <c r="B201" s="88"/>
      <c r="C201" s="88"/>
      <c r="D201" s="88"/>
      <c r="E201" s="88"/>
      <c r="F201" s="88"/>
      <c r="G201" s="88"/>
      <c r="H201" s="88"/>
      <c r="I201" s="88"/>
      <c r="J201" s="89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</row>
    <row r="202" ht="15.75" customHeight="1">
      <c r="A202" s="84"/>
      <c r="B202" s="84"/>
      <c r="C202" s="84"/>
      <c r="D202" s="84"/>
      <c r="E202" s="84"/>
      <c r="F202" s="84"/>
      <c r="G202" s="84"/>
      <c r="H202" s="84"/>
      <c r="I202" s="84"/>
      <c r="J202" s="89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</row>
    <row r="203" ht="15.75" customHeight="1">
      <c r="A203" s="88"/>
      <c r="B203" s="88"/>
      <c r="C203" s="88"/>
      <c r="D203" s="88"/>
      <c r="E203" s="88"/>
      <c r="F203" s="88"/>
      <c r="G203" s="88"/>
      <c r="H203" s="88"/>
      <c r="I203" s="88"/>
      <c r="J203" s="89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</row>
    <row r="204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</row>
    <row r="205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</row>
    <row r="206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</row>
    <row r="207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</row>
    <row r="208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</row>
    <row r="209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</row>
    <row r="210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</row>
    <row r="211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</row>
    <row r="213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</row>
    <row r="214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</row>
    <row r="215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</row>
    <row r="216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</row>
    <row r="217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</row>
    <row r="218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</row>
    <row r="219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</row>
    <row r="220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2" t="s">
        <v>97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3" t="s">
        <v>98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99</v>
      </c>
      <c r="B4" s="94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100</v>
      </c>
      <c r="B5" s="94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101</v>
      </c>
      <c r="B6" s="94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102</v>
      </c>
      <c r="B7" s="94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3" t="s">
        <v>103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104</v>
      </c>
      <c r="B10" s="95">
        <f>SUMIF(Roster!E5:E204,"Active",Roster!B5:B204)</f>
        <v>2311.63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105</v>
      </c>
      <c r="B11" s="95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106</v>
      </c>
      <c r="B12" s="95">
        <f>B10-B11</f>
        <v>2311.63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107</v>
      </c>
      <c r="B13" s="95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108</v>
      </c>
      <c r="B14" s="95">
        <f>Transactions!B4</f>
        <v>3461.63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50</v>
      </c>
      <c r="B15" s="95">
        <f>Transactions!C4</f>
        <v>-1352.63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109</v>
      </c>
      <c r="B16" s="95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3" t="s">
        <v>110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111</v>
      </c>
      <c r="B19" s="94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112</v>
      </c>
      <c r="B20" s="94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113</v>
      </c>
      <c r="B21" s="94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114</v>
      </c>
      <c r="B22" s="94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115</v>
      </c>
      <c r="B23" s="95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116</v>
      </c>
      <c r="B24" s="95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117</v>
      </c>
      <c r="B25" s="95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118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6" t="s">
        <v>119</v>
      </c>
      <c r="B3" s="9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98" t="s">
        <v>120</v>
      </c>
      <c r="B4" s="99" t="s">
        <v>121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0" t="s">
        <v>122</v>
      </c>
      <c r="B5" s="99" t="s">
        <v>123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1" t="s">
        <v>124</v>
      </c>
      <c r="B6" s="99" t="s">
        <v>125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2"/>
      <c r="B7" s="99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6" t="s">
        <v>126</v>
      </c>
      <c r="B8" s="97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3" t="s">
        <v>127</v>
      </c>
      <c r="B9" s="99" t="s">
        <v>128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3" t="s">
        <v>129</v>
      </c>
      <c r="B10" s="99" t="s">
        <v>130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3" t="s">
        <v>131</v>
      </c>
      <c r="B11" s="99" t="s">
        <v>132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3" t="s">
        <v>133</v>
      </c>
      <c r="B12" s="99" t="s">
        <v>134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2"/>
      <c r="B13" s="99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6" t="s">
        <v>135</v>
      </c>
      <c r="B14" s="97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3" t="s">
        <v>136</v>
      </c>
      <c r="B15" s="99" t="s">
        <v>137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3" t="s">
        <v>138</v>
      </c>
      <c r="B16" s="99" t="s">
        <v>139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3" t="s">
        <v>140</v>
      </c>
      <c r="B17" s="99" t="s">
        <v>141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3" t="s">
        <v>142</v>
      </c>
      <c r="B18" s="99" t="s">
        <v>143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2"/>
      <c r="B19" s="99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6" t="s">
        <v>144</v>
      </c>
      <c r="B20" s="97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3" t="s">
        <v>145</v>
      </c>
      <c r="B21" s="99" t="s">
        <v>146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3" t="s">
        <v>147</v>
      </c>
      <c r="B22" s="99" t="s">
        <v>148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3" t="s">
        <v>149</v>
      </c>
      <c r="B23" s="99" t="s">
        <v>150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3" t="s">
        <v>151</v>
      </c>
      <c r="B24" s="99" t="s">
        <v>152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3" t="s">
        <v>153</v>
      </c>
      <c r="B25" s="99" t="s">
        <v>154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3" t="s">
        <v>155</v>
      </c>
      <c r="B26" s="99" t="s">
        <v>156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3" t="s">
        <v>157</v>
      </c>
      <c r="B27" s="99" t="s">
        <v>158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2"/>
      <c r="B28" s="99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6" t="s">
        <v>159</v>
      </c>
      <c r="B29" s="97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3" t="s">
        <v>160</v>
      </c>
      <c r="B30" s="99" t="s">
        <v>161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3" t="s">
        <v>24</v>
      </c>
      <c r="B31" s="99" t="s">
        <v>162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3" t="s">
        <v>163</v>
      </c>
      <c r="B32" s="99" t="s">
        <v>164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3" t="s">
        <v>165</v>
      </c>
      <c r="B33" s="99" t="s">
        <v>166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3" t="s">
        <v>167</v>
      </c>
      <c r="B34" s="99" t="s">
        <v>168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4" t="s">
        <v>169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5" t="s">
        <v>170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6" t="s">
        <v>171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7" t="s">
        <v>42</v>
      </c>
      <c r="B5" s="107" t="s">
        <v>172</v>
      </c>
      <c r="C5" s="107" t="s">
        <v>4</v>
      </c>
      <c r="D5" s="107" t="s">
        <v>5</v>
      </c>
      <c r="E5" s="107" t="s">
        <v>173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8" t="s">
        <v>174</v>
      </c>
      <c r="B6" s="109" t="s">
        <v>175</v>
      </c>
      <c r="C6" s="110" t="s">
        <v>176</v>
      </c>
      <c r="D6" s="110" t="s">
        <v>177</v>
      </c>
      <c r="E6" s="108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8" t="s">
        <v>178</v>
      </c>
      <c r="B7" s="109" t="s">
        <v>179</v>
      </c>
      <c r="C7" s="110" t="s">
        <v>180</v>
      </c>
      <c r="D7" s="110" t="s">
        <v>177</v>
      </c>
      <c r="E7" s="108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181</v>
      </c>
      <c r="B8" s="111" t="s">
        <v>182</v>
      </c>
      <c r="C8" s="112" t="s">
        <v>180</v>
      </c>
      <c r="D8" s="112" t="s">
        <v>177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183</v>
      </c>
      <c r="B9" s="111" t="s">
        <v>184</v>
      </c>
      <c r="C9" s="112" t="s">
        <v>180</v>
      </c>
      <c r="D9" s="112" t="s">
        <v>177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8" t="s">
        <v>185</v>
      </c>
      <c r="B10" s="109" t="s">
        <v>186</v>
      </c>
      <c r="C10" s="110" t="s">
        <v>180</v>
      </c>
      <c r="D10" s="110" t="s">
        <v>177</v>
      </c>
      <c r="E10" s="108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3" t="s">
        <v>187</v>
      </c>
      <c r="B11" s="114" t="s">
        <v>188</v>
      </c>
      <c r="C11" s="110" t="s">
        <v>180</v>
      </c>
      <c r="D11" s="110" t="s">
        <v>177</v>
      </c>
      <c r="E11" s="1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5" t="s">
        <v>189</v>
      </c>
      <c r="B12" s="116" t="s">
        <v>190</v>
      </c>
      <c r="C12" s="110" t="s">
        <v>180</v>
      </c>
      <c r="D12" s="110" t="s">
        <v>177</v>
      </c>
      <c r="E12" s="115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3" t="s">
        <v>191</v>
      </c>
      <c r="B13" s="114" t="s">
        <v>192</v>
      </c>
      <c r="C13" s="110" t="s">
        <v>180</v>
      </c>
      <c r="D13" s="110" t="s">
        <v>177</v>
      </c>
      <c r="E13" s="1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5" t="s">
        <v>193</v>
      </c>
      <c r="B14" s="116" t="s">
        <v>194</v>
      </c>
      <c r="C14" s="110" t="s">
        <v>180</v>
      </c>
      <c r="D14" s="110" t="s">
        <v>177</v>
      </c>
      <c r="E14" s="115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3" t="s">
        <v>64</v>
      </c>
      <c r="B15" s="114">
        <v>1762.0</v>
      </c>
      <c r="C15" s="110" t="s">
        <v>195</v>
      </c>
      <c r="D15" s="110" t="s">
        <v>177</v>
      </c>
      <c r="E15" s="1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5" t="s">
        <v>196</v>
      </c>
      <c r="B16" s="116" t="s">
        <v>197</v>
      </c>
      <c r="C16" s="110" t="s">
        <v>176</v>
      </c>
      <c r="D16" s="110" t="s">
        <v>177</v>
      </c>
      <c r="E16" s="115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3" t="s">
        <v>198</v>
      </c>
      <c r="B17" s="114" t="s">
        <v>199</v>
      </c>
      <c r="C17" s="110" t="s">
        <v>180</v>
      </c>
      <c r="D17" s="110" t="s">
        <v>177</v>
      </c>
      <c r="E17" s="1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5" t="s">
        <v>200</v>
      </c>
      <c r="B18" s="116" t="s">
        <v>201</v>
      </c>
      <c r="C18" s="110" t="s">
        <v>180</v>
      </c>
      <c r="D18" s="110" t="s">
        <v>177</v>
      </c>
      <c r="E18" s="115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3" t="s">
        <v>202</v>
      </c>
      <c r="B19" s="114" t="s">
        <v>203</v>
      </c>
      <c r="C19" s="110" t="s">
        <v>180</v>
      </c>
      <c r="D19" s="110" t="s">
        <v>177</v>
      </c>
      <c r="E19" s="1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5" t="s">
        <v>204</v>
      </c>
      <c r="B20" s="116" t="s">
        <v>205</v>
      </c>
      <c r="C20" s="110" t="s">
        <v>180</v>
      </c>
      <c r="D20" s="110" t="s">
        <v>177</v>
      </c>
      <c r="E20" s="115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3" t="s">
        <v>206</v>
      </c>
      <c r="B21" s="114" t="s">
        <v>207</v>
      </c>
      <c r="C21" s="110" t="s">
        <v>176</v>
      </c>
      <c r="D21" s="110" t="s">
        <v>177</v>
      </c>
      <c r="E21" s="1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5" t="s">
        <v>208</v>
      </c>
      <c r="B22" s="116" t="s">
        <v>209</v>
      </c>
      <c r="C22" s="110" t="s">
        <v>180</v>
      </c>
      <c r="D22" s="110" t="s">
        <v>177</v>
      </c>
      <c r="E22" s="115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3" t="s">
        <v>210</v>
      </c>
      <c r="B23" s="114" t="s">
        <v>211</v>
      </c>
      <c r="C23" s="110" t="s">
        <v>180</v>
      </c>
      <c r="D23" s="110" t="s">
        <v>177</v>
      </c>
      <c r="E23" s="1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5" t="s">
        <v>212</v>
      </c>
      <c r="B24" s="116" t="s">
        <v>213</v>
      </c>
      <c r="C24" s="110" t="s">
        <v>180</v>
      </c>
      <c r="D24" s="110" t="s">
        <v>177</v>
      </c>
      <c r="E24" s="11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3" t="s">
        <v>214</v>
      </c>
      <c r="B25" s="114" t="s">
        <v>215</v>
      </c>
      <c r="C25" s="110" t="s">
        <v>180</v>
      </c>
      <c r="D25" s="110" t="s">
        <v>177</v>
      </c>
      <c r="E25" s="1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3" t="s">
        <v>216</v>
      </c>
      <c r="B26" s="114" t="s">
        <v>217</v>
      </c>
      <c r="C26" s="110" t="s">
        <v>180</v>
      </c>
      <c r="D26" s="110" t="s">
        <v>177</v>
      </c>
      <c r="E26" s="115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5" t="s">
        <v>218</v>
      </c>
      <c r="B27" s="116" t="s">
        <v>219</v>
      </c>
      <c r="C27" s="110" t="s">
        <v>180</v>
      </c>
      <c r="D27" s="110" t="s">
        <v>177</v>
      </c>
      <c r="E27" s="113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3" t="s">
        <v>220</v>
      </c>
      <c r="B28" s="114" t="s">
        <v>221</v>
      </c>
      <c r="C28" s="110" t="s">
        <v>180</v>
      </c>
      <c r="D28" s="110" t="s">
        <v>177</v>
      </c>
      <c r="E28" s="115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5" t="s">
        <v>9</v>
      </c>
      <c r="B29" s="116" t="s">
        <v>222</v>
      </c>
      <c r="C29" s="110" t="s">
        <v>180</v>
      </c>
      <c r="D29" s="110" t="s">
        <v>177</v>
      </c>
      <c r="E29" s="113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3" t="s">
        <v>223</v>
      </c>
      <c r="B30" s="114" t="s">
        <v>224</v>
      </c>
      <c r="C30" s="110" t="s">
        <v>180</v>
      </c>
      <c r="D30" s="110" t="s">
        <v>177</v>
      </c>
      <c r="E30" s="11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5" t="s">
        <v>225</v>
      </c>
      <c r="B31" s="116" t="s">
        <v>226</v>
      </c>
      <c r="C31" s="110" t="s">
        <v>180</v>
      </c>
      <c r="D31" s="110" t="s">
        <v>177</v>
      </c>
      <c r="E31" s="113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3" t="s">
        <v>227</v>
      </c>
      <c r="B32" s="114" t="s">
        <v>228</v>
      </c>
      <c r="C32" s="110" t="s">
        <v>180</v>
      </c>
      <c r="D32" s="110" t="s">
        <v>177</v>
      </c>
      <c r="E32" s="11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5" t="s">
        <v>229</v>
      </c>
      <c r="B33" s="116" t="s">
        <v>230</v>
      </c>
      <c r="C33" s="110" t="s">
        <v>180</v>
      </c>
      <c r="D33" s="110" t="s">
        <v>177</v>
      </c>
      <c r="E33" s="113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3" t="s">
        <v>231</v>
      </c>
      <c r="B34" s="114" t="s">
        <v>232</v>
      </c>
      <c r="C34" s="110" t="s">
        <v>180</v>
      </c>
      <c r="D34" s="110" t="s">
        <v>177</v>
      </c>
      <c r="E34" s="115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5" t="s">
        <v>233</v>
      </c>
      <c r="B35" s="116" t="s">
        <v>234</v>
      </c>
      <c r="C35" s="110" t="s">
        <v>180</v>
      </c>
      <c r="D35" s="110" t="s">
        <v>177</v>
      </c>
      <c r="E35" s="113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3" t="s">
        <v>235</v>
      </c>
      <c r="B36" s="114" t="s">
        <v>236</v>
      </c>
      <c r="C36" s="110" t="s">
        <v>180</v>
      </c>
      <c r="D36" s="110" t="s">
        <v>177</v>
      </c>
      <c r="E36" s="11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5" t="s">
        <v>237</v>
      </c>
      <c r="B37" s="116" t="s">
        <v>238</v>
      </c>
      <c r="C37" s="110" t="s">
        <v>239</v>
      </c>
      <c r="D37" s="110" t="s">
        <v>177</v>
      </c>
      <c r="E37" s="113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3" t="s">
        <v>240</v>
      </c>
      <c r="B38" s="114" t="s">
        <v>241</v>
      </c>
      <c r="C38" s="110" t="s">
        <v>239</v>
      </c>
      <c r="D38" s="110" t="s">
        <v>177</v>
      </c>
      <c r="E38" s="115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5" t="s">
        <v>242</v>
      </c>
      <c r="B39" s="116" t="s">
        <v>243</v>
      </c>
      <c r="C39" s="110" t="s">
        <v>239</v>
      </c>
      <c r="D39" s="110" t="s">
        <v>177</v>
      </c>
      <c r="E39" s="113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3" t="s">
        <v>244</v>
      </c>
      <c r="B40" s="114" t="s">
        <v>245</v>
      </c>
      <c r="C40" s="110" t="s">
        <v>246</v>
      </c>
      <c r="D40" s="110" t="s">
        <v>177</v>
      </c>
      <c r="E40" s="115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7" t="s">
        <v>247</v>
      </c>
      <c r="B41" s="118" t="s">
        <v>248</v>
      </c>
      <c r="C41" s="119" t="s">
        <v>246</v>
      </c>
      <c r="D41" s="119" t="s">
        <v>177</v>
      </c>
      <c r="E41" s="113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5"/>
      <c r="B42" s="116"/>
      <c r="C42" s="120"/>
      <c r="D42" s="120"/>
      <c r="E42" s="115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3"/>
      <c r="B43" s="114"/>
      <c r="C43" s="121"/>
      <c r="D43" s="121"/>
      <c r="E43" s="113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5"/>
      <c r="B44" s="116"/>
      <c r="C44" s="120"/>
      <c r="D44" s="120"/>
      <c r="E44" s="115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3"/>
      <c r="B45" s="114"/>
      <c r="C45" s="121"/>
      <c r="D45" s="121"/>
      <c r="E45" s="113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5"/>
      <c r="B46" s="116"/>
      <c r="C46" s="120"/>
      <c r="D46" s="120"/>
      <c r="E46" s="115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3"/>
      <c r="B47" s="114"/>
      <c r="C47" s="121"/>
      <c r="D47" s="121"/>
      <c r="E47" s="113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5"/>
      <c r="B48" s="116"/>
      <c r="C48" s="120"/>
      <c r="D48" s="120"/>
      <c r="E48" s="115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3"/>
      <c r="B49" s="114"/>
      <c r="C49" s="121"/>
      <c r="D49" s="121"/>
      <c r="E49" s="113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5"/>
      <c r="B50" s="116"/>
      <c r="C50" s="120"/>
      <c r="D50" s="120"/>
      <c r="E50" s="115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3"/>
      <c r="B51" s="114"/>
      <c r="C51" s="121"/>
      <c r="D51" s="121"/>
      <c r="E51" s="113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5"/>
      <c r="B52" s="116"/>
      <c r="C52" s="120"/>
      <c r="D52" s="120"/>
      <c r="E52" s="115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3"/>
      <c r="B53" s="114"/>
      <c r="C53" s="121"/>
      <c r="D53" s="121"/>
      <c r="E53" s="113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5"/>
      <c r="B54" s="116"/>
      <c r="C54" s="120"/>
      <c r="D54" s="120"/>
      <c r="E54" s="115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3"/>
      <c r="B55" s="114"/>
      <c r="C55" s="121"/>
      <c r="D55" s="121"/>
      <c r="E55" s="113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5"/>
      <c r="B56" s="116"/>
      <c r="C56" s="120"/>
      <c r="D56" s="120"/>
      <c r="E56" s="115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3"/>
      <c r="B57" s="114"/>
      <c r="C57" s="121"/>
      <c r="D57" s="121"/>
      <c r="E57" s="113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5"/>
      <c r="B58" s="116"/>
      <c r="C58" s="120"/>
      <c r="D58" s="120"/>
      <c r="E58" s="115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3"/>
      <c r="B59" s="114"/>
      <c r="C59" s="121"/>
      <c r="D59" s="121"/>
      <c r="E59" s="113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5"/>
      <c r="B60" s="116"/>
      <c r="C60" s="120"/>
      <c r="D60" s="120"/>
      <c r="E60" s="115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3"/>
      <c r="B61" s="114"/>
      <c r="C61" s="121"/>
      <c r="D61" s="121"/>
      <c r="E61" s="113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5"/>
      <c r="B62" s="116"/>
      <c r="C62" s="120"/>
      <c r="D62" s="120"/>
      <c r="E62" s="115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3"/>
      <c r="B63" s="114"/>
      <c r="C63" s="121"/>
      <c r="D63" s="121"/>
      <c r="E63" s="113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5"/>
      <c r="B64" s="116"/>
      <c r="C64" s="120"/>
      <c r="D64" s="120"/>
      <c r="E64" s="115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3"/>
      <c r="B65" s="114"/>
      <c r="C65" s="121"/>
      <c r="D65" s="121"/>
      <c r="E65" s="113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5"/>
      <c r="B66" s="116"/>
      <c r="C66" s="120"/>
      <c r="D66" s="120"/>
      <c r="E66" s="115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3"/>
      <c r="B67" s="114"/>
      <c r="C67" s="121"/>
      <c r="D67" s="121"/>
      <c r="E67" s="113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5"/>
      <c r="B68" s="116"/>
      <c r="C68" s="120"/>
      <c r="D68" s="120"/>
      <c r="E68" s="115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3"/>
      <c r="B69" s="114"/>
      <c r="C69" s="121"/>
      <c r="D69" s="121"/>
      <c r="E69" s="113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5"/>
      <c r="B70" s="116"/>
      <c r="C70" s="120"/>
      <c r="D70" s="120"/>
      <c r="E70" s="115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3"/>
      <c r="B71" s="114"/>
      <c r="C71" s="121"/>
      <c r="D71" s="121"/>
      <c r="E71" s="113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5"/>
      <c r="B72" s="116"/>
      <c r="C72" s="120"/>
      <c r="D72" s="120"/>
      <c r="E72" s="115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3"/>
      <c r="B73" s="114"/>
      <c r="C73" s="121"/>
      <c r="D73" s="121"/>
      <c r="E73" s="113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5"/>
      <c r="B74" s="116"/>
      <c r="C74" s="120"/>
      <c r="D74" s="120"/>
      <c r="E74" s="115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3"/>
      <c r="B75" s="114"/>
      <c r="C75" s="121"/>
      <c r="D75" s="121"/>
      <c r="E75" s="113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5"/>
      <c r="B76" s="116"/>
      <c r="C76" s="120"/>
      <c r="D76" s="120"/>
      <c r="E76" s="115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3"/>
      <c r="B77" s="114"/>
      <c r="C77" s="121"/>
      <c r="D77" s="121"/>
      <c r="E77" s="113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5"/>
      <c r="B78" s="116"/>
      <c r="C78" s="120"/>
      <c r="D78" s="120"/>
      <c r="E78" s="115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3"/>
      <c r="B79" s="114"/>
      <c r="C79" s="121"/>
      <c r="D79" s="121"/>
      <c r="E79" s="113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5"/>
      <c r="B80" s="116"/>
      <c r="C80" s="120"/>
      <c r="D80" s="120"/>
      <c r="E80" s="115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3"/>
      <c r="B81" s="114"/>
      <c r="C81" s="121"/>
      <c r="D81" s="121"/>
      <c r="E81" s="113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5"/>
      <c r="B82" s="116"/>
      <c r="C82" s="120"/>
      <c r="D82" s="120"/>
      <c r="E82" s="115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3"/>
      <c r="B83" s="114"/>
      <c r="C83" s="121"/>
      <c r="D83" s="121"/>
      <c r="E83" s="113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5"/>
      <c r="B84" s="116"/>
      <c r="C84" s="120"/>
      <c r="D84" s="120"/>
      <c r="E84" s="115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3"/>
      <c r="B85" s="114"/>
      <c r="C85" s="121"/>
      <c r="D85" s="121"/>
      <c r="E85" s="113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5"/>
      <c r="B86" s="116"/>
      <c r="C86" s="120"/>
      <c r="D86" s="120"/>
      <c r="E86" s="115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3"/>
      <c r="B87" s="114"/>
      <c r="C87" s="121"/>
      <c r="D87" s="121"/>
      <c r="E87" s="113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5"/>
      <c r="B88" s="116"/>
      <c r="C88" s="120"/>
      <c r="D88" s="120"/>
      <c r="E88" s="115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3"/>
      <c r="B89" s="114"/>
      <c r="C89" s="121"/>
      <c r="D89" s="121"/>
      <c r="E89" s="113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5"/>
      <c r="B90" s="116"/>
      <c r="C90" s="120"/>
      <c r="D90" s="120"/>
      <c r="E90" s="115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3"/>
      <c r="B91" s="114"/>
      <c r="C91" s="121"/>
      <c r="D91" s="121"/>
      <c r="E91" s="113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5"/>
      <c r="B92" s="116"/>
      <c r="C92" s="120"/>
      <c r="D92" s="120"/>
      <c r="E92" s="115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3"/>
      <c r="B93" s="114"/>
      <c r="C93" s="121"/>
      <c r="D93" s="121"/>
      <c r="E93" s="113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5"/>
      <c r="B94" s="116"/>
      <c r="C94" s="120"/>
      <c r="D94" s="120"/>
      <c r="E94" s="115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3"/>
      <c r="B95" s="114"/>
      <c r="C95" s="121"/>
      <c r="D95" s="121"/>
      <c r="E95" s="113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5"/>
      <c r="B96" s="116"/>
      <c r="C96" s="120"/>
      <c r="D96" s="120"/>
      <c r="E96" s="115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3"/>
      <c r="B97" s="114"/>
      <c r="C97" s="121"/>
      <c r="D97" s="121"/>
      <c r="E97" s="113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5"/>
      <c r="B98" s="116"/>
      <c r="C98" s="120"/>
      <c r="D98" s="120"/>
      <c r="E98" s="115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3"/>
      <c r="B99" s="114"/>
      <c r="C99" s="121"/>
      <c r="D99" s="121"/>
      <c r="E99" s="113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5"/>
      <c r="B100" s="116"/>
      <c r="C100" s="120"/>
      <c r="D100" s="120"/>
      <c r="E100" s="115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3"/>
      <c r="B101" s="114"/>
      <c r="C101" s="121"/>
      <c r="D101" s="121"/>
      <c r="E101" s="11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5"/>
      <c r="B102" s="116"/>
      <c r="C102" s="120"/>
      <c r="D102" s="120"/>
      <c r="E102" s="115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3"/>
      <c r="B103" s="114"/>
      <c r="C103" s="121"/>
      <c r="D103" s="121"/>
      <c r="E103" s="11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5"/>
      <c r="B104" s="116"/>
      <c r="C104" s="120"/>
      <c r="D104" s="120"/>
      <c r="E104" s="115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3"/>
      <c r="B105" s="114"/>
      <c r="C105" s="121"/>
      <c r="D105" s="121"/>
      <c r="E105" s="11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2" t="s">
        <v>249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3" t="s">
        <v>250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4" t="s">
        <v>251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5" t="s">
        <v>19</v>
      </c>
      <c r="B4" s="125" t="s">
        <v>252</v>
      </c>
      <c r="C4" s="125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6" t="s">
        <v>34</v>
      </c>
      <c r="B5" s="127" t="s">
        <v>253</v>
      </c>
      <c r="C5" s="128" t="s">
        <v>254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29" t="s">
        <v>25</v>
      </c>
      <c r="B6" s="130" t="s">
        <v>94</v>
      </c>
      <c r="C6" s="131" t="s">
        <v>255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2"/>
      <c r="B7" s="20"/>
      <c r="C7" s="132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3"/>
      <c r="B8" s="21"/>
      <c r="C8" s="13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2"/>
      <c r="B9" s="20"/>
      <c r="C9" s="132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3"/>
      <c r="B10" s="21"/>
      <c r="C10" s="13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2"/>
      <c r="B11" s="20"/>
      <c r="C11" s="132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3"/>
      <c r="B12" s="21"/>
      <c r="C12" s="13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2"/>
      <c r="B13" s="20"/>
      <c r="C13" s="132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3"/>
      <c r="B14" s="21"/>
      <c r="C14" s="13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