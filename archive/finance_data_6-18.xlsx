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" sheetId="1" r:id="rId4"/>
    <sheet state="visible" name="Events" sheetId="2" r:id="rId5"/>
    <sheet state="visible" name="Attendance" sheetId="3" r:id="rId6"/>
    <sheet state="visible" name="Transactions" sheetId="4" r:id="rId7"/>
    <sheet state="visible" name="Player Balances" sheetId="5" r:id="rId8"/>
    <sheet state="visible" name="Pending Approval" sheetId="6" r:id="rId9"/>
    <sheet state="visible" name="Dashboard" sheetId="7" r:id="rId10"/>
    <sheet state="visible" name="Key &amp; Instructions" sheetId="8" r:id="rId11"/>
    <sheet state="visible" name="Access Codes" sheetId="9" r:id="rId12"/>
  </sheets>
  <definedNames/>
  <calcPr/>
  <extLst>
    <ext uri="GoogleSheetsCustomDataVersion2">
      <go:sheetsCustomData xmlns:go="http://customooxmlschemas.google.com/" r:id="rId13" roundtripDataChecksum="A4oLhcltpMXbb7qRoGeGleIQZY8YW1HkO9igndYOPcA="/>
    </ext>
  </extLst>
</workbook>
</file>

<file path=xl/sharedStrings.xml><?xml version="1.0" encoding="utf-8"?>
<sst xmlns="http://schemas.openxmlformats.org/spreadsheetml/2006/main" count="641" uniqueCount="238">
  <si>
    <t>ROSTER - Ultimate Frisbee Team</t>
  </si>
  <si>
    <t>Full Name</t>
  </si>
  <si>
    <t>Dues Amount ($)</t>
  </si>
  <si>
    <t>Dues Paid?</t>
  </si>
  <si>
    <t>Role</t>
  </si>
  <si>
    <t>Status</t>
  </si>
  <si>
    <t>Notes</t>
  </si>
  <si>
    <t>At</t>
  </si>
  <si>
    <t>Paid</t>
  </si>
  <si>
    <t>Captain</t>
  </si>
  <si>
    <t>Active</t>
  </si>
  <si>
    <t>Alex Warrington</t>
  </si>
  <si>
    <t>Unpaid</t>
  </si>
  <si>
    <t>Player</t>
  </si>
  <si>
    <t>Chris Wohl</t>
  </si>
  <si>
    <t>Partial</t>
  </si>
  <si>
    <t>Paid $75</t>
  </si>
  <si>
    <t>Darra Reppermund</t>
  </si>
  <si>
    <t>Waived</t>
  </si>
  <si>
    <t>Dylan Best</t>
  </si>
  <si>
    <t>Griffin O'Neal-Freeman</t>
  </si>
  <si>
    <t>Haley Young</t>
  </si>
  <si>
    <t>Harry Park</t>
  </si>
  <si>
    <t>Ian Piper</t>
  </si>
  <si>
    <t>Jake Murray</t>
  </si>
  <si>
    <t>Treasurer</t>
  </si>
  <si>
    <t>Jenna Nold</t>
  </si>
  <si>
    <t>Jimmy Towle</t>
  </si>
  <si>
    <t>Kailey Rugani</t>
  </si>
  <si>
    <t>Kasey Schock</t>
  </si>
  <si>
    <t>Kevin Nicholl</t>
  </si>
  <si>
    <t>Kit Asterin</t>
  </si>
  <si>
    <t>Kristin Dudley</t>
  </si>
  <si>
    <t>Lexie Thomas</t>
  </si>
  <si>
    <t>Lucas Jones</t>
  </si>
  <si>
    <t>Lucius Christie</t>
  </si>
  <si>
    <t>Patrick McMullen</t>
  </si>
  <si>
    <t>Rachel Graber</t>
  </si>
  <si>
    <t>Ryan Kindell</t>
  </si>
  <si>
    <t>Ryan Ward</t>
  </si>
  <si>
    <t>Sam Gombiner</t>
  </si>
  <si>
    <t>Sarah Kingsley-Hart</t>
  </si>
  <si>
    <t>Sarah Lynch</t>
  </si>
  <si>
    <t>Shani Rosenthal</t>
  </si>
  <si>
    <t>Vivian Shen</t>
  </si>
  <si>
    <t>Zach Esakof</t>
  </si>
  <si>
    <t>Annette Kukunas-Piper</t>
  </si>
  <si>
    <t>Coach</t>
  </si>
  <si>
    <t>Matt Duffy</t>
  </si>
  <si>
    <t>Ryan Birchard</t>
  </si>
  <si>
    <t>Nick Blair</t>
  </si>
  <si>
    <t>EVENTS MASTER - All Team Events &amp; Costs</t>
  </si>
  <si>
    <t>Event Name</t>
  </si>
  <si>
    <t>Start Date</t>
  </si>
  <si>
    <t>End Date</t>
  </si>
  <si>
    <t>Category</t>
  </si>
  <si>
    <t>Location</t>
  </si>
  <si>
    <t>Budgeted Cost ($)</t>
  </si>
  <si>
    <t>Actual Cost ($)</t>
  </si>
  <si>
    <t>Who Paid Upfront</t>
  </si>
  <si>
    <t>Split Method</t>
  </si>
  <si>
    <t>May-July Fields</t>
  </si>
  <si>
    <t>03/15/2025</t>
  </si>
  <si>
    <t>Practice</t>
  </si>
  <si>
    <t>Dan Marino</t>
  </si>
  <si>
    <t>Equal Split</t>
  </si>
  <si>
    <t>Wednedsay Tryout Field</t>
  </si>
  <si>
    <t>One time payment</t>
  </si>
  <si>
    <t>PEC</t>
  </si>
  <si>
    <t>03/18/2025</t>
  </si>
  <si>
    <t>Tournament</t>
  </si>
  <si>
    <t>Browns Summit</t>
  </si>
  <si>
    <t>Attendance</t>
  </si>
  <si>
    <t>SFI</t>
  </si>
  <si>
    <t>03/14/2025</t>
  </si>
  <si>
    <t>Holiday Inn Downtown</t>
  </si>
  <si>
    <t>Natties Watch Party</t>
  </si>
  <si>
    <t>Fundraiser</t>
  </si>
  <si>
    <t>Goodlander</t>
  </si>
  <si>
    <t>Fantapalooza</t>
  </si>
  <si>
    <t>2025 Fundraising</t>
  </si>
  <si>
    <t>Mult.</t>
  </si>
  <si>
    <t>GHP Sessions</t>
  </si>
  <si>
    <t>Event</t>
  </si>
  <si>
    <t>GHP</t>
  </si>
  <si>
    <t>ATTENDANCE TRACKER</t>
  </si>
  <si>
    <t>Player Name</t>
  </si>
  <si>
    <t>Cost per Person ($) [auto]</t>
  </si>
  <si>
    <t>Total Attendees</t>
  </si>
  <si>
    <t>Total Cost ($)</t>
  </si>
  <si>
    <t>X</t>
  </si>
  <si>
    <t>TRANSACTIONS — All Money In &amp; Out</t>
  </si>
  <si>
    <t>Total In</t>
  </si>
  <si>
    <t>Total Out</t>
  </si>
  <si>
    <t>Net Balance</t>
  </si>
  <si>
    <t>Avg Transaction</t>
  </si>
  <si>
    <t>Pending</t>
  </si>
  <si>
    <t>Date</t>
  </si>
  <si>
    <t>Description</t>
  </si>
  <si>
    <t>Type</t>
  </si>
  <si>
    <t>Paid By</t>
  </si>
  <si>
    <t>Amount ($)</t>
  </si>
  <si>
    <t>Linked Event</t>
  </si>
  <si>
    <t>Reimbursed To</t>
  </si>
  <si>
    <t>Cost per Attendee ($)</t>
  </si>
  <si>
    <t>PEC Bid Fee</t>
  </si>
  <si>
    <t>Tournament Fee</t>
  </si>
  <si>
    <t>Expense</t>
  </si>
  <si>
    <t>Cleared</t>
  </si>
  <si>
    <t>SFI Bid Fee</t>
  </si>
  <si>
    <t>Hotel</t>
  </si>
  <si>
    <t>03/22/2025</t>
  </si>
  <si>
    <t>Fundraiser Income</t>
  </si>
  <si>
    <t>Outstanding 2025 Funds</t>
  </si>
  <si>
    <t>PLAYER BALANCES - Individual Ledger</t>
  </si>
  <si>
    <t>Total Owed TO Team</t>
  </si>
  <si>
    <t>Total Owed BY Team</t>
  </si>
  <si>
    <t>Net</t>
  </si>
  <si>
    <t>Settled</t>
  </si>
  <si>
    <t>Unsettled</t>
  </si>
  <si>
    <t>Total Charged ($)</t>
  </si>
  <si>
    <t>Total Paid ($)</t>
  </si>
  <si>
    <t>Paid Upfront For Team ($)</t>
  </si>
  <si>
    <t>Net Balance ($)</t>
  </si>
  <si>
    <t>PENDING TRANSACTIONS - Player Submissions</t>
  </si>
  <si>
    <t>Players submit items here. Treasurer reviews and moves approved items to the Transactions sheet.</t>
  </si>
  <si>
    <t>Receipt / Notes</t>
  </si>
  <si>
    <t>DASHBOARD — Auto-calculated Summary (Website reads this)</t>
  </si>
  <si>
    <t>TEAM OVERVIEW</t>
  </si>
  <si>
    <t>Total Players</t>
  </si>
  <si>
    <t>Active Players</t>
  </si>
  <si>
    <t>Coaches/Staff</t>
  </si>
  <si>
    <t>Captains</t>
  </si>
  <si>
    <t>FINANCES</t>
  </si>
  <si>
    <t>Total Dues Owed</t>
  </si>
  <si>
    <t>Total Dues Collected</t>
  </si>
  <si>
    <t>Dues Outstanding</t>
  </si>
  <si>
    <t>Total Income</t>
  </si>
  <si>
    <t>Total Expenses</t>
  </si>
  <si>
    <t>Pending Transactions</t>
  </si>
  <si>
    <t>EVENTS</t>
  </si>
  <si>
    <t>Total Events</t>
  </si>
  <si>
    <t>Practices</t>
  </si>
  <si>
    <t>Tournaments</t>
  </si>
  <si>
    <t>Fundraisers</t>
  </si>
  <si>
    <t>Total Budgeted</t>
  </si>
  <si>
    <t>Total Actual Spend</t>
  </si>
  <si>
    <t>Budget Variance</t>
  </si>
  <si>
    <t>KEY &amp; INSTRUCTIONS</t>
  </si>
  <si>
    <t>COLOR CODING</t>
  </si>
  <si>
    <t>Blue text</t>
  </si>
  <si>
    <t>Enter data here — these are your inputs</t>
  </si>
  <si>
    <t>Black text (formula)</t>
  </si>
  <si>
    <t>Auto-calculated — do not edit</t>
  </si>
  <si>
    <t>Green text</t>
  </si>
  <si>
    <t>Pulls from another sheet — do not edit</t>
  </si>
  <si>
    <t>ACCESS CODES</t>
  </si>
  <si>
    <t>Access codes</t>
  </si>
  <si>
    <t>Set unique codes in the 'Access Codes' tab. Share each player's code only with them.</t>
  </si>
  <si>
    <t>Player view</t>
  </si>
  <si>
    <t>Players enter their code → see only their own dues, balance, attendance</t>
  </si>
  <si>
    <t>Captain view</t>
  </si>
  <si>
    <t>Captains enter their code → see full roster balances, event attendance summary</t>
  </si>
  <si>
    <t>Coach/Treasurer</t>
  </si>
  <si>
    <t>Full dashboard: all finances, all player balances, all transactions</t>
  </si>
  <si>
    <t>ATTENDANCE</t>
  </si>
  <si>
    <t>1 = Attended | 0 = Absent | X = Exempt</t>
  </si>
  <si>
    <t>Player was present</t>
  </si>
  <si>
    <t>N = Absent</t>
  </si>
  <si>
    <t>Player did not attend</t>
  </si>
  <si>
    <t>X = Exempt — absent but excused/exempt from cost</t>
  </si>
  <si>
    <t>Absent but excused — may waive cost</t>
  </si>
  <si>
    <t>Row 4 in Attendance is auto-calculated from Events (Actual Cost ÷ attendees for "Attendance" events; ÷ roster size for "Equal Split" events)</t>
  </si>
  <si>
    <t>Row 6 in Attendance sheet — enter per-event cost, auto-calculates totals</t>
  </si>
  <si>
    <t>WORKFLOW</t>
  </si>
  <si>
    <t>1. Roster</t>
  </si>
  <si>
    <t>Add all players/coaches, set unique access codes, set dues amounts</t>
  </si>
  <si>
    <t>2. Events</t>
  </si>
  <si>
    <t>Log every event with budget and actual cost</t>
  </si>
  <si>
    <t>3. Attendance</t>
  </si>
  <si>
    <t>Mark Y/N/E for each player per event; set cost per person in row 6</t>
  </si>
  <si>
    <t>4. Transactions</t>
  </si>
  <si>
    <t>Log all money in/out; link to events where possible</t>
  </si>
  <si>
    <t>5. Player Balances</t>
  </si>
  <si>
    <t>Update dues paid, event costs owed, upfront payments — net auto-calculates</t>
  </si>
  <si>
    <t>6. Dashboard</t>
  </si>
  <si>
    <t>Auto-updates — this is what the website displays</t>
  </si>
  <si>
    <t>7. Commit to GitHub</t>
  </si>
  <si>
    <t>Save file → git add → git commit → git push → website updates!</t>
  </si>
  <si>
    <t>SPLIT METHODS</t>
  </si>
  <si>
    <t>Total cost ÷ all active players</t>
  </si>
  <si>
    <t>Total cost ÷ attendees only</t>
  </si>
  <si>
    <t>Custom</t>
  </si>
  <si>
    <t>Manual — enter individual amounts in Player Balances</t>
  </si>
  <si>
    <t>Team Pays</t>
  </si>
  <si>
    <t>Covered by team funds, no individual charge</t>
  </si>
  <si>
    <t>Individual Pays</t>
  </si>
  <si>
    <t>Person pays their own way, no reimbursement</t>
  </si>
  <si>
    <t>🔒  ACCESS CODES — TREASURER ONLY  🔒</t>
  </si>
  <si>
    <t>⚠️  HIDE THIS SHEET BEFORE SHARING THE FILE WITH PLAYERS  ⚠️</t>
  </si>
  <si>
    <t>To hide: right-click this sheet tab → 'Hide'.  To unhide: right-click any tab → 'Unhide'.</t>
  </si>
  <si>
    <t>Access Code</t>
  </si>
  <si>
    <t>Notes / Share Method</t>
  </si>
  <si>
    <t>AT</t>
  </si>
  <si>
    <t>AW</t>
  </si>
  <si>
    <t>CW</t>
  </si>
  <si>
    <t>DR</t>
  </si>
  <si>
    <t>DB</t>
  </si>
  <si>
    <t>GOF</t>
  </si>
  <si>
    <t>HY</t>
  </si>
  <si>
    <t>HP</t>
  </si>
  <si>
    <t>IP</t>
  </si>
  <si>
    <t>JM</t>
  </si>
  <si>
    <t>JN</t>
  </si>
  <si>
    <t>NT</t>
  </si>
  <si>
    <t>KR</t>
  </si>
  <si>
    <t>KS</t>
  </si>
  <si>
    <t>KN</t>
  </si>
  <si>
    <t>KA</t>
  </si>
  <si>
    <t>KD</t>
  </si>
  <si>
    <t>LT</t>
  </si>
  <si>
    <t>LJ</t>
  </si>
  <si>
    <t>LC</t>
  </si>
  <si>
    <t>PM</t>
  </si>
  <si>
    <t>RG</t>
  </si>
  <si>
    <t>RK</t>
  </si>
  <si>
    <t>RW</t>
  </si>
  <si>
    <t>SG</t>
  </si>
  <si>
    <t>SKH</t>
  </si>
  <si>
    <t>SL</t>
  </si>
  <si>
    <t>SR</t>
  </si>
  <si>
    <t>VS</t>
  </si>
  <si>
    <t>ZE</t>
  </si>
  <si>
    <t>AKP</t>
  </si>
  <si>
    <t>MD</t>
  </si>
  <si>
    <t>RB</t>
  </si>
  <si>
    <t>NB</t>
  </si>
  <si>
    <t>💡 Tip: Codes can be anything — e.g. initials + jersey # + year.  Make them easy to remember but hard to guess.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</si>
</sst>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;($#,##0.00);&quot;-&quot;"/>
    <numFmt numFmtId="165" formatCode="MM/DD/YYYY"/>
  </numFmts>
  <fonts count="22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10.0"/>
      <color rgb="FF000000"/>
      <name val="Arial"/>
    </font>
    <font>
      <sz val="10.0"/>
      <color rgb="FF0000FF"/>
      <name val="Arial"/>
    </font>
    <font>
      <sz val="10.0"/>
      <color rgb="FF008000"/>
      <name val="Arial"/>
    </font>
    <font>
      <sz val="11.0"/>
      <color theme="1"/>
      <name val="Calibri"/>
    </font>
    <font>
      <b/>
      <sz val="10.0"/>
      <color rgb="FF1A3A5C"/>
      <name val="Arial"/>
    </font>
    <font>
      <sz val="10.0"/>
      <color rgb="FFCC0000"/>
      <name val="Arial"/>
    </font>
    <font>
      <b/>
      <sz val="10.0"/>
      <color rgb="FF000000"/>
      <name val="Arial"/>
    </font>
    <font>
      <color theme="1"/>
      <name val="Calibri"/>
      <scheme val="minor"/>
    </font>
    <font>
      <sz val="10.0"/>
      <color theme="1"/>
      <name val="Arial"/>
    </font>
    <font>
      <i/>
      <sz val="10.0"/>
      <color rgb="FF555555"/>
      <name val="Arial"/>
    </font>
    <font>
      <sz val="10.0"/>
      <color rgb="FF888888"/>
      <name val="Arial"/>
    </font>
    <font>
      <b/>
      <sz val="12.0"/>
      <color rgb="FFFFFFFF"/>
      <name val="Arial"/>
    </font>
    <font>
      <b/>
      <sz val="10.0"/>
      <color rgb="FF008000"/>
      <name val="Arial"/>
    </font>
    <font>
      <b/>
      <sz val="10.0"/>
      <color rgb="FF0000FF"/>
      <name val="Arial"/>
    </font>
    <font>
      <sz val="10.0"/>
      <color rgb="FF444444"/>
      <name val="Arial"/>
    </font>
    <font>
      <b/>
      <sz val="13.0"/>
      <color rgb="FFFFFFFF"/>
      <name val="Arial"/>
    </font>
    <font>
      <b/>
      <sz val="11.0"/>
      <color rgb="FF7B0000"/>
      <name val="Arial"/>
    </font>
    <font>
      <i/>
      <sz val="9.0"/>
      <color rgb="FF555555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F5F5F5"/>
        <bgColor rgb="FFF5F5F5"/>
      </patternFill>
    </fill>
    <fill>
      <patternFill patternType="solid">
        <fgColor rgb="FFD6E4F0"/>
        <bgColor rgb="FFD6E4F0"/>
      </patternFill>
    </fill>
    <fill>
      <patternFill patternType="solid">
        <fgColor rgb="FF7B0000"/>
        <bgColor rgb="FF7B0000"/>
      </patternFill>
    </fill>
    <fill>
      <patternFill patternType="solid">
        <fgColor rgb="FFFFE4E4"/>
        <bgColor rgb="FFFFE4E4"/>
      </patternFill>
    </fill>
    <fill>
      <patternFill patternType="solid">
        <fgColor rgb="FFFFF8F8"/>
        <bgColor rgb="FFFFF8F8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CCCCCC"/>
      </bottom>
    </border>
    <border>
      <top style="thin">
        <color rgb="FF000000"/>
      </top>
      <bottom style="thin">
        <color rgb="FFCCCCCC"/>
      </bottom>
    </border>
    <border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readingOrder="0" vertical="center"/>
    </xf>
    <xf borderId="4" fillId="0" fontId="5" numFmtId="164" xfId="0" applyAlignment="1" applyBorder="1" applyFont="1" applyNumberFormat="1">
      <alignment horizontal="left" vertical="center"/>
    </xf>
    <xf borderId="4" fillId="0" fontId="4" numFmtId="0" xfId="0" applyAlignment="1" applyBorder="1" applyFont="1">
      <alignment horizontal="left" vertical="center"/>
    </xf>
    <xf borderId="4" fillId="3" fontId="4" numFmtId="0" xfId="0" applyAlignment="1" applyBorder="1" applyFill="1" applyFont="1">
      <alignment horizontal="center" readingOrder="0" vertical="center"/>
    </xf>
    <xf borderId="4" fillId="3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horizontal="left" readingOrder="0" vertical="center"/>
    </xf>
    <xf borderId="4" fillId="3" fontId="4" numFmtId="164" xfId="0" applyAlignment="1" applyBorder="1" applyFont="1" applyNumberFormat="1">
      <alignment horizontal="left" vertical="center"/>
    </xf>
    <xf borderId="4" fillId="3" fontId="4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4" fillId="0" fontId="4" numFmtId="165" xfId="0" applyAlignment="1" applyBorder="1" applyFont="1" applyNumberFormat="1">
      <alignment horizontal="left" vertical="center"/>
    </xf>
    <xf borderId="4" fillId="0" fontId="6" numFmtId="164" xfId="0" applyAlignment="1" applyBorder="1" applyFont="1" applyNumberFormat="1">
      <alignment horizontal="right" vertical="center"/>
    </xf>
    <xf borderId="4" fillId="0" fontId="5" numFmtId="164" xfId="0" applyAlignment="1" applyBorder="1" applyFont="1" applyNumberFormat="1">
      <alignment horizontal="left" readingOrder="0" vertical="center"/>
    </xf>
    <xf borderId="4" fillId="0" fontId="6" numFmtId="164" xfId="0" applyAlignment="1" applyBorder="1" applyFont="1" applyNumberFormat="1">
      <alignment horizontal="right" readingOrder="0" vertical="center"/>
    </xf>
    <xf borderId="4" fillId="0" fontId="4" numFmtId="165" xfId="0" applyAlignment="1" applyBorder="1" applyFont="1" applyNumberFormat="1">
      <alignment horizontal="left" readingOrder="0" vertical="center"/>
    </xf>
    <xf borderId="4" fillId="3" fontId="4" numFmtId="165" xfId="0" applyAlignment="1" applyBorder="1" applyFont="1" applyNumberFormat="1">
      <alignment horizontal="left" vertical="center"/>
    </xf>
    <xf borderId="4" fillId="3" fontId="6" numFmtId="164" xfId="0" applyAlignment="1" applyBorder="1" applyFont="1" applyNumberFormat="1">
      <alignment horizontal="right" vertical="center"/>
    </xf>
    <xf borderId="4" fillId="2" fontId="7" numFmtId="0" xfId="0" applyBorder="1" applyFont="1"/>
    <xf borderId="4" fillId="4" fontId="8" numFmtId="0" xfId="0" applyAlignment="1" applyBorder="1" applyFill="1" applyFont="1">
      <alignment horizontal="left" vertical="center"/>
    </xf>
    <xf borderId="4" fillId="4" fontId="4" numFmtId="0" xfId="0" applyAlignment="1" applyBorder="1" applyFont="1">
      <alignment horizontal="right" vertical="center"/>
    </xf>
    <xf borderId="4" fillId="0" fontId="6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4" fontId="8" numFmtId="0" xfId="0" applyAlignment="1" applyBorder="1" applyFont="1">
      <alignment horizontal="center" vertical="center"/>
    </xf>
    <xf borderId="11" fillId="0" fontId="6" numFmtId="164" xfId="0" applyAlignment="1" applyBorder="1" applyFont="1" applyNumberFormat="1">
      <alignment horizontal="right" vertical="center"/>
    </xf>
    <xf borderId="11" fillId="0" fontId="9" numFmtId="164" xfId="0" applyAlignment="1" applyBorder="1" applyFont="1" applyNumberFormat="1">
      <alignment horizontal="right" vertical="center"/>
    </xf>
    <xf borderId="11" fillId="0" fontId="10" numFmtId="164" xfId="0" applyAlignment="1" applyBorder="1" applyFont="1" applyNumberFormat="1">
      <alignment horizontal="right" vertical="center"/>
    </xf>
    <xf borderId="11" fillId="0" fontId="4" numFmtId="164" xfId="0" applyAlignment="1" applyBorder="1" applyFont="1" applyNumberFormat="1">
      <alignment horizontal="right" vertical="center"/>
    </xf>
    <xf borderId="11" fillId="0" fontId="4" numFmtId="1" xfId="0" applyAlignment="1" applyBorder="1" applyFont="1" applyNumberFormat="1">
      <alignment horizontal="right" vertical="center"/>
    </xf>
    <xf borderId="11" fillId="2" fontId="3" numFmtId="0" xfId="0" applyAlignment="1" applyBorder="1" applyFont="1">
      <alignment horizontal="center" vertical="center"/>
    </xf>
    <xf borderId="11" fillId="0" fontId="4" numFmtId="165" xfId="0" applyAlignment="1" applyBorder="1" applyFont="1" applyNumberFormat="1">
      <alignment horizontal="left" vertical="center"/>
    </xf>
    <xf borderId="11" fillId="0" fontId="4" numFmtId="0" xfId="0" applyAlignment="1" applyBorder="1" applyFont="1">
      <alignment horizontal="left" readingOrder="0" vertical="center"/>
    </xf>
    <xf borderId="11" fillId="0" fontId="4" numFmtId="0" xfId="0" applyAlignment="1" applyBorder="1" applyFont="1">
      <alignment horizontal="left" vertical="center"/>
    </xf>
    <xf borderId="11" fillId="0" fontId="5" numFmtId="164" xfId="0" applyAlignment="1" applyBorder="1" applyFont="1" applyNumberFormat="1">
      <alignment horizontal="left" vertical="center"/>
    </xf>
    <xf borderId="4" fillId="0" fontId="6" numFmtId="0" xfId="0" applyAlignment="1" applyBorder="1" applyFont="1">
      <alignment horizontal="right" vertical="center"/>
    </xf>
    <xf borderId="11" fillId="0" fontId="5" numFmtId="164" xfId="0" applyAlignment="1" applyBorder="1" applyFont="1" applyNumberFormat="1">
      <alignment horizontal="left" readingOrder="0" vertical="center"/>
    </xf>
    <xf borderId="11" fillId="3" fontId="4" numFmtId="165" xfId="0" applyBorder="1" applyFont="1" applyNumberFormat="1"/>
    <xf borderId="11" fillId="3" fontId="4" numFmtId="0" xfId="0" applyAlignment="1" applyBorder="1" applyFont="1">
      <alignment readingOrder="0"/>
    </xf>
    <xf borderId="11" fillId="3" fontId="5" numFmtId="164" xfId="0" applyAlignment="1" applyBorder="1" applyFont="1" applyNumberFormat="1">
      <alignment readingOrder="0"/>
    </xf>
    <xf borderId="11" fillId="3" fontId="4" numFmtId="0" xfId="0" applyBorder="1" applyFont="1"/>
    <xf borderId="11" fillId="0" fontId="4" numFmtId="165" xfId="0" applyBorder="1" applyFont="1" applyNumberFormat="1"/>
    <xf borderId="11" fillId="0" fontId="4" numFmtId="0" xfId="0" applyAlignment="1" applyBorder="1" applyFont="1">
      <alignment readingOrder="0"/>
    </xf>
    <xf borderId="0" fillId="0" fontId="11" numFmtId="164" xfId="0" applyAlignment="1" applyFont="1" applyNumberFormat="1">
      <alignment readingOrder="0"/>
    </xf>
    <xf borderId="11" fillId="0" fontId="4" numFmtId="0" xfId="0" applyBorder="1" applyFont="1"/>
    <xf borderId="11" fillId="3" fontId="5" numFmtId="164" xfId="0" applyBorder="1" applyFont="1" applyNumberFormat="1"/>
    <xf borderId="11" fillId="0" fontId="5" numFmtId="164" xfId="0" applyBorder="1" applyFont="1" applyNumberFormat="1"/>
    <xf borderId="0" fillId="0" fontId="12" numFmtId="0" xfId="0" applyFont="1"/>
    <xf borderId="4" fillId="4" fontId="8" numFmtId="0" xfId="0" applyAlignment="1" applyBorder="1" applyFont="1">
      <alignment horizontal="center" vertical="center"/>
    </xf>
    <xf borderId="4" fillId="0" fontId="4" numFmtId="164" xfId="0" applyAlignment="1" applyBorder="1" applyFont="1" applyNumberFormat="1">
      <alignment horizontal="right" vertical="center"/>
    </xf>
    <xf borderId="4" fillId="0" fontId="4" numFmtId="1" xfId="0" applyAlignment="1" applyBorder="1" applyFont="1" applyNumberFormat="1">
      <alignment horizontal="right" vertical="center"/>
    </xf>
    <xf borderId="4" fillId="0" fontId="6" numFmtId="164" xfId="0" applyAlignment="1" applyBorder="1" applyFont="1" applyNumberFormat="1">
      <alignment horizontal="left" vertical="center"/>
    </xf>
    <xf borderId="0" fillId="0" fontId="12" numFmtId="164" xfId="0" applyFont="1" applyNumberFormat="1"/>
    <xf borderId="4" fillId="3" fontId="6" numFmtId="0" xfId="0" applyAlignment="1" applyBorder="1" applyFont="1">
      <alignment horizontal="left" vertical="center"/>
    </xf>
    <xf borderId="4" fillId="3" fontId="6" numFmtId="164" xfId="0" applyAlignment="1" applyBorder="1" applyFont="1" applyNumberFormat="1">
      <alignment horizontal="left" vertical="center"/>
    </xf>
    <xf borderId="4" fillId="3" fontId="4" numFmtId="164" xfId="0" applyAlignment="1" applyBorder="1" applyFont="1" applyNumberFormat="1">
      <alignment horizontal="right" vertical="center"/>
    </xf>
    <xf borderId="4" fillId="2" fontId="1" numFmtId="0" xfId="0" applyAlignment="1" applyBorder="1" applyFont="1">
      <alignment horizontal="center" vertical="center"/>
    </xf>
    <xf borderId="0" fillId="0" fontId="13" numFmtId="0" xfId="0" applyAlignment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4" fillId="0" fontId="14" numFmtId="0" xfId="0" applyAlignment="1" applyBorder="1" applyFont="1">
      <alignment horizontal="center" vertical="center"/>
    </xf>
    <xf borderId="8" fillId="2" fontId="15" numFmtId="0" xfId="0" applyAlignment="1" applyBorder="1" applyFont="1">
      <alignment horizontal="center" vertical="center"/>
    </xf>
    <xf borderId="8" fillId="4" fontId="8" numFmtId="0" xfId="0" applyAlignment="1" applyBorder="1" applyFont="1">
      <alignment horizontal="left" vertical="center"/>
    </xf>
    <xf borderId="11" fillId="0" fontId="16" numFmtId="1" xfId="0" applyAlignment="1" applyBorder="1" applyFont="1" applyNumberFormat="1">
      <alignment horizontal="right" vertical="center"/>
    </xf>
    <xf borderId="11" fillId="0" fontId="16" numFmtId="164" xfId="0" applyAlignment="1" applyBorder="1" applyFont="1" applyNumberFormat="1">
      <alignment horizontal="right" vertical="center"/>
    </xf>
    <xf borderId="11" fillId="4" fontId="8" numFmtId="0" xfId="0" applyBorder="1" applyFont="1"/>
    <xf borderId="11" fillId="4" fontId="12" numFmtId="0" xfId="0" applyAlignment="1" applyBorder="1" applyFont="1">
      <alignment horizontal="left" shrinkToFit="0" vertical="center" wrapText="1"/>
    </xf>
    <xf borderId="11" fillId="0" fontId="17" numFmtId="0" xfId="0" applyBorder="1" applyFont="1"/>
    <xf borderId="11" fillId="0" fontId="12" numFmtId="0" xfId="0" applyAlignment="1" applyBorder="1" applyFont="1">
      <alignment horizontal="left" shrinkToFit="0" vertical="center" wrapText="1"/>
    </xf>
    <xf borderId="11" fillId="0" fontId="10" numFmtId="0" xfId="0" applyBorder="1" applyFont="1"/>
    <xf borderId="11" fillId="0" fontId="16" numFmtId="0" xfId="0" applyBorder="1" applyFont="1"/>
    <xf borderId="11" fillId="0" fontId="7" numFmtId="0" xfId="0" applyBorder="1" applyFont="1"/>
    <xf borderId="11" fillId="0" fontId="18" numFmtId="0" xfId="0" applyBorder="1" applyFont="1"/>
    <xf borderId="8" fillId="5" fontId="19" numFmtId="0" xfId="0" applyAlignment="1" applyBorder="1" applyFill="1" applyFont="1">
      <alignment horizontal="center" shrinkToFit="0" vertical="center" wrapText="1"/>
    </xf>
    <xf borderId="8" fillId="6" fontId="20" numFmtId="0" xfId="0" applyAlignment="1" applyBorder="1" applyFill="1" applyFont="1">
      <alignment horizontal="center" vertical="center"/>
    </xf>
    <xf borderId="8" fillId="7" fontId="13" numFmtId="0" xfId="0" applyAlignment="1" applyBorder="1" applyFill="1" applyFont="1">
      <alignment horizontal="center" vertical="center"/>
    </xf>
    <xf borderId="11" fillId="2" fontId="3" numFmtId="0" xfId="0" applyAlignment="1" applyBorder="1" applyFont="1">
      <alignment horizontal="center" shrinkToFit="0" vertical="center" wrapText="1"/>
    </xf>
    <xf borderId="11" fillId="3" fontId="4" numFmtId="0" xfId="0" applyAlignment="1" applyBorder="1" applyFont="1">
      <alignment horizontal="left" readingOrder="0" vertical="center"/>
    </xf>
    <xf borderId="11" fillId="3" fontId="17" numFmtId="0" xfId="0" applyAlignment="1" applyBorder="1" applyFont="1">
      <alignment horizontal="center" readingOrder="0" vertical="center"/>
    </xf>
    <xf borderId="11" fillId="3" fontId="4" numFmtId="0" xfId="0" applyAlignment="1" applyBorder="1" applyFont="1">
      <alignment horizontal="center" readingOrder="0" vertical="center"/>
    </xf>
    <xf borderId="11" fillId="3" fontId="4" numFmtId="0" xfId="0" applyAlignment="1" applyBorder="1" applyFont="1">
      <alignment horizontal="center" vertical="center"/>
    </xf>
    <xf borderId="11" fillId="3" fontId="4" numFmtId="0" xfId="0" applyAlignment="1" applyBorder="1" applyFont="1">
      <alignment horizontal="left" vertical="center"/>
    </xf>
    <xf borderId="11" fillId="0" fontId="17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 vertical="center"/>
    </xf>
    <xf borderId="11" fillId="8" fontId="4" numFmtId="0" xfId="0" applyAlignment="1" applyBorder="1" applyFill="1" applyFont="1">
      <alignment horizontal="left" readingOrder="0" vertical="center"/>
    </xf>
    <xf borderId="11" fillId="8" fontId="17" numFmtId="0" xfId="0" applyAlignment="1" applyBorder="1" applyFont="1">
      <alignment horizontal="center" readingOrder="0" vertical="center"/>
    </xf>
    <xf borderId="11" fillId="8" fontId="4" numFmtId="0" xfId="0" applyAlignment="1" applyBorder="1" applyFont="1">
      <alignment horizontal="left" vertical="center"/>
    </xf>
    <xf borderId="11" fillId="9" fontId="4" numFmtId="0" xfId="0" applyAlignment="1" applyBorder="1" applyFill="1" applyFont="1">
      <alignment horizontal="left" readingOrder="0" vertical="center"/>
    </xf>
    <xf borderId="11" fillId="9" fontId="17" numFmtId="0" xfId="0" applyAlignment="1" applyBorder="1" applyFont="1">
      <alignment horizontal="center" readingOrder="0" vertical="center"/>
    </xf>
    <xf borderId="11" fillId="9" fontId="4" numFmtId="0" xfId="0" applyAlignment="1" applyBorder="1" applyFont="1">
      <alignment horizontal="left" vertical="center"/>
    </xf>
    <xf borderId="11" fillId="9" fontId="17" numFmtId="0" xfId="0" applyAlignment="1" applyBorder="1" applyFont="1">
      <alignment horizontal="center" vertical="center"/>
    </xf>
    <xf borderId="11" fillId="9" fontId="4" numFmtId="0" xfId="0" applyAlignment="1" applyBorder="1" applyFont="1">
      <alignment horizontal="center" vertical="center"/>
    </xf>
    <xf borderId="11" fillId="8" fontId="17" numFmtId="0" xfId="0" applyAlignment="1" applyBorder="1" applyFont="1">
      <alignment horizontal="center" vertical="center"/>
    </xf>
    <xf borderId="11" fillId="8" fontId="4" numFmtId="0" xfId="0" applyAlignment="1" applyBorder="1" applyFont="1">
      <alignment horizontal="center" vertical="center"/>
    </xf>
    <xf borderId="0" fillId="0" fontId="2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6.86"/>
    <col customWidth="1" min="3" max="6" width="14.0"/>
    <col customWidth="1" min="7" max="7" width="20.0"/>
    <col customWidth="1" min="8" max="9" width="18.0"/>
    <col customWidth="1" min="10" max="26" width="8.71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3.5" customHeight="1"/>
    <row r="3" ht="21.75" customHeight="1"/>
    <row r="4" ht="21.7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5" ht="26.25" customHeight="1">
      <c r="A5" s="5" t="s">
        <v>7</v>
      </c>
      <c r="B5" s="6"/>
      <c r="C5" s="7" t="s">
        <v>8</v>
      </c>
      <c r="D5" s="8" t="s">
        <v>9</v>
      </c>
      <c r="E5" s="7" t="s">
        <v>10</v>
      </c>
      <c r="F5" s="7"/>
    </row>
    <row r="6" ht="21.75" customHeight="1">
      <c r="A6" s="5" t="s">
        <v>11</v>
      </c>
      <c r="B6" s="6"/>
      <c r="C6" s="7" t="s">
        <v>12</v>
      </c>
      <c r="D6" s="9" t="s">
        <v>13</v>
      </c>
      <c r="E6" s="7" t="s">
        <v>10</v>
      </c>
      <c r="F6" s="7"/>
    </row>
    <row r="7" ht="19.5" customHeight="1">
      <c r="A7" s="5" t="s">
        <v>14</v>
      </c>
      <c r="B7" s="6"/>
      <c r="C7" s="7" t="s">
        <v>15</v>
      </c>
      <c r="D7" s="10" t="s">
        <v>13</v>
      </c>
      <c r="E7" s="7" t="s">
        <v>10</v>
      </c>
      <c r="F7" s="7" t="s">
        <v>16</v>
      </c>
    </row>
    <row r="8" ht="19.5" customHeight="1">
      <c r="A8" s="5" t="s">
        <v>17</v>
      </c>
      <c r="B8" s="6"/>
      <c r="C8" s="7" t="s">
        <v>18</v>
      </c>
      <c r="D8" s="10" t="s">
        <v>13</v>
      </c>
      <c r="E8" s="7" t="s">
        <v>10</v>
      </c>
      <c r="F8" s="7"/>
    </row>
    <row r="9" ht="19.5" customHeight="1">
      <c r="A9" s="5" t="s">
        <v>19</v>
      </c>
      <c r="B9" s="6"/>
      <c r="C9" s="7" t="s">
        <v>8</v>
      </c>
      <c r="D9" s="8" t="s">
        <v>13</v>
      </c>
      <c r="E9" s="7" t="s">
        <v>10</v>
      </c>
      <c r="F9" s="7"/>
    </row>
    <row r="10" ht="19.5" customHeight="1">
      <c r="A10" s="11" t="s">
        <v>20</v>
      </c>
      <c r="B10" s="12"/>
      <c r="C10" s="13"/>
      <c r="D10" s="8" t="s">
        <v>13</v>
      </c>
      <c r="E10" s="13"/>
      <c r="F10" s="13"/>
    </row>
    <row r="11" ht="19.5" customHeight="1">
      <c r="A11" s="11" t="s">
        <v>21</v>
      </c>
      <c r="B11" s="12"/>
      <c r="C11" s="13"/>
      <c r="D11" s="8" t="s">
        <v>13</v>
      </c>
      <c r="E11" s="13"/>
      <c r="F11" s="13"/>
    </row>
    <row r="12" ht="19.5" customHeight="1">
      <c r="A12" s="11" t="s">
        <v>22</v>
      </c>
      <c r="B12" s="12"/>
      <c r="C12" s="13"/>
      <c r="D12" s="8" t="s">
        <v>13</v>
      </c>
      <c r="E12" s="13"/>
      <c r="F12" s="13"/>
    </row>
    <row r="13" ht="19.5" customHeight="1">
      <c r="A13" s="11" t="s">
        <v>23</v>
      </c>
      <c r="B13" s="12"/>
      <c r="C13" s="13"/>
      <c r="D13" s="8" t="s">
        <v>13</v>
      </c>
      <c r="E13" s="13"/>
      <c r="F13" s="13"/>
    </row>
    <row r="14" ht="19.5" customHeight="1">
      <c r="A14" s="11" t="s">
        <v>24</v>
      </c>
      <c r="B14" s="12"/>
      <c r="C14" s="13"/>
      <c r="D14" s="8" t="s">
        <v>25</v>
      </c>
      <c r="E14" s="13"/>
      <c r="F14" s="13"/>
    </row>
    <row r="15" ht="19.5" customHeight="1">
      <c r="A15" s="11" t="s">
        <v>26</v>
      </c>
      <c r="B15" s="12"/>
      <c r="C15" s="13"/>
      <c r="D15" s="8" t="s">
        <v>9</v>
      </c>
      <c r="E15" s="13"/>
      <c r="F15" s="13"/>
    </row>
    <row r="16" ht="19.5" customHeight="1">
      <c r="A16" s="11" t="s">
        <v>27</v>
      </c>
      <c r="B16" s="12"/>
      <c r="C16" s="13"/>
      <c r="D16" s="8" t="s">
        <v>13</v>
      </c>
      <c r="E16" s="13"/>
      <c r="F16" s="13"/>
    </row>
    <row r="17" ht="19.5" customHeight="1">
      <c r="A17" s="11" t="s">
        <v>28</v>
      </c>
      <c r="B17" s="12"/>
      <c r="C17" s="13"/>
      <c r="D17" s="8" t="s">
        <v>13</v>
      </c>
      <c r="E17" s="13"/>
      <c r="F17" s="13"/>
    </row>
    <row r="18" ht="19.5" customHeight="1">
      <c r="A18" s="11" t="s">
        <v>29</v>
      </c>
      <c r="B18" s="12"/>
      <c r="C18" s="13"/>
      <c r="D18" s="8" t="s">
        <v>13</v>
      </c>
      <c r="E18" s="13"/>
      <c r="F18" s="13"/>
    </row>
    <row r="19" ht="19.5" customHeight="1">
      <c r="A19" s="11" t="s">
        <v>30</v>
      </c>
      <c r="B19" s="12"/>
      <c r="C19" s="13"/>
      <c r="D19" s="8" t="s">
        <v>13</v>
      </c>
      <c r="E19" s="13"/>
      <c r="F19" s="13"/>
    </row>
    <row r="20" ht="19.5" customHeight="1">
      <c r="A20" s="11" t="s">
        <v>31</v>
      </c>
      <c r="B20" s="12"/>
      <c r="C20" s="13"/>
      <c r="D20" s="8" t="s">
        <v>9</v>
      </c>
      <c r="E20" s="13"/>
      <c r="F20" s="13"/>
    </row>
    <row r="21" ht="19.5" customHeight="1">
      <c r="A21" s="11" t="s">
        <v>32</v>
      </c>
      <c r="B21" s="12"/>
      <c r="C21" s="13"/>
      <c r="D21" s="8" t="s">
        <v>13</v>
      </c>
      <c r="E21" s="13"/>
      <c r="F21" s="13"/>
    </row>
    <row r="22" ht="19.5" customHeight="1">
      <c r="A22" s="11" t="s">
        <v>33</v>
      </c>
      <c r="B22" s="12"/>
      <c r="C22" s="13"/>
      <c r="D22" s="8" t="s">
        <v>13</v>
      </c>
      <c r="E22" s="13"/>
      <c r="F22" s="13"/>
    </row>
    <row r="23" ht="19.5" customHeight="1">
      <c r="A23" s="11" t="s">
        <v>34</v>
      </c>
      <c r="B23" s="12"/>
      <c r="C23" s="13"/>
      <c r="D23" s="8" t="s">
        <v>13</v>
      </c>
      <c r="E23" s="13"/>
      <c r="F23" s="13"/>
    </row>
    <row r="24" ht="19.5" customHeight="1">
      <c r="A24" s="11" t="s">
        <v>35</v>
      </c>
      <c r="B24" s="12"/>
      <c r="C24" s="13"/>
      <c r="D24" s="8" t="s">
        <v>13</v>
      </c>
      <c r="E24" s="13"/>
      <c r="F24" s="13"/>
    </row>
    <row r="25" ht="19.5" customHeight="1">
      <c r="A25" s="11" t="s">
        <v>36</v>
      </c>
      <c r="B25" s="12"/>
      <c r="C25" s="13"/>
      <c r="D25" s="8" t="s">
        <v>13</v>
      </c>
      <c r="E25" s="13"/>
      <c r="F25" s="13"/>
    </row>
    <row r="26" ht="19.5" customHeight="1">
      <c r="A26" s="11" t="s">
        <v>37</v>
      </c>
      <c r="B26" s="12"/>
      <c r="C26" s="13"/>
      <c r="D26" s="8" t="s">
        <v>13</v>
      </c>
      <c r="E26" s="13"/>
      <c r="F26" s="13"/>
    </row>
    <row r="27" ht="19.5" customHeight="1">
      <c r="A27" s="11" t="s">
        <v>38</v>
      </c>
      <c r="B27" s="12"/>
      <c r="C27" s="13"/>
      <c r="D27" s="8" t="s">
        <v>13</v>
      </c>
      <c r="E27" s="13"/>
      <c r="F27" s="13"/>
    </row>
    <row r="28" ht="19.5" customHeight="1">
      <c r="A28" s="11" t="s">
        <v>39</v>
      </c>
      <c r="B28" s="12"/>
      <c r="C28" s="13"/>
      <c r="D28" s="8" t="s">
        <v>13</v>
      </c>
      <c r="E28" s="13"/>
      <c r="F28" s="13"/>
    </row>
    <row r="29" ht="19.5" customHeight="1">
      <c r="A29" s="11" t="s">
        <v>40</v>
      </c>
      <c r="B29" s="12"/>
      <c r="C29" s="13"/>
      <c r="D29" s="8" t="s">
        <v>13</v>
      </c>
      <c r="E29" s="13"/>
      <c r="F29" s="13"/>
    </row>
    <row r="30" ht="19.5" customHeight="1">
      <c r="A30" s="11" t="s">
        <v>41</v>
      </c>
      <c r="B30" s="12"/>
      <c r="C30" s="13"/>
      <c r="D30" s="8" t="s">
        <v>13</v>
      </c>
      <c r="E30" s="13"/>
      <c r="F30" s="13"/>
    </row>
    <row r="31" ht="19.5" customHeight="1">
      <c r="A31" s="11" t="s">
        <v>42</v>
      </c>
      <c r="B31" s="12"/>
      <c r="C31" s="13"/>
      <c r="D31" s="8" t="s">
        <v>13</v>
      </c>
      <c r="E31" s="13"/>
      <c r="F31" s="13"/>
    </row>
    <row r="32" ht="19.5" customHeight="1">
      <c r="A32" s="11" t="s">
        <v>43</v>
      </c>
      <c r="B32" s="12"/>
      <c r="C32" s="13"/>
      <c r="D32" s="8" t="s">
        <v>13</v>
      </c>
      <c r="E32" s="13"/>
      <c r="F32" s="13"/>
    </row>
    <row r="33" ht="19.5" customHeight="1">
      <c r="A33" s="11" t="s">
        <v>44</v>
      </c>
      <c r="B33" s="12"/>
      <c r="C33" s="13"/>
      <c r="D33" s="8" t="s">
        <v>13</v>
      </c>
      <c r="E33" s="13"/>
      <c r="F33" s="13"/>
    </row>
    <row r="34" ht="19.5" customHeight="1">
      <c r="A34" s="11" t="s">
        <v>45</v>
      </c>
      <c r="B34" s="12"/>
      <c r="C34" s="13"/>
      <c r="D34" s="8" t="s">
        <v>13</v>
      </c>
      <c r="E34" s="13"/>
      <c r="F34" s="13"/>
    </row>
    <row r="35" ht="19.5" customHeight="1">
      <c r="A35" s="11" t="s">
        <v>46</v>
      </c>
      <c r="B35" s="12"/>
      <c r="C35" s="13"/>
      <c r="D35" s="8" t="s">
        <v>47</v>
      </c>
      <c r="E35" s="13"/>
      <c r="F35" s="13"/>
    </row>
    <row r="36" ht="19.5" customHeight="1">
      <c r="A36" s="11" t="s">
        <v>48</v>
      </c>
      <c r="B36" s="12"/>
      <c r="C36" s="13"/>
      <c r="D36" s="8" t="s">
        <v>47</v>
      </c>
      <c r="E36" s="13"/>
      <c r="F36" s="13"/>
    </row>
    <row r="37" ht="19.5" customHeight="1">
      <c r="A37" s="11" t="s">
        <v>49</v>
      </c>
      <c r="B37" s="12"/>
      <c r="C37" s="13"/>
      <c r="D37" s="8" t="s">
        <v>47</v>
      </c>
      <c r="E37" s="13"/>
      <c r="F37" s="13"/>
    </row>
    <row r="38" ht="19.5" customHeight="1">
      <c r="A38" s="11" t="s">
        <v>50</v>
      </c>
      <c r="B38" s="12"/>
      <c r="C38" s="13"/>
      <c r="D38" s="8" t="s">
        <v>13</v>
      </c>
      <c r="E38" s="13"/>
      <c r="F38" s="13"/>
    </row>
    <row r="39" ht="19.5" customHeight="1">
      <c r="A39" s="13"/>
      <c r="B39" s="12"/>
      <c r="C39" s="13"/>
      <c r="D39" s="13"/>
      <c r="E39" s="13"/>
      <c r="F39" s="13"/>
    </row>
    <row r="40" ht="19.5" customHeight="1">
      <c r="A40" s="13"/>
      <c r="B40" s="12"/>
      <c r="C40" s="13"/>
      <c r="D40" s="13"/>
      <c r="E40" s="13"/>
      <c r="F40" s="13"/>
    </row>
    <row r="41" ht="19.5" customHeight="1">
      <c r="A41" s="13"/>
      <c r="B41" s="12"/>
      <c r="C41" s="13"/>
      <c r="D41" s="13"/>
      <c r="E41" s="13"/>
      <c r="F41" s="13"/>
    </row>
    <row r="42" ht="19.5" customHeight="1">
      <c r="A42" s="13"/>
      <c r="B42" s="12"/>
      <c r="C42" s="13"/>
      <c r="D42" s="13"/>
      <c r="E42" s="13"/>
      <c r="F42" s="13"/>
    </row>
    <row r="43" ht="19.5" customHeight="1">
      <c r="A43" s="13"/>
      <c r="B43" s="12"/>
      <c r="C43" s="13"/>
      <c r="D43" s="13"/>
      <c r="E43" s="13"/>
      <c r="F43" s="13"/>
    </row>
    <row r="44" ht="19.5" customHeight="1">
      <c r="A44" s="13"/>
      <c r="B44" s="12"/>
      <c r="C44" s="13"/>
      <c r="D44" s="13"/>
      <c r="E44" s="13"/>
      <c r="F44" s="13"/>
    </row>
    <row r="45" ht="19.5" customHeight="1">
      <c r="A45" s="13"/>
      <c r="B45" s="12"/>
      <c r="C45" s="13"/>
      <c r="D45" s="13"/>
      <c r="E45" s="13"/>
      <c r="F45" s="13"/>
    </row>
    <row r="46" ht="19.5" customHeight="1">
      <c r="A46" s="13"/>
      <c r="B46" s="12"/>
      <c r="C46" s="13"/>
      <c r="D46" s="13"/>
      <c r="E46" s="13"/>
      <c r="F46" s="13"/>
    </row>
    <row r="47" ht="19.5" customHeight="1">
      <c r="A47" s="13"/>
      <c r="B47" s="12"/>
      <c r="C47" s="13"/>
      <c r="D47" s="13"/>
      <c r="E47" s="13"/>
      <c r="F47" s="13"/>
    </row>
    <row r="48" ht="19.5" customHeight="1">
      <c r="A48" s="13"/>
      <c r="B48" s="12"/>
      <c r="C48" s="13"/>
      <c r="D48" s="13"/>
      <c r="E48" s="13"/>
      <c r="F48" s="13"/>
    </row>
    <row r="49" ht="19.5" customHeight="1">
      <c r="A49" s="13"/>
      <c r="B49" s="12"/>
      <c r="C49" s="13"/>
      <c r="D49" s="13"/>
      <c r="E49" s="13"/>
      <c r="F49" s="13"/>
    </row>
    <row r="50" ht="19.5" customHeight="1">
      <c r="A50" s="13"/>
      <c r="B50" s="12"/>
      <c r="C50" s="13"/>
      <c r="D50" s="13"/>
      <c r="E50" s="13"/>
      <c r="F50" s="13"/>
    </row>
    <row r="51" ht="19.5" customHeight="1">
      <c r="A51" s="13"/>
      <c r="B51" s="12"/>
      <c r="C51" s="13"/>
      <c r="D51" s="13"/>
      <c r="E51" s="13"/>
      <c r="F51" s="13"/>
    </row>
    <row r="52" ht="19.5" customHeight="1">
      <c r="A52" s="13"/>
      <c r="B52" s="12"/>
      <c r="C52" s="13"/>
      <c r="D52" s="13"/>
      <c r="E52" s="13"/>
      <c r="F52" s="13"/>
    </row>
    <row r="53" ht="19.5" customHeight="1">
      <c r="A53" s="13"/>
      <c r="B53" s="12"/>
      <c r="C53" s="13"/>
      <c r="D53" s="13"/>
      <c r="E53" s="13"/>
      <c r="F53" s="13"/>
    </row>
    <row r="54" ht="19.5" customHeight="1">
      <c r="A54" s="13"/>
      <c r="B54" s="12"/>
      <c r="C54" s="13"/>
      <c r="D54" s="13"/>
      <c r="E54" s="13"/>
      <c r="F54" s="13"/>
    </row>
    <row r="55" ht="19.5" customHeight="1">
      <c r="A55" s="13"/>
      <c r="B55" s="12"/>
      <c r="C55" s="13"/>
      <c r="D55" s="13"/>
      <c r="E55" s="13"/>
      <c r="F55" s="13"/>
    </row>
    <row r="56" ht="19.5" customHeight="1">
      <c r="A56" s="13"/>
      <c r="B56" s="12"/>
      <c r="C56" s="13"/>
      <c r="D56" s="13"/>
      <c r="E56" s="13"/>
      <c r="F56" s="13"/>
    </row>
    <row r="57" ht="19.5" customHeight="1">
      <c r="A57" s="13"/>
      <c r="B57" s="12"/>
      <c r="C57" s="13"/>
      <c r="D57" s="13"/>
      <c r="E57" s="13"/>
      <c r="F57" s="13"/>
    </row>
    <row r="58" ht="19.5" customHeight="1">
      <c r="A58" s="13"/>
      <c r="B58" s="12"/>
      <c r="C58" s="13"/>
      <c r="D58" s="13"/>
      <c r="E58" s="13"/>
      <c r="F58" s="13"/>
    </row>
    <row r="59" ht="19.5" customHeight="1">
      <c r="A59" s="13"/>
      <c r="B59" s="12"/>
      <c r="C59" s="13"/>
      <c r="D59" s="13"/>
      <c r="E59" s="13"/>
      <c r="F59" s="13"/>
    </row>
    <row r="60" ht="19.5" customHeight="1">
      <c r="A60" s="13"/>
      <c r="B60" s="12"/>
      <c r="C60" s="13"/>
      <c r="D60" s="13"/>
      <c r="E60" s="13"/>
      <c r="F60" s="13"/>
    </row>
    <row r="61" ht="19.5" customHeight="1">
      <c r="A61" s="13"/>
      <c r="B61" s="12"/>
      <c r="C61" s="13"/>
      <c r="D61" s="13"/>
      <c r="E61" s="13"/>
      <c r="F61" s="13"/>
    </row>
    <row r="62" ht="19.5" customHeight="1">
      <c r="A62" s="13"/>
      <c r="B62" s="12"/>
      <c r="C62" s="13"/>
      <c r="D62" s="13"/>
      <c r="E62" s="13"/>
      <c r="F62" s="13"/>
    </row>
    <row r="63" ht="19.5" customHeight="1">
      <c r="A63" s="13"/>
      <c r="B63" s="12"/>
      <c r="C63" s="13"/>
      <c r="D63" s="13"/>
      <c r="E63" s="13"/>
      <c r="F63" s="13"/>
    </row>
    <row r="64" ht="19.5" customHeight="1">
      <c r="A64" s="13"/>
      <c r="B64" s="12"/>
      <c r="C64" s="13"/>
      <c r="D64" s="13"/>
      <c r="E64" s="13"/>
      <c r="F64" s="13"/>
    </row>
    <row r="65" ht="19.5" customHeight="1">
      <c r="A65" s="13"/>
      <c r="B65" s="12"/>
      <c r="C65" s="13"/>
      <c r="D65" s="13"/>
      <c r="E65" s="13"/>
      <c r="F65" s="13"/>
    </row>
    <row r="66" ht="19.5" customHeight="1">
      <c r="A66" s="13"/>
      <c r="B66" s="12"/>
      <c r="C66" s="13"/>
      <c r="D66" s="13"/>
      <c r="E66" s="13"/>
      <c r="F66" s="13"/>
    </row>
    <row r="67" ht="19.5" customHeight="1">
      <c r="A67" s="13"/>
      <c r="B67" s="12"/>
      <c r="C67" s="13"/>
      <c r="D67" s="13"/>
      <c r="E67" s="13"/>
      <c r="F67" s="13"/>
    </row>
    <row r="68" ht="19.5" customHeight="1">
      <c r="A68" s="13"/>
      <c r="B68" s="12"/>
      <c r="C68" s="13"/>
      <c r="D68" s="13"/>
      <c r="E68" s="13"/>
      <c r="F68" s="13"/>
    </row>
    <row r="69" ht="19.5" customHeight="1">
      <c r="A69" s="13"/>
      <c r="B69" s="12"/>
      <c r="C69" s="13"/>
      <c r="D69" s="13"/>
      <c r="E69" s="13"/>
      <c r="F69" s="13"/>
    </row>
    <row r="70" ht="19.5" customHeight="1">
      <c r="A70" s="13"/>
      <c r="B70" s="12"/>
      <c r="C70" s="13"/>
      <c r="D70" s="13"/>
      <c r="E70" s="13"/>
      <c r="F70" s="13"/>
    </row>
    <row r="71" ht="19.5" customHeight="1">
      <c r="A71" s="13"/>
      <c r="B71" s="12"/>
      <c r="C71" s="13"/>
      <c r="D71" s="13"/>
      <c r="E71" s="13"/>
      <c r="F71" s="13"/>
    </row>
    <row r="72" ht="19.5" customHeight="1">
      <c r="A72" s="13"/>
      <c r="B72" s="12"/>
      <c r="C72" s="13"/>
      <c r="D72" s="13"/>
      <c r="E72" s="13"/>
      <c r="F72" s="13"/>
    </row>
    <row r="73" ht="19.5" customHeight="1">
      <c r="A73" s="13"/>
      <c r="B73" s="12"/>
      <c r="C73" s="13"/>
      <c r="D73" s="13"/>
      <c r="E73" s="13"/>
      <c r="F73" s="13"/>
    </row>
    <row r="74" ht="19.5" customHeight="1">
      <c r="A74" s="13"/>
      <c r="B74" s="12"/>
      <c r="C74" s="13"/>
      <c r="D74" s="13"/>
      <c r="E74" s="13"/>
      <c r="F74" s="13"/>
    </row>
    <row r="75" ht="19.5" customHeight="1">
      <c r="A75" s="13"/>
      <c r="B75" s="12"/>
      <c r="C75" s="13"/>
      <c r="D75" s="13"/>
      <c r="E75" s="13"/>
      <c r="F75" s="13"/>
    </row>
    <row r="76" ht="19.5" customHeight="1">
      <c r="A76" s="13"/>
      <c r="B76" s="12"/>
      <c r="C76" s="13"/>
      <c r="D76" s="13"/>
      <c r="E76" s="13"/>
      <c r="F76" s="13"/>
    </row>
    <row r="77" ht="19.5" customHeight="1">
      <c r="A77" s="13"/>
      <c r="B77" s="12"/>
      <c r="C77" s="13"/>
      <c r="D77" s="13"/>
      <c r="E77" s="13"/>
      <c r="F77" s="13"/>
    </row>
    <row r="78" ht="19.5" customHeight="1">
      <c r="A78" s="13"/>
      <c r="B78" s="12"/>
      <c r="C78" s="13"/>
      <c r="D78" s="13"/>
      <c r="E78" s="13"/>
      <c r="F78" s="13"/>
    </row>
    <row r="79" ht="19.5" customHeight="1">
      <c r="A79" s="13"/>
      <c r="B79" s="12"/>
      <c r="C79" s="13"/>
      <c r="D79" s="13"/>
      <c r="E79" s="13"/>
      <c r="F79" s="13"/>
    </row>
    <row r="80" ht="19.5" customHeight="1">
      <c r="A80" s="13"/>
      <c r="B80" s="12"/>
      <c r="C80" s="13"/>
      <c r="D80" s="13"/>
      <c r="E80" s="13"/>
      <c r="F80" s="13"/>
    </row>
    <row r="81" ht="19.5" customHeight="1">
      <c r="A81" s="13"/>
      <c r="B81" s="12"/>
      <c r="C81" s="13"/>
      <c r="D81" s="13"/>
      <c r="E81" s="13"/>
      <c r="F81" s="13"/>
    </row>
    <row r="82" ht="19.5" customHeight="1">
      <c r="A82" s="13"/>
      <c r="B82" s="12"/>
      <c r="C82" s="13"/>
      <c r="D82" s="13"/>
      <c r="E82" s="13"/>
      <c r="F82" s="13"/>
    </row>
    <row r="83" ht="19.5" customHeight="1">
      <c r="A83" s="13"/>
      <c r="B83" s="12"/>
      <c r="C83" s="13"/>
      <c r="D83" s="13"/>
      <c r="E83" s="13"/>
      <c r="F83" s="13"/>
    </row>
    <row r="84" ht="19.5" customHeight="1">
      <c r="A84" s="13"/>
      <c r="B84" s="12"/>
      <c r="C84" s="13"/>
      <c r="D84" s="13"/>
      <c r="E84" s="13"/>
      <c r="F84" s="13"/>
    </row>
    <row r="85" ht="19.5" customHeight="1">
      <c r="A85" s="13"/>
      <c r="B85" s="12"/>
      <c r="C85" s="13"/>
      <c r="D85" s="13"/>
      <c r="E85" s="13"/>
      <c r="F85" s="13"/>
    </row>
    <row r="86" ht="19.5" customHeight="1">
      <c r="A86" s="13"/>
      <c r="B86" s="12"/>
      <c r="C86" s="13"/>
      <c r="D86" s="13"/>
      <c r="E86" s="13"/>
      <c r="F86" s="13"/>
    </row>
    <row r="87" ht="19.5" customHeight="1">
      <c r="A87" s="13"/>
      <c r="B87" s="12"/>
      <c r="C87" s="13"/>
      <c r="D87" s="13"/>
      <c r="E87" s="13"/>
      <c r="F87" s="13"/>
    </row>
    <row r="88" ht="19.5" customHeight="1">
      <c r="A88" s="13"/>
      <c r="B88" s="12"/>
      <c r="C88" s="13"/>
      <c r="D88" s="13"/>
      <c r="E88" s="13"/>
      <c r="F88" s="13"/>
    </row>
    <row r="89" ht="19.5" customHeight="1">
      <c r="A89" s="13"/>
      <c r="B89" s="12"/>
      <c r="C89" s="13"/>
      <c r="D89" s="13"/>
      <c r="E89" s="13"/>
      <c r="F89" s="13"/>
    </row>
    <row r="90" ht="19.5" customHeight="1">
      <c r="A90" s="13"/>
      <c r="B90" s="12"/>
      <c r="C90" s="13"/>
      <c r="D90" s="13"/>
      <c r="E90" s="13"/>
      <c r="F90" s="13"/>
    </row>
    <row r="91" ht="19.5" customHeight="1">
      <c r="A91" s="13"/>
      <c r="B91" s="12"/>
      <c r="C91" s="13"/>
      <c r="D91" s="13"/>
      <c r="E91" s="13"/>
      <c r="F91" s="13"/>
    </row>
    <row r="92" ht="19.5" customHeight="1">
      <c r="A92" s="13"/>
      <c r="B92" s="12"/>
      <c r="C92" s="13"/>
      <c r="D92" s="13"/>
      <c r="E92" s="13"/>
      <c r="F92" s="13"/>
    </row>
    <row r="93" ht="19.5" customHeight="1">
      <c r="A93" s="13"/>
      <c r="B93" s="12"/>
      <c r="C93" s="13"/>
      <c r="D93" s="13"/>
      <c r="E93" s="13"/>
      <c r="F93" s="13"/>
    </row>
    <row r="94" ht="19.5" customHeight="1">
      <c r="A94" s="13"/>
      <c r="B94" s="12"/>
      <c r="C94" s="13"/>
      <c r="D94" s="13"/>
      <c r="E94" s="13"/>
      <c r="F94" s="13"/>
    </row>
    <row r="95" ht="19.5" customHeight="1">
      <c r="A95" s="13"/>
      <c r="B95" s="12"/>
      <c r="C95" s="13"/>
      <c r="D95" s="13"/>
      <c r="E95" s="13"/>
      <c r="F95" s="13"/>
    </row>
    <row r="96" ht="19.5" customHeight="1">
      <c r="A96" s="13"/>
      <c r="B96" s="12"/>
      <c r="C96" s="13"/>
      <c r="D96" s="13"/>
      <c r="E96" s="13"/>
      <c r="F96" s="13"/>
    </row>
    <row r="97" ht="19.5" customHeight="1">
      <c r="A97" s="13"/>
      <c r="B97" s="12"/>
      <c r="C97" s="13"/>
      <c r="D97" s="13"/>
      <c r="E97" s="13"/>
      <c r="F97" s="13"/>
    </row>
    <row r="98" ht="19.5" customHeight="1">
      <c r="A98" s="13"/>
      <c r="B98" s="12"/>
      <c r="C98" s="13"/>
      <c r="D98" s="13"/>
      <c r="E98" s="13"/>
      <c r="F98" s="13"/>
    </row>
    <row r="99" ht="19.5" customHeight="1">
      <c r="A99" s="13"/>
      <c r="B99" s="12"/>
      <c r="C99" s="13"/>
      <c r="D99" s="13"/>
      <c r="E99" s="13"/>
      <c r="F99" s="13"/>
    </row>
    <row r="100" ht="19.5" customHeight="1">
      <c r="A100" s="13"/>
      <c r="B100" s="12"/>
      <c r="C100" s="13"/>
      <c r="D100" s="13"/>
      <c r="E100" s="13"/>
      <c r="F100" s="13"/>
    </row>
    <row r="101" ht="19.5" customHeight="1">
      <c r="A101" s="13"/>
      <c r="B101" s="12"/>
      <c r="C101" s="13"/>
      <c r="D101" s="13"/>
      <c r="E101" s="13"/>
      <c r="F101" s="13"/>
    </row>
    <row r="102" ht="19.5" customHeight="1">
      <c r="A102" s="13"/>
      <c r="B102" s="12"/>
      <c r="C102" s="13"/>
      <c r="D102" s="13"/>
      <c r="E102" s="13"/>
      <c r="F102" s="13"/>
    </row>
    <row r="103" ht="19.5" customHeight="1">
      <c r="A103" s="13"/>
      <c r="B103" s="12"/>
      <c r="C103" s="13"/>
      <c r="D103" s="13"/>
      <c r="E103" s="13"/>
      <c r="F103" s="13"/>
    </row>
    <row r="104" ht="19.5" customHeight="1">
      <c r="A104" s="13"/>
      <c r="B104" s="12"/>
      <c r="C104" s="13"/>
      <c r="D104" s="13"/>
      <c r="E104" s="13"/>
      <c r="F104" s="13"/>
    </row>
    <row r="105" ht="19.5" customHeight="1">
      <c r="A105" s="13"/>
      <c r="B105" s="12"/>
      <c r="C105" s="13"/>
      <c r="D105" s="13"/>
      <c r="E105" s="13"/>
      <c r="F105" s="13"/>
    </row>
    <row r="106" ht="19.5" customHeight="1">
      <c r="A106" s="13"/>
      <c r="B106" s="12"/>
      <c r="C106" s="13"/>
      <c r="D106" s="13"/>
      <c r="E106" s="13"/>
      <c r="F106" s="13"/>
    </row>
    <row r="107" ht="19.5" customHeight="1">
      <c r="A107" s="13"/>
      <c r="B107" s="12"/>
      <c r="C107" s="13"/>
      <c r="D107" s="13"/>
      <c r="E107" s="13"/>
      <c r="F107" s="13"/>
    </row>
    <row r="108" ht="19.5" customHeight="1">
      <c r="A108" s="13"/>
      <c r="B108" s="12"/>
      <c r="C108" s="13"/>
      <c r="D108" s="13"/>
      <c r="E108" s="13"/>
      <c r="F108" s="13"/>
    </row>
    <row r="109" ht="19.5" customHeight="1">
      <c r="A109" s="13"/>
      <c r="B109" s="12"/>
      <c r="C109" s="13"/>
      <c r="D109" s="13"/>
      <c r="E109" s="13"/>
      <c r="F109" s="13"/>
    </row>
    <row r="110" ht="19.5" customHeight="1">
      <c r="A110" s="13"/>
      <c r="B110" s="12"/>
      <c r="C110" s="13"/>
      <c r="D110" s="13"/>
      <c r="E110" s="13"/>
      <c r="F110" s="13"/>
    </row>
    <row r="111" ht="19.5" customHeight="1">
      <c r="A111" s="13"/>
      <c r="B111" s="12"/>
      <c r="C111" s="13"/>
      <c r="D111" s="13"/>
      <c r="E111" s="13"/>
      <c r="F111" s="13"/>
    </row>
    <row r="112" ht="19.5" customHeight="1">
      <c r="A112" s="13"/>
      <c r="B112" s="12"/>
      <c r="C112" s="13"/>
      <c r="D112" s="13"/>
      <c r="E112" s="13"/>
      <c r="F112" s="13"/>
    </row>
    <row r="113" ht="19.5" customHeight="1">
      <c r="A113" s="13"/>
      <c r="B113" s="12"/>
      <c r="C113" s="13"/>
      <c r="D113" s="13"/>
      <c r="E113" s="13"/>
      <c r="F113" s="13"/>
    </row>
    <row r="114" ht="19.5" customHeight="1">
      <c r="A114" s="13"/>
      <c r="B114" s="12"/>
      <c r="C114" s="13"/>
      <c r="D114" s="13"/>
      <c r="E114" s="13"/>
      <c r="F114" s="13"/>
    </row>
    <row r="115" ht="19.5" customHeight="1">
      <c r="A115" s="13"/>
      <c r="B115" s="12"/>
      <c r="C115" s="13"/>
      <c r="D115" s="13"/>
      <c r="E115" s="13"/>
      <c r="F115" s="13"/>
    </row>
    <row r="116" ht="19.5" customHeight="1">
      <c r="A116" s="13"/>
      <c r="B116" s="12"/>
      <c r="C116" s="13"/>
      <c r="D116" s="13"/>
      <c r="E116" s="13"/>
      <c r="F116" s="13"/>
    </row>
    <row r="117" ht="19.5" customHeight="1">
      <c r="A117" s="13"/>
      <c r="B117" s="12"/>
      <c r="C117" s="13"/>
      <c r="D117" s="13"/>
      <c r="E117" s="13"/>
      <c r="F117" s="13"/>
    </row>
    <row r="118" ht="19.5" customHeight="1">
      <c r="A118" s="13"/>
      <c r="B118" s="12"/>
      <c r="C118" s="13"/>
      <c r="D118" s="13"/>
      <c r="E118" s="13"/>
      <c r="F118" s="13"/>
    </row>
    <row r="119" ht="19.5" customHeight="1">
      <c r="A119" s="13"/>
      <c r="B119" s="12"/>
      <c r="C119" s="13"/>
      <c r="D119" s="13"/>
      <c r="E119" s="13"/>
      <c r="F119" s="13"/>
    </row>
    <row r="120" ht="19.5" customHeight="1">
      <c r="A120" s="13"/>
      <c r="B120" s="12"/>
      <c r="C120" s="13"/>
      <c r="D120" s="13"/>
      <c r="E120" s="13"/>
      <c r="F120" s="13"/>
    </row>
    <row r="121" ht="19.5" customHeight="1">
      <c r="A121" s="13"/>
      <c r="B121" s="12"/>
      <c r="C121" s="13"/>
      <c r="D121" s="13"/>
      <c r="E121" s="13"/>
      <c r="F121" s="13"/>
    </row>
    <row r="122" ht="19.5" customHeight="1">
      <c r="A122" s="13"/>
      <c r="B122" s="12"/>
      <c r="C122" s="13"/>
      <c r="D122" s="13"/>
      <c r="E122" s="13"/>
      <c r="F122" s="13"/>
    </row>
    <row r="123" ht="19.5" customHeight="1">
      <c r="A123" s="13"/>
      <c r="B123" s="12"/>
      <c r="C123" s="13"/>
      <c r="D123" s="13"/>
      <c r="E123" s="13"/>
      <c r="F123" s="13"/>
    </row>
    <row r="124" ht="19.5" customHeight="1">
      <c r="A124" s="13"/>
      <c r="B124" s="12"/>
      <c r="C124" s="13"/>
      <c r="D124" s="13"/>
      <c r="E124" s="13"/>
      <c r="F124" s="13"/>
    </row>
    <row r="125" ht="19.5" customHeight="1">
      <c r="A125" s="13"/>
      <c r="B125" s="12"/>
      <c r="C125" s="13"/>
      <c r="D125" s="13"/>
      <c r="E125" s="13"/>
      <c r="F125" s="13"/>
    </row>
    <row r="126" ht="19.5" customHeight="1">
      <c r="A126" s="13"/>
      <c r="B126" s="12"/>
      <c r="C126" s="13"/>
      <c r="D126" s="13"/>
      <c r="E126" s="13"/>
      <c r="F126" s="13"/>
    </row>
    <row r="127" ht="19.5" customHeight="1">
      <c r="A127" s="13"/>
      <c r="B127" s="12"/>
      <c r="C127" s="13"/>
      <c r="D127" s="13"/>
      <c r="E127" s="13"/>
      <c r="F127" s="13"/>
    </row>
    <row r="128" ht="19.5" customHeight="1">
      <c r="A128" s="13"/>
      <c r="B128" s="12"/>
      <c r="C128" s="13"/>
      <c r="D128" s="13"/>
      <c r="E128" s="13"/>
      <c r="F128" s="13"/>
    </row>
    <row r="129" ht="19.5" customHeight="1">
      <c r="A129" s="13"/>
      <c r="B129" s="12"/>
      <c r="C129" s="13"/>
      <c r="D129" s="13"/>
      <c r="E129" s="13"/>
      <c r="F129" s="13"/>
    </row>
    <row r="130" ht="19.5" customHeight="1">
      <c r="A130" s="13"/>
      <c r="B130" s="12"/>
      <c r="C130" s="13"/>
      <c r="D130" s="13"/>
      <c r="E130" s="13"/>
      <c r="F130" s="13"/>
    </row>
    <row r="131" ht="19.5" customHeight="1">
      <c r="A131" s="13"/>
      <c r="B131" s="12"/>
      <c r="C131" s="13"/>
      <c r="D131" s="13"/>
      <c r="E131" s="13"/>
      <c r="F131" s="13"/>
    </row>
    <row r="132" ht="19.5" customHeight="1">
      <c r="A132" s="13"/>
      <c r="B132" s="12"/>
      <c r="C132" s="13"/>
      <c r="D132" s="13"/>
      <c r="E132" s="13"/>
      <c r="F132" s="13"/>
    </row>
    <row r="133" ht="19.5" customHeight="1">
      <c r="A133" s="13"/>
      <c r="B133" s="12"/>
      <c r="C133" s="13"/>
      <c r="D133" s="13"/>
      <c r="E133" s="13"/>
      <c r="F133" s="13"/>
    </row>
    <row r="134" ht="19.5" customHeight="1">
      <c r="A134" s="13"/>
      <c r="B134" s="12"/>
      <c r="C134" s="13"/>
      <c r="D134" s="13"/>
      <c r="E134" s="13"/>
      <c r="F134" s="13"/>
    </row>
    <row r="135" ht="19.5" customHeight="1">
      <c r="A135" s="13"/>
      <c r="B135" s="12"/>
      <c r="C135" s="13"/>
      <c r="D135" s="13"/>
      <c r="E135" s="13"/>
      <c r="F135" s="13"/>
    </row>
    <row r="136" ht="19.5" customHeight="1">
      <c r="A136" s="13"/>
      <c r="B136" s="12"/>
      <c r="C136" s="13"/>
      <c r="D136" s="13"/>
      <c r="E136" s="13"/>
      <c r="F136" s="13"/>
    </row>
    <row r="137" ht="19.5" customHeight="1">
      <c r="A137" s="13"/>
      <c r="B137" s="12"/>
      <c r="C137" s="13"/>
      <c r="D137" s="13"/>
      <c r="E137" s="13"/>
      <c r="F137" s="13"/>
    </row>
    <row r="138" ht="19.5" customHeight="1">
      <c r="A138" s="13"/>
      <c r="B138" s="12"/>
      <c r="C138" s="13"/>
      <c r="D138" s="13"/>
      <c r="E138" s="13"/>
      <c r="F138" s="13"/>
    </row>
    <row r="139" ht="19.5" customHeight="1">
      <c r="A139" s="13"/>
      <c r="B139" s="12"/>
      <c r="C139" s="13"/>
      <c r="D139" s="13"/>
      <c r="E139" s="13"/>
      <c r="F139" s="13"/>
    </row>
    <row r="140" ht="19.5" customHeight="1">
      <c r="A140" s="13"/>
      <c r="B140" s="12"/>
      <c r="C140" s="13"/>
      <c r="D140" s="13"/>
      <c r="E140" s="13"/>
      <c r="F140" s="13"/>
    </row>
    <row r="141" ht="19.5" customHeight="1">
      <c r="A141" s="13"/>
      <c r="B141" s="12"/>
      <c r="C141" s="13"/>
      <c r="D141" s="13"/>
      <c r="E141" s="13"/>
      <c r="F141" s="13"/>
    </row>
    <row r="142" ht="19.5" customHeight="1">
      <c r="A142" s="13"/>
      <c r="B142" s="12"/>
      <c r="C142" s="13"/>
      <c r="D142" s="13"/>
      <c r="E142" s="13"/>
      <c r="F142" s="13"/>
    </row>
    <row r="143" ht="19.5" customHeight="1">
      <c r="A143" s="13"/>
      <c r="B143" s="12"/>
      <c r="C143" s="13"/>
      <c r="D143" s="13"/>
      <c r="E143" s="13"/>
      <c r="F143" s="13"/>
    </row>
    <row r="144" ht="19.5" customHeight="1">
      <c r="A144" s="13"/>
      <c r="B144" s="12"/>
      <c r="C144" s="13"/>
      <c r="D144" s="13"/>
      <c r="E144" s="13"/>
      <c r="F144" s="13"/>
    </row>
    <row r="145" ht="19.5" customHeight="1">
      <c r="A145" s="13"/>
      <c r="B145" s="12"/>
      <c r="C145" s="13"/>
      <c r="D145" s="13"/>
      <c r="E145" s="13"/>
      <c r="F145" s="13"/>
    </row>
    <row r="146" ht="19.5" customHeight="1">
      <c r="A146" s="13"/>
      <c r="B146" s="12"/>
      <c r="C146" s="13"/>
      <c r="D146" s="13"/>
      <c r="E146" s="13"/>
      <c r="F146" s="13"/>
    </row>
    <row r="147" ht="19.5" customHeight="1">
      <c r="A147" s="13"/>
      <c r="B147" s="12"/>
      <c r="C147" s="13"/>
      <c r="D147" s="13"/>
      <c r="E147" s="13"/>
      <c r="F147" s="13"/>
    </row>
    <row r="148" ht="19.5" customHeight="1">
      <c r="A148" s="13"/>
      <c r="B148" s="12"/>
      <c r="C148" s="13"/>
      <c r="D148" s="13"/>
      <c r="E148" s="13"/>
      <c r="F148" s="13"/>
    </row>
    <row r="149" ht="19.5" customHeight="1">
      <c r="A149" s="13"/>
      <c r="B149" s="12"/>
      <c r="C149" s="13"/>
      <c r="D149" s="13"/>
      <c r="E149" s="13"/>
      <c r="F149" s="13"/>
    </row>
    <row r="150" ht="19.5" customHeight="1">
      <c r="A150" s="13"/>
      <c r="B150" s="12"/>
      <c r="C150" s="13"/>
      <c r="D150" s="13"/>
      <c r="E150" s="13"/>
      <c r="F150" s="13"/>
    </row>
    <row r="151" ht="19.5" customHeight="1">
      <c r="A151" s="13"/>
      <c r="B151" s="12"/>
      <c r="C151" s="13"/>
      <c r="D151" s="13"/>
      <c r="E151" s="13"/>
      <c r="F151" s="13"/>
    </row>
    <row r="152" ht="19.5" customHeight="1">
      <c r="A152" s="13"/>
      <c r="B152" s="12"/>
      <c r="C152" s="13"/>
      <c r="D152" s="13"/>
      <c r="E152" s="13"/>
      <c r="F152" s="13"/>
    </row>
    <row r="153" ht="19.5" customHeight="1">
      <c r="A153" s="13"/>
      <c r="B153" s="12"/>
      <c r="C153" s="13"/>
      <c r="D153" s="13"/>
      <c r="E153" s="13"/>
      <c r="F153" s="13"/>
    </row>
    <row r="154" ht="19.5" customHeight="1">
      <c r="A154" s="13"/>
      <c r="B154" s="12"/>
      <c r="C154" s="13"/>
      <c r="D154" s="13"/>
      <c r="E154" s="13"/>
      <c r="F154" s="13"/>
    </row>
    <row r="155" ht="19.5" customHeight="1">
      <c r="A155" s="13"/>
      <c r="B155" s="12"/>
      <c r="C155" s="13"/>
      <c r="D155" s="13"/>
      <c r="E155" s="13"/>
      <c r="F155" s="13"/>
    </row>
    <row r="156" ht="19.5" customHeight="1">
      <c r="A156" s="13"/>
      <c r="B156" s="12"/>
      <c r="C156" s="13"/>
      <c r="D156" s="13"/>
      <c r="E156" s="13"/>
      <c r="F156" s="13"/>
    </row>
    <row r="157" ht="19.5" customHeight="1">
      <c r="A157" s="13"/>
      <c r="B157" s="12"/>
      <c r="C157" s="13"/>
      <c r="D157" s="13"/>
      <c r="E157" s="13"/>
      <c r="F157" s="13"/>
    </row>
    <row r="158" ht="19.5" customHeight="1">
      <c r="A158" s="13"/>
      <c r="B158" s="12"/>
      <c r="C158" s="13"/>
      <c r="D158" s="13"/>
      <c r="E158" s="13"/>
      <c r="F158" s="13"/>
    </row>
    <row r="159" ht="19.5" customHeight="1">
      <c r="A159" s="13"/>
      <c r="B159" s="12"/>
      <c r="C159" s="13"/>
      <c r="D159" s="13"/>
      <c r="E159" s="13"/>
      <c r="F159" s="13"/>
    </row>
    <row r="160" ht="19.5" customHeight="1">
      <c r="A160" s="13"/>
      <c r="B160" s="12"/>
      <c r="C160" s="13"/>
      <c r="D160" s="13"/>
      <c r="E160" s="13"/>
      <c r="F160" s="13"/>
    </row>
    <row r="161" ht="19.5" customHeight="1">
      <c r="A161" s="13"/>
      <c r="B161" s="12"/>
      <c r="C161" s="13"/>
      <c r="D161" s="13"/>
      <c r="E161" s="13"/>
      <c r="F161" s="13"/>
    </row>
    <row r="162" ht="19.5" customHeight="1">
      <c r="A162" s="13"/>
      <c r="B162" s="12"/>
      <c r="C162" s="13"/>
      <c r="D162" s="13"/>
      <c r="E162" s="13"/>
      <c r="F162" s="13"/>
    </row>
    <row r="163" ht="19.5" customHeight="1">
      <c r="A163" s="13"/>
      <c r="B163" s="12"/>
      <c r="C163" s="13"/>
      <c r="D163" s="13"/>
      <c r="E163" s="13"/>
      <c r="F163" s="13"/>
    </row>
    <row r="164" ht="19.5" customHeight="1">
      <c r="A164" s="13"/>
      <c r="B164" s="12"/>
      <c r="C164" s="13"/>
      <c r="D164" s="13"/>
      <c r="E164" s="13"/>
      <c r="F164" s="13"/>
    </row>
    <row r="165" ht="19.5" customHeight="1">
      <c r="A165" s="13"/>
      <c r="B165" s="12"/>
      <c r="C165" s="13"/>
      <c r="D165" s="13"/>
      <c r="E165" s="13"/>
      <c r="F165" s="13"/>
    </row>
    <row r="166" ht="19.5" customHeight="1">
      <c r="A166" s="13"/>
      <c r="B166" s="12"/>
      <c r="C166" s="13"/>
      <c r="D166" s="13"/>
      <c r="E166" s="13"/>
      <c r="F166" s="13"/>
    </row>
    <row r="167" ht="19.5" customHeight="1">
      <c r="A167" s="13"/>
      <c r="B167" s="12"/>
      <c r="C167" s="13"/>
      <c r="D167" s="13"/>
      <c r="E167" s="13"/>
      <c r="F167" s="13"/>
    </row>
    <row r="168" ht="19.5" customHeight="1">
      <c r="A168" s="13"/>
      <c r="B168" s="12"/>
      <c r="C168" s="13"/>
      <c r="D168" s="13"/>
      <c r="E168" s="13"/>
      <c r="F168" s="13"/>
    </row>
    <row r="169" ht="19.5" customHeight="1">
      <c r="A169" s="13"/>
      <c r="B169" s="12"/>
      <c r="C169" s="13"/>
      <c r="D169" s="13"/>
      <c r="E169" s="13"/>
      <c r="F169" s="13"/>
    </row>
    <row r="170" ht="19.5" customHeight="1">
      <c r="A170" s="13"/>
      <c r="B170" s="12"/>
      <c r="C170" s="13"/>
      <c r="D170" s="13"/>
      <c r="E170" s="13"/>
      <c r="F170" s="13"/>
    </row>
    <row r="171" ht="19.5" customHeight="1">
      <c r="A171" s="13"/>
      <c r="B171" s="12"/>
      <c r="C171" s="13"/>
      <c r="D171" s="13"/>
      <c r="E171" s="13"/>
      <c r="F171" s="13"/>
    </row>
    <row r="172" ht="19.5" customHeight="1">
      <c r="A172" s="13"/>
      <c r="B172" s="12"/>
      <c r="C172" s="13"/>
      <c r="D172" s="13"/>
      <c r="E172" s="13"/>
      <c r="F172" s="13"/>
    </row>
    <row r="173" ht="19.5" customHeight="1">
      <c r="A173" s="13"/>
      <c r="B173" s="12"/>
      <c r="C173" s="13"/>
      <c r="D173" s="13"/>
      <c r="E173" s="13"/>
      <c r="F173" s="13"/>
    </row>
    <row r="174" ht="19.5" customHeight="1">
      <c r="A174" s="13"/>
      <c r="B174" s="12"/>
      <c r="C174" s="13"/>
      <c r="D174" s="13"/>
      <c r="E174" s="13"/>
      <c r="F174" s="13"/>
    </row>
    <row r="175" ht="19.5" customHeight="1">
      <c r="A175" s="13"/>
      <c r="B175" s="12"/>
      <c r="C175" s="13"/>
      <c r="D175" s="13"/>
      <c r="E175" s="13"/>
      <c r="F175" s="13"/>
    </row>
    <row r="176" ht="19.5" customHeight="1">
      <c r="A176" s="13"/>
      <c r="B176" s="12"/>
      <c r="C176" s="13"/>
      <c r="D176" s="13"/>
      <c r="E176" s="13"/>
      <c r="F176" s="13"/>
    </row>
    <row r="177" ht="19.5" customHeight="1">
      <c r="A177" s="13"/>
      <c r="B177" s="12"/>
      <c r="C177" s="13"/>
      <c r="D177" s="13"/>
      <c r="E177" s="13"/>
      <c r="F177" s="13"/>
    </row>
    <row r="178" ht="19.5" customHeight="1">
      <c r="A178" s="13"/>
      <c r="B178" s="12"/>
      <c r="C178" s="13"/>
      <c r="D178" s="13"/>
      <c r="E178" s="13"/>
      <c r="F178" s="13"/>
    </row>
    <row r="179" ht="19.5" customHeight="1">
      <c r="A179" s="13"/>
      <c r="B179" s="12"/>
      <c r="C179" s="13"/>
      <c r="D179" s="13"/>
      <c r="E179" s="13"/>
      <c r="F179" s="13"/>
    </row>
    <row r="180" ht="19.5" customHeight="1">
      <c r="A180" s="13"/>
      <c r="B180" s="12"/>
      <c r="C180" s="13"/>
      <c r="D180" s="13"/>
      <c r="E180" s="13"/>
      <c r="F180" s="13"/>
    </row>
    <row r="181" ht="19.5" customHeight="1">
      <c r="A181" s="13"/>
      <c r="B181" s="12"/>
      <c r="C181" s="13"/>
      <c r="D181" s="13"/>
      <c r="E181" s="13"/>
      <c r="F181" s="13"/>
    </row>
    <row r="182" ht="19.5" customHeight="1">
      <c r="A182" s="13"/>
      <c r="B182" s="12"/>
      <c r="C182" s="13"/>
      <c r="D182" s="13"/>
      <c r="E182" s="13"/>
      <c r="F182" s="13"/>
    </row>
    <row r="183" ht="19.5" customHeight="1">
      <c r="A183" s="13"/>
      <c r="B183" s="12"/>
      <c r="C183" s="13"/>
      <c r="D183" s="13"/>
      <c r="E183" s="13"/>
      <c r="F183" s="13"/>
    </row>
    <row r="184" ht="19.5" customHeight="1">
      <c r="A184" s="13"/>
      <c r="B184" s="12"/>
      <c r="C184" s="13"/>
      <c r="D184" s="13"/>
      <c r="E184" s="13"/>
      <c r="F184" s="13"/>
    </row>
    <row r="185" ht="19.5" customHeight="1">
      <c r="A185" s="13"/>
      <c r="B185" s="12"/>
      <c r="C185" s="13"/>
      <c r="D185" s="13"/>
      <c r="E185" s="13"/>
      <c r="F185" s="13"/>
    </row>
    <row r="186" ht="19.5" customHeight="1">
      <c r="A186" s="13"/>
      <c r="B186" s="12"/>
      <c r="C186" s="13"/>
      <c r="D186" s="13"/>
      <c r="E186" s="13"/>
      <c r="F186" s="13"/>
    </row>
    <row r="187" ht="19.5" customHeight="1">
      <c r="A187" s="13"/>
      <c r="B187" s="12"/>
      <c r="C187" s="13"/>
      <c r="D187" s="13"/>
      <c r="E187" s="13"/>
      <c r="F187" s="13"/>
    </row>
    <row r="188" ht="19.5" customHeight="1">
      <c r="A188" s="13"/>
      <c r="B188" s="12"/>
      <c r="C188" s="13"/>
      <c r="D188" s="13"/>
      <c r="E188" s="13"/>
      <c r="F188" s="13"/>
    </row>
    <row r="189" ht="19.5" customHeight="1">
      <c r="A189" s="13"/>
      <c r="B189" s="12"/>
      <c r="C189" s="13"/>
      <c r="D189" s="13"/>
      <c r="E189" s="13"/>
      <c r="F189" s="13"/>
    </row>
    <row r="190" ht="19.5" customHeight="1">
      <c r="A190" s="13"/>
      <c r="B190" s="12"/>
      <c r="C190" s="13"/>
      <c r="D190" s="13"/>
      <c r="E190" s="13"/>
      <c r="F190" s="13"/>
    </row>
    <row r="191" ht="19.5" customHeight="1">
      <c r="A191" s="13"/>
      <c r="B191" s="12"/>
      <c r="C191" s="13"/>
      <c r="D191" s="13"/>
      <c r="E191" s="13"/>
      <c r="F191" s="13"/>
    </row>
    <row r="192" ht="19.5" customHeight="1">
      <c r="A192" s="13"/>
      <c r="B192" s="12"/>
      <c r="C192" s="13"/>
      <c r="D192" s="13"/>
      <c r="E192" s="13"/>
      <c r="F192" s="13"/>
    </row>
    <row r="193" ht="19.5" customHeight="1">
      <c r="A193" s="13"/>
      <c r="B193" s="12"/>
      <c r="C193" s="13"/>
      <c r="D193" s="13"/>
      <c r="E193" s="13"/>
      <c r="F193" s="13"/>
    </row>
    <row r="194" ht="19.5" customHeight="1">
      <c r="A194" s="13"/>
      <c r="B194" s="12"/>
      <c r="C194" s="13"/>
      <c r="D194" s="13"/>
      <c r="E194" s="13"/>
      <c r="F194" s="13"/>
    </row>
    <row r="195" ht="19.5" customHeight="1">
      <c r="A195" s="13"/>
      <c r="B195" s="12"/>
      <c r="C195" s="13"/>
      <c r="D195" s="13"/>
      <c r="E195" s="13"/>
      <c r="F195" s="13"/>
    </row>
    <row r="196" ht="19.5" customHeight="1">
      <c r="A196" s="13"/>
      <c r="B196" s="12"/>
      <c r="C196" s="13"/>
      <c r="D196" s="13"/>
      <c r="E196" s="13"/>
      <c r="F196" s="13"/>
    </row>
    <row r="197" ht="19.5" customHeight="1">
      <c r="A197" s="13"/>
      <c r="B197" s="12"/>
      <c r="C197" s="13"/>
      <c r="D197" s="13"/>
      <c r="E197" s="13"/>
      <c r="F197" s="13"/>
    </row>
    <row r="198" ht="19.5" customHeight="1">
      <c r="A198" s="13"/>
      <c r="B198" s="12"/>
      <c r="C198" s="13"/>
      <c r="D198" s="13"/>
      <c r="E198" s="13"/>
      <c r="F198" s="13"/>
    </row>
    <row r="199" ht="19.5" customHeight="1">
      <c r="A199" s="13"/>
      <c r="B199" s="12"/>
      <c r="C199" s="13"/>
      <c r="D199" s="13"/>
      <c r="E199" s="13"/>
      <c r="F199" s="13"/>
    </row>
    <row r="200" ht="19.5" customHeight="1">
      <c r="A200" s="13"/>
      <c r="B200" s="12"/>
      <c r="C200" s="13"/>
      <c r="D200" s="13"/>
      <c r="E200" s="13"/>
      <c r="F200" s="13"/>
    </row>
    <row r="201" ht="19.5" customHeight="1">
      <c r="A201" s="13"/>
      <c r="B201" s="12"/>
      <c r="C201" s="13"/>
      <c r="D201" s="13"/>
      <c r="E201" s="13"/>
      <c r="F201" s="13"/>
    </row>
    <row r="202" ht="19.5" customHeight="1">
      <c r="A202" s="13"/>
      <c r="B202" s="12"/>
      <c r="C202" s="13"/>
      <c r="D202" s="13"/>
      <c r="E202" s="13"/>
      <c r="F202" s="13"/>
    </row>
    <row r="203" ht="19.5" customHeight="1">
      <c r="A203" s="13"/>
      <c r="B203" s="12"/>
      <c r="C203" s="13"/>
      <c r="D203" s="13"/>
      <c r="E203" s="13"/>
      <c r="F203" s="13"/>
    </row>
    <row r="204" ht="19.5" customHeight="1">
      <c r="A204" s="13"/>
      <c r="B204" s="12"/>
      <c r="C204" s="13"/>
      <c r="D204" s="13"/>
      <c r="E204" s="13"/>
      <c r="F204" s="13"/>
    </row>
    <row r="205" ht="19.5" customHeight="1"/>
    <row r="206" ht="19.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dataValidations>
    <dataValidation type="list" allowBlank="1" sqref="D5:D38">
      <formula1>"Player,Captain,Coach,Treasurer,Manager"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6.0"/>
    <col customWidth="1" min="3" max="3" width="14.0"/>
    <col customWidth="1" min="4" max="4" width="16.0"/>
    <col customWidth="1" min="5" max="5" width="22.14"/>
    <col customWidth="1" min="6" max="7" width="16.0"/>
    <col customWidth="1" min="8" max="10" width="20.0"/>
    <col customWidth="1" min="11" max="26" width="8.71"/>
  </cols>
  <sheetData>
    <row r="1" ht="37.5" customHeight="1">
      <c r="A1" s="14" t="s">
        <v>51</v>
      </c>
      <c r="B1" s="15"/>
      <c r="C1" s="15"/>
      <c r="D1" s="15"/>
      <c r="E1" s="15"/>
      <c r="F1" s="15"/>
      <c r="G1" s="15"/>
      <c r="H1" s="15"/>
      <c r="I1" s="15"/>
      <c r="J1" s="16"/>
    </row>
    <row r="2" ht="13.5" customHeight="1"/>
    <row r="3" ht="21.75" customHeight="1"/>
    <row r="4" ht="21.75" customHeight="1">
      <c r="A4" s="4" t="s">
        <v>52</v>
      </c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  <c r="H4" s="4" t="s">
        <v>59</v>
      </c>
      <c r="I4" s="4" t="s">
        <v>60</v>
      </c>
      <c r="J4" s="4" t="s">
        <v>6</v>
      </c>
    </row>
    <row r="5" ht="25.5" customHeight="1">
      <c r="A5" s="5" t="s">
        <v>61</v>
      </c>
      <c r="B5" s="17" t="s">
        <v>62</v>
      </c>
      <c r="C5" s="7"/>
      <c r="D5" s="5" t="s">
        <v>63</v>
      </c>
      <c r="E5" s="5" t="s">
        <v>64</v>
      </c>
      <c r="F5" s="6">
        <v>850.0</v>
      </c>
      <c r="G5" s="18">
        <f>IFERROR(SUMIFS(Transactions!$F$7:$F$996,Transactions!$G$7:$G$996,A5,Transactions!$D$7:$D$996,"Expense"),0)</f>
        <v>0</v>
      </c>
      <c r="H5" s="5" t="s">
        <v>24</v>
      </c>
      <c r="I5" s="7" t="s">
        <v>65</v>
      </c>
      <c r="J5" s="7"/>
    </row>
    <row r="6" ht="25.5" customHeight="1">
      <c r="A6" s="5" t="s">
        <v>66</v>
      </c>
      <c r="B6" s="17" t="s">
        <v>62</v>
      </c>
      <c r="C6" s="7"/>
      <c r="D6" s="5" t="s">
        <v>63</v>
      </c>
      <c r="E6" s="5" t="s">
        <v>64</v>
      </c>
      <c r="F6" s="19">
        <v>69.0</v>
      </c>
      <c r="G6" s="18">
        <f>IFERROR(SUMIFS(Transactions!$F$7:$F$996,Transactions!$G$7:$G$996,A6,Transactions!$D$7:$D$996,"Expense"),0)</f>
        <v>0</v>
      </c>
      <c r="H6" s="5" t="s">
        <v>24</v>
      </c>
      <c r="I6" s="7" t="s">
        <v>65</v>
      </c>
      <c r="J6" s="5" t="s">
        <v>67</v>
      </c>
    </row>
    <row r="7" ht="21.75" customHeight="1">
      <c r="A7" s="5" t="s">
        <v>68</v>
      </c>
      <c r="B7" s="17" t="s">
        <v>69</v>
      </c>
      <c r="C7" s="7"/>
      <c r="D7" s="5" t="s">
        <v>70</v>
      </c>
      <c r="E7" s="5" t="s">
        <v>71</v>
      </c>
      <c r="F7" s="19">
        <v>1310.0</v>
      </c>
      <c r="G7" s="20">
        <v>1310.0</v>
      </c>
      <c r="H7" s="5" t="s">
        <v>24</v>
      </c>
      <c r="I7" s="5" t="s">
        <v>72</v>
      </c>
      <c r="J7" s="7"/>
    </row>
    <row r="8" ht="19.5" customHeight="1">
      <c r="A8" s="5" t="s">
        <v>73</v>
      </c>
      <c r="B8" s="17" t="s">
        <v>74</v>
      </c>
      <c r="C8" s="7"/>
      <c r="D8" s="5" t="s">
        <v>70</v>
      </c>
      <c r="E8" s="7" t="s">
        <v>75</v>
      </c>
      <c r="F8" s="19">
        <v>1050.0</v>
      </c>
      <c r="G8" s="20">
        <v>1050.0</v>
      </c>
      <c r="H8" s="5" t="s">
        <v>24</v>
      </c>
      <c r="I8" s="7" t="s">
        <v>72</v>
      </c>
      <c r="J8" s="7"/>
    </row>
    <row r="9" ht="19.5" customHeight="1">
      <c r="A9" s="5" t="s">
        <v>76</v>
      </c>
      <c r="B9" s="21"/>
      <c r="C9" s="7"/>
      <c r="D9" s="7" t="s">
        <v>77</v>
      </c>
      <c r="E9" s="5" t="s">
        <v>78</v>
      </c>
      <c r="F9" s="6">
        <v>0.0</v>
      </c>
      <c r="G9" s="20">
        <v>-123.0</v>
      </c>
      <c r="H9" s="5" t="s">
        <v>24</v>
      </c>
      <c r="I9" s="7"/>
      <c r="J9" s="7"/>
    </row>
    <row r="10" ht="19.5" customHeight="1">
      <c r="A10" s="5" t="s">
        <v>79</v>
      </c>
      <c r="B10" s="21">
        <v>45706.0</v>
      </c>
      <c r="C10" s="7"/>
      <c r="D10" s="7" t="s">
        <v>77</v>
      </c>
      <c r="E10" s="5" t="s">
        <v>78</v>
      </c>
      <c r="F10" s="6">
        <v>0.0</v>
      </c>
      <c r="G10" s="20">
        <v>-956.0</v>
      </c>
      <c r="H10" s="5" t="s">
        <v>24</v>
      </c>
      <c r="I10" s="7"/>
      <c r="J10" s="7"/>
    </row>
    <row r="11" ht="19.5" customHeight="1">
      <c r="A11" s="5" t="s">
        <v>80</v>
      </c>
      <c r="B11" s="21">
        <v>45706.0</v>
      </c>
      <c r="C11" s="7"/>
      <c r="D11" s="7" t="s">
        <v>77</v>
      </c>
      <c r="E11" s="5" t="s">
        <v>81</v>
      </c>
      <c r="F11" s="6">
        <v>0.0</v>
      </c>
      <c r="G11" s="20">
        <v>1030.0</v>
      </c>
      <c r="H11" s="5" t="s">
        <v>24</v>
      </c>
      <c r="I11" s="7"/>
      <c r="J11" s="7"/>
    </row>
    <row r="12" ht="19.5" customHeight="1">
      <c r="A12" s="5" t="s">
        <v>82</v>
      </c>
      <c r="B12" s="17"/>
      <c r="C12" s="7"/>
      <c r="D12" s="5" t="s">
        <v>83</v>
      </c>
      <c r="E12" s="5" t="s">
        <v>84</v>
      </c>
      <c r="F12" s="6">
        <v>600.0</v>
      </c>
      <c r="G12" s="18">
        <f>IFERROR(SUMIFS(Transactions!$F$7:$F$996,Transactions!$G$7:$G$996,A12,Transactions!$D$7:$D$996,"Expense"),0)</f>
        <v>0</v>
      </c>
      <c r="H12" s="5" t="s">
        <v>24</v>
      </c>
      <c r="I12" s="5" t="s">
        <v>72</v>
      </c>
      <c r="J12" s="7"/>
    </row>
    <row r="13" ht="19.5" customHeight="1">
      <c r="A13" s="13"/>
      <c r="B13" s="22"/>
      <c r="C13" s="13"/>
      <c r="D13" s="13"/>
      <c r="E13" s="13"/>
      <c r="F13" s="12"/>
      <c r="G13" s="23">
        <f>IFERROR(SUMIFS(Transactions!$F$7:$F$996,Transactions!$G$7:$G$996,A13,Transactions!$D$7:$D$996,"Expense"),0)</f>
        <v>0</v>
      </c>
      <c r="H13" s="13"/>
      <c r="I13" s="13"/>
      <c r="J13" s="13"/>
    </row>
    <row r="14" ht="19.5" customHeight="1">
      <c r="A14" s="13"/>
      <c r="B14" s="22"/>
      <c r="C14" s="13"/>
      <c r="D14" s="13"/>
      <c r="E14" s="13"/>
      <c r="F14" s="12"/>
      <c r="G14" s="23">
        <f>IFERROR(SUMIFS(Transactions!$F$7:$F$996,Transactions!$G$7:$G$996,A14,Transactions!$D$7:$D$996,"Expense"),0)</f>
        <v>0</v>
      </c>
      <c r="H14" s="13"/>
      <c r="I14" s="13"/>
      <c r="J14" s="13"/>
    </row>
    <row r="15" ht="19.5" customHeight="1">
      <c r="A15" s="13"/>
      <c r="B15" s="22"/>
      <c r="C15" s="13"/>
      <c r="D15" s="13"/>
      <c r="E15" s="13"/>
      <c r="F15" s="12"/>
      <c r="G15" s="23">
        <f>IFERROR(SUMIFS(Transactions!$F$7:$F$996,Transactions!$G$7:$G$996,A15,Transactions!$D$7:$D$996,"Expense"),0)</f>
        <v>0</v>
      </c>
      <c r="H15" s="13"/>
      <c r="I15" s="13"/>
      <c r="J15" s="13"/>
    </row>
    <row r="16" ht="19.5" customHeight="1">
      <c r="A16" s="13"/>
      <c r="B16" s="22"/>
      <c r="C16" s="13"/>
      <c r="D16" s="13"/>
      <c r="E16" s="13"/>
      <c r="F16" s="12"/>
      <c r="G16" s="23">
        <f>IFERROR(SUMIFS(Transactions!$F$7:$F$996,Transactions!$G$7:$G$996,A16,Transactions!$D$7:$D$996,"Expense"),0)</f>
        <v>0</v>
      </c>
      <c r="H16" s="13"/>
      <c r="I16" s="13"/>
      <c r="J16" s="13"/>
    </row>
    <row r="17" ht="19.5" customHeight="1">
      <c r="A17" s="13"/>
      <c r="B17" s="22"/>
      <c r="C17" s="13"/>
      <c r="D17" s="13"/>
      <c r="E17" s="13"/>
      <c r="F17" s="12"/>
      <c r="G17" s="23">
        <f>IFERROR(SUMIFS(Transactions!$F$7:$F$996,Transactions!$G$7:$G$996,A17,Transactions!$D$7:$D$996,"Expense"),0)</f>
        <v>0</v>
      </c>
      <c r="H17" s="13"/>
      <c r="I17" s="13"/>
      <c r="J17" s="13"/>
    </row>
    <row r="18" ht="19.5" customHeight="1">
      <c r="A18" s="13"/>
      <c r="B18" s="22"/>
      <c r="C18" s="13"/>
      <c r="D18" s="13"/>
      <c r="E18" s="13"/>
      <c r="F18" s="12"/>
      <c r="G18" s="23">
        <f>IFERROR(SUMIFS(Transactions!$F$7:$F$996,Transactions!$G$7:$G$996,A18,Transactions!$D$7:$D$996,"Expense"),0)</f>
        <v>0</v>
      </c>
      <c r="H18" s="13"/>
      <c r="I18" s="13"/>
      <c r="J18" s="13"/>
    </row>
    <row r="19" ht="19.5" customHeight="1">
      <c r="A19" s="13"/>
      <c r="B19" s="22"/>
      <c r="C19" s="13"/>
      <c r="D19" s="13"/>
      <c r="E19" s="13"/>
      <c r="F19" s="12"/>
      <c r="G19" s="23">
        <f>IFERROR(SUMIFS(Transactions!$F$7:$F$996,Transactions!$G$7:$G$996,A19,Transactions!$D$7:$D$996,"Expense"),0)</f>
        <v>0</v>
      </c>
      <c r="H19" s="13"/>
      <c r="I19" s="13"/>
      <c r="J19" s="13"/>
    </row>
    <row r="20" ht="19.5" customHeight="1">
      <c r="A20" s="13"/>
      <c r="B20" s="22"/>
      <c r="C20" s="13"/>
      <c r="D20" s="13"/>
      <c r="E20" s="13"/>
      <c r="F20" s="12"/>
      <c r="G20" s="23">
        <f>IFERROR(SUMIFS(Transactions!$F$7:$F$996,Transactions!$G$7:$G$996,A20,Transactions!$D$7:$D$996,"Expense"),0)</f>
        <v>0</v>
      </c>
      <c r="H20" s="13"/>
      <c r="I20" s="13"/>
      <c r="J20" s="13"/>
    </row>
    <row r="21" ht="19.5" customHeight="1">
      <c r="A21" s="13"/>
      <c r="B21" s="22"/>
      <c r="C21" s="13"/>
      <c r="D21" s="13"/>
      <c r="E21" s="13"/>
      <c r="F21" s="12"/>
      <c r="G21" s="23">
        <f>IFERROR(SUMIFS(Transactions!$F$7:$F$996,Transactions!$G$7:$G$996,A21,Transactions!$D$7:$D$996,"Expense"),0)</f>
        <v>0</v>
      </c>
      <c r="H21" s="13"/>
      <c r="I21" s="13"/>
      <c r="J21" s="13"/>
    </row>
    <row r="22" ht="19.5" customHeight="1">
      <c r="A22" s="13"/>
      <c r="B22" s="22"/>
      <c r="C22" s="13"/>
      <c r="D22" s="13"/>
      <c r="E22" s="13"/>
      <c r="F22" s="12"/>
      <c r="G22" s="23">
        <f>IFERROR(SUMIFS(Transactions!$F$7:$F$996,Transactions!$G$7:$G$996,A22,Transactions!$D$7:$D$996,"Expense"),0)</f>
        <v>0</v>
      </c>
      <c r="H22" s="13"/>
      <c r="I22" s="13"/>
      <c r="J22" s="13"/>
    </row>
    <row r="23" ht="19.5" customHeight="1">
      <c r="A23" s="13"/>
      <c r="B23" s="22"/>
      <c r="C23" s="13"/>
      <c r="D23" s="13"/>
      <c r="E23" s="13"/>
      <c r="F23" s="12"/>
      <c r="G23" s="23">
        <f>IFERROR(SUMIFS(Transactions!$F$7:$F$996,Transactions!$G$7:$G$996,A23,Transactions!$D$7:$D$996,"Expense"),0)</f>
        <v>0</v>
      </c>
      <c r="H23" s="13"/>
      <c r="I23" s="13"/>
      <c r="J23" s="13"/>
    </row>
    <row r="24" ht="19.5" customHeight="1">
      <c r="A24" s="13"/>
      <c r="B24" s="22"/>
      <c r="C24" s="13"/>
      <c r="D24" s="13"/>
      <c r="E24" s="13"/>
      <c r="F24" s="12"/>
      <c r="G24" s="23">
        <f>IFERROR(SUMIFS(Transactions!$F$7:$F$996,Transactions!$G$7:$G$996,A24,Transactions!$D$7:$D$996,"Expense"),0)</f>
        <v>0</v>
      </c>
      <c r="H24" s="13"/>
      <c r="I24" s="13"/>
      <c r="J24" s="13"/>
    </row>
    <row r="25" ht="19.5" customHeight="1">
      <c r="A25" s="13"/>
      <c r="B25" s="22"/>
      <c r="C25" s="13"/>
      <c r="D25" s="13"/>
      <c r="E25" s="13"/>
      <c r="F25" s="12"/>
      <c r="G25" s="23">
        <f>IFERROR(SUMIFS(Transactions!$F$7:$F$996,Transactions!$G$7:$G$996,A25,Transactions!$D$7:$D$996,"Expense"),0)</f>
        <v>0</v>
      </c>
      <c r="H25" s="13"/>
      <c r="I25" s="13"/>
      <c r="J25" s="13"/>
    </row>
    <row r="26" ht="19.5" customHeight="1">
      <c r="A26" s="13"/>
      <c r="B26" s="22"/>
      <c r="C26" s="13"/>
      <c r="D26" s="13"/>
      <c r="E26" s="13"/>
      <c r="F26" s="12"/>
      <c r="G26" s="23">
        <f>IFERROR(SUMIFS(Transactions!$F$7:$F$996,Transactions!$G$7:$G$996,A26,Transactions!$D$7:$D$996,"Expense"),0)</f>
        <v>0</v>
      </c>
      <c r="H26" s="13"/>
      <c r="I26" s="13"/>
      <c r="J26" s="13"/>
    </row>
    <row r="27" ht="19.5" customHeight="1">
      <c r="A27" s="13"/>
      <c r="B27" s="22"/>
      <c r="C27" s="13"/>
      <c r="D27" s="13"/>
      <c r="E27" s="13"/>
      <c r="F27" s="12"/>
      <c r="G27" s="23">
        <f>IFERROR(SUMIFS(Transactions!$F$7:$F$996,Transactions!$G$7:$G$996,A27,Transactions!$D$7:$D$996,"Expense"),0)</f>
        <v>0</v>
      </c>
      <c r="H27" s="13"/>
      <c r="I27" s="13"/>
      <c r="J27" s="13"/>
    </row>
    <row r="28" ht="19.5" customHeight="1">
      <c r="A28" s="13"/>
      <c r="B28" s="22"/>
      <c r="C28" s="13"/>
      <c r="D28" s="13"/>
      <c r="E28" s="13"/>
      <c r="F28" s="12"/>
      <c r="G28" s="23">
        <f>IFERROR(SUMIFS(Transactions!$F$7:$F$996,Transactions!$G$7:$G$996,A28,Transactions!$D$7:$D$996,"Expense"),0)</f>
        <v>0</v>
      </c>
      <c r="H28" s="13"/>
      <c r="I28" s="13"/>
      <c r="J28" s="13"/>
    </row>
    <row r="29" ht="19.5" customHeight="1">
      <c r="A29" s="13"/>
      <c r="B29" s="22"/>
      <c r="C29" s="13"/>
      <c r="D29" s="13"/>
      <c r="E29" s="13"/>
      <c r="F29" s="12"/>
      <c r="G29" s="23">
        <f>IFERROR(SUMIFS(Transactions!$F$7:$F$996,Transactions!$G$7:$G$996,A29,Transactions!$D$7:$D$996,"Expense"),0)</f>
        <v>0</v>
      </c>
      <c r="H29" s="13"/>
      <c r="I29" s="13"/>
      <c r="J29" s="13"/>
    </row>
    <row r="30" ht="19.5" customHeight="1">
      <c r="A30" s="13"/>
      <c r="B30" s="22"/>
      <c r="C30" s="13"/>
      <c r="D30" s="13"/>
      <c r="E30" s="13"/>
      <c r="F30" s="12"/>
      <c r="G30" s="23">
        <f>IFERROR(SUMIFS(Transactions!$F$7:$F$996,Transactions!$G$7:$G$996,A30,Transactions!$D$7:$D$996,"Expense"),0)</f>
        <v>0</v>
      </c>
      <c r="H30" s="13"/>
      <c r="I30" s="13"/>
      <c r="J30" s="13"/>
    </row>
    <row r="31" ht="19.5" customHeight="1">
      <c r="A31" s="13"/>
      <c r="B31" s="22"/>
      <c r="C31" s="13"/>
      <c r="D31" s="13"/>
      <c r="E31" s="13"/>
      <c r="F31" s="12"/>
      <c r="G31" s="23">
        <f>IFERROR(SUMIFS(Transactions!$F$7:$F$996,Transactions!$G$7:$G$996,A31,Transactions!$D$7:$D$996,"Expense"),0)</f>
        <v>0</v>
      </c>
      <c r="H31" s="13"/>
      <c r="I31" s="13"/>
      <c r="J31" s="13"/>
    </row>
    <row r="32" ht="19.5" customHeight="1">
      <c r="A32" s="13"/>
      <c r="B32" s="22"/>
      <c r="C32" s="13"/>
      <c r="D32" s="13"/>
      <c r="E32" s="13"/>
      <c r="F32" s="12"/>
      <c r="G32" s="23">
        <f>IFERROR(SUMIFS(Transactions!$F$7:$F$996,Transactions!$G$7:$G$996,A32,Transactions!$D$7:$D$996,"Expense"),0)</f>
        <v>0</v>
      </c>
      <c r="H32" s="13"/>
      <c r="I32" s="13"/>
      <c r="J32" s="13"/>
    </row>
    <row r="33" ht="19.5" customHeight="1">
      <c r="A33" s="13"/>
      <c r="B33" s="22"/>
      <c r="C33" s="13"/>
      <c r="D33" s="13"/>
      <c r="E33" s="13"/>
      <c r="F33" s="12"/>
      <c r="G33" s="23">
        <f>IFERROR(SUMIFS(Transactions!$F$7:$F$996,Transactions!$G$7:$G$996,A33,Transactions!$D$7:$D$996,"Expense"),0)</f>
        <v>0</v>
      </c>
      <c r="H33" s="13"/>
      <c r="I33" s="13"/>
      <c r="J33" s="13"/>
    </row>
    <row r="34" ht="19.5" customHeight="1">
      <c r="A34" s="13"/>
      <c r="B34" s="22"/>
      <c r="C34" s="13"/>
      <c r="D34" s="13"/>
      <c r="E34" s="13"/>
      <c r="F34" s="12"/>
      <c r="G34" s="23">
        <f>IFERROR(SUMIFS(Transactions!$F$7:$F$996,Transactions!$G$7:$G$996,A34,Transactions!$D$7:$D$996,"Expense"),0)</f>
        <v>0</v>
      </c>
      <c r="H34" s="13"/>
      <c r="I34" s="13"/>
      <c r="J34" s="13"/>
    </row>
    <row r="35" ht="19.5" customHeight="1">
      <c r="A35" s="13"/>
      <c r="B35" s="22"/>
      <c r="C35" s="13"/>
      <c r="D35" s="13"/>
      <c r="E35" s="13"/>
      <c r="F35" s="12"/>
      <c r="G35" s="23">
        <f>IFERROR(SUMIFS(Transactions!$F$7:$F$996,Transactions!$G$7:$G$996,A35,Transactions!$D$7:$D$996,"Expense"),0)</f>
        <v>0</v>
      </c>
      <c r="H35" s="13"/>
      <c r="I35" s="13"/>
      <c r="J35" s="13"/>
    </row>
    <row r="36" ht="19.5" customHeight="1">
      <c r="A36" s="13"/>
      <c r="B36" s="22"/>
      <c r="C36" s="13"/>
      <c r="D36" s="13"/>
      <c r="E36" s="13"/>
      <c r="F36" s="12"/>
      <c r="G36" s="23">
        <f>IFERROR(SUMIFS(Transactions!$F$7:$F$996,Transactions!$G$7:$G$996,A36,Transactions!$D$7:$D$996,"Expense"),0)</f>
        <v>0</v>
      </c>
      <c r="H36" s="13"/>
      <c r="I36" s="13"/>
      <c r="J36" s="13"/>
    </row>
    <row r="37" ht="19.5" customHeight="1">
      <c r="A37" s="13"/>
      <c r="B37" s="22"/>
      <c r="C37" s="13"/>
      <c r="D37" s="13"/>
      <c r="E37" s="13"/>
      <c r="F37" s="12"/>
      <c r="G37" s="23">
        <f>IFERROR(SUMIFS(Transactions!$F$7:$F$996,Transactions!$G$7:$G$996,A37,Transactions!$D$7:$D$996,"Expense"),0)</f>
        <v>0</v>
      </c>
      <c r="H37" s="13"/>
      <c r="I37" s="13"/>
      <c r="J37" s="13"/>
    </row>
    <row r="38" ht="19.5" customHeight="1">
      <c r="A38" s="13"/>
      <c r="B38" s="22"/>
      <c r="C38" s="13"/>
      <c r="D38" s="13"/>
      <c r="E38" s="13"/>
      <c r="F38" s="12"/>
      <c r="G38" s="23">
        <f>IFERROR(SUMIFS(Transactions!$F$7:$F$996,Transactions!$G$7:$G$996,A38,Transactions!$D$7:$D$996,"Expense"),0)</f>
        <v>0</v>
      </c>
      <c r="H38" s="13"/>
      <c r="I38" s="13"/>
      <c r="J38" s="13"/>
    </row>
    <row r="39" ht="19.5" customHeight="1">
      <c r="A39" s="13"/>
      <c r="B39" s="22"/>
      <c r="C39" s="13"/>
      <c r="D39" s="13"/>
      <c r="E39" s="13"/>
      <c r="F39" s="12"/>
      <c r="G39" s="23">
        <f>IFERROR(SUMIFS(Transactions!$F$7:$F$996,Transactions!$G$7:$G$996,A39,Transactions!$D$7:$D$996,"Expense"),0)</f>
        <v>0</v>
      </c>
      <c r="H39" s="13"/>
      <c r="I39" s="13"/>
      <c r="J39" s="13"/>
    </row>
    <row r="40" ht="19.5" customHeight="1">
      <c r="A40" s="13"/>
      <c r="B40" s="22"/>
      <c r="C40" s="13"/>
      <c r="D40" s="13"/>
      <c r="E40" s="13"/>
      <c r="F40" s="12"/>
      <c r="G40" s="23">
        <f>IFERROR(SUMIFS(Transactions!$F$7:$F$996,Transactions!$G$7:$G$996,A40,Transactions!$D$7:$D$996,"Expense"),0)</f>
        <v>0</v>
      </c>
      <c r="H40" s="13"/>
      <c r="I40" s="13"/>
      <c r="J40" s="13"/>
    </row>
    <row r="41" ht="19.5" customHeight="1">
      <c r="A41" s="13"/>
      <c r="B41" s="22"/>
      <c r="C41" s="13"/>
      <c r="D41" s="13"/>
      <c r="E41" s="13"/>
      <c r="F41" s="12"/>
      <c r="G41" s="23">
        <f>IFERROR(SUMIFS(Transactions!$F$7:$F$996,Transactions!$G$7:$G$996,A41,Transactions!$D$7:$D$996,"Expense"),0)</f>
        <v>0</v>
      </c>
      <c r="H41" s="13"/>
      <c r="I41" s="13"/>
      <c r="J41" s="13"/>
    </row>
    <row r="42" ht="19.5" customHeight="1">
      <c r="A42" s="13"/>
      <c r="B42" s="22"/>
      <c r="C42" s="13"/>
      <c r="D42" s="13"/>
      <c r="E42" s="13"/>
      <c r="F42" s="12"/>
      <c r="G42" s="23">
        <f>IFERROR(SUMIFS(Transactions!$F$7:$F$996,Transactions!$G$7:$G$996,A42,Transactions!$D$7:$D$996,"Expense"),0)</f>
        <v>0</v>
      </c>
      <c r="H42" s="13"/>
      <c r="I42" s="13"/>
      <c r="J42" s="13"/>
    </row>
    <row r="43" ht="19.5" customHeight="1">
      <c r="A43" s="13"/>
      <c r="B43" s="22"/>
      <c r="C43" s="13"/>
      <c r="D43" s="13"/>
      <c r="E43" s="13"/>
      <c r="F43" s="12"/>
      <c r="G43" s="23">
        <f>IFERROR(SUMIFS(Transactions!$F$7:$F$996,Transactions!$G$7:$G$996,A43,Transactions!$D$7:$D$996,"Expense"),0)</f>
        <v>0</v>
      </c>
      <c r="H43" s="13"/>
      <c r="I43" s="13"/>
      <c r="J43" s="13"/>
    </row>
    <row r="44" ht="19.5" customHeight="1">
      <c r="A44" s="13"/>
      <c r="B44" s="22"/>
      <c r="C44" s="13"/>
      <c r="D44" s="13"/>
      <c r="E44" s="13"/>
      <c r="F44" s="12"/>
      <c r="G44" s="23">
        <f>IFERROR(SUMIFS(Transactions!$F$7:$F$996,Transactions!$G$7:$G$996,A44,Transactions!$D$7:$D$996,"Expense"),0)</f>
        <v>0</v>
      </c>
      <c r="H44" s="13"/>
      <c r="I44" s="13"/>
      <c r="J44" s="13"/>
    </row>
    <row r="45" ht="19.5" customHeight="1">
      <c r="A45" s="13"/>
      <c r="B45" s="22"/>
      <c r="C45" s="13"/>
      <c r="D45" s="13"/>
      <c r="E45" s="13"/>
      <c r="F45" s="12"/>
      <c r="G45" s="23">
        <f>IFERROR(SUMIFS(Transactions!$F$7:$F$996,Transactions!$G$7:$G$996,A45,Transactions!$D$7:$D$996,"Expense"),0)</f>
        <v>0</v>
      </c>
      <c r="H45" s="13"/>
      <c r="I45" s="13"/>
      <c r="J45" s="13"/>
    </row>
    <row r="46" ht="19.5" customHeight="1">
      <c r="A46" s="13"/>
      <c r="B46" s="22"/>
      <c r="C46" s="13"/>
      <c r="D46" s="13"/>
      <c r="E46" s="13"/>
      <c r="F46" s="12"/>
      <c r="G46" s="23">
        <f>IFERROR(SUMIFS(Transactions!$F$7:$F$996,Transactions!$G$7:$G$996,A46,Transactions!$D$7:$D$996,"Expense"),0)</f>
        <v>0</v>
      </c>
      <c r="H46" s="13"/>
      <c r="I46" s="13"/>
      <c r="J46" s="13"/>
    </row>
    <row r="47" ht="19.5" customHeight="1">
      <c r="A47" s="13"/>
      <c r="B47" s="22"/>
      <c r="C47" s="13"/>
      <c r="D47" s="13"/>
      <c r="E47" s="13"/>
      <c r="F47" s="12"/>
      <c r="G47" s="23">
        <f>IFERROR(SUMIFS(Transactions!$F$7:$F$996,Transactions!$G$7:$G$996,A47,Transactions!$D$7:$D$996,"Expense"),0)</f>
        <v>0</v>
      </c>
      <c r="H47" s="13"/>
      <c r="I47" s="13"/>
      <c r="J47" s="13"/>
    </row>
    <row r="48" ht="19.5" customHeight="1">
      <c r="A48" s="13"/>
      <c r="B48" s="22"/>
      <c r="C48" s="13"/>
      <c r="D48" s="13"/>
      <c r="E48" s="13"/>
      <c r="F48" s="12"/>
      <c r="G48" s="23">
        <f>IFERROR(SUMIFS(Transactions!$F$7:$F$996,Transactions!$G$7:$G$996,A48,Transactions!$D$7:$D$996,"Expense"),0)</f>
        <v>0</v>
      </c>
      <c r="H48" s="13"/>
      <c r="I48" s="13"/>
      <c r="J48" s="13"/>
    </row>
    <row r="49" ht="19.5" customHeight="1">
      <c r="A49" s="13"/>
      <c r="B49" s="22"/>
      <c r="C49" s="13"/>
      <c r="D49" s="13"/>
      <c r="E49" s="13"/>
      <c r="F49" s="12"/>
      <c r="G49" s="23">
        <f>IFERROR(SUMIFS(Transactions!$F$7:$F$996,Transactions!$G$7:$G$996,A49,Transactions!$D$7:$D$996,"Expense"),0)</f>
        <v>0</v>
      </c>
      <c r="H49" s="13"/>
      <c r="I49" s="13"/>
      <c r="J49" s="13"/>
    </row>
    <row r="50" ht="19.5" customHeight="1">
      <c r="A50" s="13"/>
      <c r="B50" s="22"/>
      <c r="C50" s="13"/>
      <c r="D50" s="13"/>
      <c r="E50" s="13"/>
      <c r="F50" s="12"/>
      <c r="G50" s="23">
        <f>IFERROR(SUMIFS(Transactions!$F$7:$F$996,Transactions!$G$7:$G$996,A50,Transactions!$D$7:$D$996,"Expense"),0)</f>
        <v>0</v>
      </c>
      <c r="H50" s="13"/>
      <c r="I50" s="13"/>
      <c r="J50" s="13"/>
    </row>
    <row r="51" ht="19.5" customHeight="1">
      <c r="A51" s="13"/>
      <c r="B51" s="22"/>
      <c r="C51" s="13"/>
      <c r="D51" s="13"/>
      <c r="E51" s="13"/>
      <c r="F51" s="12"/>
      <c r="G51" s="23">
        <f>IFERROR(SUMIFS(Transactions!$F$7:$F$996,Transactions!$G$7:$G$996,A51,Transactions!$D$7:$D$996,"Expense"),0)</f>
        <v>0</v>
      </c>
      <c r="H51" s="13"/>
      <c r="I51" s="13"/>
      <c r="J51" s="13"/>
    </row>
    <row r="52" ht="19.5" customHeight="1">
      <c r="A52" s="13"/>
      <c r="B52" s="22"/>
      <c r="C52" s="13"/>
      <c r="D52" s="13"/>
      <c r="E52" s="13"/>
      <c r="F52" s="12"/>
      <c r="G52" s="23">
        <f>IFERROR(SUMIFS(Transactions!$F$7:$F$996,Transactions!$G$7:$G$996,A52,Transactions!$D$7:$D$996,"Expense"),0)</f>
        <v>0</v>
      </c>
      <c r="H52" s="13"/>
      <c r="I52" s="13"/>
      <c r="J52" s="13"/>
    </row>
    <row r="53" ht="19.5" customHeight="1">
      <c r="A53" s="13"/>
      <c r="B53" s="22"/>
      <c r="C53" s="13"/>
      <c r="D53" s="13"/>
      <c r="E53" s="13"/>
      <c r="F53" s="12"/>
      <c r="G53" s="23">
        <f>IFERROR(SUMIFS(Transactions!$F$7:$F$996,Transactions!$G$7:$G$996,A53,Transactions!$D$7:$D$996,"Expense"),0)</f>
        <v>0</v>
      </c>
      <c r="H53" s="13"/>
      <c r="I53" s="13"/>
      <c r="J53" s="13"/>
    </row>
    <row r="54" ht="19.5" customHeight="1">
      <c r="A54" s="13"/>
      <c r="B54" s="22"/>
      <c r="C54" s="13"/>
      <c r="D54" s="13"/>
      <c r="E54" s="13"/>
      <c r="F54" s="12"/>
      <c r="G54" s="23">
        <f>IFERROR(SUMIFS(Transactions!$F$7:$F$996,Transactions!$G$7:$G$996,A54,Transactions!$D$7:$D$996,"Expense"),0)</f>
        <v>0</v>
      </c>
      <c r="H54" s="13"/>
      <c r="I54" s="13"/>
      <c r="J54" s="13"/>
    </row>
    <row r="55" ht="19.5" customHeight="1">
      <c r="A55" s="13"/>
      <c r="B55" s="22"/>
      <c r="C55" s="13"/>
      <c r="D55" s="13"/>
      <c r="E55" s="13"/>
      <c r="F55" s="12"/>
      <c r="G55" s="23">
        <f>IFERROR(SUMIFS(Transactions!$F$7:$F$996,Transactions!$G$7:$G$996,A55,Transactions!$D$7:$D$996,"Expense"),0)</f>
        <v>0</v>
      </c>
      <c r="H55" s="13"/>
      <c r="I55" s="13"/>
      <c r="J55" s="13"/>
    </row>
    <row r="56" ht="19.5" customHeight="1">
      <c r="A56" s="13"/>
      <c r="B56" s="22"/>
      <c r="C56" s="13"/>
      <c r="D56" s="13"/>
      <c r="E56" s="13"/>
      <c r="F56" s="12"/>
      <c r="G56" s="23">
        <f>IFERROR(SUMIFS(Transactions!$F$7:$F$996,Transactions!$G$7:$G$996,A56,Transactions!$D$7:$D$996,"Expense"),0)</f>
        <v>0</v>
      </c>
      <c r="H56" s="13"/>
      <c r="I56" s="13"/>
      <c r="J56" s="13"/>
    </row>
    <row r="57" ht="19.5" customHeight="1">
      <c r="A57" s="13"/>
      <c r="B57" s="22"/>
      <c r="C57" s="13"/>
      <c r="D57" s="13"/>
      <c r="E57" s="13"/>
      <c r="F57" s="12"/>
      <c r="G57" s="23">
        <f>IFERROR(SUMIFS(Transactions!$F$7:$F$996,Transactions!$G$7:$G$996,A57,Transactions!$D$7:$D$996,"Expense"),0)</f>
        <v>0</v>
      </c>
      <c r="H57" s="13"/>
      <c r="I57" s="13"/>
      <c r="J57" s="13"/>
    </row>
    <row r="58" ht="19.5" customHeight="1">
      <c r="A58" s="13"/>
      <c r="B58" s="22"/>
      <c r="C58" s="13"/>
      <c r="D58" s="13"/>
      <c r="E58" s="13"/>
      <c r="F58" s="12"/>
      <c r="G58" s="23">
        <f>IFERROR(SUMIFS(Transactions!$F$7:$F$996,Transactions!$G$7:$G$996,A58,Transactions!$D$7:$D$996,"Expense"),0)</f>
        <v>0</v>
      </c>
      <c r="H58" s="13"/>
      <c r="I58" s="13"/>
      <c r="J58" s="13"/>
    </row>
    <row r="59" ht="19.5" customHeight="1">
      <c r="A59" s="13"/>
      <c r="B59" s="22"/>
      <c r="C59" s="13"/>
      <c r="D59" s="13"/>
      <c r="E59" s="13"/>
      <c r="F59" s="12"/>
      <c r="G59" s="23">
        <f>IFERROR(SUMIFS(Transactions!$F$7:$F$996,Transactions!$G$7:$G$996,A59,Transactions!$D$7:$D$996,"Expense"),0)</f>
        <v>0</v>
      </c>
      <c r="H59" s="13"/>
      <c r="I59" s="13"/>
      <c r="J59" s="13"/>
    </row>
    <row r="60" ht="19.5" customHeight="1">
      <c r="A60" s="13"/>
      <c r="B60" s="22"/>
      <c r="C60" s="13"/>
      <c r="D60" s="13"/>
      <c r="E60" s="13"/>
      <c r="F60" s="12"/>
      <c r="G60" s="23">
        <f>IFERROR(SUMIFS(Transactions!$F$7:$F$996,Transactions!$G$7:$G$996,A60,Transactions!$D$7:$D$996,"Expense"),0)</f>
        <v>0</v>
      </c>
      <c r="H60" s="13"/>
      <c r="I60" s="13"/>
      <c r="J60" s="13"/>
    </row>
    <row r="61" ht="19.5" customHeight="1">
      <c r="A61" s="13"/>
      <c r="B61" s="22"/>
      <c r="C61" s="13"/>
      <c r="D61" s="13"/>
      <c r="E61" s="13"/>
      <c r="F61" s="12"/>
      <c r="G61" s="23">
        <f>IFERROR(SUMIFS(Transactions!$F$7:$F$996,Transactions!$G$7:$G$996,A61,Transactions!$D$7:$D$996,"Expense"),0)</f>
        <v>0</v>
      </c>
      <c r="H61" s="13"/>
      <c r="I61" s="13"/>
      <c r="J61" s="13"/>
    </row>
    <row r="62" ht="19.5" customHeight="1">
      <c r="A62" s="13"/>
      <c r="B62" s="22"/>
      <c r="C62" s="13"/>
      <c r="D62" s="13"/>
      <c r="E62" s="13"/>
      <c r="F62" s="12"/>
      <c r="G62" s="23">
        <f>IFERROR(SUMIFS(Transactions!$F$7:$F$996,Transactions!$G$7:$G$996,A62,Transactions!$D$7:$D$996,"Expense"),0)</f>
        <v>0</v>
      </c>
      <c r="H62" s="13"/>
      <c r="I62" s="13"/>
      <c r="J62" s="13"/>
    </row>
    <row r="63" ht="19.5" customHeight="1">
      <c r="A63" s="13"/>
      <c r="B63" s="22"/>
      <c r="C63" s="13"/>
      <c r="D63" s="13"/>
      <c r="E63" s="13"/>
      <c r="F63" s="12"/>
      <c r="G63" s="23">
        <f>IFERROR(SUMIFS(Transactions!$F$7:$F$996,Transactions!$G$7:$G$996,A63,Transactions!$D$7:$D$996,"Expense"),0)</f>
        <v>0</v>
      </c>
      <c r="H63" s="13"/>
      <c r="I63" s="13"/>
      <c r="J63" s="13"/>
    </row>
    <row r="64" ht="19.5" customHeight="1">
      <c r="A64" s="13"/>
      <c r="B64" s="22"/>
      <c r="C64" s="13"/>
      <c r="D64" s="13"/>
      <c r="E64" s="13"/>
      <c r="F64" s="12"/>
      <c r="G64" s="23">
        <f>IFERROR(SUMIFS(Transactions!$F$7:$F$996,Transactions!$G$7:$G$996,A64,Transactions!$D$7:$D$996,"Expense"),0)</f>
        <v>0</v>
      </c>
      <c r="H64" s="13"/>
      <c r="I64" s="13"/>
      <c r="J64" s="13"/>
    </row>
    <row r="65" ht="19.5" customHeight="1">
      <c r="A65" s="13"/>
      <c r="B65" s="22"/>
      <c r="C65" s="13"/>
      <c r="D65" s="13"/>
      <c r="E65" s="13"/>
      <c r="F65" s="12"/>
      <c r="G65" s="23">
        <f>IFERROR(SUMIFS(Transactions!$F$7:$F$996,Transactions!$G$7:$G$996,A65,Transactions!$D$7:$D$996,"Expense"),0)</f>
        <v>0</v>
      </c>
      <c r="H65" s="13"/>
      <c r="I65" s="13"/>
      <c r="J65" s="13"/>
    </row>
    <row r="66" ht="19.5" customHeight="1">
      <c r="A66" s="13"/>
      <c r="B66" s="22"/>
      <c r="C66" s="13"/>
      <c r="D66" s="13"/>
      <c r="E66" s="13"/>
      <c r="F66" s="12"/>
      <c r="G66" s="23">
        <f>IFERROR(SUMIFS(Transactions!$F$7:$F$996,Transactions!$G$7:$G$996,A66,Transactions!$D$7:$D$996,"Expense"),0)</f>
        <v>0</v>
      </c>
      <c r="H66" s="13"/>
      <c r="I66" s="13"/>
      <c r="J66" s="13"/>
    </row>
    <row r="67" ht="19.5" customHeight="1">
      <c r="A67" s="13"/>
      <c r="B67" s="22"/>
      <c r="C67" s="13"/>
      <c r="D67" s="13"/>
      <c r="E67" s="13"/>
      <c r="F67" s="12"/>
      <c r="G67" s="23">
        <f>IFERROR(SUMIFS(Transactions!$F$7:$F$996,Transactions!$G$7:$G$996,A67,Transactions!$D$7:$D$996,"Expense"),0)</f>
        <v>0</v>
      </c>
      <c r="H67" s="13"/>
      <c r="I67" s="13"/>
      <c r="J67" s="13"/>
    </row>
    <row r="68" ht="19.5" customHeight="1">
      <c r="A68" s="13"/>
      <c r="B68" s="22"/>
      <c r="C68" s="13"/>
      <c r="D68" s="13"/>
      <c r="E68" s="13"/>
      <c r="F68" s="12"/>
      <c r="G68" s="23">
        <f>IFERROR(SUMIFS(Transactions!$F$7:$F$996,Transactions!$G$7:$G$996,A68,Transactions!$D$7:$D$996,"Expense"),0)</f>
        <v>0</v>
      </c>
      <c r="H68" s="13"/>
      <c r="I68" s="13"/>
      <c r="J68" s="13"/>
    </row>
    <row r="69" ht="19.5" customHeight="1">
      <c r="A69" s="13"/>
      <c r="B69" s="22"/>
      <c r="C69" s="13"/>
      <c r="D69" s="13"/>
      <c r="E69" s="13"/>
      <c r="F69" s="12"/>
      <c r="G69" s="23">
        <f>IFERROR(SUMIFS(Transactions!$F$7:$F$996,Transactions!$G$7:$G$996,A69,Transactions!$D$7:$D$996,"Expense"),0)</f>
        <v>0</v>
      </c>
      <c r="H69" s="13"/>
      <c r="I69" s="13"/>
      <c r="J69" s="13"/>
    </row>
    <row r="70" ht="19.5" customHeight="1">
      <c r="A70" s="13"/>
      <c r="B70" s="22"/>
      <c r="C70" s="13"/>
      <c r="D70" s="13"/>
      <c r="E70" s="13"/>
      <c r="F70" s="12"/>
      <c r="G70" s="23">
        <f>IFERROR(SUMIFS(Transactions!$F$7:$F$996,Transactions!$G$7:$G$996,A70,Transactions!$D$7:$D$996,"Expense"),0)</f>
        <v>0</v>
      </c>
      <c r="H70" s="13"/>
      <c r="I70" s="13"/>
      <c r="J70" s="13"/>
    </row>
    <row r="71" ht="19.5" customHeight="1">
      <c r="A71" s="13"/>
      <c r="B71" s="22"/>
      <c r="C71" s="13"/>
      <c r="D71" s="13"/>
      <c r="E71" s="13"/>
      <c r="F71" s="12"/>
      <c r="G71" s="23">
        <f>IFERROR(SUMIFS(Transactions!$F$7:$F$996,Transactions!$G$7:$G$996,A71,Transactions!$D$7:$D$996,"Expense"),0)</f>
        <v>0</v>
      </c>
      <c r="H71" s="13"/>
      <c r="I71" s="13"/>
      <c r="J71" s="13"/>
    </row>
    <row r="72" ht="19.5" customHeight="1">
      <c r="A72" s="13"/>
      <c r="B72" s="22"/>
      <c r="C72" s="13"/>
      <c r="D72" s="13"/>
      <c r="E72" s="13"/>
      <c r="F72" s="12"/>
      <c r="G72" s="23">
        <f>IFERROR(SUMIFS(Transactions!$F$7:$F$996,Transactions!$G$7:$G$996,A72,Transactions!$D$7:$D$996,"Expense"),0)</f>
        <v>0</v>
      </c>
      <c r="H72" s="13"/>
      <c r="I72" s="13"/>
      <c r="J72" s="13"/>
    </row>
    <row r="73" ht="19.5" customHeight="1">
      <c r="A73" s="13"/>
      <c r="B73" s="22"/>
      <c r="C73" s="13"/>
      <c r="D73" s="13"/>
      <c r="E73" s="13"/>
      <c r="F73" s="12"/>
      <c r="G73" s="23">
        <f>IFERROR(SUMIFS(Transactions!$F$7:$F$996,Transactions!$G$7:$G$996,A73,Transactions!$D$7:$D$996,"Expense"),0)</f>
        <v>0</v>
      </c>
      <c r="H73" s="13"/>
      <c r="I73" s="13"/>
      <c r="J73" s="13"/>
    </row>
    <row r="74" ht="19.5" customHeight="1">
      <c r="A74" s="13"/>
      <c r="B74" s="22"/>
      <c r="C74" s="13"/>
      <c r="D74" s="13"/>
      <c r="E74" s="13"/>
      <c r="F74" s="12"/>
      <c r="G74" s="23">
        <f>IFERROR(SUMIFS(Transactions!$F$7:$F$996,Transactions!$G$7:$G$996,A74,Transactions!$D$7:$D$996,"Expense"),0)</f>
        <v>0</v>
      </c>
      <c r="H74" s="13"/>
      <c r="I74" s="13"/>
      <c r="J74" s="13"/>
    </row>
    <row r="75" ht="19.5" customHeight="1">
      <c r="A75" s="13"/>
      <c r="B75" s="22"/>
      <c r="C75" s="13"/>
      <c r="D75" s="13"/>
      <c r="E75" s="13"/>
      <c r="F75" s="12"/>
      <c r="G75" s="23">
        <f>IFERROR(SUMIFS(Transactions!$F$7:$F$996,Transactions!$G$7:$G$996,A75,Transactions!$D$7:$D$996,"Expense"),0)</f>
        <v>0</v>
      </c>
      <c r="H75" s="13"/>
      <c r="I75" s="13"/>
      <c r="J75" s="13"/>
    </row>
    <row r="76" ht="19.5" customHeight="1">
      <c r="A76" s="13"/>
      <c r="B76" s="22"/>
      <c r="C76" s="13"/>
      <c r="D76" s="13"/>
      <c r="E76" s="13"/>
      <c r="F76" s="12"/>
      <c r="G76" s="23">
        <f>IFERROR(SUMIFS(Transactions!$F$7:$F$996,Transactions!$G$7:$G$996,A76,Transactions!$D$7:$D$996,"Expense"),0)</f>
        <v>0</v>
      </c>
      <c r="H76" s="13"/>
      <c r="I76" s="13"/>
      <c r="J76" s="13"/>
    </row>
    <row r="77" ht="19.5" customHeight="1">
      <c r="A77" s="13"/>
      <c r="B77" s="22"/>
      <c r="C77" s="13"/>
      <c r="D77" s="13"/>
      <c r="E77" s="13"/>
      <c r="F77" s="12"/>
      <c r="G77" s="23">
        <f>IFERROR(SUMIFS(Transactions!$F$7:$F$996,Transactions!$G$7:$G$996,A77,Transactions!$D$7:$D$996,"Expense"),0)</f>
        <v>0</v>
      </c>
      <c r="H77" s="13"/>
      <c r="I77" s="13"/>
      <c r="J77" s="13"/>
    </row>
    <row r="78" ht="19.5" customHeight="1">
      <c r="A78" s="13"/>
      <c r="B78" s="22"/>
      <c r="C78" s="13"/>
      <c r="D78" s="13"/>
      <c r="E78" s="13"/>
      <c r="F78" s="12"/>
      <c r="G78" s="23">
        <f>IFERROR(SUMIFS(Transactions!$F$7:$F$996,Transactions!$G$7:$G$996,A78,Transactions!$D$7:$D$996,"Expense"),0)</f>
        <v>0</v>
      </c>
      <c r="H78" s="13"/>
      <c r="I78" s="13"/>
      <c r="J78" s="13"/>
    </row>
    <row r="79" ht="19.5" customHeight="1">
      <c r="A79" s="13"/>
      <c r="B79" s="22"/>
      <c r="C79" s="13"/>
      <c r="D79" s="13"/>
      <c r="E79" s="13"/>
      <c r="F79" s="12"/>
      <c r="G79" s="23">
        <f>IFERROR(SUMIFS(Transactions!$F$7:$F$996,Transactions!$G$7:$G$996,A79,Transactions!$D$7:$D$996,"Expense"),0)</f>
        <v>0</v>
      </c>
      <c r="H79" s="13"/>
      <c r="I79" s="13"/>
      <c r="J79" s="13"/>
    </row>
    <row r="80" ht="19.5" customHeight="1">
      <c r="A80" s="13"/>
      <c r="B80" s="22"/>
      <c r="C80" s="13"/>
      <c r="D80" s="13"/>
      <c r="E80" s="13"/>
      <c r="F80" s="12"/>
      <c r="G80" s="23">
        <f>IFERROR(SUMIFS(Transactions!$F$7:$F$996,Transactions!$G$7:$G$996,A80,Transactions!$D$7:$D$996,"Expense"),0)</f>
        <v>0</v>
      </c>
      <c r="H80" s="13"/>
      <c r="I80" s="13"/>
      <c r="J80" s="13"/>
    </row>
    <row r="81" ht="19.5" customHeight="1">
      <c r="A81" s="13"/>
      <c r="B81" s="22"/>
      <c r="C81" s="13"/>
      <c r="D81" s="13"/>
      <c r="E81" s="13"/>
      <c r="F81" s="12"/>
      <c r="G81" s="23">
        <f>IFERROR(SUMIFS(Transactions!$F$7:$F$996,Transactions!$G$7:$G$996,A81,Transactions!$D$7:$D$996,"Expense"),0)</f>
        <v>0</v>
      </c>
      <c r="H81" s="13"/>
      <c r="I81" s="13"/>
      <c r="J81" s="13"/>
    </row>
    <row r="82" ht="19.5" customHeight="1">
      <c r="A82" s="13"/>
      <c r="B82" s="22"/>
      <c r="C82" s="13"/>
      <c r="D82" s="13"/>
      <c r="E82" s="13"/>
      <c r="F82" s="12"/>
      <c r="G82" s="23">
        <f>IFERROR(SUMIFS(Transactions!$F$7:$F$996,Transactions!$G$7:$G$996,A82,Transactions!$D$7:$D$996,"Expense"),0)</f>
        <v>0</v>
      </c>
      <c r="H82" s="13"/>
      <c r="I82" s="13"/>
      <c r="J82" s="13"/>
    </row>
    <row r="83" ht="19.5" customHeight="1">
      <c r="A83" s="13"/>
      <c r="B83" s="22"/>
      <c r="C83" s="13"/>
      <c r="D83" s="13"/>
      <c r="E83" s="13"/>
      <c r="F83" s="12"/>
      <c r="G83" s="23">
        <f>IFERROR(SUMIFS(Transactions!$F$7:$F$996,Transactions!$G$7:$G$996,A83,Transactions!$D$7:$D$996,"Expense"),0)</f>
        <v>0</v>
      </c>
      <c r="H83" s="13"/>
      <c r="I83" s="13"/>
      <c r="J83" s="13"/>
    </row>
    <row r="84" ht="19.5" customHeight="1">
      <c r="A84" s="13"/>
      <c r="B84" s="22"/>
      <c r="C84" s="13"/>
      <c r="D84" s="13"/>
      <c r="E84" s="13"/>
      <c r="F84" s="12"/>
      <c r="G84" s="23">
        <f>IFERROR(SUMIFS(Transactions!$F$7:$F$996,Transactions!$G$7:$G$996,A84,Transactions!$D$7:$D$996,"Expense"),0)</f>
        <v>0</v>
      </c>
      <c r="H84" s="13"/>
      <c r="I84" s="13"/>
      <c r="J84" s="13"/>
    </row>
    <row r="85" ht="19.5" customHeight="1">
      <c r="A85" s="13"/>
      <c r="B85" s="22"/>
      <c r="C85" s="13"/>
      <c r="D85" s="13"/>
      <c r="E85" s="13"/>
      <c r="F85" s="12"/>
      <c r="G85" s="23">
        <f>IFERROR(SUMIFS(Transactions!$F$7:$F$996,Transactions!$G$7:$G$996,A85,Transactions!$D$7:$D$996,"Expense"),0)</f>
        <v>0</v>
      </c>
      <c r="H85" s="13"/>
      <c r="I85" s="13"/>
      <c r="J85" s="13"/>
    </row>
    <row r="86" ht="19.5" customHeight="1">
      <c r="A86" s="13"/>
      <c r="B86" s="22"/>
      <c r="C86" s="13"/>
      <c r="D86" s="13"/>
      <c r="E86" s="13"/>
      <c r="F86" s="12"/>
      <c r="G86" s="23">
        <f>IFERROR(SUMIFS(Transactions!$F$7:$F$996,Transactions!$G$7:$G$996,A86,Transactions!$D$7:$D$996,"Expense"),0)</f>
        <v>0</v>
      </c>
      <c r="H86" s="13"/>
      <c r="I86" s="13"/>
      <c r="J86" s="13"/>
    </row>
    <row r="87" ht="19.5" customHeight="1">
      <c r="A87" s="13"/>
      <c r="B87" s="22"/>
      <c r="C87" s="13"/>
      <c r="D87" s="13"/>
      <c r="E87" s="13"/>
      <c r="F87" s="12"/>
      <c r="G87" s="23">
        <f>IFERROR(SUMIFS(Transactions!$F$7:$F$996,Transactions!$G$7:$G$996,A87,Transactions!$D$7:$D$996,"Expense"),0)</f>
        <v>0</v>
      </c>
      <c r="H87" s="13"/>
      <c r="I87" s="13"/>
      <c r="J87" s="13"/>
    </row>
    <row r="88" ht="19.5" customHeight="1">
      <c r="A88" s="13"/>
      <c r="B88" s="22"/>
      <c r="C88" s="13"/>
      <c r="D88" s="13"/>
      <c r="E88" s="13"/>
      <c r="F88" s="12"/>
      <c r="G88" s="23">
        <f>IFERROR(SUMIFS(Transactions!$F$7:$F$996,Transactions!$G$7:$G$996,A88,Transactions!$D$7:$D$996,"Expense"),0)</f>
        <v>0</v>
      </c>
      <c r="H88" s="13"/>
      <c r="I88" s="13"/>
      <c r="J88" s="13"/>
    </row>
    <row r="89" ht="19.5" customHeight="1">
      <c r="A89" s="13"/>
      <c r="B89" s="22"/>
      <c r="C89" s="13"/>
      <c r="D89" s="13"/>
      <c r="E89" s="13"/>
      <c r="F89" s="12"/>
      <c r="G89" s="23">
        <f>IFERROR(SUMIFS(Transactions!$F$7:$F$996,Transactions!$G$7:$G$996,A89,Transactions!$D$7:$D$996,"Expense"),0)</f>
        <v>0</v>
      </c>
      <c r="H89" s="13"/>
      <c r="I89" s="13"/>
      <c r="J89" s="13"/>
    </row>
    <row r="90" ht="19.5" customHeight="1">
      <c r="A90" s="13"/>
      <c r="B90" s="22"/>
      <c r="C90" s="13"/>
      <c r="D90" s="13"/>
      <c r="E90" s="13"/>
      <c r="F90" s="12"/>
      <c r="G90" s="23">
        <f>IFERROR(SUMIFS(Transactions!$F$7:$F$996,Transactions!$G$7:$G$996,A90,Transactions!$D$7:$D$996,"Expense"),0)</f>
        <v>0</v>
      </c>
      <c r="H90" s="13"/>
      <c r="I90" s="13"/>
      <c r="J90" s="13"/>
    </row>
    <row r="91" ht="19.5" customHeight="1">
      <c r="A91" s="13"/>
      <c r="B91" s="22"/>
      <c r="C91" s="13"/>
      <c r="D91" s="13"/>
      <c r="E91" s="13"/>
      <c r="F91" s="12"/>
      <c r="G91" s="23">
        <f>IFERROR(SUMIFS(Transactions!$F$7:$F$996,Transactions!$G$7:$G$996,A91,Transactions!$D$7:$D$996,"Expense"),0)</f>
        <v>0</v>
      </c>
      <c r="H91" s="13"/>
      <c r="I91" s="13"/>
      <c r="J91" s="13"/>
    </row>
    <row r="92" ht="19.5" customHeight="1">
      <c r="A92" s="13"/>
      <c r="B92" s="22"/>
      <c r="C92" s="13"/>
      <c r="D92" s="13"/>
      <c r="E92" s="13"/>
      <c r="F92" s="12"/>
      <c r="G92" s="23">
        <f>IFERROR(SUMIFS(Transactions!$F$7:$F$996,Transactions!$G$7:$G$996,A92,Transactions!$D$7:$D$996,"Expense"),0)</f>
        <v>0</v>
      </c>
      <c r="H92" s="13"/>
      <c r="I92" s="13"/>
      <c r="J92" s="13"/>
    </row>
    <row r="93" ht="19.5" customHeight="1">
      <c r="A93" s="13"/>
      <c r="B93" s="22"/>
      <c r="C93" s="13"/>
      <c r="D93" s="13"/>
      <c r="E93" s="13"/>
      <c r="F93" s="12"/>
      <c r="G93" s="23">
        <f>IFERROR(SUMIFS(Transactions!$F$7:$F$996,Transactions!$G$7:$G$996,A93,Transactions!$D$7:$D$996,"Expense"),0)</f>
        <v>0</v>
      </c>
      <c r="H93" s="13"/>
      <c r="I93" s="13"/>
      <c r="J93" s="13"/>
    </row>
    <row r="94" ht="19.5" customHeight="1">
      <c r="A94" s="13"/>
      <c r="B94" s="22"/>
      <c r="C94" s="13"/>
      <c r="D94" s="13"/>
      <c r="E94" s="13"/>
      <c r="F94" s="12"/>
      <c r="G94" s="23">
        <f>IFERROR(SUMIFS(Transactions!$F$7:$F$996,Transactions!$G$7:$G$996,A94,Transactions!$D$7:$D$996,"Expense"),0)</f>
        <v>0</v>
      </c>
      <c r="H94" s="13"/>
      <c r="I94" s="13"/>
      <c r="J94" s="13"/>
    </row>
    <row r="95" ht="19.5" customHeight="1">
      <c r="A95" s="13"/>
      <c r="B95" s="22"/>
      <c r="C95" s="13"/>
      <c r="D95" s="13"/>
      <c r="E95" s="13"/>
      <c r="F95" s="12"/>
      <c r="G95" s="23">
        <f>IFERROR(SUMIFS(Transactions!$F$7:$F$996,Transactions!$G$7:$G$996,A95,Transactions!$D$7:$D$996,"Expense"),0)</f>
        <v>0</v>
      </c>
      <c r="H95" s="13"/>
      <c r="I95" s="13"/>
      <c r="J95" s="13"/>
    </row>
    <row r="96" ht="19.5" customHeight="1">
      <c r="A96" s="13"/>
      <c r="B96" s="22"/>
      <c r="C96" s="13"/>
      <c r="D96" s="13"/>
      <c r="E96" s="13"/>
      <c r="F96" s="12"/>
      <c r="G96" s="23">
        <f>IFERROR(SUMIFS(Transactions!$F$7:$F$996,Transactions!$G$7:$G$996,A96,Transactions!$D$7:$D$996,"Expense"),0)</f>
        <v>0</v>
      </c>
      <c r="H96" s="13"/>
      <c r="I96" s="13"/>
      <c r="J96" s="13"/>
    </row>
    <row r="97" ht="19.5" customHeight="1">
      <c r="A97" s="13"/>
      <c r="B97" s="22"/>
      <c r="C97" s="13"/>
      <c r="D97" s="13"/>
      <c r="E97" s="13"/>
      <c r="F97" s="12"/>
      <c r="G97" s="23">
        <f>IFERROR(SUMIFS(Transactions!$F$7:$F$996,Transactions!$G$7:$G$996,A97,Transactions!$D$7:$D$996,"Expense"),0)</f>
        <v>0</v>
      </c>
      <c r="H97" s="13"/>
      <c r="I97" s="13"/>
      <c r="J97" s="13"/>
    </row>
    <row r="98" ht="19.5" customHeight="1">
      <c r="A98" s="13"/>
      <c r="B98" s="22"/>
      <c r="C98" s="13"/>
      <c r="D98" s="13"/>
      <c r="E98" s="13"/>
      <c r="F98" s="12"/>
      <c r="G98" s="23">
        <f>IFERROR(SUMIFS(Transactions!$F$7:$F$996,Transactions!$G$7:$G$996,A98,Transactions!$D$7:$D$996,"Expense"),0)</f>
        <v>0</v>
      </c>
      <c r="H98" s="13"/>
      <c r="I98" s="13"/>
      <c r="J98" s="13"/>
    </row>
    <row r="99" ht="19.5" customHeight="1">
      <c r="A99" s="13"/>
      <c r="B99" s="22"/>
      <c r="C99" s="13"/>
      <c r="D99" s="13"/>
      <c r="E99" s="13"/>
      <c r="F99" s="12"/>
      <c r="G99" s="23">
        <f>IFERROR(SUMIFS(Transactions!$F$7:$F$996,Transactions!$G$7:$G$996,A99,Transactions!$D$7:$D$996,"Expense"),0)</f>
        <v>0</v>
      </c>
      <c r="H99" s="13"/>
      <c r="I99" s="13"/>
      <c r="J99" s="13"/>
    </row>
    <row r="100" ht="19.5" customHeight="1">
      <c r="A100" s="13"/>
      <c r="B100" s="22"/>
      <c r="C100" s="13"/>
      <c r="D100" s="13"/>
      <c r="E100" s="13"/>
      <c r="F100" s="12"/>
      <c r="G100" s="23">
        <f>IFERROR(SUMIFS(Transactions!$F$7:$F$996,Transactions!$G$7:$G$996,A100,Transactions!$D$7:$D$996,"Expense"),0)</f>
        <v>0</v>
      </c>
      <c r="H100" s="13"/>
      <c r="I100" s="13"/>
      <c r="J100" s="13"/>
    </row>
    <row r="101" ht="19.5" customHeight="1">
      <c r="A101" s="13"/>
      <c r="B101" s="22"/>
      <c r="C101" s="13"/>
      <c r="D101" s="13"/>
      <c r="E101" s="13"/>
      <c r="F101" s="12"/>
      <c r="G101" s="23">
        <f>IFERROR(SUMIFS(Transactions!$F$7:$F$996,Transactions!$G$7:$G$996,A101,Transactions!$D$7:$D$996,"Expense"),0)</f>
        <v>0</v>
      </c>
      <c r="H101" s="13"/>
      <c r="I101" s="13"/>
      <c r="J101" s="13"/>
    </row>
    <row r="102" ht="19.5" customHeight="1">
      <c r="A102" s="13"/>
      <c r="B102" s="22"/>
      <c r="C102" s="13"/>
      <c r="D102" s="13"/>
      <c r="E102" s="13"/>
      <c r="F102" s="12"/>
      <c r="G102" s="23">
        <f>IFERROR(SUMIFS(Transactions!$F$7:$F$996,Transactions!$G$7:$G$996,A102,Transactions!$D$7:$D$996,"Expense"),0)</f>
        <v>0</v>
      </c>
      <c r="H102" s="13"/>
      <c r="I102" s="13"/>
      <c r="J102" s="13"/>
    </row>
    <row r="103" ht="19.5" customHeight="1">
      <c r="A103" s="13"/>
      <c r="B103" s="22"/>
      <c r="C103" s="13"/>
      <c r="D103" s="13"/>
      <c r="E103" s="13"/>
      <c r="F103" s="12"/>
      <c r="G103" s="23">
        <f>IFERROR(SUMIFS(Transactions!$F$7:$F$996,Transactions!$G$7:$G$996,A103,Transactions!$D$7:$D$996,"Expense"),0)</f>
        <v>0</v>
      </c>
      <c r="H103" s="13"/>
      <c r="I103" s="13"/>
      <c r="J103" s="13"/>
    </row>
    <row r="104" ht="19.5" customHeight="1">
      <c r="A104" s="13"/>
      <c r="B104" s="22"/>
      <c r="C104" s="13"/>
      <c r="D104" s="13"/>
      <c r="E104" s="13"/>
      <c r="F104" s="12"/>
      <c r="G104" s="23">
        <f>IFERROR(SUMIFS(Transactions!$F$7:$F$996,Transactions!$G$7:$G$996,A104,Transactions!$D$7:$D$996,"Expense"),0)</f>
        <v>0</v>
      </c>
      <c r="H104" s="13"/>
      <c r="I104" s="13"/>
      <c r="J104" s="13"/>
    </row>
    <row r="105" ht="19.5" customHeight="1">
      <c r="A105" s="13"/>
      <c r="B105" s="22"/>
      <c r="C105" s="13"/>
      <c r="D105" s="13"/>
      <c r="E105" s="13"/>
      <c r="F105" s="12"/>
      <c r="G105" s="23">
        <f>IFERROR(SUMIFS(Transactions!$F$7:$F$996,Transactions!$G$7:$G$996,A105,Transactions!$D$7:$D$996,"Expense"),0)</f>
        <v>0</v>
      </c>
      <c r="H105" s="13"/>
      <c r="I105" s="13"/>
      <c r="J105" s="13"/>
    </row>
    <row r="106" ht="19.5" customHeight="1">
      <c r="A106" s="13"/>
      <c r="B106" s="22"/>
      <c r="C106" s="13"/>
      <c r="D106" s="13"/>
      <c r="E106" s="13"/>
      <c r="F106" s="12"/>
      <c r="G106" s="23">
        <f>IFERROR(SUMIFS(Transactions!$F$7:$F$996,Transactions!$G$7:$G$996,A106,Transactions!$D$7:$D$996,"Expense"),0)</f>
        <v>0</v>
      </c>
      <c r="H106" s="13"/>
      <c r="I106" s="13"/>
      <c r="J106" s="13"/>
    </row>
    <row r="107" ht="19.5" customHeight="1">
      <c r="A107" s="13"/>
      <c r="B107" s="22"/>
      <c r="C107" s="13"/>
      <c r="D107" s="13"/>
      <c r="E107" s="13"/>
      <c r="F107" s="12"/>
      <c r="G107" s="23">
        <f>IFERROR(SUMIFS(Transactions!$F$7:$F$996,Transactions!$G$7:$G$996,A107,Transactions!$D$7:$D$996,"Expense"),0)</f>
        <v>0</v>
      </c>
      <c r="H107" s="13"/>
      <c r="I107" s="13"/>
      <c r="J107" s="13"/>
    </row>
    <row r="108" ht="19.5" customHeight="1">
      <c r="A108" s="13"/>
      <c r="B108" s="22"/>
      <c r="C108" s="13"/>
      <c r="D108" s="13"/>
      <c r="E108" s="13"/>
      <c r="F108" s="12"/>
      <c r="G108" s="23">
        <f>IFERROR(SUMIFS(Transactions!$F$7:$F$996,Transactions!$G$7:$G$996,A108,Transactions!$D$7:$D$996,"Expense"),0)</f>
        <v>0</v>
      </c>
      <c r="H108" s="13"/>
      <c r="I108" s="13"/>
      <c r="J108" s="13"/>
    </row>
    <row r="109" ht="19.5" customHeight="1">
      <c r="A109" s="13"/>
      <c r="B109" s="22"/>
      <c r="C109" s="13"/>
      <c r="D109" s="13"/>
      <c r="E109" s="13"/>
      <c r="F109" s="12"/>
      <c r="G109" s="23">
        <f>IFERROR(SUMIFS(Transactions!$F$7:$F$996,Transactions!$G$7:$G$996,A109,Transactions!$D$7:$D$996,"Expense"),0)</f>
        <v>0</v>
      </c>
      <c r="H109" s="13"/>
      <c r="I109" s="13"/>
      <c r="J109" s="13"/>
    </row>
    <row r="110" ht="19.5" customHeight="1">
      <c r="A110" s="13"/>
      <c r="B110" s="22"/>
      <c r="C110" s="13"/>
      <c r="D110" s="13"/>
      <c r="E110" s="13"/>
      <c r="F110" s="12"/>
      <c r="G110" s="23">
        <f>IFERROR(SUMIFS(Transactions!$F$7:$F$996,Transactions!$G$7:$G$996,A110,Transactions!$D$7:$D$996,"Expense"),0)</f>
        <v>0</v>
      </c>
      <c r="H110" s="13"/>
      <c r="I110" s="13"/>
      <c r="J110" s="13"/>
    </row>
    <row r="111" ht="19.5" customHeight="1">
      <c r="A111" s="13"/>
      <c r="B111" s="22"/>
      <c r="C111" s="13"/>
      <c r="D111" s="13"/>
      <c r="E111" s="13"/>
      <c r="F111" s="12"/>
      <c r="G111" s="23">
        <f>IFERROR(SUMIFS(Transactions!$F$7:$F$996,Transactions!$G$7:$G$996,A111,Transactions!$D$7:$D$996,"Expense"),0)</f>
        <v>0</v>
      </c>
      <c r="H111" s="13"/>
      <c r="I111" s="13"/>
      <c r="J111" s="13"/>
    </row>
    <row r="112" ht="19.5" customHeight="1">
      <c r="A112" s="13"/>
      <c r="B112" s="22"/>
      <c r="C112" s="13"/>
      <c r="D112" s="13"/>
      <c r="E112" s="13"/>
      <c r="F112" s="12"/>
      <c r="G112" s="23">
        <f>IFERROR(SUMIFS(Transactions!$F$7:$F$996,Transactions!$G$7:$G$996,A112,Transactions!$D$7:$D$996,"Expense"),0)</f>
        <v>0</v>
      </c>
      <c r="H112" s="13"/>
      <c r="I112" s="13"/>
      <c r="J112" s="13"/>
    </row>
    <row r="113" ht="19.5" customHeight="1">
      <c r="A113" s="13"/>
      <c r="B113" s="22"/>
      <c r="C113" s="13"/>
      <c r="D113" s="13"/>
      <c r="E113" s="13"/>
      <c r="F113" s="12"/>
      <c r="G113" s="23">
        <f>IFERROR(SUMIFS(Transactions!$F$7:$F$996,Transactions!$G$7:$G$996,A113,Transactions!$D$7:$D$996,"Expense"),0)</f>
        <v>0</v>
      </c>
      <c r="H113" s="13"/>
      <c r="I113" s="13"/>
      <c r="J113" s="13"/>
    </row>
    <row r="114" ht="19.5" customHeight="1">
      <c r="A114" s="13"/>
      <c r="B114" s="22"/>
      <c r="C114" s="13"/>
      <c r="D114" s="13"/>
      <c r="E114" s="13"/>
      <c r="F114" s="12"/>
      <c r="G114" s="23">
        <f>IFERROR(SUMIFS(Transactions!$F$7:$F$996,Transactions!$G$7:$G$996,A114,Transactions!$D$7:$D$996,"Expense"),0)</f>
        <v>0</v>
      </c>
      <c r="H114" s="13"/>
      <c r="I114" s="13"/>
      <c r="J114" s="13"/>
    </row>
    <row r="115" ht="19.5" customHeight="1">
      <c r="A115" s="13"/>
      <c r="B115" s="22"/>
      <c r="C115" s="13"/>
      <c r="D115" s="13"/>
      <c r="E115" s="13"/>
      <c r="F115" s="12"/>
      <c r="G115" s="23">
        <f>IFERROR(SUMIFS(Transactions!$F$7:$F$996,Transactions!$G$7:$G$996,A115,Transactions!$D$7:$D$996,"Expense"),0)</f>
        <v>0</v>
      </c>
      <c r="H115" s="13"/>
      <c r="I115" s="13"/>
      <c r="J115" s="13"/>
    </row>
    <row r="116" ht="19.5" customHeight="1">
      <c r="A116" s="13"/>
      <c r="B116" s="22"/>
      <c r="C116" s="13"/>
      <c r="D116" s="13"/>
      <c r="E116" s="13"/>
      <c r="F116" s="12"/>
      <c r="G116" s="23">
        <f>IFERROR(SUMIFS(Transactions!$F$7:$F$996,Transactions!$G$7:$G$996,A116,Transactions!$D$7:$D$996,"Expense"),0)</f>
        <v>0</v>
      </c>
      <c r="H116" s="13"/>
      <c r="I116" s="13"/>
      <c r="J116" s="13"/>
    </row>
    <row r="117" ht="19.5" customHeight="1">
      <c r="A117" s="13"/>
      <c r="B117" s="22"/>
      <c r="C117" s="13"/>
      <c r="D117" s="13"/>
      <c r="E117" s="13"/>
      <c r="F117" s="12"/>
      <c r="G117" s="23">
        <f>IFERROR(SUMIFS(Transactions!$F$7:$F$996,Transactions!$G$7:$G$996,A117,Transactions!$D$7:$D$996,"Expense"),0)</f>
        <v>0</v>
      </c>
      <c r="H117" s="13"/>
      <c r="I117" s="13"/>
      <c r="J117" s="13"/>
    </row>
    <row r="118" ht="19.5" customHeight="1">
      <c r="A118" s="13"/>
      <c r="B118" s="22"/>
      <c r="C118" s="13"/>
      <c r="D118" s="13"/>
      <c r="E118" s="13"/>
      <c r="F118" s="12"/>
      <c r="G118" s="23">
        <f>IFERROR(SUMIFS(Transactions!$F$7:$F$996,Transactions!$G$7:$G$996,A118,Transactions!$D$7:$D$996,"Expense"),0)</f>
        <v>0</v>
      </c>
      <c r="H118" s="13"/>
      <c r="I118" s="13"/>
      <c r="J118" s="13"/>
    </row>
    <row r="119" ht="19.5" customHeight="1">
      <c r="A119" s="13"/>
      <c r="B119" s="22"/>
      <c r="C119" s="13"/>
      <c r="D119" s="13"/>
      <c r="E119" s="13"/>
      <c r="F119" s="12"/>
      <c r="G119" s="23">
        <f>IFERROR(SUMIFS(Transactions!$F$7:$F$996,Transactions!$G$7:$G$996,A119,Transactions!$D$7:$D$996,"Expense"),0)</f>
        <v>0</v>
      </c>
      <c r="H119" s="13"/>
      <c r="I119" s="13"/>
      <c r="J119" s="13"/>
    </row>
    <row r="120" ht="19.5" customHeight="1">
      <c r="A120" s="13"/>
      <c r="B120" s="22"/>
      <c r="C120" s="13"/>
      <c r="D120" s="13"/>
      <c r="E120" s="13"/>
      <c r="F120" s="12"/>
      <c r="G120" s="23">
        <f>IFERROR(SUMIFS(Transactions!$F$7:$F$996,Transactions!$G$7:$G$996,A120,Transactions!$D$7:$D$996,"Expense"),0)</f>
        <v>0</v>
      </c>
      <c r="H120" s="13"/>
      <c r="I120" s="13"/>
      <c r="J120" s="13"/>
    </row>
    <row r="121" ht="19.5" customHeight="1">
      <c r="A121" s="13"/>
      <c r="B121" s="22"/>
      <c r="C121" s="13"/>
      <c r="D121" s="13"/>
      <c r="E121" s="13"/>
      <c r="F121" s="12"/>
      <c r="G121" s="23">
        <f>IFERROR(SUMIFS(Transactions!$F$7:$F$996,Transactions!$G$7:$G$996,A121,Transactions!$D$7:$D$996,"Expense"),0)</f>
        <v>0</v>
      </c>
      <c r="H121" s="13"/>
      <c r="I121" s="13"/>
      <c r="J121" s="13"/>
    </row>
    <row r="122" ht="19.5" customHeight="1">
      <c r="A122" s="13"/>
      <c r="B122" s="22"/>
      <c r="C122" s="13"/>
      <c r="D122" s="13"/>
      <c r="E122" s="13"/>
      <c r="F122" s="12"/>
      <c r="G122" s="23">
        <f>IFERROR(SUMIFS(Transactions!$F$7:$F$996,Transactions!$G$7:$G$996,A122,Transactions!$D$7:$D$996,"Expense"),0)</f>
        <v>0</v>
      </c>
      <c r="H122" s="13"/>
      <c r="I122" s="13"/>
      <c r="J122" s="13"/>
    </row>
    <row r="123" ht="19.5" customHeight="1">
      <c r="A123" s="13"/>
      <c r="B123" s="22"/>
      <c r="C123" s="13"/>
      <c r="D123" s="13"/>
      <c r="E123" s="13"/>
      <c r="F123" s="12"/>
      <c r="G123" s="23">
        <f>IFERROR(SUMIFS(Transactions!$F$7:$F$996,Transactions!$G$7:$G$996,A123,Transactions!$D$7:$D$996,"Expense"),0)</f>
        <v>0</v>
      </c>
      <c r="H123" s="13"/>
      <c r="I123" s="13"/>
      <c r="J123" s="13"/>
    </row>
    <row r="124" ht="19.5" customHeight="1">
      <c r="A124" s="13"/>
      <c r="B124" s="22"/>
      <c r="C124" s="13"/>
      <c r="D124" s="13"/>
      <c r="E124" s="13"/>
      <c r="F124" s="12"/>
      <c r="G124" s="23">
        <f>IFERROR(SUMIFS(Transactions!$F$7:$F$996,Transactions!$G$7:$G$996,A124,Transactions!$D$7:$D$996,"Expense"),0)</f>
        <v>0</v>
      </c>
      <c r="H124" s="13"/>
      <c r="I124" s="13"/>
      <c r="J124" s="13"/>
    </row>
    <row r="125" ht="19.5" customHeight="1">
      <c r="A125" s="13"/>
      <c r="B125" s="22"/>
      <c r="C125" s="13"/>
      <c r="D125" s="13"/>
      <c r="E125" s="13"/>
      <c r="F125" s="12"/>
      <c r="G125" s="23">
        <f>IFERROR(SUMIFS(Transactions!$F$7:$F$996,Transactions!$G$7:$G$996,A125,Transactions!$D$7:$D$996,"Expense"),0)</f>
        <v>0</v>
      </c>
      <c r="H125" s="13"/>
      <c r="I125" s="13"/>
      <c r="J125" s="13"/>
    </row>
    <row r="126" ht="19.5" customHeight="1">
      <c r="A126" s="13"/>
      <c r="B126" s="22"/>
      <c r="C126" s="13"/>
      <c r="D126" s="13"/>
      <c r="E126" s="13"/>
      <c r="F126" s="12"/>
      <c r="G126" s="23">
        <f>IFERROR(SUMIFS(Transactions!$F$7:$F$996,Transactions!$G$7:$G$996,A126,Transactions!$D$7:$D$996,"Expense"),0)</f>
        <v>0</v>
      </c>
      <c r="H126" s="13"/>
      <c r="I126" s="13"/>
      <c r="J126" s="13"/>
    </row>
    <row r="127" ht="19.5" customHeight="1">
      <c r="A127" s="13"/>
      <c r="B127" s="22"/>
      <c r="C127" s="13"/>
      <c r="D127" s="13"/>
      <c r="E127" s="13"/>
      <c r="F127" s="12"/>
      <c r="G127" s="23">
        <f>IFERROR(SUMIFS(Transactions!$F$7:$F$996,Transactions!$G$7:$G$996,A127,Transactions!$D$7:$D$996,"Expense"),0)</f>
        <v>0</v>
      </c>
      <c r="H127" s="13"/>
      <c r="I127" s="13"/>
      <c r="J127" s="13"/>
    </row>
    <row r="128" ht="19.5" customHeight="1">
      <c r="A128" s="13"/>
      <c r="B128" s="22"/>
      <c r="C128" s="13"/>
      <c r="D128" s="13"/>
      <c r="E128" s="13"/>
      <c r="F128" s="12"/>
      <c r="G128" s="23">
        <f>IFERROR(SUMIFS(Transactions!$F$7:$F$996,Transactions!$G$7:$G$996,A128,Transactions!$D$7:$D$996,"Expense"),0)</f>
        <v>0</v>
      </c>
      <c r="H128" s="13"/>
      <c r="I128" s="13"/>
      <c r="J128" s="13"/>
    </row>
    <row r="129" ht="19.5" customHeight="1">
      <c r="A129" s="13"/>
      <c r="B129" s="22"/>
      <c r="C129" s="13"/>
      <c r="D129" s="13"/>
      <c r="E129" s="13"/>
      <c r="F129" s="12"/>
      <c r="G129" s="23">
        <f>IFERROR(SUMIFS(Transactions!$F$7:$F$996,Transactions!$G$7:$G$996,A129,Transactions!$D$7:$D$996,"Expense"),0)</f>
        <v>0</v>
      </c>
      <c r="H129" s="13"/>
      <c r="I129" s="13"/>
      <c r="J129" s="13"/>
    </row>
    <row r="130" ht="19.5" customHeight="1">
      <c r="A130" s="13"/>
      <c r="B130" s="22"/>
      <c r="C130" s="13"/>
      <c r="D130" s="13"/>
      <c r="E130" s="13"/>
      <c r="F130" s="12"/>
      <c r="G130" s="23">
        <f>IFERROR(SUMIFS(Transactions!$F$7:$F$996,Transactions!$G$7:$G$996,A130,Transactions!$D$7:$D$996,"Expense"),0)</f>
        <v>0</v>
      </c>
      <c r="H130" s="13"/>
      <c r="I130" s="13"/>
      <c r="J130" s="13"/>
    </row>
    <row r="131" ht="19.5" customHeight="1">
      <c r="A131" s="13"/>
      <c r="B131" s="22"/>
      <c r="C131" s="13"/>
      <c r="D131" s="13"/>
      <c r="E131" s="13"/>
      <c r="F131" s="12"/>
      <c r="G131" s="23">
        <f>IFERROR(SUMIFS(Transactions!$F$7:$F$996,Transactions!$G$7:$G$996,A131,Transactions!$D$7:$D$996,"Expense"),0)</f>
        <v>0</v>
      </c>
      <c r="H131" s="13"/>
      <c r="I131" s="13"/>
      <c r="J131" s="13"/>
    </row>
    <row r="132" ht="19.5" customHeight="1">
      <c r="A132" s="13"/>
      <c r="B132" s="22"/>
      <c r="C132" s="13"/>
      <c r="D132" s="13"/>
      <c r="E132" s="13"/>
      <c r="F132" s="12"/>
      <c r="G132" s="23">
        <f>IFERROR(SUMIFS(Transactions!$F$7:$F$996,Transactions!$G$7:$G$996,A132,Transactions!$D$7:$D$996,"Expense"),0)</f>
        <v>0</v>
      </c>
      <c r="H132" s="13"/>
      <c r="I132" s="13"/>
      <c r="J132" s="13"/>
    </row>
    <row r="133" ht="19.5" customHeight="1">
      <c r="A133" s="13"/>
      <c r="B133" s="22"/>
      <c r="C133" s="13"/>
      <c r="D133" s="13"/>
      <c r="E133" s="13"/>
      <c r="F133" s="12"/>
      <c r="G133" s="23">
        <f>IFERROR(SUMIFS(Transactions!$F$7:$F$996,Transactions!$G$7:$G$996,A133,Transactions!$D$7:$D$996,"Expense"),0)</f>
        <v>0</v>
      </c>
      <c r="H133" s="13"/>
      <c r="I133" s="13"/>
      <c r="J133" s="13"/>
    </row>
    <row r="134" ht="19.5" customHeight="1">
      <c r="A134" s="13"/>
      <c r="B134" s="22"/>
      <c r="C134" s="13"/>
      <c r="D134" s="13"/>
      <c r="E134" s="13"/>
      <c r="F134" s="12"/>
      <c r="G134" s="23">
        <f>IFERROR(SUMIFS(Transactions!$F$7:$F$996,Transactions!$G$7:$G$996,A134,Transactions!$D$7:$D$996,"Expense"),0)</f>
        <v>0</v>
      </c>
      <c r="H134" s="13"/>
      <c r="I134" s="13"/>
      <c r="J134" s="13"/>
    </row>
    <row r="135" ht="19.5" customHeight="1">
      <c r="A135" s="13"/>
      <c r="B135" s="22"/>
      <c r="C135" s="13"/>
      <c r="D135" s="13"/>
      <c r="E135" s="13"/>
      <c r="F135" s="12"/>
      <c r="G135" s="23">
        <f>IFERROR(SUMIFS(Transactions!$F$7:$F$996,Transactions!$G$7:$G$996,A135,Transactions!$D$7:$D$996,"Expense"),0)</f>
        <v>0</v>
      </c>
      <c r="H135" s="13"/>
      <c r="I135" s="13"/>
      <c r="J135" s="13"/>
    </row>
    <row r="136" ht="19.5" customHeight="1">
      <c r="A136" s="13"/>
      <c r="B136" s="22"/>
      <c r="C136" s="13"/>
      <c r="D136" s="13"/>
      <c r="E136" s="13"/>
      <c r="F136" s="12"/>
      <c r="G136" s="23">
        <f>IFERROR(SUMIFS(Transactions!$F$7:$F$996,Transactions!$G$7:$G$996,A136,Transactions!$D$7:$D$996,"Expense"),0)</f>
        <v>0</v>
      </c>
      <c r="H136" s="13"/>
      <c r="I136" s="13"/>
      <c r="J136" s="13"/>
    </row>
    <row r="137" ht="19.5" customHeight="1">
      <c r="A137" s="13"/>
      <c r="B137" s="22"/>
      <c r="C137" s="13"/>
      <c r="D137" s="13"/>
      <c r="E137" s="13"/>
      <c r="F137" s="12"/>
      <c r="G137" s="23">
        <f>IFERROR(SUMIFS(Transactions!$F$7:$F$996,Transactions!$G$7:$G$996,A137,Transactions!$D$7:$D$996,"Expense"),0)</f>
        <v>0</v>
      </c>
      <c r="H137" s="13"/>
      <c r="I137" s="13"/>
      <c r="J137" s="13"/>
    </row>
    <row r="138" ht="19.5" customHeight="1">
      <c r="A138" s="13"/>
      <c r="B138" s="22"/>
      <c r="C138" s="13"/>
      <c r="D138" s="13"/>
      <c r="E138" s="13"/>
      <c r="F138" s="12"/>
      <c r="G138" s="23">
        <f>IFERROR(SUMIFS(Transactions!$F$7:$F$996,Transactions!$G$7:$G$996,A138,Transactions!$D$7:$D$996,"Expense"),0)</f>
        <v>0</v>
      </c>
      <c r="H138" s="13"/>
      <c r="I138" s="13"/>
      <c r="J138" s="13"/>
    </row>
    <row r="139" ht="19.5" customHeight="1">
      <c r="A139" s="13"/>
      <c r="B139" s="22"/>
      <c r="C139" s="13"/>
      <c r="D139" s="13"/>
      <c r="E139" s="13"/>
      <c r="F139" s="12"/>
      <c r="G139" s="23">
        <f>IFERROR(SUMIFS(Transactions!$F$7:$F$996,Transactions!$G$7:$G$996,A139,Transactions!$D$7:$D$996,"Expense"),0)</f>
        <v>0</v>
      </c>
      <c r="H139" s="13"/>
      <c r="I139" s="13"/>
      <c r="J139" s="13"/>
    </row>
    <row r="140" ht="19.5" customHeight="1">
      <c r="A140" s="13"/>
      <c r="B140" s="22"/>
      <c r="C140" s="13"/>
      <c r="D140" s="13"/>
      <c r="E140" s="13"/>
      <c r="F140" s="12"/>
      <c r="G140" s="23">
        <f>IFERROR(SUMIFS(Transactions!$F$7:$F$996,Transactions!$G$7:$G$996,A140,Transactions!$D$7:$D$996,"Expense"),0)</f>
        <v>0</v>
      </c>
      <c r="H140" s="13"/>
      <c r="I140" s="13"/>
      <c r="J140" s="13"/>
    </row>
    <row r="141" ht="19.5" customHeight="1">
      <c r="A141" s="13"/>
      <c r="B141" s="22"/>
      <c r="C141" s="13"/>
      <c r="D141" s="13"/>
      <c r="E141" s="13"/>
      <c r="F141" s="12"/>
      <c r="G141" s="23">
        <f>IFERROR(SUMIFS(Transactions!$F$7:$F$996,Transactions!$G$7:$G$996,A141,Transactions!$D$7:$D$996,"Expense"),0)</f>
        <v>0</v>
      </c>
      <c r="H141" s="13"/>
      <c r="I141" s="13"/>
      <c r="J141" s="13"/>
    </row>
    <row r="142" ht="19.5" customHeight="1">
      <c r="A142" s="13"/>
      <c r="B142" s="22"/>
      <c r="C142" s="13"/>
      <c r="D142" s="13"/>
      <c r="E142" s="13"/>
      <c r="F142" s="12"/>
      <c r="G142" s="23">
        <f>IFERROR(SUMIFS(Transactions!$F$7:$F$996,Transactions!$G$7:$G$996,A142,Transactions!$D$7:$D$996,"Expense"),0)</f>
        <v>0</v>
      </c>
      <c r="H142" s="13"/>
      <c r="I142" s="13"/>
      <c r="J142" s="13"/>
    </row>
    <row r="143" ht="19.5" customHeight="1">
      <c r="A143" s="13"/>
      <c r="B143" s="22"/>
      <c r="C143" s="13"/>
      <c r="D143" s="13"/>
      <c r="E143" s="13"/>
      <c r="F143" s="12"/>
      <c r="G143" s="23">
        <f>IFERROR(SUMIFS(Transactions!$F$7:$F$996,Transactions!$G$7:$G$996,A143,Transactions!$D$7:$D$996,"Expense"),0)</f>
        <v>0</v>
      </c>
      <c r="H143" s="13"/>
      <c r="I143" s="13"/>
      <c r="J143" s="13"/>
    </row>
    <row r="144" ht="19.5" customHeight="1">
      <c r="A144" s="13"/>
      <c r="B144" s="22"/>
      <c r="C144" s="13"/>
      <c r="D144" s="13"/>
      <c r="E144" s="13"/>
      <c r="F144" s="12"/>
      <c r="G144" s="23">
        <f>IFERROR(SUMIFS(Transactions!$F$7:$F$996,Transactions!$G$7:$G$996,A144,Transactions!$D$7:$D$996,"Expense"),0)</f>
        <v>0</v>
      </c>
      <c r="H144" s="13"/>
      <c r="I144" s="13"/>
      <c r="J144" s="13"/>
    </row>
    <row r="145" ht="19.5" customHeight="1">
      <c r="A145" s="13"/>
      <c r="B145" s="22"/>
      <c r="C145" s="13"/>
      <c r="D145" s="13"/>
      <c r="E145" s="13"/>
      <c r="F145" s="12"/>
      <c r="G145" s="23">
        <f>IFERROR(SUMIFS(Transactions!$F$7:$F$996,Transactions!$G$7:$G$996,A145,Transactions!$D$7:$D$996,"Expense"),0)</f>
        <v>0</v>
      </c>
      <c r="H145" s="13"/>
      <c r="I145" s="13"/>
      <c r="J145" s="13"/>
    </row>
    <row r="146" ht="19.5" customHeight="1">
      <c r="A146" s="13"/>
      <c r="B146" s="22"/>
      <c r="C146" s="13"/>
      <c r="D146" s="13"/>
      <c r="E146" s="13"/>
      <c r="F146" s="12"/>
      <c r="G146" s="23">
        <f>IFERROR(SUMIFS(Transactions!$F$7:$F$996,Transactions!$G$7:$G$996,A146,Transactions!$D$7:$D$996,"Expense"),0)</f>
        <v>0</v>
      </c>
      <c r="H146" s="13"/>
      <c r="I146" s="13"/>
      <c r="J146" s="13"/>
    </row>
    <row r="147" ht="19.5" customHeight="1">
      <c r="A147" s="13"/>
      <c r="B147" s="22"/>
      <c r="C147" s="13"/>
      <c r="D147" s="13"/>
      <c r="E147" s="13"/>
      <c r="F147" s="12"/>
      <c r="G147" s="23">
        <f>IFERROR(SUMIFS(Transactions!$F$7:$F$996,Transactions!$G$7:$G$996,A147,Transactions!$D$7:$D$996,"Expense"),0)</f>
        <v>0</v>
      </c>
      <c r="H147" s="13"/>
      <c r="I147" s="13"/>
      <c r="J147" s="13"/>
    </row>
    <row r="148" ht="19.5" customHeight="1">
      <c r="A148" s="13"/>
      <c r="B148" s="22"/>
      <c r="C148" s="13"/>
      <c r="D148" s="13"/>
      <c r="E148" s="13"/>
      <c r="F148" s="12"/>
      <c r="G148" s="23">
        <f>IFERROR(SUMIFS(Transactions!$F$7:$F$996,Transactions!$G$7:$G$996,A148,Transactions!$D$7:$D$996,"Expense"),0)</f>
        <v>0</v>
      </c>
      <c r="H148" s="13"/>
      <c r="I148" s="13"/>
      <c r="J148" s="13"/>
    </row>
    <row r="149" ht="19.5" customHeight="1">
      <c r="A149" s="13"/>
      <c r="B149" s="22"/>
      <c r="C149" s="13"/>
      <c r="D149" s="13"/>
      <c r="E149" s="13"/>
      <c r="F149" s="12"/>
      <c r="G149" s="23">
        <f>IFERROR(SUMIFS(Transactions!$F$7:$F$996,Transactions!$G$7:$G$996,A149,Transactions!$D$7:$D$996,"Expense"),0)</f>
        <v>0</v>
      </c>
      <c r="H149" s="13"/>
      <c r="I149" s="13"/>
      <c r="J149" s="13"/>
    </row>
    <row r="150" ht="19.5" customHeight="1">
      <c r="A150" s="13"/>
      <c r="B150" s="22"/>
      <c r="C150" s="13"/>
      <c r="D150" s="13"/>
      <c r="E150" s="13"/>
      <c r="F150" s="12"/>
      <c r="G150" s="23">
        <f>IFERROR(SUMIFS(Transactions!$F$7:$F$996,Transactions!$G$7:$G$996,A150,Transactions!$D$7:$D$996,"Expense"),0)</f>
        <v>0</v>
      </c>
      <c r="H150" s="13"/>
      <c r="I150" s="13"/>
      <c r="J150" s="13"/>
    </row>
    <row r="151" ht="19.5" customHeight="1">
      <c r="A151" s="13"/>
      <c r="B151" s="22"/>
      <c r="C151" s="13"/>
      <c r="D151" s="13"/>
      <c r="E151" s="13"/>
      <c r="F151" s="12"/>
      <c r="G151" s="23">
        <f>IFERROR(SUMIFS(Transactions!$F$7:$F$996,Transactions!$G$7:$G$996,A151,Transactions!$D$7:$D$996,"Expense"),0)</f>
        <v>0</v>
      </c>
      <c r="H151" s="13"/>
      <c r="I151" s="13"/>
      <c r="J151" s="13"/>
    </row>
    <row r="152" ht="19.5" customHeight="1">
      <c r="A152" s="13"/>
      <c r="B152" s="22"/>
      <c r="C152" s="13"/>
      <c r="D152" s="13"/>
      <c r="E152" s="13"/>
      <c r="F152" s="12"/>
      <c r="G152" s="23">
        <f>IFERROR(SUMIFS(Transactions!$F$7:$F$996,Transactions!$G$7:$G$996,A152,Transactions!$D$7:$D$996,"Expense"),0)</f>
        <v>0</v>
      </c>
      <c r="H152" s="13"/>
      <c r="I152" s="13"/>
      <c r="J152" s="13"/>
    </row>
    <row r="153" ht="19.5" customHeight="1">
      <c r="A153" s="13"/>
      <c r="B153" s="22"/>
      <c r="C153" s="13"/>
      <c r="D153" s="13"/>
      <c r="E153" s="13"/>
      <c r="F153" s="12"/>
      <c r="G153" s="23">
        <f>IFERROR(SUMIFS(Transactions!$F$7:$F$996,Transactions!$G$7:$G$996,A153,Transactions!$D$7:$D$996,"Expense"),0)</f>
        <v>0</v>
      </c>
      <c r="H153" s="13"/>
      <c r="I153" s="13"/>
      <c r="J153" s="13"/>
    </row>
    <row r="154" ht="19.5" customHeight="1">
      <c r="A154" s="13"/>
      <c r="B154" s="22"/>
      <c r="C154" s="13"/>
      <c r="D154" s="13"/>
      <c r="E154" s="13"/>
      <c r="F154" s="12"/>
      <c r="G154" s="23">
        <f>IFERROR(SUMIFS(Transactions!$F$7:$F$996,Transactions!$G$7:$G$996,A154,Transactions!$D$7:$D$996,"Expense"),0)</f>
        <v>0</v>
      </c>
      <c r="H154" s="13"/>
      <c r="I154" s="13"/>
      <c r="J154" s="13"/>
    </row>
    <row r="155" ht="19.5" customHeight="1">
      <c r="A155" s="13"/>
      <c r="B155" s="22"/>
      <c r="C155" s="13"/>
      <c r="D155" s="13"/>
      <c r="E155" s="13"/>
      <c r="F155" s="12"/>
      <c r="G155" s="23">
        <f>IFERROR(SUMIFS(Transactions!$F$7:$F$996,Transactions!$G$7:$G$996,A155,Transactions!$D$7:$D$996,"Expense"),0)</f>
        <v>0</v>
      </c>
      <c r="H155" s="13"/>
      <c r="I155" s="13"/>
      <c r="J155" s="13"/>
    </row>
    <row r="156" ht="19.5" customHeight="1">
      <c r="A156" s="13"/>
      <c r="B156" s="22"/>
      <c r="C156" s="13"/>
      <c r="D156" s="13"/>
      <c r="E156" s="13"/>
      <c r="F156" s="12"/>
      <c r="G156" s="23">
        <f>IFERROR(SUMIFS(Transactions!$F$7:$F$996,Transactions!$G$7:$G$996,A156,Transactions!$D$7:$D$996,"Expense"),0)</f>
        <v>0</v>
      </c>
      <c r="H156" s="13"/>
      <c r="I156" s="13"/>
      <c r="J156" s="13"/>
    </row>
    <row r="157" ht="19.5" customHeight="1">
      <c r="A157" s="13"/>
      <c r="B157" s="22"/>
      <c r="C157" s="13"/>
      <c r="D157" s="13"/>
      <c r="E157" s="13"/>
      <c r="F157" s="12"/>
      <c r="G157" s="23">
        <f>IFERROR(SUMIFS(Transactions!$F$7:$F$996,Transactions!$G$7:$G$996,A157,Transactions!$D$7:$D$996,"Expense"),0)</f>
        <v>0</v>
      </c>
      <c r="H157" s="13"/>
      <c r="I157" s="13"/>
      <c r="J157" s="13"/>
    </row>
    <row r="158" ht="19.5" customHeight="1">
      <c r="A158" s="13"/>
      <c r="B158" s="22"/>
      <c r="C158" s="13"/>
      <c r="D158" s="13"/>
      <c r="E158" s="13"/>
      <c r="F158" s="12"/>
      <c r="G158" s="23">
        <f>IFERROR(SUMIFS(Transactions!$F$7:$F$996,Transactions!$G$7:$G$996,A158,Transactions!$D$7:$D$996,"Expense"),0)</f>
        <v>0</v>
      </c>
      <c r="H158" s="13"/>
      <c r="I158" s="13"/>
      <c r="J158" s="13"/>
    </row>
    <row r="159" ht="19.5" customHeight="1">
      <c r="A159" s="13"/>
      <c r="B159" s="22"/>
      <c r="C159" s="13"/>
      <c r="D159" s="13"/>
      <c r="E159" s="13"/>
      <c r="F159" s="12"/>
      <c r="G159" s="23">
        <f>IFERROR(SUMIFS(Transactions!$F$7:$F$996,Transactions!$G$7:$G$996,A159,Transactions!$D$7:$D$996,"Expense"),0)</f>
        <v>0</v>
      </c>
      <c r="H159" s="13"/>
      <c r="I159" s="13"/>
      <c r="J159" s="13"/>
    </row>
    <row r="160" ht="19.5" customHeight="1">
      <c r="A160" s="13"/>
      <c r="B160" s="22"/>
      <c r="C160" s="13"/>
      <c r="D160" s="13"/>
      <c r="E160" s="13"/>
      <c r="F160" s="12"/>
      <c r="G160" s="23">
        <f>IFERROR(SUMIFS(Transactions!$F$7:$F$996,Transactions!$G$7:$G$996,A160,Transactions!$D$7:$D$996,"Expense"),0)</f>
        <v>0</v>
      </c>
      <c r="H160" s="13"/>
      <c r="I160" s="13"/>
      <c r="J160" s="13"/>
    </row>
    <row r="161" ht="19.5" customHeight="1">
      <c r="A161" s="13"/>
      <c r="B161" s="22"/>
      <c r="C161" s="13"/>
      <c r="D161" s="13"/>
      <c r="E161" s="13"/>
      <c r="F161" s="12"/>
      <c r="G161" s="23">
        <f>IFERROR(SUMIFS(Transactions!$F$7:$F$996,Transactions!$G$7:$G$996,A161,Transactions!$D$7:$D$996,"Expense"),0)</f>
        <v>0</v>
      </c>
      <c r="H161" s="13"/>
      <c r="I161" s="13"/>
      <c r="J161" s="13"/>
    </row>
    <row r="162" ht="19.5" customHeight="1">
      <c r="A162" s="13"/>
      <c r="B162" s="22"/>
      <c r="C162" s="13"/>
      <c r="D162" s="13"/>
      <c r="E162" s="13"/>
      <c r="F162" s="12"/>
      <c r="G162" s="23">
        <f>IFERROR(SUMIFS(Transactions!$F$7:$F$996,Transactions!$G$7:$G$996,A162,Transactions!$D$7:$D$996,"Expense"),0)</f>
        <v>0</v>
      </c>
      <c r="H162" s="13"/>
      <c r="I162" s="13"/>
      <c r="J162" s="13"/>
    </row>
    <row r="163" ht="19.5" customHeight="1">
      <c r="A163" s="13"/>
      <c r="B163" s="22"/>
      <c r="C163" s="13"/>
      <c r="D163" s="13"/>
      <c r="E163" s="13"/>
      <c r="F163" s="12"/>
      <c r="G163" s="23">
        <f>IFERROR(SUMIFS(Transactions!$F$7:$F$996,Transactions!$G$7:$G$996,A163,Transactions!$D$7:$D$996,"Expense"),0)</f>
        <v>0</v>
      </c>
      <c r="H163" s="13"/>
      <c r="I163" s="13"/>
      <c r="J163" s="13"/>
    </row>
    <row r="164" ht="19.5" customHeight="1">
      <c r="A164" s="13"/>
      <c r="B164" s="22"/>
      <c r="C164" s="13"/>
      <c r="D164" s="13"/>
      <c r="E164" s="13"/>
      <c r="F164" s="12"/>
      <c r="G164" s="23">
        <f>IFERROR(SUMIFS(Transactions!$F$7:$F$996,Transactions!$G$7:$G$996,A164,Transactions!$D$7:$D$996,"Expense"),0)</f>
        <v>0</v>
      </c>
      <c r="H164" s="13"/>
      <c r="I164" s="13"/>
      <c r="J164" s="13"/>
    </row>
    <row r="165" ht="19.5" customHeight="1">
      <c r="A165" s="13"/>
      <c r="B165" s="22"/>
      <c r="C165" s="13"/>
      <c r="D165" s="13"/>
      <c r="E165" s="13"/>
      <c r="F165" s="12"/>
      <c r="G165" s="23">
        <f>IFERROR(SUMIFS(Transactions!$F$7:$F$996,Transactions!$G$7:$G$996,A165,Transactions!$D$7:$D$996,"Expense"),0)</f>
        <v>0</v>
      </c>
      <c r="H165" s="13"/>
      <c r="I165" s="13"/>
      <c r="J165" s="13"/>
    </row>
    <row r="166" ht="19.5" customHeight="1">
      <c r="A166" s="13"/>
      <c r="B166" s="22"/>
      <c r="C166" s="13"/>
      <c r="D166" s="13"/>
      <c r="E166" s="13"/>
      <c r="F166" s="12"/>
      <c r="G166" s="23">
        <f>IFERROR(SUMIFS(Transactions!$F$7:$F$996,Transactions!$G$7:$G$996,A166,Transactions!$D$7:$D$996,"Expense"),0)</f>
        <v>0</v>
      </c>
      <c r="H166" s="13"/>
      <c r="I166" s="13"/>
      <c r="J166" s="13"/>
    </row>
    <row r="167" ht="19.5" customHeight="1">
      <c r="A167" s="13"/>
      <c r="B167" s="22"/>
      <c r="C167" s="13"/>
      <c r="D167" s="13"/>
      <c r="E167" s="13"/>
      <c r="F167" s="12"/>
      <c r="G167" s="23">
        <f>IFERROR(SUMIFS(Transactions!$F$7:$F$996,Transactions!$G$7:$G$996,A167,Transactions!$D$7:$D$996,"Expense"),0)</f>
        <v>0</v>
      </c>
      <c r="H167" s="13"/>
      <c r="I167" s="13"/>
      <c r="J167" s="13"/>
    </row>
    <row r="168" ht="19.5" customHeight="1">
      <c r="A168" s="13"/>
      <c r="B168" s="22"/>
      <c r="C168" s="13"/>
      <c r="D168" s="13"/>
      <c r="E168" s="13"/>
      <c r="F168" s="12"/>
      <c r="G168" s="23">
        <f>IFERROR(SUMIFS(Transactions!$F$7:$F$996,Transactions!$G$7:$G$996,A168,Transactions!$D$7:$D$996,"Expense"),0)</f>
        <v>0</v>
      </c>
      <c r="H168" s="13"/>
      <c r="I168" s="13"/>
      <c r="J168" s="13"/>
    </row>
    <row r="169" ht="19.5" customHeight="1">
      <c r="A169" s="13"/>
      <c r="B169" s="22"/>
      <c r="C169" s="13"/>
      <c r="D169" s="13"/>
      <c r="E169" s="13"/>
      <c r="F169" s="12"/>
      <c r="G169" s="23">
        <f>IFERROR(SUMIFS(Transactions!$F$7:$F$996,Transactions!$G$7:$G$996,A169,Transactions!$D$7:$D$996,"Expense"),0)</f>
        <v>0</v>
      </c>
      <c r="H169" s="13"/>
      <c r="I169" s="13"/>
      <c r="J169" s="13"/>
    </row>
    <row r="170" ht="19.5" customHeight="1">
      <c r="A170" s="13"/>
      <c r="B170" s="22"/>
      <c r="C170" s="13"/>
      <c r="D170" s="13"/>
      <c r="E170" s="13"/>
      <c r="F170" s="12"/>
      <c r="G170" s="23">
        <f>IFERROR(SUMIFS(Transactions!$F$7:$F$996,Transactions!$G$7:$G$996,A170,Transactions!$D$7:$D$996,"Expense"),0)</f>
        <v>0</v>
      </c>
      <c r="H170" s="13"/>
      <c r="I170" s="13"/>
      <c r="J170" s="13"/>
    </row>
    <row r="171" ht="19.5" customHeight="1">
      <c r="A171" s="13"/>
      <c r="B171" s="22"/>
      <c r="C171" s="13"/>
      <c r="D171" s="13"/>
      <c r="E171" s="13"/>
      <c r="F171" s="12"/>
      <c r="G171" s="23">
        <f>IFERROR(SUMIFS(Transactions!$F$7:$F$996,Transactions!$G$7:$G$996,A171,Transactions!$D$7:$D$996,"Expense"),0)</f>
        <v>0</v>
      </c>
      <c r="H171" s="13"/>
      <c r="I171" s="13"/>
      <c r="J171" s="13"/>
    </row>
    <row r="172" ht="19.5" customHeight="1">
      <c r="A172" s="13"/>
      <c r="B172" s="22"/>
      <c r="C172" s="13"/>
      <c r="D172" s="13"/>
      <c r="E172" s="13"/>
      <c r="F172" s="12"/>
      <c r="G172" s="23">
        <f>IFERROR(SUMIFS(Transactions!$F$7:$F$996,Transactions!$G$7:$G$996,A172,Transactions!$D$7:$D$996,"Expense"),0)</f>
        <v>0</v>
      </c>
      <c r="H172" s="13"/>
      <c r="I172" s="13"/>
      <c r="J172" s="13"/>
    </row>
    <row r="173" ht="19.5" customHeight="1">
      <c r="A173" s="13"/>
      <c r="B173" s="22"/>
      <c r="C173" s="13"/>
      <c r="D173" s="13"/>
      <c r="E173" s="13"/>
      <c r="F173" s="12"/>
      <c r="G173" s="23">
        <f>IFERROR(SUMIFS(Transactions!$F$7:$F$996,Transactions!$G$7:$G$996,A173,Transactions!$D$7:$D$996,"Expense"),0)</f>
        <v>0</v>
      </c>
      <c r="H173" s="13"/>
      <c r="I173" s="13"/>
      <c r="J173" s="13"/>
    </row>
    <row r="174" ht="19.5" customHeight="1">
      <c r="A174" s="13"/>
      <c r="B174" s="22"/>
      <c r="C174" s="13"/>
      <c r="D174" s="13"/>
      <c r="E174" s="13"/>
      <c r="F174" s="12"/>
      <c r="G174" s="23">
        <f>IFERROR(SUMIFS(Transactions!$F$7:$F$996,Transactions!$G$7:$G$996,A174,Transactions!$D$7:$D$996,"Expense"),0)</f>
        <v>0</v>
      </c>
      <c r="H174" s="13"/>
      <c r="I174" s="13"/>
      <c r="J174" s="13"/>
    </row>
    <row r="175" ht="19.5" customHeight="1">
      <c r="A175" s="13"/>
      <c r="B175" s="22"/>
      <c r="C175" s="13"/>
      <c r="D175" s="13"/>
      <c r="E175" s="13"/>
      <c r="F175" s="12"/>
      <c r="G175" s="23">
        <f>IFERROR(SUMIFS(Transactions!$F$7:$F$996,Transactions!$G$7:$G$996,A175,Transactions!$D$7:$D$996,"Expense"),0)</f>
        <v>0</v>
      </c>
      <c r="H175" s="13"/>
      <c r="I175" s="13"/>
      <c r="J175" s="13"/>
    </row>
    <row r="176" ht="19.5" customHeight="1">
      <c r="A176" s="13"/>
      <c r="B176" s="22"/>
      <c r="C176" s="13"/>
      <c r="D176" s="13"/>
      <c r="E176" s="13"/>
      <c r="F176" s="12"/>
      <c r="G176" s="23">
        <f>IFERROR(SUMIFS(Transactions!$F$7:$F$996,Transactions!$G$7:$G$996,A176,Transactions!$D$7:$D$996,"Expense"),0)</f>
        <v>0</v>
      </c>
      <c r="H176" s="13"/>
      <c r="I176" s="13"/>
      <c r="J176" s="13"/>
    </row>
    <row r="177" ht="19.5" customHeight="1">
      <c r="A177" s="13"/>
      <c r="B177" s="22"/>
      <c r="C177" s="13"/>
      <c r="D177" s="13"/>
      <c r="E177" s="13"/>
      <c r="F177" s="12"/>
      <c r="G177" s="23">
        <f>IFERROR(SUMIFS(Transactions!$F$7:$F$996,Transactions!$G$7:$G$996,A177,Transactions!$D$7:$D$996,"Expense"),0)</f>
        <v>0</v>
      </c>
      <c r="H177" s="13"/>
      <c r="I177" s="13"/>
      <c r="J177" s="13"/>
    </row>
    <row r="178" ht="19.5" customHeight="1">
      <c r="A178" s="13"/>
      <c r="B178" s="22"/>
      <c r="C178" s="13"/>
      <c r="D178" s="13"/>
      <c r="E178" s="13"/>
      <c r="F178" s="12"/>
      <c r="G178" s="23">
        <f>IFERROR(SUMIFS(Transactions!$F$7:$F$996,Transactions!$G$7:$G$996,A178,Transactions!$D$7:$D$996,"Expense"),0)</f>
        <v>0</v>
      </c>
      <c r="H178" s="13"/>
      <c r="I178" s="13"/>
      <c r="J178" s="13"/>
    </row>
    <row r="179" ht="19.5" customHeight="1">
      <c r="A179" s="13"/>
      <c r="B179" s="22"/>
      <c r="C179" s="13"/>
      <c r="D179" s="13"/>
      <c r="E179" s="13"/>
      <c r="F179" s="12"/>
      <c r="G179" s="23">
        <f>IFERROR(SUMIFS(Transactions!$F$7:$F$996,Transactions!$G$7:$G$996,A179,Transactions!$D$7:$D$996,"Expense"),0)</f>
        <v>0</v>
      </c>
      <c r="H179" s="13"/>
      <c r="I179" s="13"/>
      <c r="J179" s="13"/>
    </row>
    <row r="180" ht="19.5" customHeight="1">
      <c r="A180" s="13"/>
      <c r="B180" s="22"/>
      <c r="C180" s="13"/>
      <c r="D180" s="13"/>
      <c r="E180" s="13"/>
      <c r="F180" s="12"/>
      <c r="G180" s="23">
        <f>IFERROR(SUMIFS(Transactions!$F$7:$F$996,Transactions!$G$7:$G$996,A180,Transactions!$D$7:$D$996,"Expense"),0)</f>
        <v>0</v>
      </c>
      <c r="H180" s="13"/>
      <c r="I180" s="13"/>
      <c r="J180" s="13"/>
    </row>
    <row r="181" ht="19.5" customHeight="1">
      <c r="A181" s="13"/>
      <c r="B181" s="22"/>
      <c r="C181" s="13"/>
      <c r="D181" s="13"/>
      <c r="E181" s="13"/>
      <c r="F181" s="12"/>
      <c r="G181" s="23">
        <f>IFERROR(SUMIFS(Transactions!$F$7:$F$996,Transactions!$G$7:$G$996,A181,Transactions!$D$7:$D$996,"Expense"),0)</f>
        <v>0</v>
      </c>
      <c r="H181" s="13"/>
      <c r="I181" s="13"/>
      <c r="J181" s="13"/>
    </row>
    <row r="182" ht="19.5" customHeight="1">
      <c r="A182" s="13"/>
      <c r="B182" s="22"/>
      <c r="C182" s="13"/>
      <c r="D182" s="13"/>
      <c r="E182" s="13"/>
      <c r="F182" s="12"/>
      <c r="G182" s="23">
        <f>IFERROR(SUMIFS(Transactions!$F$7:$F$996,Transactions!$G$7:$G$996,A182,Transactions!$D$7:$D$996,"Expense"),0)</f>
        <v>0</v>
      </c>
      <c r="H182" s="13"/>
      <c r="I182" s="13"/>
      <c r="J182" s="13"/>
    </row>
    <row r="183" ht="19.5" customHeight="1">
      <c r="A183" s="13"/>
      <c r="B183" s="22"/>
      <c r="C183" s="13"/>
      <c r="D183" s="13"/>
      <c r="E183" s="13"/>
      <c r="F183" s="12"/>
      <c r="G183" s="23">
        <f>IFERROR(SUMIFS(Transactions!$F$7:$F$996,Transactions!$G$7:$G$996,A183,Transactions!$D$7:$D$996,"Expense"),0)</f>
        <v>0</v>
      </c>
      <c r="H183" s="13"/>
      <c r="I183" s="13"/>
      <c r="J183" s="13"/>
    </row>
    <row r="184" ht="19.5" customHeight="1">
      <c r="A184" s="13"/>
      <c r="B184" s="22"/>
      <c r="C184" s="13"/>
      <c r="D184" s="13"/>
      <c r="E184" s="13"/>
      <c r="F184" s="12"/>
      <c r="G184" s="23">
        <f>IFERROR(SUMIFS(Transactions!$F$7:$F$996,Transactions!$G$7:$G$996,A184,Transactions!$D$7:$D$996,"Expense"),0)</f>
        <v>0</v>
      </c>
      <c r="H184" s="13"/>
      <c r="I184" s="13"/>
      <c r="J184" s="13"/>
    </row>
    <row r="185" ht="19.5" customHeight="1">
      <c r="A185" s="13"/>
      <c r="B185" s="22"/>
      <c r="C185" s="13"/>
      <c r="D185" s="13"/>
      <c r="E185" s="13"/>
      <c r="F185" s="12"/>
      <c r="G185" s="23">
        <f>IFERROR(SUMIFS(Transactions!$F$7:$F$996,Transactions!$G$7:$G$996,A185,Transactions!$D$7:$D$996,"Expense"),0)</f>
        <v>0</v>
      </c>
      <c r="H185" s="13"/>
      <c r="I185" s="13"/>
      <c r="J185" s="13"/>
    </row>
    <row r="186" ht="19.5" customHeight="1">
      <c r="A186" s="13"/>
      <c r="B186" s="22"/>
      <c r="C186" s="13"/>
      <c r="D186" s="13"/>
      <c r="E186" s="13"/>
      <c r="F186" s="12"/>
      <c r="G186" s="23">
        <f>IFERROR(SUMIFS(Transactions!$F$7:$F$996,Transactions!$G$7:$G$996,A186,Transactions!$D$7:$D$996,"Expense"),0)</f>
        <v>0</v>
      </c>
      <c r="H186" s="13"/>
      <c r="I186" s="13"/>
      <c r="J186" s="13"/>
    </row>
    <row r="187" ht="19.5" customHeight="1">
      <c r="A187" s="13"/>
      <c r="B187" s="22"/>
      <c r="C187" s="13"/>
      <c r="D187" s="13"/>
      <c r="E187" s="13"/>
      <c r="F187" s="12"/>
      <c r="G187" s="23">
        <f>IFERROR(SUMIFS(Transactions!$F$7:$F$996,Transactions!$G$7:$G$996,A187,Transactions!$D$7:$D$996,"Expense"),0)</f>
        <v>0</v>
      </c>
      <c r="H187" s="13"/>
      <c r="I187" s="13"/>
      <c r="J187" s="13"/>
    </row>
    <row r="188" ht="19.5" customHeight="1">
      <c r="A188" s="13"/>
      <c r="B188" s="22"/>
      <c r="C188" s="13"/>
      <c r="D188" s="13"/>
      <c r="E188" s="13"/>
      <c r="F188" s="12"/>
      <c r="G188" s="23">
        <f>IFERROR(SUMIFS(Transactions!$F$7:$F$996,Transactions!$G$7:$G$996,A188,Transactions!$D$7:$D$996,"Expense"),0)</f>
        <v>0</v>
      </c>
      <c r="H188" s="13"/>
      <c r="I188" s="13"/>
      <c r="J188" s="13"/>
    </row>
    <row r="189" ht="19.5" customHeight="1">
      <c r="A189" s="13"/>
      <c r="B189" s="22"/>
      <c r="C189" s="13"/>
      <c r="D189" s="13"/>
      <c r="E189" s="13"/>
      <c r="F189" s="12"/>
      <c r="G189" s="23">
        <f>IFERROR(SUMIFS(Transactions!$F$7:$F$996,Transactions!$G$7:$G$996,A189,Transactions!$D$7:$D$996,"Expense"),0)</f>
        <v>0</v>
      </c>
      <c r="H189" s="13"/>
      <c r="I189" s="13"/>
      <c r="J189" s="13"/>
    </row>
    <row r="190" ht="19.5" customHeight="1">
      <c r="A190" s="13"/>
      <c r="B190" s="22"/>
      <c r="C190" s="13"/>
      <c r="D190" s="13"/>
      <c r="E190" s="13"/>
      <c r="F190" s="12"/>
      <c r="G190" s="23">
        <f>IFERROR(SUMIFS(Transactions!$F$7:$F$996,Transactions!$G$7:$G$996,A190,Transactions!$D$7:$D$996,"Expense"),0)</f>
        <v>0</v>
      </c>
      <c r="H190" s="13"/>
      <c r="I190" s="13"/>
      <c r="J190" s="13"/>
    </row>
    <row r="191" ht="19.5" customHeight="1">
      <c r="A191" s="13"/>
      <c r="B191" s="22"/>
      <c r="C191" s="13"/>
      <c r="D191" s="13"/>
      <c r="E191" s="13"/>
      <c r="F191" s="12"/>
      <c r="G191" s="23">
        <f>IFERROR(SUMIFS(Transactions!$F$7:$F$996,Transactions!$G$7:$G$996,A191,Transactions!$D$7:$D$996,"Expense"),0)</f>
        <v>0</v>
      </c>
      <c r="H191" s="13"/>
      <c r="I191" s="13"/>
      <c r="J191" s="13"/>
    </row>
    <row r="192" ht="19.5" customHeight="1">
      <c r="A192" s="13"/>
      <c r="B192" s="22"/>
      <c r="C192" s="13"/>
      <c r="D192" s="13"/>
      <c r="E192" s="13"/>
      <c r="F192" s="12"/>
      <c r="G192" s="23">
        <f>IFERROR(SUMIFS(Transactions!$F$7:$F$996,Transactions!$G$7:$G$996,A192,Transactions!$D$7:$D$996,"Expense"),0)</f>
        <v>0</v>
      </c>
      <c r="H192" s="13"/>
      <c r="I192" s="13"/>
      <c r="J192" s="13"/>
    </row>
    <row r="193" ht="19.5" customHeight="1">
      <c r="A193" s="13"/>
      <c r="B193" s="22"/>
      <c r="C193" s="13"/>
      <c r="D193" s="13"/>
      <c r="E193" s="13"/>
      <c r="F193" s="12"/>
      <c r="G193" s="23">
        <f>IFERROR(SUMIFS(Transactions!$F$7:$F$996,Transactions!$G$7:$G$996,A193,Transactions!$D$7:$D$996,"Expense"),0)</f>
        <v>0</v>
      </c>
      <c r="H193" s="13"/>
      <c r="I193" s="13"/>
      <c r="J193" s="13"/>
    </row>
    <row r="194" ht="19.5" customHeight="1">
      <c r="A194" s="13"/>
      <c r="B194" s="22"/>
      <c r="C194" s="13"/>
      <c r="D194" s="13"/>
      <c r="E194" s="13"/>
      <c r="F194" s="12"/>
      <c r="G194" s="23">
        <f>IFERROR(SUMIFS(Transactions!$F$7:$F$996,Transactions!$G$7:$G$996,A194,Transactions!$D$7:$D$996,"Expense"),0)</f>
        <v>0</v>
      </c>
      <c r="H194" s="13"/>
      <c r="I194" s="13"/>
      <c r="J194" s="13"/>
    </row>
    <row r="195" ht="19.5" customHeight="1">
      <c r="A195" s="13"/>
      <c r="B195" s="22"/>
      <c r="C195" s="13"/>
      <c r="D195" s="13"/>
      <c r="E195" s="13"/>
      <c r="F195" s="12"/>
      <c r="G195" s="23">
        <f>IFERROR(SUMIFS(Transactions!$F$7:$F$996,Transactions!$G$7:$G$996,A195,Transactions!$D$7:$D$996,"Expense"),0)</f>
        <v>0</v>
      </c>
      <c r="H195" s="13"/>
      <c r="I195" s="13"/>
      <c r="J195" s="13"/>
    </row>
    <row r="196" ht="19.5" customHeight="1">
      <c r="A196" s="13"/>
      <c r="B196" s="22"/>
      <c r="C196" s="13"/>
      <c r="D196" s="13"/>
      <c r="E196" s="13"/>
      <c r="F196" s="12"/>
      <c r="G196" s="23">
        <f>IFERROR(SUMIFS(Transactions!$F$7:$F$996,Transactions!$G$7:$G$996,A196,Transactions!$D$7:$D$996,"Expense"),0)</f>
        <v>0</v>
      </c>
      <c r="H196" s="13"/>
      <c r="I196" s="13"/>
      <c r="J196" s="13"/>
    </row>
    <row r="197" ht="19.5" customHeight="1">
      <c r="A197" s="13"/>
      <c r="B197" s="22"/>
      <c r="C197" s="13"/>
      <c r="D197" s="13"/>
      <c r="E197" s="13"/>
      <c r="F197" s="12"/>
      <c r="G197" s="23">
        <f>IFERROR(SUMIFS(Transactions!$F$7:$F$996,Transactions!$G$7:$G$996,A197,Transactions!$D$7:$D$996,"Expense"),0)</f>
        <v>0</v>
      </c>
      <c r="H197" s="13"/>
      <c r="I197" s="13"/>
      <c r="J197" s="13"/>
    </row>
    <row r="198" ht="19.5" customHeight="1">
      <c r="A198" s="13"/>
      <c r="B198" s="22"/>
      <c r="C198" s="13"/>
      <c r="D198" s="13"/>
      <c r="E198" s="13"/>
      <c r="F198" s="12"/>
      <c r="G198" s="23">
        <f>IFERROR(SUMIFS(Transactions!$F$7:$F$996,Transactions!$G$7:$G$996,A198,Transactions!$D$7:$D$996,"Expense"),0)</f>
        <v>0</v>
      </c>
      <c r="H198" s="13"/>
      <c r="I198" s="13"/>
      <c r="J198" s="13"/>
    </row>
    <row r="199" ht="19.5" customHeight="1">
      <c r="A199" s="13"/>
      <c r="B199" s="22"/>
      <c r="C199" s="13"/>
      <c r="D199" s="13"/>
      <c r="E199" s="13"/>
      <c r="F199" s="12"/>
      <c r="G199" s="23">
        <f>IFERROR(SUMIFS(Transactions!$F$7:$F$996,Transactions!$G$7:$G$996,A199,Transactions!$D$7:$D$996,"Expense"),0)</f>
        <v>0</v>
      </c>
      <c r="H199" s="13"/>
      <c r="I199" s="13"/>
      <c r="J199" s="13"/>
    </row>
    <row r="200" ht="19.5" customHeight="1">
      <c r="A200" s="13"/>
      <c r="B200" s="22"/>
      <c r="C200" s="13"/>
      <c r="D200" s="13"/>
      <c r="E200" s="13"/>
      <c r="F200" s="12"/>
      <c r="G200" s="23">
        <f>IFERROR(SUMIFS(Transactions!$F$7:$F$996,Transactions!$G$7:$G$996,A200,Transactions!$D$7:$D$996,"Expense"),0)</f>
        <v>0</v>
      </c>
      <c r="H200" s="13"/>
      <c r="I200" s="13"/>
      <c r="J200" s="13"/>
    </row>
    <row r="201" ht="19.5" customHeight="1">
      <c r="A201" s="13"/>
      <c r="B201" s="22"/>
      <c r="C201" s="13"/>
      <c r="D201" s="13"/>
      <c r="E201" s="13"/>
      <c r="F201" s="12"/>
      <c r="G201" s="23">
        <f>IFERROR(SUMIFS(Transactions!$F$7:$F$996,Transactions!$G$7:$G$996,A201,Transactions!$D$7:$D$996,"Expense"),0)</f>
        <v>0</v>
      </c>
      <c r="H201" s="13"/>
      <c r="I201" s="13"/>
      <c r="J201" s="13"/>
    </row>
    <row r="202" ht="19.5" customHeight="1">
      <c r="A202" s="13"/>
      <c r="B202" s="22"/>
      <c r="C202" s="13"/>
      <c r="D202" s="13"/>
      <c r="E202" s="13"/>
      <c r="F202" s="12"/>
      <c r="G202" s="23">
        <f>IFERROR(SUMIFS(Transactions!$F$7:$F$996,Transactions!$G$7:$G$996,A202,Transactions!$D$7:$D$996,"Expense"),0)</f>
        <v>0</v>
      </c>
      <c r="H202" s="13"/>
      <c r="I202" s="13"/>
      <c r="J202" s="13"/>
    </row>
    <row r="203" ht="19.5" customHeight="1">
      <c r="A203" s="13"/>
      <c r="B203" s="22"/>
      <c r="C203" s="13"/>
      <c r="D203" s="13"/>
      <c r="E203" s="13"/>
      <c r="F203" s="12"/>
      <c r="G203" s="23">
        <f>IFERROR(SUMIFS(Transactions!$F$7:$F$996,Transactions!$G$7:$G$996,A203,Transactions!$D$7:$D$996,"Expense"),0)</f>
        <v>0</v>
      </c>
      <c r="H203" s="13"/>
      <c r="I203" s="13"/>
      <c r="J203" s="13"/>
    </row>
    <row r="204" ht="19.5" customHeight="1">
      <c r="A204" s="13"/>
      <c r="B204" s="22"/>
      <c r="C204" s="13"/>
      <c r="D204" s="13"/>
      <c r="E204" s="13"/>
      <c r="F204" s="12"/>
      <c r="G204" s="23">
        <f>IFERROR(SUMIFS(Transactions!$F$7:$F$996,Transactions!$G$7:$G$996,A204,Transactions!$D$7:$D$996,"Expense"),0)</f>
        <v>0</v>
      </c>
      <c r="H204" s="13"/>
      <c r="I204" s="13"/>
      <c r="J204" s="13"/>
    </row>
    <row r="205" ht="19.5" customHeight="1">
      <c r="A205" s="13"/>
      <c r="B205" s="22"/>
      <c r="C205" s="13"/>
      <c r="D205" s="13"/>
      <c r="E205" s="13"/>
      <c r="F205" s="12"/>
      <c r="G205" s="23">
        <f>IFERROR(SUMIFS(Transactions!$F$7:$F$996,Transactions!$G$7:$G$996,A205,Transactions!$D$7:$D$996,"Expense"),0)</f>
        <v>0</v>
      </c>
      <c r="H205" s="13"/>
      <c r="I205" s="13"/>
      <c r="J205" s="13"/>
    </row>
    <row r="206" ht="19.5" customHeight="1">
      <c r="A206" s="13"/>
      <c r="B206" s="22"/>
      <c r="C206" s="13"/>
      <c r="D206" s="13"/>
      <c r="E206" s="13"/>
      <c r="F206" s="12"/>
      <c r="G206" s="23">
        <f>IFERROR(SUMIFS(Transactions!$F$7:$F$996,Transactions!$G$7:$G$996,A206,Transactions!$D$7:$D$996,"Expense"),0)</f>
        <v>0</v>
      </c>
      <c r="H206" s="13"/>
      <c r="I206" s="13"/>
      <c r="J206" s="13"/>
    </row>
    <row r="207" ht="19.5" customHeight="1">
      <c r="A207" s="13"/>
      <c r="B207" s="22"/>
      <c r="C207" s="13"/>
      <c r="D207" s="13"/>
      <c r="E207" s="13"/>
      <c r="F207" s="12"/>
      <c r="G207" s="23">
        <f>IFERROR(SUMIFS(Transactions!$F$7:$F$996,Transactions!$G$7:$G$996,A207,Transactions!$D$7:$D$996,"Expense"),0)</f>
        <v>0</v>
      </c>
      <c r="H207" s="13"/>
      <c r="I207" s="13"/>
      <c r="J207" s="13"/>
    </row>
    <row r="208" ht="19.5" customHeight="1">
      <c r="A208" s="13"/>
      <c r="B208" s="22"/>
      <c r="C208" s="13"/>
      <c r="D208" s="13"/>
      <c r="E208" s="13"/>
      <c r="F208" s="12"/>
      <c r="G208" s="23">
        <f>IFERROR(SUMIFS(Transactions!$F$7:$F$996,Transactions!$G$7:$G$996,A208,Transactions!$D$7:$D$996,"Expense"),0)</f>
        <v>0</v>
      </c>
      <c r="H208" s="13"/>
      <c r="I208" s="13"/>
      <c r="J208" s="13"/>
    </row>
    <row r="209" ht="19.5" customHeight="1">
      <c r="A209" s="13"/>
      <c r="B209" s="22"/>
      <c r="C209" s="13"/>
      <c r="D209" s="13"/>
      <c r="E209" s="13"/>
      <c r="F209" s="12"/>
      <c r="G209" s="23">
        <f>IFERROR(SUMIFS(Transactions!$F$7:$F$996,Transactions!$G$7:$G$996,A209,Transactions!$D$7:$D$996,"Expense"),0)</f>
        <v>0</v>
      </c>
      <c r="H209" s="13"/>
      <c r="I209" s="13"/>
      <c r="J209" s="13"/>
    </row>
    <row r="210" ht="19.5" customHeight="1">
      <c r="A210" s="13"/>
      <c r="B210" s="22"/>
      <c r="C210" s="13"/>
      <c r="D210" s="13"/>
      <c r="E210" s="13"/>
      <c r="F210" s="12"/>
      <c r="G210" s="23">
        <f>IFERROR(SUMIFS(Transactions!$F$7:$F$996,Transactions!$G$7:$G$996,A210,Transactions!$D$7:$D$996,"Expense"),0)</f>
        <v>0</v>
      </c>
      <c r="H210" s="13"/>
      <c r="I210" s="13"/>
      <c r="J210" s="13"/>
    </row>
    <row r="211" ht="19.5" customHeight="1">
      <c r="A211" s="13"/>
      <c r="B211" s="22"/>
      <c r="C211" s="13"/>
      <c r="D211" s="13"/>
      <c r="E211" s="13"/>
      <c r="F211" s="12"/>
      <c r="G211" s="23">
        <f>IFERROR(SUMIFS(Transactions!$F$7:$F$996,Transactions!$G$7:$G$996,A211,Transactions!$D$7:$D$996,"Expense"),0)</f>
        <v>0</v>
      </c>
      <c r="H211" s="13"/>
      <c r="I211" s="13"/>
      <c r="J211" s="13"/>
    </row>
    <row r="212" ht="19.5" customHeight="1">
      <c r="A212" s="13"/>
      <c r="B212" s="22"/>
      <c r="C212" s="13"/>
      <c r="D212" s="13"/>
      <c r="E212" s="13"/>
      <c r="F212" s="12"/>
      <c r="G212" s="23">
        <f>IFERROR(SUMIFS(Transactions!$F$7:$F$996,Transactions!$G$7:$G$996,A212,Transactions!$D$7:$D$996,"Expense"),0)</f>
        <v>0</v>
      </c>
      <c r="H212" s="13"/>
      <c r="I212" s="13"/>
      <c r="J212" s="13"/>
    </row>
    <row r="213" ht="19.5" customHeight="1">
      <c r="A213" s="13"/>
      <c r="B213" s="22"/>
      <c r="C213" s="13"/>
      <c r="D213" s="13"/>
      <c r="E213" s="13"/>
      <c r="F213" s="12"/>
      <c r="G213" s="23">
        <f>IFERROR(SUMIFS(Transactions!$F$7:$F$996,Transactions!$G$7:$G$996,A213,Transactions!$D$7:$D$996,"Expense"),0)</f>
        <v>0</v>
      </c>
      <c r="H213" s="13"/>
      <c r="I213" s="13"/>
      <c r="J213" s="13"/>
    </row>
    <row r="214" ht="19.5" customHeight="1">
      <c r="A214" s="13"/>
      <c r="B214" s="22"/>
      <c r="C214" s="13"/>
      <c r="D214" s="13"/>
      <c r="E214" s="13"/>
      <c r="F214" s="12"/>
      <c r="G214" s="23">
        <f>IFERROR(SUMIFS(Transactions!$F$7:$F$996,Transactions!$G$7:$G$996,A214,Transactions!$D$7:$D$996,"Expense"),0)</f>
        <v>0</v>
      </c>
      <c r="H214" s="13"/>
      <c r="I214" s="13"/>
      <c r="J214" s="13"/>
    </row>
    <row r="215" ht="19.5" customHeight="1">
      <c r="A215" s="13"/>
      <c r="B215" s="22"/>
      <c r="C215" s="13"/>
      <c r="D215" s="13"/>
      <c r="E215" s="13"/>
      <c r="F215" s="12"/>
      <c r="G215" s="23">
        <f>IFERROR(SUMIFS(Transactions!$F$7:$F$996,Transactions!$G$7:$G$996,A215,Transactions!$D$7:$D$996,"Expense"),0)</f>
        <v>0</v>
      </c>
      <c r="H215" s="13"/>
      <c r="I215" s="13"/>
      <c r="J215" s="13"/>
    </row>
    <row r="216" ht="19.5" customHeight="1">
      <c r="A216" s="13"/>
      <c r="B216" s="22"/>
      <c r="C216" s="13"/>
      <c r="D216" s="13"/>
      <c r="E216" s="13"/>
      <c r="F216" s="12"/>
      <c r="G216" s="23">
        <f>IFERROR(SUMIFS(Transactions!$F$7:$F$996,Transactions!$G$7:$G$996,A216,Transactions!$D$7:$D$996,"Expense"),0)</f>
        <v>0</v>
      </c>
      <c r="H216" s="13"/>
      <c r="I216" s="13"/>
      <c r="J216" s="13"/>
    </row>
    <row r="217" ht="19.5" customHeight="1">
      <c r="A217" s="13"/>
      <c r="B217" s="22"/>
      <c r="C217" s="13"/>
      <c r="D217" s="13"/>
      <c r="E217" s="13"/>
      <c r="F217" s="12"/>
      <c r="G217" s="23">
        <f>IFERROR(SUMIFS(Transactions!$F$7:$F$996,Transactions!$G$7:$G$996,A217,Transactions!$D$7:$D$996,"Expense"),0)</f>
        <v>0</v>
      </c>
      <c r="H217" s="13"/>
      <c r="I217" s="13"/>
      <c r="J217" s="13"/>
    </row>
    <row r="218" ht="19.5" customHeight="1">
      <c r="A218" s="13"/>
      <c r="B218" s="22"/>
      <c r="C218" s="13"/>
      <c r="D218" s="13"/>
      <c r="E218" s="13"/>
      <c r="F218" s="12"/>
      <c r="G218" s="23">
        <f>IFERROR(SUMIFS(Transactions!$F$7:$F$996,Transactions!$G$7:$G$996,A218,Transactions!$D$7:$D$996,"Expense"),0)</f>
        <v>0</v>
      </c>
      <c r="H218" s="13"/>
      <c r="I218" s="13"/>
      <c r="J218" s="13"/>
    </row>
    <row r="219" ht="19.5" customHeight="1">
      <c r="A219" s="13"/>
      <c r="B219" s="22"/>
      <c r="C219" s="13"/>
      <c r="D219" s="13"/>
      <c r="E219" s="13"/>
      <c r="F219" s="12"/>
      <c r="G219" s="23">
        <f>IFERROR(SUMIFS(Transactions!$F$7:$F$996,Transactions!$G$7:$G$996,A219,Transactions!$D$7:$D$996,"Expense"),0)</f>
        <v>0</v>
      </c>
      <c r="H219" s="13"/>
      <c r="I219" s="13"/>
      <c r="J219" s="13"/>
    </row>
    <row r="220" ht="19.5" customHeight="1">
      <c r="A220" s="13"/>
      <c r="B220" s="22"/>
      <c r="C220" s="13"/>
      <c r="D220" s="13"/>
      <c r="E220" s="13"/>
      <c r="F220" s="12"/>
      <c r="G220" s="23">
        <f>IFERROR(SUMIFS(Transactions!$F$7:$F$996,Transactions!$G$7:$G$996,A220,Transactions!$D$7:$D$996,"Expense"),0)</f>
        <v>0</v>
      </c>
      <c r="H220" s="13"/>
      <c r="I220" s="13"/>
      <c r="J220" s="13"/>
    </row>
    <row r="221" ht="19.5" customHeight="1">
      <c r="A221" s="13"/>
      <c r="B221" s="22"/>
      <c r="C221" s="13"/>
      <c r="D221" s="13"/>
      <c r="E221" s="13"/>
      <c r="F221" s="12"/>
      <c r="G221" s="23">
        <f>IFERROR(SUMIFS(Transactions!$F$7:$F$996,Transactions!$G$7:$G$996,A221,Transactions!$D$7:$D$996,"Expense"),0)</f>
        <v>0</v>
      </c>
      <c r="H221" s="13"/>
      <c r="I221" s="13"/>
      <c r="J221" s="13"/>
    </row>
    <row r="222" ht="19.5" customHeight="1">
      <c r="A222" s="13"/>
      <c r="B222" s="22"/>
      <c r="C222" s="13"/>
      <c r="D222" s="13"/>
      <c r="E222" s="13"/>
      <c r="F222" s="12"/>
      <c r="G222" s="23">
        <f>IFERROR(SUMIFS(Transactions!$F$7:$F$996,Transactions!$G$7:$G$996,A222,Transactions!$D$7:$D$996,"Expense"),0)</f>
        <v>0</v>
      </c>
      <c r="H222" s="13"/>
      <c r="I222" s="13"/>
      <c r="J222" s="13"/>
    </row>
    <row r="223" ht="19.5" customHeight="1">
      <c r="A223" s="13"/>
      <c r="B223" s="22"/>
      <c r="C223" s="13"/>
      <c r="D223" s="13"/>
      <c r="E223" s="13"/>
      <c r="F223" s="12"/>
      <c r="G223" s="23">
        <f>IFERROR(SUMIFS(Transactions!$F$7:$F$996,Transactions!$G$7:$G$996,A223,Transactions!$D$7:$D$996,"Expense"),0)</f>
        <v>0</v>
      </c>
      <c r="H223" s="13"/>
      <c r="I223" s="13"/>
      <c r="J223" s="13"/>
    </row>
    <row r="224" ht="19.5" customHeight="1">
      <c r="A224" s="13"/>
      <c r="B224" s="22"/>
      <c r="C224" s="13"/>
      <c r="D224" s="13"/>
      <c r="E224" s="13"/>
      <c r="F224" s="12"/>
      <c r="G224" s="23">
        <f>IFERROR(SUMIFS(Transactions!$F$7:$F$996,Transactions!$G$7:$G$996,A224,Transactions!$D$7:$D$996,"Expense"),0)</f>
        <v>0</v>
      </c>
      <c r="H224" s="13"/>
      <c r="I224" s="13"/>
      <c r="J224" s="13"/>
    </row>
    <row r="225" ht="19.5" customHeight="1">
      <c r="A225" s="13"/>
      <c r="B225" s="22"/>
      <c r="C225" s="13"/>
      <c r="D225" s="13"/>
      <c r="E225" s="13"/>
      <c r="F225" s="12"/>
      <c r="G225" s="23">
        <f>IFERROR(SUMIFS(Transactions!$F$7:$F$996,Transactions!$G$7:$G$996,A225,Transactions!$D$7:$D$996,"Expense"),0)</f>
        <v>0</v>
      </c>
      <c r="H225" s="13"/>
      <c r="I225" s="13"/>
      <c r="J225" s="13"/>
    </row>
    <row r="226" ht="19.5" customHeight="1">
      <c r="A226" s="13"/>
      <c r="B226" s="22"/>
      <c r="C226" s="13"/>
      <c r="D226" s="13"/>
      <c r="E226" s="13"/>
      <c r="F226" s="12"/>
      <c r="G226" s="23">
        <f>IFERROR(SUMIFS(Transactions!$F$7:$F$996,Transactions!$G$7:$G$996,A226,Transactions!$D$7:$D$996,"Expense"),0)</f>
        <v>0</v>
      </c>
      <c r="H226" s="13"/>
      <c r="I226" s="13"/>
      <c r="J226" s="13"/>
    </row>
    <row r="227" ht="19.5" customHeight="1">
      <c r="A227" s="13"/>
      <c r="B227" s="22"/>
      <c r="C227" s="13"/>
      <c r="D227" s="13"/>
      <c r="E227" s="13"/>
      <c r="F227" s="12"/>
      <c r="G227" s="23">
        <f>IFERROR(SUMIFS(Transactions!$F$7:$F$996,Transactions!$G$7:$G$996,A227,Transactions!$D$7:$D$996,"Expense"),0)</f>
        <v>0</v>
      </c>
      <c r="H227" s="13"/>
      <c r="I227" s="13"/>
      <c r="J227" s="13"/>
    </row>
    <row r="228" ht="19.5" customHeight="1">
      <c r="A228" s="13"/>
      <c r="B228" s="22"/>
      <c r="C228" s="13"/>
      <c r="D228" s="13"/>
      <c r="E228" s="13"/>
      <c r="F228" s="12"/>
      <c r="G228" s="23">
        <f>IFERROR(SUMIFS(Transactions!$F$7:$F$996,Transactions!$G$7:$G$996,A228,Transactions!$D$7:$D$996,"Expense"),0)</f>
        <v>0</v>
      </c>
      <c r="H228" s="13"/>
      <c r="I228" s="13"/>
      <c r="J228" s="13"/>
    </row>
    <row r="229" ht="19.5" customHeight="1">
      <c r="A229" s="13"/>
      <c r="B229" s="22"/>
      <c r="C229" s="13"/>
      <c r="D229" s="13"/>
      <c r="E229" s="13"/>
      <c r="F229" s="12"/>
      <c r="G229" s="23">
        <f>IFERROR(SUMIFS(Transactions!$F$7:$F$996,Transactions!$G$7:$G$996,A229,Transactions!$D$7:$D$996,"Expense"),0)</f>
        <v>0</v>
      </c>
      <c r="H229" s="13"/>
      <c r="I229" s="13"/>
      <c r="J229" s="13"/>
    </row>
    <row r="230" ht="19.5" customHeight="1">
      <c r="A230" s="13"/>
      <c r="B230" s="22"/>
      <c r="C230" s="13"/>
      <c r="D230" s="13"/>
      <c r="E230" s="13"/>
      <c r="F230" s="12"/>
      <c r="G230" s="23">
        <f>IFERROR(SUMIFS(Transactions!$F$7:$F$996,Transactions!$G$7:$G$996,A230,Transactions!$D$7:$D$996,"Expense"),0)</f>
        <v>0</v>
      </c>
      <c r="H230" s="13"/>
      <c r="I230" s="13"/>
      <c r="J230" s="13"/>
    </row>
    <row r="231" ht="19.5" customHeight="1">
      <c r="A231" s="13"/>
      <c r="B231" s="22"/>
      <c r="C231" s="13"/>
      <c r="D231" s="13"/>
      <c r="E231" s="13"/>
      <c r="F231" s="12"/>
      <c r="G231" s="23">
        <f>IFERROR(SUMIFS(Transactions!$F$7:$F$996,Transactions!$G$7:$G$996,A231,Transactions!$D$7:$D$996,"Expense"),0)</f>
        <v>0</v>
      </c>
      <c r="H231" s="13"/>
      <c r="I231" s="13"/>
      <c r="J231" s="13"/>
    </row>
    <row r="232" ht="19.5" customHeight="1">
      <c r="A232" s="13"/>
      <c r="B232" s="22"/>
      <c r="C232" s="13"/>
      <c r="D232" s="13"/>
      <c r="E232" s="13"/>
      <c r="F232" s="12"/>
      <c r="G232" s="23">
        <f>IFERROR(SUMIFS(Transactions!$F$7:$F$996,Transactions!$G$7:$G$996,A232,Transactions!$D$7:$D$996,"Expense"),0)</f>
        <v>0</v>
      </c>
      <c r="H232" s="13"/>
      <c r="I232" s="13"/>
      <c r="J232" s="13"/>
    </row>
    <row r="233" ht="19.5" customHeight="1">
      <c r="A233" s="13"/>
      <c r="B233" s="22"/>
      <c r="C233" s="13"/>
      <c r="D233" s="13"/>
      <c r="E233" s="13"/>
      <c r="F233" s="12"/>
      <c r="G233" s="23">
        <f>IFERROR(SUMIFS(Transactions!$F$7:$F$996,Transactions!$G$7:$G$996,A233,Transactions!$D$7:$D$996,"Expense"),0)</f>
        <v>0</v>
      </c>
      <c r="H233" s="13"/>
      <c r="I233" s="13"/>
      <c r="J233" s="13"/>
    </row>
    <row r="234" ht="19.5" customHeight="1">
      <c r="A234" s="13"/>
      <c r="B234" s="22"/>
      <c r="C234" s="13"/>
      <c r="D234" s="13"/>
      <c r="E234" s="13"/>
      <c r="F234" s="12"/>
      <c r="G234" s="23">
        <f>IFERROR(SUMIFS(Transactions!$F$7:$F$996,Transactions!$G$7:$G$996,A234,Transactions!$D$7:$D$996,"Expense"),0)</f>
        <v>0</v>
      </c>
      <c r="H234" s="13"/>
      <c r="I234" s="13"/>
      <c r="J234" s="13"/>
    </row>
    <row r="235" ht="19.5" customHeight="1">
      <c r="A235" s="13"/>
      <c r="B235" s="22"/>
      <c r="C235" s="13"/>
      <c r="D235" s="13"/>
      <c r="E235" s="13"/>
      <c r="F235" s="12"/>
      <c r="G235" s="23">
        <f>IFERROR(SUMIFS(Transactions!$F$7:$F$996,Transactions!$G$7:$G$996,A235,Transactions!$D$7:$D$996,"Expense"),0)</f>
        <v>0</v>
      </c>
      <c r="H235" s="13"/>
      <c r="I235" s="13"/>
      <c r="J235" s="13"/>
    </row>
    <row r="236" ht="19.5" customHeight="1">
      <c r="A236" s="13"/>
      <c r="B236" s="22"/>
      <c r="C236" s="13"/>
      <c r="D236" s="13"/>
      <c r="E236" s="13"/>
      <c r="F236" s="12"/>
      <c r="G236" s="23">
        <f>IFERROR(SUMIFS(Transactions!$F$7:$F$996,Transactions!$G$7:$G$996,A236,Transactions!$D$7:$D$996,"Expense"),0)</f>
        <v>0</v>
      </c>
      <c r="H236" s="13"/>
      <c r="I236" s="13"/>
      <c r="J236" s="13"/>
    </row>
    <row r="237" ht="19.5" customHeight="1">
      <c r="A237" s="13"/>
      <c r="B237" s="22"/>
      <c r="C237" s="13"/>
      <c r="D237" s="13"/>
      <c r="E237" s="13"/>
      <c r="F237" s="12"/>
      <c r="G237" s="23">
        <f>IFERROR(SUMIFS(Transactions!$F$7:$F$996,Transactions!$G$7:$G$996,A237,Transactions!$D$7:$D$996,"Expense"),0)</f>
        <v>0</v>
      </c>
      <c r="H237" s="13"/>
      <c r="I237" s="13"/>
      <c r="J237" s="13"/>
    </row>
    <row r="238" ht="19.5" customHeight="1">
      <c r="A238" s="13"/>
      <c r="B238" s="22"/>
      <c r="C238" s="13"/>
      <c r="D238" s="13"/>
      <c r="E238" s="13"/>
      <c r="F238" s="12"/>
      <c r="G238" s="23">
        <f>IFERROR(SUMIFS(Transactions!$F$7:$F$996,Transactions!$G$7:$G$996,A238,Transactions!$D$7:$D$996,"Expense"),0)</f>
        <v>0</v>
      </c>
      <c r="H238" s="13"/>
      <c r="I238" s="13"/>
      <c r="J238" s="13"/>
    </row>
    <row r="239" ht="19.5" customHeight="1">
      <c r="A239" s="13"/>
      <c r="B239" s="22"/>
      <c r="C239" s="13"/>
      <c r="D239" s="13"/>
      <c r="E239" s="13"/>
      <c r="F239" s="12"/>
      <c r="G239" s="23">
        <f>IFERROR(SUMIFS(Transactions!$F$7:$F$996,Transactions!$G$7:$G$996,A239,Transactions!$D$7:$D$996,"Expense"),0)</f>
        <v>0</v>
      </c>
      <c r="H239" s="13"/>
      <c r="I239" s="13"/>
      <c r="J239" s="13"/>
    </row>
    <row r="240" ht="19.5" customHeight="1">
      <c r="A240" s="13"/>
      <c r="B240" s="22"/>
      <c r="C240" s="13"/>
      <c r="D240" s="13"/>
      <c r="E240" s="13"/>
      <c r="F240" s="12"/>
      <c r="G240" s="23">
        <f>IFERROR(SUMIFS(Transactions!$F$7:$F$996,Transactions!$G$7:$G$996,A240,Transactions!$D$7:$D$996,"Expense"),0)</f>
        <v>0</v>
      </c>
      <c r="H240" s="13"/>
      <c r="I240" s="13"/>
      <c r="J240" s="13"/>
    </row>
    <row r="241" ht="19.5" customHeight="1">
      <c r="A241" s="13"/>
      <c r="B241" s="22"/>
      <c r="C241" s="13"/>
      <c r="D241" s="13"/>
      <c r="E241" s="13"/>
      <c r="F241" s="12"/>
      <c r="G241" s="23">
        <f>IFERROR(SUMIFS(Transactions!$F$7:$F$996,Transactions!$G$7:$G$996,A241,Transactions!$D$7:$D$996,"Expense"),0)</f>
        <v>0</v>
      </c>
      <c r="H241" s="13"/>
      <c r="I241" s="13"/>
      <c r="J241" s="13"/>
    </row>
    <row r="242" ht="19.5" customHeight="1">
      <c r="A242" s="13"/>
      <c r="B242" s="22"/>
      <c r="C242" s="13"/>
      <c r="D242" s="13"/>
      <c r="E242" s="13"/>
      <c r="F242" s="12"/>
      <c r="G242" s="23">
        <f>IFERROR(SUMIFS(Transactions!$F$7:$F$996,Transactions!$G$7:$G$996,A242,Transactions!$D$7:$D$996,"Expense"),0)</f>
        <v>0</v>
      </c>
      <c r="H242" s="13"/>
      <c r="I242" s="13"/>
      <c r="J242" s="13"/>
    </row>
    <row r="243" ht="19.5" customHeight="1">
      <c r="A243" s="13"/>
      <c r="B243" s="22"/>
      <c r="C243" s="13"/>
      <c r="D243" s="13"/>
      <c r="E243" s="13"/>
      <c r="F243" s="12"/>
      <c r="G243" s="23">
        <f>IFERROR(SUMIFS(Transactions!$F$7:$F$996,Transactions!$G$7:$G$996,A243,Transactions!$D$7:$D$996,"Expense"),0)</f>
        <v>0</v>
      </c>
      <c r="H243" s="13"/>
      <c r="I243" s="13"/>
      <c r="J243" s="13"/>
    </row>
    <row r="244" ht="19.5" customHeight="1">
      <c r="A244" s="13"/>
      <c r="B244" s="22"/>
      <c r="C244" s="13"/>
      <c r="D244" s="13"/>
      <c r="E244" s="13"/>
      <c r="F244" s="12"/>
      <c r="G244" s="23">
        <f>IFERROR(SUMIFS(Transactions!$F$7:$F$996,Transactions!$G$7:$G$996,A244,Transactions!$D$7:$D$996,"Expense"),0)</f>
        <v>0</v>
      </c>
      <c r="H244" s="13"/>
      <c r="I244" s="13"/>
      <c r="J244" s="13"/>
    </row>
    <row r="245" ht="19.5" customHeight="1">
      <c r="A245" s="13"/>
      <c r="B245" s="22"/>
      <c r="C245" s="13"/>
      <c r="D245" s="13"/>
      <c r="E245" s="13"/>
      <c r="F245" s="12"/>
      <c r="G245" s="23">
        <f>IFERROR(SUMIFS(Transactions!$F$7:$F$996,Transactions!$G$7:$G$996,A245,Transactions!$D$7:$D$996,"Expense"),0)</f>
        <v>0</v>
      </c>
      <c r="H245" s="13"/>
      <c r="I245" s="13"/>
      <c r="J245" s="13"/>
    </row>
    <row r="246" ht="19.5" customHeight="1">
      <c r="A246" s="13"/>
      <c r="B246" s="22"/>
      <c r="C246" s="13"/>
      <c r="D246" s="13"/>
      <c r="E246" s="13"/>
      <c r="F246" s="12"/>
      <c r="G246" s="23">
        <f>IFERROR(SUMIFS(Transactions!$F$7:$F$996,Transactions!$G$7:$G$996,A246,Transactions!$D$7:$D$996,"Expense"),0)</f>
        <v>0</v>
      </c>
      <c r="H246" s="13"/>
      <c r="I246" s="13"/>
      <c r="J246" s="13"/>
    </row>
    <row r="247" ht="19.5" customHeight="1">
      <c r="A247" s="13"/>
      <c r="B247" s="22"/>
      <c r="C247" s="13"/>
      <c r="D247" s="13"/>
      <c r="E247" s="13"/>
      <c r="F247" s="12"/>
      <c r="G247" s="23">
        <f>IFERROR(SUMIFS(Transactions!$F$7:$F$996,Transactions!$G$7:$G$996,A247,Transactions!$D$7:$D$996,"Expense"),0)</f>
        <v>0</v>
      </c>
      <c r="H247" s="13"/>
      <c r="I247" s="13"/>
      <c r="J247" s="13"/>
    </row>
    <row r="248" ht="19.5" customHeight="1">
      <c r="A248" s="13"/>
      <c r="B248" s="22"/>
      <c r="C248" s="13"/>
      <c r="D248" s="13"/>
      <c r="E248" s="13"/>
      <c r="F248" s="12"/>
      <c r="G248" s="23">
        <f>IFERROR(SUMIFS(Transactions!$F$7:$F$996,Transactions!$G$7:$G$996,A248,Transactions!$D$7:$D$996,"Expense"),0)</f>
        <v>0</v>
      </c>
      <c r="H248" s="13"/>
      <c r="I248" s="13"/>
      <c r="J248" s="13"/>
    </row>
    <row r="249" ht="19.5" customHeight="1">
      <c r="A249" s="13"/>
      <c r="B249" s="22"/>
      <c r="C249" s="13"/>
      <c r="D249" s="13"/>
      <c r="E249" s="13"/>
      <c r="F249" s="12"/>
      <c r="G249" s="23">
        <f>IFERROR(SUMIFS(Transactions!$F$7:$F$996,Transactions!$G$7:$G$996,A249,Transactions!$D$7:$D$996,"Expense"),0)</f>
        <v>0</v>
      </c>
      <c r="H249" s="13"/>
      <c r="I249" s="13"/>
      <c r="J249" s="13"/>
    </row>
    <row r="250" ht="19.5" customHeight="1">
      <c r="A250" s="13"/>
      <c r="B250" s="22"/>
      <c r="C250" s="13"/>
      <c r="D250" s="13"/>
      <c r="E250" s="13"/>
      <c r="F250" s="12"/>
      <c r="G250" s="23">
        <f>IFERROR(SUMIFS(Transactions!$F$7:$F$996,Transactions!$G$7:$G$996,A250,Transactions!$D$7:$D$996,"Expense"),0)</f>
        <v>0</v>
      </c>
      <c r="H250" s="13"/>
      <c r="I250" s="13"/>
      <c r="J250" s="13"/>
    </row>
    <row r="251" ht="19.5" customHeight="1">
      <c r="A251" s="13"/>
      <c r="B251" s="22"/>
      <c r="C251" s="13"/>
      <c r="D251" s="13"/>
      <c r="E251" s="13"/>
      <c r="F251" s="12"/>
      <c r="G251" s="23">
        <f>IFERROR(SUMIFS(Transactions!$F$7:$F$996,Transactions!$G$7:$G$996,A251,Transactions!$D$7:$D$996,"Expense"),0)</f>
        <v>0</v>
      </c>
      <c r="H251" s="13"/>
      <c r="I251" s="13"/>
      <c r="J251" s="13"/>
    </row>
    <row r="252" ht="19.5" customHeight="1">
      <c r="A252" s="13"/>
      <c r="B252" s="22"/>
      <c r="C252" s="13"/>
      <c r="D252" s="13"/>
      <c r="E252" s="13"/>
      <c r="F252" s="12"/>
      <c r="G252" s="23">
        <f>IFERROR(SUMIFS(Transactions!$F$7:$F$996,Transactions!$G$7:$G$996,A252,Transactions!$D$7:$D$996,"Expense"),0)</f>
        <v>0</v>
      </c>
      <c r="H252" s="13"/>
      <c r="I252" s="13"/>
      <c r="J252" s="13"/>
    </row>
    <row r="253" ht="19.5" customHeight="1">
      <c r="A253" s="13"/>
      <c r="B253" s="22"/>
      <c r="C253" s="13"/>
      <c r="D253" s="13"/>
      <c r="E253" s="13"/>
      <c r="F253" s="12"/>
      <c r="G253" s="23">
        <f>IFERROR(SUMIFS(Transactions!$F$7:$F$996,Transactions!$G$7:$G$996,A253,Transactions!$D$7:$D$996,"Expense"),0)</f>
        <v>0</v>
      </c>
      <c r="H253" s="13"/>
      <c r="I253" s="13"/>
      <c r="J253" s="13"/>
    </row>
    <row r="254" ht="19.5" customHeight="1">
      <c r="A254" s="13"/>
      <c r="B254" s="22"/>
      <c r="C254" s="13"/>
      <c r="D254" s="13"/>
      <c r="E254" s="13"/>
      <c r="F254" s="12"/>
      <c r="G254" s="23">
        <f>IFERROR(SUMIFS(Transactions!$F$7:$F$996,Transactions!$G$7:$G$996,A254,Transactions!$D$7:$D$996,"Expense"),0)</f>
        <v>0</v>
      </c>
      <c r="H254" s="13"/>
      <c r="I254" s="13"/>
      <c r="J254" s="13"/>
    </row>
    <row r="255" ht="19.5" customHeight="1">
      <c r="A255" s="13"/>
      <c r="B255" s="22"/>
      <c r="C255" s="13"/>
      <c r="D255" s="13"/>
      <c r="E255" s="13"/>
      <c r="F255" s="12"/>
      <c r="G255" s="23">
        <f>IFERROR(SUMIFS(Transactions!$F$7:$F$996,Transactions!$G$7:$G$996,A255,Transactions!$D$7:$D$996,"Expense"),0)</f>
        <v>0</v>
      </c>
      <c r="H255" s="13"/>
      <c r="I255" s="13"/>
      <c r="J255" s="13"/>
    </row>
    <row r="256" ht="19.5" customHeight="1">
      <c r="A256" s="13"/>
      <c r="B256" s="22"/>
      <c r="C256" s="13"/>
      <c r="D256" s="13"/>
      <c r="E256" s="13"/>
      <c r="F256" s="12"/>
      <c r="G256" s="23">
        <f>IFERROR(SUMIFS(Transactions!$F$7:$F$996,Transactions!$G$7:$G$996,A256,Transactions!$D$7:$D$996,"Expense"),0)</f>
        <v>0</v>
      </c>
      <c r="H256" s="13"/>
      <c r="I256" s="13"/>
      <c r="J256" s="13"/>
    </row>
    <row r="257" ht="19.5" customHeight="1">
      <c r="A257" s="13"/>
      <c r="B257" s="22"/>
      <c r="C257" s="13"/>
      <c r="D257" s="13"/>
      <c r="E257" s="13"/>
      <c r="F257" s="12"/>
      <c r="G257" s="23">
        <f>IFERROR(SUMIFS(Transactions!$F$7:$F$996,Transactions!$G$7:$G$996,A257,Transactions!$D$7:$D$996,"Expense"),0)</f>
        <v>0</v>
      </c>
      <c r="H257" s="13"/>
      <c r="I257" s="13"/>
      <c r="J257" s="13"/>
    </row>
    <row r="258" ht="19.5" customHeight="1">
      <c r="A258" s="13"/>
      <c r="B258" s="22"/>
      <c r="C258" s="13"/>
      <c r="D258" s="13"/>
      <c r="E258" s="13"/>
      <c r="F258" s="12"/>
      <c r="G258" s="23">
        <f>IFERROR(SUMIFS(Transactions!$F$7:$F$996,Transactions!$G$7:$G$996,A258,Transactions!$D$7:$D$996,"Expense"),0)</f>
        <v>0</v>
      </c>
      <c r="H258" s="13"/>
      <c r="I258" s="13"/>
      <c r="J258" s="13"/>
    </row>
    <row r="259" ht="19.5" customHeight="1">
      <c r="A259" s="13"/>
      <c r="B259" s="22"/>
      <c r="C259" s="13"/>
      <c r="D259" s="13"/>
      <c r="E259" s="13"/>
      <c r="F259" s="12"/>
      <c r="G259" s="23">
        <f>IFERROR(SUMIFS(Transactions!$F$7:$F$996,Transactions!$G$7:$G$996,A259,Transactions!$D$7:$D$996,"Expense"),0)</f>
        <v>0</v>
      </c>
      <c r="H259" s="13"/>
      <c r="I259" s="13"/>
      <c r="J259" s="13"/>
    </row>
    <row r="260" ht="19.5" customHeight="1">
      <c r="A260" s="13"/>
      <c r="B260" s="22"/>
      <c r="C260" s="13"/>
      <c r="D260" s="13"/>
      <c r="E260" s="13"/>
      <c r="F260" s="12"/>
      <c r="G260" s="23">
        <f>IFERROR(SUMIFS(Transactions!$F$7:$F$996,Transactions!$G$7:$G$996,A260,Transactions!$D$7:$D$996,"Expense"),0)</f>
        <v>0</v>
      </c>
      <c r="H260" s="13"/>
      <c r="I260" s="13"/>
      <c r="J260" s="13"/>
    </row>
    <row r="261" ht="19.5" customHeight="1">
      <c r="A261" s="13"/>
      <c r="B261" s="22"/>
      <c r="C261" s="13"/>
      <c r="D261" s="13"/>
      <c r="E261" s="13"/>
      <c r="F261" s="12"/>
      <c r="G261" s="23">
        <f>IFERROR(SUMIFS(Transactions!$F$7:$F$996,Transactions!$G$7:$G$996,A261,Transactions!$D$7:$D$996,"Expense"),0)</f>
        <v>0</v>
      </c>
      <c r="H261" s="13"/>
      <c r="I261" s="13"/>
      <c r="J261" s="13"/>
    </row>
    <row r="262" ht="19.5" customHeight="1">
      <c r="A262" s="13"/>
      <c r="B262" s="22"/>
      <c r="C262" s="13"/>
      <c r="D262" s="13"/>
      <c r="E262" s="13"/>
      <c r="F262" s="12"/>
      <c r="G262" s="23">
        <f>IFERROR(SUMIFS(Transactions!$F$7:$F$996,Transactions!$G$7:$G$996,A262,Transactions!$D$7:$D$996,"Expense"),0)</f>
        <v>0</v>
      </c>
      <c r="H262" s="13"/>
      <c r="I262" s="13"/>
      <c r="J262" s="13"/>
    </row>
    <row r="263" ht="19.5" customHeight="1">
      <c r="A263" s="13"/>
      <c r="B263" s="22"/>
      <c r="C263" s="13"/>
      <c r="D263" s="13"/>
      <c r="E263" s="13"/>
      <c r="F263" s="12"/>
      <c r="G263" s="23">
        <f>IFERROR(SUMIFS(Transactions!$F$7:$F$996,Transactions!$G$7:$G$996,A263,Transactions!$D$7:$D$996,"Expense"),0)</f>
        <v>0</v>
      </c>
      <c r="H263" s="13"/>
      <c r="I263" s="13"/>
      <c r="J263" s="13"/>
    </row>
    <row r="264" ht="19.5" customHeight="1">
      <c r="A264" s="13"/>
      <c r="B264" s="22"/>
      <c r="C264" s="13"/>
      <c r="D264" s="13"/>
      <c r="E264" s="13"/>
      <c r="F264" s="12"/>
      <c r="G264" s="23">
        <f>IFERROR(SUMIFS(Transactions!$F$7:$F$996,Transactions!$G$7:$G$996,A264,Transactions!$D$7:$D$996,"Expense"),0)</f>
        <v>0</v>
      </c>
      <c r="H264" s="13"/>
      <c r="I264" s="13"/>
      <c r="J264" s="13"/>
    </row>
    <row r="265" ht="19.5" customHeight="1">
      <c r="A265" s="13"/>
      <c r="B265" s="22"/>
      <c r="C265" s="13"/>
      <c r="D265" s="13"/>
      <c r="E265" s="13"/>
      <c r="F265" s="12"/>
      <c r="G265" s="23">
        <f>IFERROR(SUMIFS(Transactions!$F$7:$F$996,Transactions!$G$7:$G$996,A265,Transactions!$D$7:$D$996,"Expense"),0)</f>
        <v>0</v>
      </c>
      <c r="H265" s="13"/>
      <c r="I265" s="13"/>
      <c r="J265" s="13"/>
    </row>
    <row r="266" ht="19.5" customHeight="1">
      <c r="A266" s="13"/>
      <c r="B266" s="22"/>
      <c r="C266" s="13"/>
      <c r="D266" s="13"/>
      <c r="E266" s="13"/>
      <c r="F266" s="12"/>
      <c r="G266" s="23">
        <f>IFERROR(SUMIFS(Transactions!$F$7:$F$996,Transactions!$G$7:$G$996,A266,Transactions!$D$7:$D$996,"Expense"),0)</f>
        <v>0</v>
      </c>
      <c r="H266" s="13"/>
      <c r="I266" s="13"/>
      <c r="J266" s="13"/>
    </row>
    <row r="267" ht="19.5" customHeight="1">
      <c r="A267" s="13"/>
      <c r="B267" s="22"/>
      <c r="C267" s="13"/>
      <c r="D267" s="13"/>
      <c r="E267" s="13"/>
      <c r="F267" s="12"/>
      <c r="G267" s="23">
        <f>IFERROR(SUMIFS(Transactions!$F$7:$F$996,Transactions!$G$7:$G$996,A267,Transactions!$D$7:$D$996,"Expense"),0)</f>
        <v>0</v>
      </c>
      <c r="H267" s="13"/>
      <c r="I267" s="13"/>
      <c r="J267" s="13"/>
    </row>
    <row r="268" ht="19.5" customHeight="1">
      <c r="A268" s="13"/>
      <c r="B268" s="22"/>
      <c r="C268" s="13"/>
      <c r="D268" s="13"/>
      <c r="E268" s="13"/>
      <c r="F268" s="12"/>
      <c r="G268" s="23">
        <f>IFERROR(SUMIFS(Transactions!$F$7:$F$996,Transactions!$G$7:$G$996,A268,Transactions!$D$7:$D$996,"Expense"),0)</f>
        <v>0</v>
      </c>
      <c r="H268" s="13"/>
      <c r="I268" s="13"/>
      <c r="J268" s="13"/>
    </row>
    <row r="269" ht="19.5" customHeight="1">
      <c r="A269" s="13"/>
      <c r="B269" s="22"/>
      <c r="C269" s="13"/>
      <c r="D269" s="13"/>
      <c r="E269" s="13"/>
      <c r="F269" s="12"/>
      <c r="G269" s="23">
        <f>IFERROR(SUMIFS(Transactions!$F$7:$F$996,Transactions!$G$7:$G$996,A269,Transactions!$D$7:$D$996,"Expense"),0)</f>
        <v>0</v>
      </c>
      <c r="H269" s="13"/>
      <c r="I269" s="13"/>
      <c r="J269" s="13"/>
    </row>
    <row r="270" ht="19.5" customHeight="1">
      <c r="A270" s="13"/>
      <c r="B270" s="22"/>
      <c r="C270" s="13"/>
      <c r="D270" s="13"/>
      <c r="E270" s="13"/>
      <c r="F270" s="12"/>
      <c r="G270" s="23">
        <f>IFERROR(SUMIFS(Transactions!$F$7:$F$996,Transactions!$G$7:$G$996,A270,Transactions!$D$7:$D$996,"Expense"),0)</f>
        <v>0</v>
      </c>
      <c r="H270" s="13"/>
      <c r="I270" s="13"/>
      <c r="J270" s="13"/>
    </row>
    <row r="271" ht="19.5" customHeight="1">
      <c r="A271" s="13"/>
      <c r="B271" s="22"/>
      <c r="C271" s="13"/>
      <c r="D271" s="13"/>
      <c r="E271" s="13"/>
      <c r="F271" s="12"/>
      <c r="G271" s="23">
        <f>IFERROR(SUMIFS(Transactions!$F$7:$F$996,Transactions!$G$7:$G$996,A271,Transactions!$D$7:$D$996,"Expense"),0)</f>
        <v>0</v>
      </c>
      <c r="H271" s="13"/>
      <c r="I271" s="13"/>
      <c r="J271" s="13"/>
    </row>
    <row r="272" ht="19.5" customHeight="1">
      <c r="A272" s="13"/>
      <c r="B272" s="22"/>
      <c r="C272" s="13"/>
      <c r="D272" s="13"/>
      <c r="E272" s="13"/>
      <c r="F272" s="12"/>
      <c r="G272" s="23">
        <f>IFERROR(SUMIFS(Transactions!$F$7:$F$996,Transactions!$G$7:$G$996,A272,Transactions!$D$7:$D$996,"Expense"),0)</f>
        <v>0</v>
      </c>
      <c r="H272" s="13"/>
      <c r="I272" s="13"/>
      <c r="J272" s="13"/>
    </row>
    <row r="273" ht="19.5" customHeight="1">
      <c r="A273" s="13"/>
      <c r="B273" s="22"/>
      <c r="C273" s="13"/>
      <c r="D273" s="13"/>
      <c r="E273" s="13"/>
      <c r="F273" s="12"/>
      <c r="G273" s="23">
        <f>IFERROR(SUMIFS(Transactions!$F$7:$F$996,Transactions!$G$7:$G$996,A273,Transactions!$D$7:$D$996,"Expense"),0)</f>
        <v>0</v>
      </c>
      <c r="H273" s="13"/>
      <c r="I273" s="13"/>
      <c r="J273" s="13"/>
    </row>
    <row r="274" ht="19.5" customHeight="1">
      <c r="A274" s="13"/>
      <c r="B274" s="22"/>
      <c r="C274" s="13"/>
      <c r="D274" s="13"/>
      <c r="E274" s="13"/>
      <c r="F274" s="12"/>
      <c r="G274" s="23">
        <f>IFERROR(SUMIFS(Transactions!$F$7:$F$996,Transactions!$G$7:$G$996,A274,Transactions!$D$7:$D$996,"Expense"),0)</f>
        <v>0</v>
      </c>
      <c r="H274" s="13"/>
      <c r="I274" s="13"/>
      <c r="J274" s="13"/>
    </row>
    <row r="275" ht="19.5" customHeight="1">
      <c r="A275" s="13"/>
      <c r="B275" s="22"/>
      <c r="C275" s="13"/>
      <c r="D275" s="13"/>
      <c r="E275" s="13"/>
      <c r="F275" s="12"/>
      <c r="G275" s="23">
        <f>IFERROR(SUMIFS(Transactions!$F$7:$F$996,Transactions!$G$7:$G$996,A275,Transactions!$D$7:$D$996,"Expense"),0)</f>
        <v>0</v>
      </c>
      <c r="H275" s="13"/>
      <c r="I275" s="13"/>
      <c r="J275" s="13"/>
    </row>
    <row r="276" ht="19.5" customHeight="1">
      <c r="A276" s="13"/>
      <c r="B276" s="22"/>
      <c r="C276" s="13"/>
      <c r="D276" s="13"/>
      <c r="E276" s="13"/>
      <c r="F276" s="12"/>
      <c r="G276" s="23">
        <f>IFERROR(SUMIFS(Transactions!$F$7:$F$996,Transactions!$G$7:$G$996,A276,Transactions!$D$7:$D$996,"Expense"),0)</f>
        <v>0</v>
      </c>
      <c r="H276" s="13"/>
      <c r="I276" s="13"/>
      <c r="J276" s="13"/>
    </row>
    <row r="277" ht="19.5" customHeight="1">
      <c r="A277" s="13"/>
      <c r="B277" s="22"/>
      <c r="C277" s="13"/>
      <c r="D277" s="13"/>
      <c r="E277" s="13"/>
      <c r="F277" s="12"/>
      <c r="G277" s="23">
        <f>IFERROR(SUMIFS(Transactions!$F$7:$F$996,Transactions!$G$7:$G$996,A277,Transactions!$D$7:$D$996,"Expense"),0)</f>
        <v>0</v>
      </c>
      <c r="H277" s="13"/>
      <c r="I277" s="13"/>
      <c r="J277" s="13"/>
    </row>
    <row r="278" ht="19.5" customHeight="1">
      <c r="A278" s="13"/>
      <c r="B278" s="22"/>
      <c r="C278" s="13"/>
      <c r="D278" s="13"/>
      <c r="E278" s="13"/>
      <c r="F278" s="12"/>
      <c r="G278" s="23">
        <f>IFERROR(SUMIFS(Transactions!$F$7:$F$996,Transactions!$G$7:$G$996,A278,Transactions!$D$7:$D$996,"Expense"),0)</f>
        <v>0</v>
      </c>
      <c r="H278" s="13"/>
      <c r="I278" s="13"/>
      <c r="J278" s="13"/>
    </row>
    <row r="279" ht="19.5" customHeight="1">
      <c r="A279" s="13"/>
      <c r="B279" s="22"/>
      <c r="C279" s="13"/>
      <c r="D279" s="13"/>
      <c r="E279" s="13"/>
      <c r="F279" s="12"/>
      <c r="G279" s="23">
        <f>IFERROR(SUMIFS(Transactions!$F$7:$F$996,Transactions!$G$7:$G$996,A279,Transactions!$D$7:$D$996,"Expense"),0)</f>
        <v>0</v>
      </c>
      <c r="H279" s="13"/>
      <c r="I279" s="13"/>
      <c r="J279" s="13"/>
    </row>
    <row r="280" ht="19.5" customHeight="1">
      <c r="A280" s="13"/>
      <c r="B280" s="22"/>
      <c r="C280" s="13"/>
      <c r="D280" s="13"/>
      <c r="E280" s="13"/>
      <c r="F280" s="12"/>
      <c r="G280" s="23">
        <f>IFERROR(SUMIFS(Transactions!$F$7:$F$996,Transactions!$G$7:$G$996,A280,Transactions!$D$7:$D$996,"Expense"),0)</f>
        <v>0</v>
      </c>
      <c r="H280" s="13"/>
      <c r="I280" s="13"/>
      <c r="J280" s="13"/>
    </row>
    <row r="281" ht="19.5" customHeight="1">
      <c r="A281" s="13"/>
      <c r="B281" s="22"/>
      <c r="C281" s="13"/>
      <c r="D281" s="13"/>
      <c r="E281" s="13"/>
      <c r="F281" s="12"/>
      <c r="G281" s="23">
        <f>IFERROR(SUMIFS(Transactions!$F$7:$F$996,Transactions!$G$7:$G$996,A281,Transactions!$D$7:$D$996,"Expense"),0)</f>
        <v>0</v>
      </c>
      <c r="H281" s="13"/>
      <c r="I281" s="13"/>
      <c r="J281" s="13"/>
    </row>
    <row r="282" ht="19.5" customHeight="1">
      <c r="A282" s="13"/>
      <c r="B282" s="22"/>
      <c r="C282" s="13"/>
      <c r="D282" s="13"/>
      <c r="E282" s="13"/>
      <c r="F282" s="12"/>
      <c r="G282" s="23">
        <f>IFERROR(SUMIFS(Transactions!$F$7:$F$996,Transactions!$G$7:$G$996,A282,Transactions!$D$7:$D$996,"Expense"),0)</f>
        <v>0</v>
      </c>
      <c r="H282" s="13"/>
      <c r="I282" s="13"/>
      <c r="J282" s="13"/>
    </row>
    <row r="283" ht="19.5" customHeight="1">
      <c r="A283" s="13"/>
      <c r="B283" s="22"/>
      <c r="C283" s="13"/>
      <c r="D283" s="13"/>
      <c r="E283" s="13"/>
      <c r="F283" s="12"/>
      <c r="G283" s="23">
        <f>IFERROR(SUMIFS(Transactions!$F$7:$F$996,Transactions!$G$7:$G$996,A283,Transactions!$D$7:$D$996,"Expense"),0)</f>
        <v>0</v>
      </c>
      <c r="H283" s="13"/>
      <c r="I283" s="13"/>
      <c r="J283" s="13"/>
    </row>
    <row r="284" ht="19.5" customHeight="1">
      <c r="A284" s="13"/>
      <c r="B284" s="22"/>
      <c r="C284" s="13"/>
      <c r="D284" s="13"/>
      <c r="E284" s="13"/>
      <c r="F284" s="12"/>
      <c r="G284" s="23">
        <f>IFERROR(SUMIFS(Transactions!$F$7:$F$996,Transactions!$G$7:$G$996,A284,Transactions!$D$7:$D$996,"Expense"),0)</f>
        <v>0</v>
      </c>
      <c r="H284" s="13"/>
      <c r="I284" s="13"/>
      <c r="J284" s="13"/>
    </row>
    <row r="285" ht="19.5" customHeight="1">
      <c r="A285" s="13"/>
      <c r="B285" s="22"/>
      <c r="C285" s="13"/>
      <c r="D285" s="13"/>
      <c r="E285" s="13"/>
      <c r="F285" s="12"/>
      <c r="G285" s="23">
        <f>IFERROR(SUMIFS(Transactions!$F$7:$F$996,Transactions!$G$7:$G$996,A285,Transactions!$D$7:$D$996,"Expense"),0)</f>
        <v>0</v>
      </c>
      <c r="H285" s="13"/>
      <c r="I285" s="13"/>
      <c r="J285" s="13"/>
    </row>
    <row r="286" ht="19.5" customHeight="1">
      <c r="A286" s="13"/>
      <c r="B286" s="22"/>
      <c r="C286" s="13"/>
      <c r="D286" s="13"/>
      <c r="E286" s="13"/>
      <c r="F286" s="12"/>
      <c r="G286" s="23">
        <f>IFERROR(SUMIFS(Transactions!$F$7:$F$996,Transactions!$G$7:$G$996,A286,Transactions!$D$7:$D$996,"Expense"),0)</f>
        <v>0</v>
      </c>
      <c r="H286" s="13"/>
      <c r="I286" s="13"/>
      <c r="J286" s="13"/>
    </row>
    <row r="287" ht="19.5" customHeight="1">
      <c r="A287" s="13"/>
      <c r="B287" s="22"/>
      <c r="C287" s="13"/>
      <c r="D287" s="13"/>
      <c r="E287" s="13"/>
      <c r="F287" s="12"/>
      <c r="G287" s="23">
        <f>IFERROR(SUMIFS(Transactions!$F$7:$F$996,Transactions!$G$7:$G$996,A287,Transactions!$D$7:$D$996,"Expense"),0)</f>
        <v>0</v>
      </c>
      <c r="H287" s="13"/>
      <c r="I287" s="13"/>
      <c r="J287" s="13"/>
    </row>
    <row r="288" ht="19.5" customHeight="1">
      <c r="A288" s="13"/>
      <c r="B288" s="22"/>
      <c r="C288" s="13"/>
      <c r="D288" s="13"/>
      <c r="E288" s="13"/>
      <c r="F288" s="12"/>
      <c r="G288" s="23">
        <f>IFERROR(SUMIFS(Transactions!$F$7:$F$996,Transactions!$G$7:$G$996,A288,Transactions!$D$7:$D$996,"Expense"),0)</f>
        <v>0</v>
      </c>
      <c r="H288" s="13"/>
      <c r="I288" s="13"/>
      <c r="J288" s="13"/>
    </row>
    <row r="289" ht="19.5" customHeight="1">
      <c r="A289" s="13"/>
      <c r="B289" s="22"/>
      <c r="C289" s="13"/>
      <c r="D289" s="13"/>
      <c r="E289" s="13"/>
      <c r="F289" s="12"/>
      <c r="G289" s="23">
        <f>IFERROR(SUMIFS(Transactions!$F$7:$F$996,Transactions!$G$7:$G$996,A289,Transactions!$D$7:$D$996,"Expense"),0)</f>
        <v>0</v>
      </c>
      <c r="H289" s="13"/>
      <c r="I289" s="13"/>
      <c r="J289" s="13"/>
    </row>
    <row r="290" ht="19.5" customHeight="1">
      <c r="A290" s="13"/>
      <c r="B290" s="22"/>
      <c r="C290" s="13"/>
      <c r="D290" s="13"/>
      <c r="E290" s="13"/>
      <c r="F290" s="12"/>
      <c r="G290" s="23">
        <f>IFERROR(SUMIFS(Transactions!$F$7:$F$996,Transactions!$G$7:$G$996,A290,Transactions!$D$7:$D$996,"Expense"),0)</f>
        <v>0</v>
      </c>
      <c r="H290" s="13"/>
      <c r="I290" s="13"/>
      <c r="J290" s="13"/>
    </row>
    <row r="291" ht="19.5" customHeight="1">
      <c r="A291" s="13"/>
      <c r="B291" s="22"/>
      <c r="C291" s="13"/>
      <c r="D291" s="13"/>
      <c r="E291" s="13"/>
      <c r="F291" s="12"/>
      <c r="G291" s="23">
        <f>IFERROR(SUMIFS(Transactions!$F$7:$F$996,Transactions!$G$7:$G$996,A291,Transactions!$D$7:$D$996,"Expense"),0)</f>
        <v>0</v>
      </c>
      <c r="H291" s="13"/>
      <c r="I291" s="13"/>
      <c r="J291" s="13"/>
    </row>
    <row r="292" ht="19.5" customHeight="1">
      <c r="A292" s="13"/>
      <c r="B292" s="22"/>
      <c r="C292" s="13"/>
      <c r="D292" s="13"/>
      <c r="E292" s="13"/>
      <c r="F292" s="12"/>
      <c r="G292" s="23">
        <f>IFERROR(SUMIFS(Transactions!$F$7:$F$996,Transactions!$G$7:$G$996,A292,Transactions!$D$7:$D$996,"Expense"),0)</f>
        <v>0</v>
      </c>
      <c r="H292" s="13"/>
      <c r="I292" s="13"/>
      <c r="J292" s="13"/>
    </row>
    <row r="293" ht="19.5" customHeight="1">
      <c r="A293" s="13"/>
      <c r="B293" s="22"/>
      <c r="C293" s="13"/>
      <c r="D293" s="13"/>
      <c r="E293" s="13"/>
      <c r="F293" s="12"/>
      <c r="G293" s="23">
        <f>IFERROR(SUMIFS(Transactions!$F$7:$F$996,Transactions!$G$7:$G$996,A293,Transactions!$D$7:$D$996,"Expense"),0)</f>
        <v>0</v>
      </c>
      <c r="H293" s="13"/>
      <c r="I293" s="13"/>
      <c r="J293" s="13"/>
    </row>
    <row r="294" ht="19.5" customHeight="1">
      <c r="A294" s="13"/>
      <c r="B294" s="22"/>
      <c r="C294" s="13"/>
      <c r="D294" s="13"/>
      <c r="E294" s="13"/>
      <c r="F294" s="12"/>
      <c r="G294" s="23">
        <f>IFERROR(SUMIFS(Transactions!$F$7:$F$996,Transactions!$G$7:$G$996,A294,Transactions!$D$7:$D$996,"Expense"),0)</f>
        <v>0</v>
      </c>
      <c r="H294" s="13"/>
      <c r="I294" s="13"/>
      <c r="J294" s="13"/>
    </row>
    <row r="295" ht="19.5" customHeight="1">
      <c r="A295" s="13"/>
      <c r="B295" s="22"/>
      <c r="C295" s="13"/>
      <c r="D295" s="13"/>
      <c r="E295" s="13"/>
      <c r="F295" s="12"/>
      <c r="G295" s="23">
        <f>IFERROR(SUMIFS(Transactions!$F$7:$F$996,Transactions!$G$7:$G$996,A295,Transactions!$D$7:$D$996,"Expense"),0)</f>
        <v>0</v>
      </c>
      <c r="H295" s="13"/>
      <c r="I295" s="13"/>
      <c r="J295" s="13"/>
    </row>
    <row r="296" ht="19.5" customHeight="1">
      <c r="A296" s="13"/>
      <c r="B296" s="22"/>
      <c r="C296" s="13"/>
      <c r="D296" s="13"/>
      <c r="E296" s="13"/>
      <c r="F296" s="12"/>
      <c r="G296" s="23">
        <f>IFERROR(SUMIFS(Transactions!$F$7:$F$996,Transactions!$G$7:$G$996,A296,Transactions!$D$7:$D$996,"Expense"),0)</f>
        <v>0</v>
      </c>
      <c r="H296" s="13"/>
      <c r="I296" s="13"/>
      <c r="J296" s="13"/>
    </row>
    <row r="297" ht="19.5" customHeight="1">
      <c r="A297" s="13"/>
      <c r="B297" s="22"/>
      <c r="C297" s="13"/>
      <c r="D297" s="13"/>
      <c r="E297" s="13"/>
      <c r="F297" s="12"/>
      <c r="G297" s="23">
        <f>IFERROR(SUMIFS(Transactions!$F$7:$F$996,Transactions!$G$7:$G$996,A297,Transactions!$D$7:$D$996,"Expense"),0)</f>
        <v>0</v>
      </c>
      <c r="H297" s="13"/>
      <c r="I297" s="13"/>
      <c r="J297" s="13"/>
    </row>
    <row r="298" ht="19.5" customHeight="1">
      <c r="A298" s="13"/>
      <c r="B298" s="22"/>
      <c r="C298" s="13"/>
      <c r="D298" s="13"/>
      <c r="E298" s="13"/>
      <c r="F298" s="12"/>
      <c r="G298" s="23">
        <f>IFERROR(SUMIFS(Transactions!$F$7:$F$996,Transactions!$G$7:$G$996,A298,Transactions!$D$7:$D$996,"Expense"),0)</f>
        <v>0</v>
      </c>
      <c r="H298" s="13"/>
      <c r="I298" s="13"/>
      <c r="J298" s="13"/>
    </row>
    <row r="299" ht="19.5" customHeight="1">
      <c r="A299" s="13"/>
      <c r="B299" s="22"/>
      <c r="C299" s="13"/>
      <c r="D299" s="13"/>
      <c r="E299" s="13"/>
      <c r="F299" s="12"/>
      <c r="G299" s="23">
        <f>IFERROR(SUMIFS(Transactions!$F$7:$F$996,Transactions!$G$7:$G$996,A299,Transactions!$D$7:$D$996,"Expense"),0)</f>
        <v>0</v>
      </c>
      <c r="H299" s="13"/>
      <c r="I299" s="13"/>
      <c r="J299" s="13"/>
    </row>
    <row r="300" ht="19.5" customHeight="1">
      <c r="A300" s="13"/>
      <c r="B300" s="22"/>
      <c r="C300" s="13"/>
      <c r="D300" s="13"/>
      <c r="E300" s="13"/>
      <c r="F300" s="12"/>
      <c r="G300" s="23">
        <f>IFERROR(SUMIFS(Transactions!$F$7:$F$996,Transactions!$G$7:$G$996,A300,Transactions!$D$7:$D$996,"Expense"),0)</f>
        <v>0</v>
      </c>
      <c r="H300" s="13"/>
      <c r="I300" s="13"/>
      <c r="J300" s="13"/>
    </row>
    <row r="301" ht="19.5" customHeight="1">
      <c r="A301" s="13"/>
      <c r="B301" s="22"/>
      <c r="C301" s="13"/>
      <c r="D301" s="13"/>
      <c r="E301" s="13"/>
      <c r="F301" s="12"/>
      <c r="G301" s="23">
        <f>IFERROR(SUMIFS(Transactions!$F$7:$F$996,Transactions!$G$7:$G$996,A301,Transactions!$D$7:$D$996,"Expense"),0)</f>
        <v>0</v>
      </c>
      <c r="H301" s="13"/>
      <c r="I301" s="13"/>
      <c r="J301" s="13"/>
    </row>
    <row r="302" ht="19.5" customHeight="1">
      <c r="A302" s="13"/>
      <c r="B302" s="22"/>
      <c r="C302" s="13"/>
      <c r="D302" s="13"/>
      <c r="E302" s="13"/>
      <c r="F302" s="12"/>
      <c r="G302" s="23">
        <f>IFERROR(SUMIFS(Transactions!$F$7:$F$996,Transactions!$G$7:$G$996,A302,Transactions!$D$7:$D$996,"Expense"),0)</f>
        <v>0</v>
      </c>
      <c r="H302" s="13"/>
      <c r="I302" s="13"/>
      <c r="J302" s="13"/>
    </row>
    <row r="303" ht="19.5" customHeight="1">
      <c r="A303" s="13"/>
      <c r="B303" s="22"/>
      <c r="C303" s="13"/>
      <c r="D303" s="13"/>
      <c r="E303" s="13"/>
      <c r="F303" s="12"/>
      <c r="G303" s="23">
        <f>IFERROR(SUMIFS(Transactions!$F$7:$F$996,Transactions!$G$7:$G$996,A303,Transactions!$D$7:$D$996,"Expense"),0)</f>
        <v>0</v>
      </c>
      <c r="H303" s="13"/>
      <c r="I303" s="13"/>
      <c r="J303" s="13"/>
    </row>
    <row r="304" ht="19.5" customHeight="1">
      <c r="A304" s="13"/>
      <c r="B304" s="22"/>
      <c r="C304" s="13"/>
      <c r="D304" s="13"/>
      <c r="E304" s="13"/>
      <c r="F304" s="12"/>
      <c r="G304" s="23">
        <f>IFERROR(SUMIFS(Transactions!$F$7:$F$996,Transactions!$G$7:$G$996,A304,Transactions!$D$7:$D$996,"Expense"),0)</f>
        <v>0</v>
      </c>
      <c r="H304" s="13"/>
      <c r="I304" s="13"/>
      <c r="J304" s="13"/>
    </row>
    <row r="305" ht="19.5" customHeight="1">
      <c r="A305" s="13"/>
      <c r="B305" s="22"/>
      <c r="C305" s="13"/>
      <c r="D305" s="13"/>
      <c r="E305" s="13"/>
      <c r="F305" s="12"/>
      <c r="G305" s="23">
        <f>IFERROR(SUMIFS(Transactions!$F$7:$F$996,Transactions!$G$7:$G$996,A305,Transactions!$D$7:$D$996,"Expense"),0)</f>
        <v>0</v>
      </c>
      <c r="H305" s="13"/>
      <c r="I305" s="13"/>
      <c r="J305" s="13"/>
    </row>
    <row r="306" ht="19.5" customHeight="1">
      <c r="A306" s="13"/>
      <c r="B306" s="22"/>
      <c r="C306" s="13"/>
      <c r="D306" s="13"/>
      <c r="E306" s="13"/>
      <c r="F306" s="12"/>
      <c r="G306" s="23">
        <f>IFERROR(SUMIFS(Transactions!$F$7:$F$996,Transactions!$G$7:$G$996,A306,Transactions!$D$7:$D$996,"Expense"),0)</f>
        <v>0</v>
      </c>
      <c r="H306" s="13"/>
      <c r="I306" s="13"/>
      <c r="J306" s="13"/>
    </row>
    <row r="307" ht="19.5" customHeight="1">
      <c r="A307" s="13"/>
      <c r="B307" s="22"/>
      <c r="C307" s="13"/>
      <c r="D307" s="13"/>
      <c r="E307" s="13"/>
      <c r="F307" s="12"/>
      <c r="G307" s="23">
        <f>IFERROR(SUMIFS(Transactions!$F$7:$F$996,Transactions!$G$7:$G$996,A307,Transactions!$D$7:$D$996,"Expense"),0)</f>
        <v>0</v>
      </c>
      <c r="H307" s="13"/>
      <c r="I307" s="13"/>
      <c r="J307" s="13"/>
    </row>
    <row r="308" ht="19.5" customHeight="1">
      <c r="A308" s="13"/>
      <c r="B308" s="22"/>
      <c r="C308" s="13"/>
      <c r="D308" s="13"/>
      <c r="E308" s="13"/>
      <c r="F308" s="12"/>
      <c r="G308" s="23">
        <f>IFERROR(SUMIFS(Transactions!$F$7:$F$996,Transactions!$G$7:$G$996,A308,Transactions!$D$7:$D$996,"Expense"),0)</f>
        <v>0</v>
      </c>
      <c r="H308" s="13"/>
      <c r="I308" s="13"/>
      <c r="J308" s="13"/>
    </row>
    <row r="309" ht="19.5" customHeight="1">
      <c r="A309" s="13"/>
      <c r="B309" s="22"/>
      <c r="C309" s="13"/>
      <c r="D309" s="13"/>
      <c r="E309" s="13"/>
      <c r="F309" s="12"/>
      <c r="G309" s="23">
        <f>IFERROR(SUMIFS(Transactions!$F$7:$F$996,Transactions!$G$7:$G$996,A309,Transactions!$D$7:$D$996,"Expense"),0)</f>
        <v>0</v>
      </c>
      <c r="H309" s="13"/>
      <c r="I309" s="13"/>
      <c r="J309" s="13"/>
    </row>
    <row r="310" ht="19.5" customHeight="1">
      <c r="A310" s="13"/>
      <c r="B310" s="22"/>
      <c r="C310" s="13"/>
      <c r="D310" s="13"/>
      <c r="E310" s="13"/>
      <c r="F310" s="12"/>
      <c r="G310" s="23">
        <f>IFERROR(SUMIFS(Transactions!$F$7:$F$996,Transactions!$G$7:$G$996,A310,Transactions!$D$7:$D$996,"Expense"),0)</f>
        <v>0</v>
      </c>
      <c r="H310" s="13"/>
      <c r="I310" s="13"/>
      <c r="J310" s="13"/>
    </row>
    <row r="311" ht="19.5" customHeight="1">
      <c r="A311" s="13"/>
      <c r="B311" s="22"/>
      <c r="C311" s="13"/>
      <c r="D311" s="13"/>
      <c r="E311" s="13"/>
      <c r="F311" s="12"/>
      <c r="G311" s="23">
        <f>IFERROR(SUMIFS(Transactions!$F$7:$F$996,Transactions!$G$7:$G$996,A311,Transactions!$D$7:$D$996,"Expense"),0)</f>
        <v>0</v>
      </c>
      <c r="H311" s="13"/>
      <c r="I311" s="13"/>
      <c r="J311" s="13"/>
    </row>
    <row r="312" ht="19.5" customHeight="1">
      <c r="A312" s="13"/>
      <c r="B312" s="22"/>
      <c r="C312" s="13"/>
      <c r="D312" s="13"/>
      <c r="E312" s="13"/>
      <c r="F312" s="12"/>
      <c r="G312" s="23">
        <f>IFERROR(SUMIFS(Transactions!$F$7:$F$996,Transactions!$G$7:$G$996,A312,Transactions!$D$7:$D$996,"Expense"),0)</f>
        <v>0</v>
      </c>
      <c r="H312" s="13"/>
      <c r="I312" s="13"/>
      <c r="J312" s="13"/>
    </row>
    <row r="313" ht="19.5" customHeight="1">
      <c r="A313" s="13"/>
      <c r="B313" s="22"/>
      <c r="C313" s="13"/>
      <c r="D313" s="13"/>
      <c r="E313" s="13"/>
      <c r="F313" s="12"/>
      <c r="G313" s="23">
        <f>IFERROR(SUMIFS(Transactions!$F$7:$F$996,Transactions!$G$7:$G$996,A313,Transactions!$D$7:$D$996,"Expense"),0)</f>
        <v>0</v>
      </c>
      <c r="H313" s="13"/>
      <c r="I313" s="13"/>
      <c r="J313" s="13"/>
    </row>
    <row r="314" ht="19.5" customHeight="1">
      <c r="A314" s="13"/>
      <c r="B314" s="22"/>
      <c r="C314" s="13"/>
      <c r="D314" s="13"/>
      <c r="E314" s="13"/>
      <c r="F314" s="12"/>
      <c r="G314" s="23">
        <f>IFERROR(SUMIFS(Transactions!$F$7:$F$996,Transactions!$G$7:$G$996,A314,Transactions!$D$7:$D$996,"Expense"),0)</f>
        <v>0</v>
      </c>
      <c r="H314" s="13"/>
      <c r="I314" s="13"/>
      <c r="J314" s="13"/>
    </row>
    <row r="315" ht="19.5" customHeight="1">
      <c r="A315" s="13"/>
      <c r="B315" s="22"/>
      <c r="C315" s="13"/>
      <c r="D315" s="13"/>
      <c r="E315" s="13"/>
      <c r="F315" s="12"/>
      <c r="G315" s="23">
        <f>IFERROR(SUMIFS(Transactions!$F$7:$F$996,Transactions!$G$7:$G$996,A315,Transactions!$D$7:$D$996,"Expense"),0)</f>
        <v>0</v>
      </c>
      <c r="H315" s="13"/>
      <c r="I315" s="13"/>
      <c r="J315" s="13"/>
    </row>
    <row r="316" ht="19.5" customHeight="1">
      <c r="A316" s="13"/>
      <c r="B316" s="22"/>
      <c r="C316" s="13"/>
      <c r="D316" s="13"/>
      <c r="E316" s="13"/>
      <c r="F316" s="12"/>
      <c r="G316" s="23">
        <f>IFERROR(SUMIFS(Transactions!$F$7:$F$996,Transactions!$G$7:$G$996,A316,Transactions!$D$7:$D$996,"Expense"),0)</f>
        <v>0</v>
      </c>
      <c r="H316" s="13"/>
      <c r="I316" s="13"/>
      <c r="J316" s="13"/>
    </row>
    <row r="317" ht="19.5" customHeight="1">
      <c r="A317" s="13"/>
      <c r="B317" s="22"/>
      <c r="C317" s="13"/>
      <c r="D317" s="13"/>
      <c r="E317" s="13"/>
      <c r="F317" s="12"/>
      <c r="G317" s="23">
        <f>IFERROR(SUMIFS(Transactions!$F$7:$F$996,Transactions!$G$7:$G$996,A317,Transactions!$D$7:$D$996,"Expense"),0)</f>
        <v>0</v>
      </c>
      <c r="H317" s="13"/>
      <c r="I317" s="13"/>
      <c r="J317" s="13"/>
    </row>
    <row r="318" ht="19.5" customHeight="1">
      <c r="A318" s="13"/>
      <c r="B318" s="22"/>
      <c r="C318" s="13"/>
      <c r="D318" s="13"/>
      <c r="E318" s="13"/>
      <c r="F318" s="12"/>
      <c r="G318" s="23">
        <f>IFERROR(SUMIFS(Transactions!$F$7:$F$996,Transactions!$G$7:$G$996,A318,Transactions!$D$7:$D$996,"Expense"),0)</f>
        <v>0</v>
      </c>
      <c r="H318" s="13"/>
      <c r="I318" s="13"/>
      <c r="J318" s="13"/>
    </row>
    <row r="319" ht="19.5" customHeight="1">
      <c r="A319" s="13"/>
      <c r="B319" s="22"/>
      <c r="C319" s="13"/>
      <c r="D319" s="13"/>
      <c r="E319" s="13"/>
      <c r="F319" s="12"/>
      <c r="G319" s="23">
        <f>IFERROR(SUMIFS(Transactions!$F$7:$F$996,Transactions!$G$7:$G$996,A319,Transactions!$D$7:$D$996,"Expense"),0)</f>
        <v>0</v>
      </c>
      <c r="H319" s="13"/>
      <c r="I319" s="13"/>
      <c r="J319" s="13"/>
    </row>
    <row r="320" ht="19.5" customHeight="1">
      <c r="A320" s="13"/>
      <c r="B320" s="22"/>
      <c r="C320" s="13"/>
      <c r="D320" s="13"/>
      <c r="E320" s="13"/>
      <c r="F320" s="12"/>
      <c r="G320" s="23">
        <f>IFERROR(SUMIFS(Transactions!$F$7:$F$996,Transactions!$G$7:$G$996,A320,Transactions!$D$7:$D$996,"Expense"),0)</f>
        <v>0</v>
      </c>
      <c r="H320" s="13"/>
      <c r="I320" s="13"/>
      <c r="J320" s="13"/>
    </row>
    <row r="321" ht="19.5" customHeight="1">
      <c r="A321" s="13"/>
      <c r="B321" s="22"/>
      <c r="C321" s="13"/>
      <c r="D321" s="13"/>
      <c r="E321" s="13"/>
      <c r="F321" s="12"/>
      <c r="G321" s="23">
        <f>IFERROR(SUMIFS(Transactions!$F$7:$F$996,Transactions!$G$7:$G$996,A321,Transactions!$D$7:$D$996,"Expense"),0)</f>
        <v>0</v>
      </c>
      <c r="H321" s="13"/>
      <c r="I321" s="13"/>
      <c r="J321" s="13"/>
    </row>
    <row r="322" ht="19.5" customHeight="1">
      <c r="A322" s="13"/>
      <c r="B322" s="22"/>
      <c r="C322" s="13"/>
      <c r="D322" s="13"/>
      <c r="E322" s="13"/>
      <c r="F322" s="12"/>
      <c r="G322" s="23">
        <f>IFERROR(SUMIFS(Transactions!$F$7:$F$996,Transactions!$G$7:$G$996,A322,Transactions!$D$7:$D$996,"Expense"),0)</f>
        <v>0</v>
      </c>
      <c r="H322" s="13"/>
      <c r="I322" s="13"/>
      <c r="J322" s="13"/>
    </row>
    <row r="323" ht="19.5" customHeight="1">
      <c r="A323" s="13"/>
      <c r="B323" s="22"/>
      <c r="C323" s="13"/>
      <c r="D323" s="13"/>
      <c r="E323" s="13"/>
      <c r="F323" s="12"/>
      <c r="G323" s="23">
        <f>IFERROR(SUMIFS(Transactions!$F$7:$F$996,Transactions!$G$7:$G$996,A323,Transactions!$D$7:$D$996,"Expense"),0)</f>
        <v>0</v>
      </c>
      <c r="H323" s="13"/>
      <c r="I323" s="13"/>
      <c r="J323" s="13"/>
    </row>
    <row r="324" ht="19.5" customHeight="1">
      <c r="A324" s="13"/>
      <c r="B324" s="22"/>
      <c r="C324" s="13"/>
      <c r="D324" s="13"/>
      <c r="E324" s="13"/>
      <c r="F324" s="12"/>
      <c r="G324" s="23">
        <f>IFERROR(SUMIFS(Transactions!$F$7:$F$996,Transactions!$G$7:$G$996,A324,Transactions!$D$7:$D$996,"Expense"),0)</f>
        <v>0</v>
      </c>
      <c r="H324" s="13"/>
      <c r="I324" s="13"/>
      <c r="J324" s="13"/>
    </row>
    <row r="325" ht="19.5" customHeight="1">
      <c r="A325" s="13"/>
      <c r="B325" s="22"/>
      <c r="C325" s="13"/>
      <c r="D325" s="13"/>
      <c r="E325" s="13"/>
      <c r="F325" s="12"/>
      <c r="G325" s="23">
        <f>IFERROR(SUMIFS(Transactions!$F$7:$F$996,Transactions!$G$7:$G$996,A325,Transactions!$D$7:$D$996,"Expense"),0)</f>
        <v>0</v>
      </c>
      <c r="H325" s="13"/>
      <c r="I325" s="13"/>
      <c r="J325" s="13"/>
    </row>
    <row r="326" ht="19.5" customHeight="1">
      <c r="A326" s="13"/>
      <c r="B326" s="22"/>
      <c r="C326" s="13"/>
      <c r="D326" s="13"/>
      <c r="E326" s="13"/>
      <c r="F326" s="12"/>
      <c r="G326" s="23">
        <f>IFERROR(SUMIFS(Transactions!$F$7:$F$996,Transactions!$G$7:$G$996,A326,Transactions!$D$7:$D$996,"Expense"),0)</f>
        <v>0</v>
      </c>
      <c r="H326" s="13"/>
      <c r="I326" s="13"/>
      <c r="J326" s="13"/>
    </row>
    <row r="327" ht="19.5" customHeight="1">
      <c r="A327" s="13"/>
      <c r="B327" s="22"/>
      <c r="C327" s="13"/>
      <c r="D327" s="13"/>
      <c r="E327" s="13"/>
      <c r="F327" s="12"/>
      <c r="G327" s="23">
        <f>IFERROR(SUMIFS(Transactions!$F$7:$F$996,Transactions!$G$7:$G$996,A327,Transactions!$D$7:$D$996,"Expense"),0)</f>
        <v>0</v>
      </c>
      <c r="H327" s="13"/>
      <c r="I327" s="13"/>
      <c r="J327" s="13"/>
    </row>
    <row r="328" ht="19.5" customHeight="1">
      <c r="A328" s="13"/>
      <c r="B328" s="22"/>
      <c r="C328" s="13"/>
      <c r="D328" s="13"/>
      <c r="E328" s="13"/>
      <c r="F328" s="12"/>
      <c r="G328" s="23">
        <f>IFERROR(SUMIFS(Transactions!$F$7:$F$996,Transactions!$G$7:$G$996,A328,Transactions!$D$7:$D$996,"Expense"),0)</f>
        <v>0</v>
      </c>
      <c r="H328" s="13"/>
      <c r="I328" s="13"/>
      <c r="J328" s="13"/>
    </row>
    <row r="329" ht="19.5" customHeight="1">
      <c r="A329" s="13"/>
      <c r="B329" s="22"/>
      <c r="C329" s="13"/>
      <c r="D329" s="13"/>
      <c r="E329" s="13"/>
      <c r="F329" s="12"/>
      <c r="G329" s="23">
        <f>IFERROR(SUMIFS(Transactions!$F$7:$F$996,Transactions!$G$7:$G$996,A329,Transactions!$D$7:$D$996,"Expense"),0)</f>
        <v>0</v>
      </c>
      <c r="H329" s="13"/>
      <c r="I329" s="13"/>
      <c r="J329" s="13"/>
    </row>
    <row r="330" ht="19.5" customHeight="1">
      <c r="A330" s="13"/>
      <c r="B330" s="22"/>
      <c r="C330" s="13"/>
      <c r="D330" s="13"/>
      <c r="E330" s="13"/>
      <c r="F330" s="12"/>
      <c r="G330" s="23">
        <f>IFERROR(SUMIFS(Transactions!$F$7:$F$996,Transactions!$G$7:$G$996,A330,Transactions!$D$7:$D$996,"Expense"),0)</f>
        <v>0</v>
      </c>
      <c r="H330" s="13"/>
      <c r="I330" s="13"/>
      <c r="J330" s="13"/>
    </row>
    <row r="331" ht="19.5" customHeight="1">
      <c r="A331" s="13"/>
      <c r="B331" s="22"/>
      <c r="C331" s="13"/>
      <c r="D331" s="13"/>
      <c r="E331" s="13"/>
      <c r="F331" s="12"/>
      <c r="G331" s="23">
        <f>IFERROR(SUMIFS(Transactions!$F$7:$F$996,Transactions!$G$7:$G$996,A331,Transactions!$D$7:$D$996,"Expense"),0)</f>
        <v>0</v>
      </c>
      <c r="H331" s="13"/>
      <c r="I331" s="13"/>
      <c r="J331" s="13"/>
    </row>
    <row r="332" ht="19.5" customHeight="1">
      <c r="A332" s="13"/>
      <c r="B332" s="22"/>
      <c r="C332" s="13"/>
      <c r="D332" s="13"/>
      <c r="E332" s="13"/>
      <c r="F332" s="12"/>
      <c r="G332" s="23">
        <f>IFERROR(SUMIFS(Transactions!$F$7:$F$996,Transactions!$G$7:$G$996,A332,Transactions!$D$7:$D$996,"Expense"),0)</f>
        <v>0</v>
      </c>
      <c r="H332" s="13"/>
      <c r="I332" s="13"/>
      <c r="J332" s="13"/>
    </row>
    <row r="333" ht="19.5" customHeight="1">
      <c r="A333" s="13"/>
      <c r="B333" s="22"/>
      <c r="C333" s="13"/>
      <c r="D333" s="13"/>
      <c r="E333" s="13"/>
      <c r="F333" s="12"/>
      <c r="G333" s="23">
        <f>IFERROR(SUMIFS(Transactions!$F$7:$F$996,Transactions!$G$7:$G$996,A333,Transactions!$D$7:$D$996,"Expense"),0)</f>
        <v>0</v>
      </c>
      <c r="H333" s="13"/>
      <c r="I333" s="13"/>
      <c r="J333" s="13"/>
    </row>
    <row r="334" ht="19.5" customHeight="1">
      <c r="A334" s="13"/>
      <c r="B334" s="22"/>
      <c r="C334" s="13"/>
      <c r="D334" s="13"/>
      <c r="E334" s="13"/>
      <c r="F334" s="12"/>
      <c r="G334" s="23">
        <f>IFERROR(SUMIFS(Transactions!$F$7:$F$996,Transactions!$G$7:$G$996,A334,Transactions!$D$7:$D$996,"Expense"),0)</f>
        <v>0</v>
      </c>
      <c r="H334" s="13"/>
      <c r="I334" s="13"/>
      <c r="J334" s="13"/>
    </row>
    <row r="335" ht="19.5" customHeight="1">
      <c r="A335" s="13"/>
      <c r="B335" s="22"/>
      <c r="C335" s="13"/>
      <c r="D335" s="13"/>
      <c r="E335" s="13"/>
      <c r="F335" s="12"/>
      <c r="G335" s="23">
        <f>IFERROR(SUMIFS(Transactions!$F$7:$F$996,Transactions!$G$7:$G$996,A335,Transactions!$D$7:$D$996,"Expense"),0)</f>
        <v>0</v>
      </c>
      <c r="H335" s="13"/>
      <c r="I335" s="13"/>
      <c r="J335" s="13"/>
    </row>
    <row r="336" ht="19.5" customHeight="1">
      <c r="A336" s="13"/>
      <c r="B336" s="22"/>
      <c r="C336" s="13"/>
      <c r="D336" s="13"/>
      <c r="E336" s="13"/>
      <c r="F336" s="12"/>
      <c r="G336" s="23">
        <f>IFERROR(SUMIFS(Transactions!$F$7:$F$996,Transactions!$G$7:$G$996,A336,Transactions!$D$7:$D$996,"Expense"),0)</f>
        <v>0</v>
      </c>
      <c r="H336" s="13"/>
      <c r="I336" s="13"/>
      <c r="J336" s="13"/>
    </row>
    <row r="337" ht="19.5" customHeight="1">
      <c r="A337" s="13"/>
      <c r="B337" s="22"/>
      <c r="C337" s="13"/>
      <c r="D337" s="13"/>
      <c r="E337" s="13"/>
      <c r="F337" s="12"/>
      <c r="G337" s="23">
        <f>IFERROR(SUMIFS(Transactions!$F$7:$F$996,Transactions!$G$7:$G$996,A337,Transactions!$D$7:$D$996,"Expense"),0)</f>
        <v>0</v>
      </c>
      <c r="H337" s="13"/>
      <c r="I337" s="13"/>
      <c r="J337" s="13"/>
    </row>
    <row r="338" ht="19.5" customHeight="1">
      <c r="A338" s="13"/>
      <c r="B338" s="22"/>
      <c r="C338" s="13"/>
      <c r="D338" s="13"/>
      <c r="E338" s="13"/>
      <c r="F338" s="12"/>
      <c r="G338" s="23">
        <f>IFERROR(SUMIFS(Transactions!$F$7:$F$996,Transactions!$G$7:$G$996,A338,Transactions!$D$7:$D$996,"Expense"),0)</f>
        <v>0</v>
      </c>
      <c r="H338" s="13"/>
      <c r="I338" s="13"/>
      <c r="J338" s="13"/>
    </row>
    <row r="339" ht="19.5" customHeight="1">
      <c r="A339" s="13"/>
      <c r="B339" s="22"/>
      <c r="C339" s="13"/>
      <c r="D339" s="13"/>
      <c r="E339" s="13"/>
      <c r="F339" s="12"/>
      <c r="G339" s="23">
        <f>IFERROR(SUMIFS(Transactions!$F$7:$F$996,Transactions!$G$7:$G$996,A339,Transactions!$D$7:$D$996,"Expense"),0)</f>
        <v>0</v>
      </c>
      <c r="H339" s="13"/>
      <c r="I339" s="13"/>
      <c r="J339" s="13"/>
    </row>
    <row r="340" ht="19.5" customHeight="1">
      <c r="A340" s="13"/>
      <c r="B340" s="22"/>
      <c r="C340" s="13"/>
      <c r="D340" s="13"/>
      <c r="E340" s="13"/>
      <c r="F340" s="12"/>
      <c r="G340" s="23">
        <f>IFERROR(SUMIFS(Transactions!$F$7:$F$996,Transactions!$G$7:$G$996,A340,Transactions!$D$7:$D$996,"Expense"),0)</f>
        <v>0</v>
      </c>
      <c r="H340" s="13"/>
      <c r="I340" s="13"/>
      <c r="J340" s="13"/>
    </row>
    <row r="341" ht="19.5" customHeight="1">
      <c r="A341" s="13"/>
      <c r="B341" s="22"/>
      <c r="C341" s="13"/>
      <c r="D341" s="13"/>
      <c r="E341" s="13"/>
      <c r="F341" s="12"/>
      <c r="G341" s="23">
        <f>IFERROR(SUMIFS(Transactions!$F$7:$F$996,Transactions!$G$7:$G$996,A341,Transactions!$D$7:$D$996,"Expense"),0)</f>
        <v>0</v>
      </c>
      <c r="H341" s="13"/>
      <c r="I341" s="13"/>
      <c r="J341" s="13"/>
    </row>
    <row r="342" ht="19.5" customHeight="1">
      <c r="A342" s="13"/>
      <c r="B342" s="22"/>
      <c r="C342" s="13"/>
      <c r="D342" s="13"/>
      <c r="E342" s="13"/>
      <c r="F342" s="12"/>
      <c r="G342" s="23">
        <f>IFERROR(SUMIFS(Transactions!$F$7:$F$996,Transactions!$G$7:$G$996,A342,Transactions!$D$7:$D$996,"Expense"),0)</f>
        <v>0</v>
      </c>
      <c r="H342" s="13"/>
      <c r="I342" s="13"/>
      <c r="J342" s="13"/>
    </row>
    <row r="343" ht="19.5" customHeight="1">
      <c r="A343" s="13"/>
      <c r="B343" s="22"/>
      <c r="C343" s="13"/>
      <c r="D343" s="13"/>
      <c r="E343" s="13"/>
      <c r="F343" s="12"/>
      <c r="G343" s="23">
        <f>IFERROR(SUMIFS(Transactions!$F$7:$F$996,Transactions!$G$7:$G$996,A343,Transactions!$D$7:$D$996,"Expense"),0)</f>
        <v>0</v>
      </c>
      <c r="H343" s="13"/>
      <c r="I343" s="13"/>
      <c r="J343" s="13"/>
    </row>
    <row r="344" ht="19.5" customHeight="1">
      <c r="A344" s="13"/>
      <c r="B344" s="22"/>
      <c r="C344" s="13"/>
      <c r="D344" s="13"/>
      <c r="E344" s="13"/>
      <c r="F344" s="12"/>
      <c r="G344" s="23">
        <f>IFERROR(SUMIFS(Transactions!$F$7:$F$996,Transactions!$G$7:$G$996,A344,Transactions!$D$7:$D$996,"Expense"),0)</f>
        <v>0</v>
      </c>
      <c r="H344" s="13"/>
      <c r="I344" s="13"/>
      <c r="J344" s="13"/>
    </row>
    <row r="345" ht="19.5" customHeight="1">
      <c r="A345" s="13"/>
      <c r="B345" s="22"/>
      <c r="C345" s="13"/>
      <c r="D345" s="13"/>
      <c r="E345" s="13"/>
      <c r="F345" s="12"/>
      <c r="G345" s="23">
        <f>IFERROR(SUMIFS(Transactions!$F$7:$F$996,Transactions!$G$7:$G$996,A345,Transactions!$D$7:$D$996,"Expense"),0)</f>
        <v>0</v>
      </c>
      <c r="H345" s="13"/>
      <c r="I345" s="13"/>
      <c r="J345" s="13"/>
    </row>
    <row r="346" ht="19.5" customHeight="1">
      <c r="A346" s="13"/>
      <c r="B346" s="22"/>
      <c r="C346" s="13"/>
      <c r="D346" s="13"/>
      <c r="E346" s="13"/>
      <c r="F346" s="12"/>
      <c r="G346" s="23">
        <f>IFERROR(SUMIFS(Transactions!$F$7:$F$996,Transactions!$G$7:$G$996,A346,Transactions!$D$7:$D$996,"Expense"),0)</f>
        <v>0</v>
      </c>
      <c r="H346" s="13"/>
      <c r="I346" s="13"/>
      <c r="J346" s="13"/>
    </row>
    <row r="347" ht="19.5" customHeight="1">
      <c r="A347" s="13"/>
      <c r="B347" s="22"/>
      <c r="C347" s="13"/>
      <c r="D347" s="13"/>
      <c r="E347" s="13"/>
      <c r="F347" s="12"/>
      <c r="G347" s="23">
        <f>IFERROR(SUMIFS(Transactions!$F$7:$F$996,Transactions!$G$7:$G$996,A347,Transactions!$D$7:$D$996,"Expense"),0)</f>
        <v>0</v>
      </c>
      <c r="H347" s="13"/>
      <c r="I347" s="13"/>
      <c r="J347" s="13"/>
    </row>
    <row r="348" ht="19.5" customHeight="1">
      <c r="A348" s="13"/>
      <c r="B348" s="22"/>
      <c r="C348" s="13"/>
      <c r="D348" s="13"/>
      <c r="E348" s="13"/>
      <c r="F348" s="12"/>
      <c r="G348" s="23">
        <f>IFERROR(SUMIFS(Transactions!$F$7:$F$996,Transactions!$G$7:$G$996,A348,Transactions!$D$7:$D$996,"Expense"),0)</f>
        <v>0</v>
      </c>
      <c r="H348" s="13"/>
      <c r="I348" s="13"/>
      <c r="J348" s="13"/>
    </row>
    <row r="349" ht="19.5" customHeight="1">
      <c r="A349" s="13"/>
      <c r="B349" s="22"/>
      <c r="C349" s="13"/>
      <c r="D349" s="13"/>
      <c r="E349" s="13"/>
      <c r="F349" s="12"/>
      <c r="G349" s="23">
        <f>IFERROR(SUMIFS(Transactions!$F$7:$F$996,Transactions!$G$7:$G$996,A349,Transactions!$D$7:$D$996,"Expense"),0)</f>
        <v>0</v>
      </c>
      <c r="H349" s="13"/>
      <c r="I349" s="13"/>
      <c r="J349" s="13"/>
    </row>
    <row r="350" ht="19.5" customHeight="1">
      <c r="A350" s="13"/>
      <c r="B350" s="22"/>
      <c r="C350" s="13"/>
      <c r="D350" s="13"/>
      <c r="E350" s="13"/>
      <c r="F350" s="12"/>
      <c r="G350" s="23">
        <f>IFERROR(SUMIFS(Transactions!$F$7:$F$996,Transactions!$G$7:$G$996,A350,Transactions!$D$7:$D$996,"Expense"),0)</f>
        <v>0</v>
      </c>
      <c r="H350" s="13"/>
      <c r="I350" s="13"/>
      <c r="J350" s="13"/>
    </row>
    <row r="351" ht="19.5" customHeight="1">
      <c r="A351" s="13"/>
      <c r="B351" s="22"/>
      <c r="C351" s="13"/>
      <c r="D351" s="13"/>
      <c r="E351" s="13"/>
      <c r="F351" s="12"/>
      <c r="G351" s="23">
        <f>IFERROR(SUMIFS(Transactions!$F$7:$F$996,Transactions!$G$7:$G$996,A351,Transactions!$D$7:$D$996,"Expense"),0)</f>
        <v>0</v>
      </c>
      <c r="H351" s="13"/>
      <c r="I351" s="13"/>
      <c r="J351" s="13"/>
    </row>
    <row r="352" ht="19.5" customHeight="1">
      <c r="A352" s="13"/>
      <c r="B352" s="22"/>
      <c r="C352" s="13"/>
      <c r="D352" s="13"/>
      <c r="E352" s="13"/>
      <c r="F352" s="12"/>
      <c r="G352" s="23">
        <f>IFERROR(SUMIFS(Transactions!$F$7:$F$996,Transactions!$G$7:$G$996,A352,Transactions!$D$7:$D$996,"Expense"),0)</f>
        <v>0</v>
      </c>
      <c r="H352" s="13"/>
      <c r="I352" s="13"/>
      <c r="J352" s="13"/>
    </row>
    <row r="353" ht="19.5" customHeight="1">
      <c r="A353" s="13"/>
      <c r="B353" s="22"/>
      <c r="C353" s="13"/>
      <c r="D353" s="13"/>
      <c r="E353" s="13"/>
      <c r="F353" s="12"/>
      <c r="G353" s="23">
        <f>IFERROR(SUMIFS(Transactions!$F$7:$F$996,Transactions!$G$7:$G$996,A353,Transactions!$D$7:$D$996,"Expense"),0)</f>
        <v>0</v>
      </c>
      <c r="H353" s="13"/>
      <c r="I353" s="13"/>
      <c r="J353" s="13"/>
    </row>
    <row r="354" ht="19.5" customHeight="1">
      <c r="A354" s="13"/>
      <c r="B354" s="22"/>
      <c r="C354" s="13"/>
      <c r="D354" s="13"/>
      <c r="E354" s="13"/>
      <c r="F354" s="12"/>
      <c r="G354" s="23">
        <f>IFERROR(SUMIFS(Transactions!$F$7:$F$996,Transactions!$G$7:$G$996,A354,Transactions!$D$7:$D$996,"Expense"),0)</f>
        <v>0</v>
      </c>
      <c r="H354" s="13"/>
      <c r="I354" s="13"/>
      <c r="J354" s="13"/>
    </row>
    <row r="355" ht="19.5" customHeight="1">
      <c r="A355" s="13"/>
      <c r="B355" s="22"/>
      <c r="C355" s="13"/>
      <c r="D355" s="13"/>
      <c r="E355" s="13"/>
      <c r="F355" s="12"/>
      <c r="G355" s="23">
        <f>IFERROR(SUMIFS(Transactions!$F$7:$F$996,Transactions!$G$7:$G$996,A355,Transactions!$D$7:$D$996,"Expense"),0)</f>
        <v>0</v>
      </c>
      <c r="H355" s="13"/>
      <c r="I355" s="13"/>
      <c r="J355" s="13"/>
    </row>
    <row r="356" ht="19.5" customHeight="1">
      <c r="A356" s="13"/>
      <c r="B356" s="22"/>
      <c r="C356" s="13"/>
      <c r="D356" s="13"/>
      <c r="E356" s="13"/>
      <c r="F356" s="12"/>
      <c r="G356" s="23">
        <f>IFERROR(SUMIFS(Transactions!$F$7:$F$996,Transactions!$G$7:$G$996,A356,Transactions!$D$7:$D$996,"Expense"),0)</f>
        <v>0</v>
      </c>
      <c r="H356" s="13"/>
      <c r="I356" s="13"/>
      <c r="J356" s="13"/>
    </row>
    <row r="357" ht="19.5" customHeight="1">
      <c r="A357" s="13"/>
      <c r="B357" s="22"/>
      <c r="C357" s="13"/>
      <c r="D357" s="13"/>
      <c r="E357" s="13"/>
      <c r="F357" s="12"/>
      <c r="G357" s="23">
        <f>IFERROR(SUMIFS(Transactions!$F$7:$F$996,Transactions!$G$7:$G$996,A357,Transactions!$D$7:$D$996,"Expense"),0)</f>
        <v>0</v>
      </c>
      <c r="H357" s="13"/>
      <c r="I357" s="13"/>
      <c r="J357" s="13"/>
    </row>
    <row r="358" ht="19.5" customHeight="1">
      <c r="A358" s="13"/>
      <c r="B358" s="22"/>
      <c r="C358" s="13"/>
      <c r="D358" s="13"/>
      <c r="E358" s="13"/>
      <c r="F358" s="12"/>
      <c r="G358" s="23">
        <f>IFERROR(SUMIFS(Transactions!$F$7:$F$996,Transactions!$G$7:$G$996,A358,Transactions!$D$7:$D$996,"Expense"),0)</f>
        <v>0</v>
      </c>
      <c r="H358" s="13"/>
      <c r="I358" s="13"/>
      <c r="J358" s="13"/>
    </row>
    <row r="359" ht="19.5" customHeight="1">
      <c r="A359" s="13"/>
      <c r="B359" s="22"/>
      <c r="C359" s="13"/>
      <c r="D359" s="13"/>
      <c r="E359" s="13"/>
      <c r="F359" s="12"/>
      <c r="G359" s="23">
        <f>IFERROR(SUMIFS(Transactions!$F$7:$F$996,Transactions!$G$7:$G$996,A359,Transactions!$D$7:$D$996,"Expense"),0)</f>
        <v>0</v>
      </c>
      <c r="H359" s="13"/>
      <c r="I359" s="13"/>
      <c r="J359" s="13"/>
    </row>
    <row r="360" ht="19.5" customHeight="1">
      <c r="A360" s="13"/>
      <c r="B360" s="22"/>
      <c r="C360" s="13"/>
      <c r="D360" s="13"/>
      <c r="E360" s="13"/>
      <c r="F360" s="12"/>
      <c r="G360" s="23">
        <f>IFERROR(SUMIFS(Transactions!$F$7:$F$996,Transactions!$G$7:$G$996,A360,Transactions!$D$7:$D$996,"Expense"),0)</f>
        <v>0</v>
      </c>
      <c r="H360" s="13"/>
      <c r="I360" s="13"/>
      <c r="J360" s="13"/>
    </row>
    <row r="361" ht="19.5" customHeight="1">
      <c r="A361" s="13"/>
      <c r="B361" s="22"/>
      <c r="C361" s="13"/>
      <c r="D361" s="13"/>
      <c r="E361" s="13"/>
      <c r="F361" s="12"/>
      <c r="G361" s="23">
        <f>IFERROR(SUMIFS(Transactions!$F$7:$F$996,Transactions!$G$7:$G$996,A361,Transactions!$D$7:$D$996,"Expense"),0)</f>
        <v>0</v>
      </c>
      <c r="H361" s="13"/>
      <c r="I361" s="13"/>
      <c r="J361" s="13"/>
    </row>
    <row r="362" ht="19.5" customHeight="1">
      <c r="A362" s="13"/>
      <c r="B362" s="22"/>
      <c r="C362" s="13"/>
      <c r="D362" s="13"/>
      <c r="E362" s="13"/>
      <c r="F362" s="12"/>
      <c r="G362" s="23">
        <f>IFERROR(SUMIFS(Transactions!$F$7:$F$996,Transactions!$G$7:$G$996,A362,Transactions!$D$7:$D$996,"Expense"),0)</f>
        <v>0</v>
      </c>
      <c r="H362" s="13"/>
      <c r="I362" s="13"/>
      <c r="J362" s="13"/>
    </row>
    <row r="363" ht="19.5" customHeight="1">
      <c r="A363" s="13"/>
      <c r="B363" s="22"/>
      <c r="C363" s="13"/>
      <c r="D363" s="13"/>
      <c r="E363" s="13"/>
      <c r="F363" s="12"/>
      <c r="G363" s="23">
        <f>IFERROR(SUMIFS(Transactions!$F$7:$F$996,Transactions!$G$7:$G$996,A363,Transactions!$D$7:$D$996,"Expense"),0)</f>
        <v>0</v>
      </c>
      <c r="H363" s="13"/>
      <c r="I363" s="13"/>
      <c r="J363" s="13"/>
    </row>
    <row r="364" ht="19.5" customHeight="1">
      <c r="A364" s="13"/>
      <c r="B364" s="22"/>
      <c r="C364" s="13"/>
      <c r="D364" s="13"/>
      <c r="E364" s="13"/>
      <c r="F364" s="12"/>
      <c r="G364" s="23">
        <f>IFERROR(SUMIFS(Transactions!$F$7:$F$996,Transactions!$G$7:$G$996,A364,Transactions!$D$7:$D$996,"Expense"),0)</f>
        <v>0</v>
      </c>
      <c r="H364" s="13"/>
      <c r="I364" s="13"/>
      <c r="J364" s="13"/>
    </row>
    <row r="365" ht="19.5" customHeight="1">
      <c r="A365" s="13"/>
      <c r="B365" s="22"/>
      <c r="C365" s="13"/>
      <c r="D365" s="13"/>
      <c r="E365" s="13"/>
      <c r="F365" s="12"/>
      <c r="G365" s="23">
        <f>IFERROR(SUMIFS(Transactions!$F$7:$F$996,Transactions!$G$7:$G$996,A365,Transactions!$D$7:$D$996,"Expense"),0)</f>
        <v>0</v>
      </c>
      <c r="H365" s="13"/>
      <c r="I365" s="13"/>
      <c r="J365" s="13"/>
    </row>
    <row r="366" ht="19.5" customHeight="1">
      <c r="A366" s="13"/>
      <c r="B366" s="22"/>
      <c r="C366" s="13"/>
      <c r="D366" s="13"/>
      <c r="E366" s="13"/>
      <c r="F366" s="12"/>
      <c r="G366" s="23">
        <f>IFERROR(SUMIFS(Transactions!$F$7:$F$996,Transactions!$G$7:$G$996,A366,Transactions!$D$7:$D$996,"Expense"),0)</f>
        <v>0</v>
      </c>
      <c r="H366" s="13"/>
      <c r="I366" s="13"/>
      <c r="J366" s="13"/>
    </row>
    <row r="367" ht="19.5" customHeight="1">
      <c r="A367" s="13"/>
      <c r="B367" s="22"/>
      <c r="C367" s="13"/>
      <c r="D367" s="13"/>
      <c r="E367" s="13"/>
      <c r="F367" s="12"/>
      <c r="G367" s="23">
        <f>IFERROR(SUMIFS(Transactions!$F$7:$F$996,Transactions!$G$7:$G$996,A367,Transactions!$D$7:$D$996,"Expense"),0)</f>
        <v>0</v>
      </c>
      <c r="H367" s="13"/>
      <c r="I367" s="13"/>
      <c r="J367" s="13"/>
    </row>
    <row r="368" ht="19.5" customHeight="1">
      <c r="A368" s="13"/>
      <c r="B368" s="22"/>
      <c r="C368" s="13"/>
      <c r="D368" s="13"/>
      <c r="E368" s="13"/>
      <c r="F368" s="12"/>
      <c r="G368" s="23">
        <f>IFERROR(SUMIFS(Transactions!$F$7:$F$996,Transactions!$G$7:$G$996,A368,Transactions!$D$7:$D$996,"Expense"),0)</f>
        <v>0</v>
      </c>
      <c r="H368" s="13"/>
      <c r="I368" s="13"/>
      <c r="J368" s="13"/>
    </row>
    <row r="369" ht="19.5" customHeight="1">
      <c r="A369" s="13"/>
      <c r="B369" s="22"/>
      <c r="C369" s="13"/>
      <c r="D369" s="13"/>
      <c r="E369" s="13"/>
      <c r="F369" s="12"/>
      <c r="G369" s="23">
        <f>IFERROR(SUMIFS(Transactions!$F$7:$F$996,Transactions!$G$7:$G$996,A369,Transactions!$D$7:$D$996,"Expense"),0)</f>
        <v>0</v>
      </c>
      <c r="H369" s="13"/>
      <c r="I369" s="13"/>
      <c r="J369" s="13"/>
    </row>
    <row r="370" ht="19.5" customHeight="1">
      <c r="A370" s="13"/>
      <c r="B370" s="22"/>
      <c r="C370" s="13"/>
      <c r="D370" s="13"/>
      <c r="E370" s="13"/>
      <c r="F370" s="12"/>
      <c r="G370" s="23">
        <f>IFERROR(SUMIFS(Transactions!$F$7:$F$996,Transactions!$G$7:$G$996,A370,Transactions!$D$7:$D$996,"Expense"),0)</f>
        <v>0</v>
      </c>
      <c r="H370" s="13"/>
      <c r="I370" s="13"/>
      <c r="J370" s="13"/>
    </row>
    <row r="371" ht="19.5" customHeight="1">
      <c r="A371" s="13"/>
      <c r="B371" s="22"/>
      <c r="C371" s="13"/>
      <c r="D371" s="13"/>
      <c r="E371" s="13"/>
      <c r="F371" s="12"/>
      <c r="G371" s="23">
        <f>IFERROR(SUMIFS(Transactions!$F$7:$F$996,Transactions!$G$7:$G$996,A371,Transactions!$D$7:$D$996,"Expense"),0)</f>
        <v>0</v>
      </c>
      <c r="H371" s="13"/>
      <c r="I371" s="13"/>
      <c r="J371" s="13"/>
    </row>
    <row r="372" ht="19.5" customHeight="1">
      <c r="A372" s="13"/>
      <c r="B372" s="22"/>
      <c r="C372" s="13"/>
      <c r="D372" s="13"/>
      <c r="E372" s="13"/>
      <c r="F372" s="12"/>
      <c r="G372" s="23">
        <f>IFERROR(SUMIFS(Transactions!$F$7:$F$996,Transactions!$G$7:$G$996,A372,Transactions!$D$7:$D$996,"Expense"),0)</f>
        <v>0</v>
      </c>
      <c r="H372" s="13"/>
      <c r="I372" s="13"/>
      <c r="J372" s="13"/>
    </row>
    <row r="373" ht="19.5" customHeight="1">
      <c r="A373" s="13"/>
      <c r="B373" s="22"/>
      <c r="C373" s="13"/>
      <c r="D373" s="13"/>
      <c r="E373" s="13"/>
      <c r="F373" s="12"/>
      <c r="G373" s="23">
        <f>IFERROR(SUMIFS(Transactions!$F$7:$F$996,Transactions!$G$7:$G$996,A373,Transactions!$D$7:$D$996,"Expense"),0)</f>
        <v>0</v>
      </c>
      <c r="H373" s="13"/>
      <c r="I373" s="13"/>
      <c r="J373" s="13"/>
    </row>
    <row r="374" ht="19.5" customHeight="1">
      <c r="A374" s="13"/>
      <c r="B374" s="22"/>
      <c r="C374" s="13"/>
      <c r="D374" s="13"/>
      <c r="E374" s="13"/>
      <c r="F374" s="12"/>
      <c r="G374" s="23">
        <f>IFERROR(SUMIFS(Transactions!$F$7:$F$996,Transactions!$G$7:$G$996,A374,Transactions!$D$7:$D$996,"Expense"),0)</f>
        <v>0</v>
      </c>
      <c r="H374" s="13"/>
      <c r="I374" s="13"/>
      <c r="J374" s="13"/>
    </row>
    <row r="375" ht="19.5" customHeight="1">
      <c r="A375" s="13"/>
      <c r="B375" s="22"/>
      <c r="C375" s="13"/>
      <c r="D375" s="13"/>
      <c r="E375" s="13"/>
      <c r="F375" s="12"/>
      <c r="G375" s="23">
        <f>IFERROR(SUMIFS(Transactions!$F$7:$F$996,Transactions!$G$7:$G$996,A375,Transactions!$D$7:$D$996,"Expense"),0)</f>
        <v>0</v>
      </c>
      <c r="H375" s="13"/>
      <c r="I375" s="13"/>
      <c r="J375" s="13"/>
    </row>
    <row r="376" ht="19.5" customHeight="1">
      <c r="A376" s="13"/>
      <c r="B376" s="22"/>
      <c r="C376" s="13"/>
      <c r="D376" s="13"/>
      <c r="E376" s="13"/>
      <c r="F376" s="12"/>
      <c r="G376" s="23">
        <f>IFERROR(SUMIFS(Transactions!$F$7:$F$996,Transactions!$G$7:$G$996,A376,Transactions!$D$7:$D$996,"Expense"),0)</f>
        <v>0</v>
      </c>
      <c r="H376" s="13"/>
      <c r="I376" s="13"/>
      <c r="J376" s="13"/>
    </row>
    <row r="377" ht="19.5" customHeight="1">
      <c r="A377" s="13"/>
      <c r="B377" s="22"/>
      <c r="C377" s="13"/>
      <c r="D377" s="13"/>
      <c r="E377" s="13"/>
      <c r="F377" s="12"/>
      <c r="G377" s="23">
        <f>IFERROR(SUMIFS(Transactions!$F$7:$F$996,Transactions!$G$7:$G$996,A377,Transactions!$D$7:$D$996,"Expense"),0)</f>
        <v>0</v>
      </c>
      <c r="H377" s="13"/>
      <c r="I377" s="13"/>
      <c r="J377" s="13"/>
    </row>
    <row r="378" ht="19.5" customHeight="1">
      <c r="A378" s="13"/>
      <c r="B378" s="22"/>
      <c r="C378" s="13"/>
      <c r="D378" s="13"/>
      <c r="E378" s="13"/>
      <c r="F378" s="12"/>
      <c r="G378" s="23">
        <f>IFERROR(SUMIFS(Transactions!$F$7:$F$996,Transactions!$G$7:$G$996,A378,Transactions!$D$7:$D$996,"Expense"),0)</f>
        <v>0</v>
      </c>
      <c r="H378" s="13"/>
      <c r="I378" s="13"/>
      <c r="J378" s="13"/>
    </row>
    <row r="379" ht="19.5" customHeight="1">
      <c r="A379" s="13"/>
      <c r="B379" s="22"/>
      <c r="C379" s="13"/>
      <c r="D379" s="13"/>
      <c r="E379" s="13"/>
      <c r="F379" s="12"/>
      <c r="G379" s="23">
        <f>IFERROR(SUMIFS(Transactions!$F$7:$F$996,Transactions!$G$7:$G$996,A379,Transactions!$D$7:$D$996,"Expense"),0)</f>
        <v>0</v>
      </c>
      <c r="H379" s="13"/>
      <c r="I379" s="13"/>
      <c r="J379" s="13"/>
    </row>
    <row r="380" ht="19.5" customHeight="1">
      <c r="A380" s="13"/>
      <c r="B380" s="22"/>
      <c r="C380" s="13"/>
      <c r="D380" s="13"/>
      <c r="E380" s="13"/>
      <c r="F380" s="12"/>
      <c r="G380" s="23">
        <f>IFERROR(SUMIFS(Transactions!$F$7:$F$996,Transactions!$G$7:$G$996,A380,Transactions!$D$7:$D$996,"Expense"),0)</f>
        <v>0</v>
      </c>
      <c r="H380" s="13"/>
      <c r="I380" s="13"/>
      <c r="J380" s="13"/>
    </row>
    <row r="381" ht="19.5" customHeight="1">
      <c r="A381" s="13"/>
      <c r="B381" s="22"/>
      <c r="C381" s="13"/>
      <c r="D381" s="13"/>
      <c r="E381" s="13"/>
      <c r="F381" s="12"/>
      <c r="G381" s="23">
        <f>IFERROR(SUMIFS(Transactions!$F$7:$F$996,Transactions!$G$7:$G$996,A381,Transactions!$D$7:$D$996,"Expense"),0)</f>
        <v>0</v>
      </c>
      <c r="H381" s="13"/>
      <c r="I381" s="13"/>
      <c r="J381" s="13"/>
    </row>
    <row r="382" ht="19.5" customHeight="1">
      <c r="A382" s="13"/>
      <c r="B382" s="22"/>
      <c r="C382" s="13"/>
      <c r="D382" s="13"/>
      <c r="E382" s="13"/>
      <c r="F382" s="12"/>
      <c r="G382" s="23">
        <f>IFERROR(SUMIFS(Transactions!$F$7:$F$996,Transactions!$G$7:$G$996,A382,Transactions!$D$7:$D$996,"Expense"),0)</f>
        <v>0</v>
      </c>
      <c r="H382" s="13"/>
      <c r="I382" s="13"/>
      <c r="J382" s="13"/>
    </row>
    <row r="383" ht="19.5" customHeight="1">
      <c r="A383" s="13"/>
      <c r="B383" s="22"/>
      <c r="C383" s="13"/>
      <c r="D383" s="13"/>
      <c r="E383" s="13"/>
      <c r="F383" s="12"/>
      <c r="G383" s="23">
        <f>IFERROR(SUMIFS(Transactions!$F$7:$F$996,Transactions!$G$7:$G$996,A383,Transactions!$D$7:$D$996,"Expense"),0)</f>
        <v>0</v>
      </c>
      <c r="H383" s="13"/>
      <c r="I383" s="13"/>
      <c r="J383" s="13"/>
    </row>
    <row r="384" ht="19.5" customHeight="1">
      <c r="A384" s="13"/>
      <c r="B384" s="22"/>
      <c r="C384" s="13"/>
      <c r="D384" s="13"/>
      <c r="E384" s="13"/>
      <c r="F384" s="12"/>
      <c r="G384" s="23">
        <f>IFERROR(SUMIFS(Transactions!$F$7:$F$996,Transactions!$G$7:$G$996,A384,Transactions!$D$7:$D$996,"Expense"),0)</f>
        <v>0</v>
      </c>
      <c r="H384" s="13"/>
      <c r="I384" s="13"/>
      <c r="J384" s="13"/>
    </row>
    <row r="385" ht="19.5" customHeight="1">
      <c r="A385" s="13"/>
      <c r="B385" s="22"/>
      <c r="C385" s="13"/>
      <c r="D385" s="13"/>
      <c r="E385" s="13"/>
      <c r="F385" s="12"/>
      <c r="G385" s="23">
        <f>IFERROR(SUMIFS(Transactions!$F$7:$F$996,Transactions!$G$7:$G$996,A385,Transactions!$D$7:$D$996,"Expense"),0)</f>
        <v>0</v>
      </c>
      <c r="H385" s="13"/>
      <c r="I385" s="13"/>
      <c r="J385" s="13"/>
    </row>
    <row r="386" ht="19.5" customHeight="1">
      <c r="A386" s="13"/>
      <c r="B386" s="22"/>
      <c r="C386" s="13"/>
      <c r="D386" s="13"/>
      <c r="E386" s="13"/>
      <c r="F386" s="12"/>
      <c r="G386" s="23">
        <f>IFERROR(SUMIFS(Transactions!$F$7:$F$996,Transactions!$G$7:$G$996,A386,Transactions!$D$7:$D$996,"Expense"),0)</f>
        <v>0</v>
      </c>
      <c r="H386" s="13"/>
      <c r="I386" s="13"/>
      <c r="J386" s="13"/>
    </row>
    <row r="387" ht="19.5" customHeight="1">
      <c r="A387" s="13"/>
      <c r="B387" s="22"/>
      <c r="C387" s="13"/>
      <c r="D387" s="13"/>
      <c r="E387" s="13"/>
      <c r="F387" s="12"/>
      <c r="G387" s="23">
        <f>IFERROR(SUMIFS(Transactions!$F$7:$F$996,Transactions!$G$7:$G$996,A387,Transactions!$D$7:$D$996,"Expense"),0)</f>
        <v>0</v>
      </c>
      <c r="H387" s="13"/>
      <c r="I387" s="13"/>
      <c r="J387" s="13"/>
    </row>
    <row r="388" ht="19.5" customHeight="1">
      <c r="A388" s="13"/>
      <c r="B388" s="22"/>
      <c r="C388" s="13"/>
      <c r="D388" s="13"/>
      <c r="E388" s="13"/>
      <c r="F388" s="12"/>
      <c r="G388" s="23">
        <f>IFERROR(SUMIFS(Transactions!$F$7:$F$996,Transactions!$G$7:$G$996,A388,Transactions!$D$7:$D$996,"Expense"),0)</f>
        <v>0</v>
      </c>
      <c r="H388" s="13"/>
      <c r="I388" s="13"/>
      <c r="J388" s="13"/>
    </row>
    <row r="389" ht="19.5" customHeight="1">
      <c r="A389" s="13"/>
      <c r="B389" s="22"/>
      <c r="C389" s="13"/>
      <c r="D389" s="13"/>
      <c r="E389" s="13"/>
      <c r="F389" s="12"/>
      <c r="G389" s="23">
        <f>IFERROR(SUMIFS(Transactions!$F$7:$F$996,Transactions!$G$7:$G$996,A389,Transactions!$D$7:$D$996,"Expense"),0)</f>
        <v>0</v>
      </c>
      <c r="H389" s="13"/>
      <c r="I389" s="13"/>
      <c r="J389" s="13"/>
    </row>
    <row r="390" ht="19.5" customHeight="1">
      <c r="A390" s="13"/>
      <c r="B390" s="22"/>
      <c r="C390" s="13"/>
      <c r="D390" s="13"/>
      <c r="E390" s="13"/>
      <c r="F390" s="12"/>
      <c r="G390" s="23">
        <f>IFERROR(SUMIFS(Transactions!$F$7:$F$996,Transactions!$G$7:$G$996,A390,Transactions!$D$7:$D$996,"Expense"),0)</f>
        <v>0</v>
      </c>
      <c r="H390" s="13"/>
      <c r="I390" s="13"/>
      <c r="J390" s="13"/>
    </row>
    <row r="391" ht="19.5" customHeight="1">
      <c r="A391" s="13"/>
      <c r="B391" s="22"/>
      <c r="C391" s="13"/>
      <c r="D391" s="13"/>
      <c r="E391" s="13"/>
      <c r="F391" s="12"/>
      <c r="G391" s="23">
        <f>IFERROR(SUMIFS(Transactions!$F$7:$F$996,Transactions!$G$7:$G$996,A391,Transactions!$D$7:$D$996,"Expense"),0)</f>
        <v>0</v>
      </c>
      <c r="H391" s="13"/>
      <c r="I391" s="13"/>
      <c r="J391" s="13"/>
    </row>
    <row r="392" ht="19.5" customHeight="1">
      <c r="A392" s="13"/>
      <c r="B392" s="22"/>
      <c r="C392" s="13"/>
      <c r="D392" s="13"/>
      <c r="E392" s="13"/>
      <c r="F392" s="12"/>
      <c r="G392" s="23">
        <f>IFERROR(SUMIFS(Transactions!$F$7:$F$996,Transactions!$G$7:$G$996,A392,Transactions!$D$7:$D$996,"Expense"),0)</f>
        <v>0</v>
      </c>
      <c r="H392" s="13"/>
      <c r="I392" s="13"/>
      <c r="J392" s="13"/>
    </row>
    <row r="393" ht="19.5" customHeight="1">
      <c r="A393" s="13"/>
      <c r="B393" s="22"/>
      <c r="C393" s="13"/>
      <c r="D393" s="13"/>
      <c r="E393" s="13"/>
      <c r="F393" s="12"/>
      <c r="G393" s="23">
        <f>IFERROR(SUMIFS(Transactions!$F$7:$F$996,Transactions!$G$7:$G$996,A393,Transactions!$D$7:$D$996,"Expense"),0)</f>
        <v>0</v>
      </c>
      <c r="H393" s="13"/>
      <c r="I393" s="13"/>
      <c r="J393" s="13"/>
    </row>
    <row r="394" ht="19.5" customHeight="1">
      <c r="A394" s="13"/>
      <c r="B394" s="22"/>
      <c r="C394" s="13"/>
      <c r="D394" s="13"/>
      <c r="E394" s="13"/>
      <c r="F394" s="12"/>
      <c r="G394" s="23">
        <f>IFERROR(SUMIFS(Transactions!$F$7:$F$996,Transactions!$G$7:$G$996,A394,Transactions!$D$7:$D$996,"Expense"),0)</f>
        <v>0</v>
      </c>
      <c r="H394" s="13"/>
      <c r="I394" s="13"/>
      <c r="J394" s="13"/>
    </row>
    <row r="395" ht="19.5" customHeight="1">
      <c r="A395" s="13"/>
      <c r="B395" s="22"/>
      <c r="C395" s="13"/>
      <c r="D395" s="13"/>
      <c r="E395" s="13"/>
      <c r="F395" s="12"/>
      <c r="G395" s="23">
        <f>IFERROR(SUMIFS(Transactions!$F$7:$F$996,Transactions!$G$7:$G$996,A395,Transactions!$D$7:$D$996,"Expense"),0)</f>
        <v>0</v>
      </c>
      <c r="H395" s="13"/>
      <c r="I395" s="13"/>
      <c r="J395" s="13"/>
    </row>
    <row r="396" ht="19.5" customHeight="1">
      <c r="A396" s="13"/>
      <c r="B396" s="22"/>
      <c r="C396" s="13"/>
      <c r="D396" s="13"/>
      <c r="E396" s="13"/>
      <c r="F396" s="12"/>
      <c r="G396" s="23">
        <f>IFERROR(SUMIFS(Transactions!$F$7:$F$996,Transactions!$G$7:$G$996,A396,Transactions!$D$7:$D$996,"Expense"),0)</f>
        <v>0</v>
      </c>
      <c r="H396" s="13"/>
      <c r="I396" s="13"/>
      <c r="J396" s="13"/>
    </row>
    <row r="397" ht="19.5" customHeight="1">
      <c r="A397" s="13"/>
      <c r="B397" s="22"/>
      <c r="C397" s="13"/>
      <c r="D397" s="13"/>
      <c r="E397" s="13"/>
      <c r="F397" s="12"/>
      <c r="G397" s="23">
        <f>IFERROR(SUMIFS(Transactions!$F$7:$F$996,Transactions!$G$7:$G$996,A397,Transactions!$D$7:$D$996,"Expense"),0)</f>
        <v>0</v>
      </c>
      <c r="H397" s="13"/>
      <c r="I397" s="13"/>
      <c r="J397" s="13"/>
    </row>
    <row r="398" ht="19.5" customHeight="1">
      <c r="A398" s="13"/>
      <c r="B398" s="22"/>
      <c r="C398" s="13"/>
      <c r="D398" s="13"/>
      <c r="E398" s="13"/>
      <c r="F398" s="12"/>
      <c r="G398" s="23">
        <f>IFERROR(SUMIFS(Transactions!$F$7:$F$996,Transactions!$G$7:$G$996,A398,Transactions!$D$7:$D$996,"Expense"),0)</f>
        <v>0</v>
      </c>
      <c r="H398" s="13"/>
      <c r="I398" s="13"/>
      <c r="J398" s="13"/>
    </row>
    <row r="399" ht="19.5" customHeight="1">
      <c r="A399" s="13"/>
      <c r="B399" s="22"/>
      <c r="C399" s="13"/>
      <c r="D399" s="13"/>
      <c r="E399" s="13"/>
      <c r="F399" s="12"/>
      <c r="G399" s="23">
        <f>IFERROR(SUMIFS(Transactions!$F$7:$F$996,Transactions!$G$7:$G$996,A399,Transactions!$D$7:$D$996,"Expense"),0)</f>
        <v>0</v>
      </c>
      <c r="H399" s="13"/>
      <c r="I399" s="13"/>
      <c r="J399" s="13"/>
    </row>
    <row r="400" ht="19.5" customHeight="1">
      <c r="A400" s="13"/>
      <c r="B400" s="22"/>
      <c r="C400" s="13"/>
      <c r="D400" s="13"/>
      <c r="E400" s="13"/>
      <c r="F400" s="12"/>
      <c r="G400" s="23">
        <f>IFERROR(SUMIFS(Transactions!$F$7:$F$996,Transactions!$G$7:$G$996,A400,Transactions!$D$7:$D$996,"Expense"),0)</f>
        <v>0</v>
      </c>
      <c r="H400" s="13"/>
      <c r="I400" s="13"/>
      <c r="J400" s="13"/>
    </row>
    <row r="401" ht="19.5" customHeight="1">
      <c r="A401" s="13"/>
      <c r="B401" s="22"/>
      <c r="C401" s="13"/>
      <c r="D401" s="13"/>
      <c r="E401" s="13"/>
      <c r="F401" s="12"/>
      <c r="G401" s="23">
        <f>IFERROR(SUMIFS(Transactions!$F$7:$F$996,Transactions!$G$7:$G$996,A401,Transactions!$D$7:$D$996,"Expense"),0)</f>
        <v>0</v>
      </c>
      <c r="H401" s="13"/>
      <c r="I401" s="13"/>
      <c r="J401" s="13"/>
    </row>
    <row r="402" ht="19.5" customHeight="1">
      <c r="A402" s="13"/>
      <c r="B402" s="22"/>
      <c r="C402" s="13"/>
      <c r="D402" s="13"/>
      <c r="E402" s="13"/>
      <c r="F402" s="12"/>
      <c r="G402" s="23">
        <f>IFERROR(SUMIFS(Transactions!$F$7:$F$996,Transactions!$G$7:$G$996,A402,Transactions!$D$7:$D$996,"Expense"),0)</f>
        <v>0</v>
      </c>
      <c r="H402" s="13"/>
      <c r="I402" s="13"/>
      <c r="J402" s="13"/>
    </row>
    <row r="403" ht="19.5" customHeight="1">
      <c r="A403" s="13"/>
      <c r="B403" s="22"/>
      <c r="C403" s="13"/>
      <c r="D403" s="13"/>
      <c r="E403" s="13"/>
      <c r="F403" s="12"/>
      <c r="G403" s="23">
        <f>IFERROR(SUMIFS(Transactions!$F$7:$F$996,Transactions!$G$7:$G$996,A403,Transactions!$D$7:$D$996,"Expense"),0)</f>
        <v>0</v>
      </c>
      <c r="H403" s="13"/>
      <c r="I403" s="13"/>
      <c r="J403" s="13"/>
    </row>
    <row r="404" ht="19.5" customHeight="1">
      <c r="A404" s="13"/>
      <c r="B404" s="22"/>
      <c r="C404" s="13"/>
      <c r="D404" s="13"/>
      <c r="E404" s="13"/>
      <c r="F404" s="12"/>
      <c r="G404" s="23">
        <f>IFERROR(SUMIFS(Transactions!$F$7:$F$996,Transactions!$G$7:$G$996,A404,Transactions!$D$7:$D$996,"Expense"),0)</f>
        <v>0</v>
      </c>
      <c r="H404" s="13"/>
      <c r="I404" s="13"/>
      <c r="J404" s="13"/>
    </row>
    <row r="405" ht="19.5" customHeight="1">
      <c r="A405" s="13"/>
      <c r="B405" s="22"/>
      <c r="C405" s="13"/>
      <c r="D405" s="13"/>
      <c r="E405" s="13"/>
      <c r="F405" s="12"/>
      <c r="G405" s="23">
        <f>IFERROR(SUMIFS(Transactions!$F$7:$F$996,Transactions!$G$7:$G$996,A405,Transactions!$D$7:$D$996,"Expense"),0)</f>
        <v>0</v>
      </c>
      <c r="H405" s="13"/>
      <c r="I405" s="13"/>
      <c r="J405" s="13"/>
    </row>
    <row r="406" ht="19.5" customHeight="1">
      <c r="A406" s="13"/>
      <c r="B406" s="22"/>
      <c r="C406" s="13"/>
      <c r="D406" s="13"/>
      <c r="E406" s="13"/>
      <c r="F406" s="12"/>
      <c r="G406" s="23">
        <f>IFERROR(SUMIFS(Transactions!$F$7:$F$996,Transactions!$G$7:$G$996,A406,Transactions!$D$7:$D$996,"Expense"),0)</f>
        <v>0</v>
      </c>
      <c r="H406" s="13"/>
      <c r="I406" s="13"/>
      <c r="J406" s="13"/>
    </row>
    <row r="407" ht="19.5" customHeight="1">
      <c r="A407" s="13"/>
      <c r="B407" s="22"/>
      <c r="C407" s="13"/>
      <c r="D407" s="13"/>
      <c r="E407" s="13"/>
      <c r="F407" s="12"/>
      <c r="G407" s="23">
        <f>IFERROR(SUMIFS(Transactions!$F$7:$F$996,Transactions!$G$7:$G$996,A407,Transactions!$D$7:$D$996,"Expense"),0)</f>
        <v>0</v>
      </c>
      <c r="H407" s="13"/>
      <c r="I407" s="13"/>
      <c r="J407" s="13"/>
    </row>
    <row r="408" ht="19.5" customHeight="1">
      <c r="A408" s="13"/>
      <c r="B408" s="22"/>
      <c r="C408" s="13"/>
      <c r="D408" s="13"/>
      <c r="E408" s="13"/>
      <c r="F408" s="12"/>
      <c r="G408" s="23">
        <f>IFERROR(SUMIFS(Transactions!$F$7:$F$996,Transactions!$G$7:$G$996,A408,Transactions!$D$7:$D$996,"Expense"),0)</f>
        <v>0</v>
      </c>
      <c r="H408" s="13"/>
      <c r="I408" s="13"/>
      <c r="J408" s="13"/>
    </row>
    <row r="409" ht="19.5" customHeight="1">
      <c r="A409" s="13"/>
      <c r="B409" s="22"/>
      <c r="C409" s="13"/>
      <c r="D409" s="13"/>
      <c r="E409" s="13"/>
      <c r="F409" s="12"/>
      <c r="G409" s="23">
        <f>IFERROR(SUMIFS(Transactions!$F$7:$F$996,Transactions!$G$7:$G$996,A409,Transactions!$D$7:$D$996,"Expense"),0)</f>
        <v>0</v>
      </c>
      <c r="H409" s="13"/>
      <c r="I409" s="13"/>
      <c r="J409" s="13"/>
    </row>
    <row r="410" ht="19.5" customHeight="1">
      <c r="A410" s="13"/>
      <c r="B410" s="22"/>
      <c r="C410" s="13"/>
      <c r="D410" s="13"/>
      <c r="E410" s="13"/>
      <c r="F410" s="12"/>
      <c r="G410" s="23">
        <f>IFERROR(SUMIFS(Transactions!$F$7:$F$996,Transactions!$G$7:$G$996,A410,Transactions!$D$7:$D$996,"Expense"),0)</f>
        <v>0</v>
      </c>
      <c r="H410" s="13"/>
      <c r="I410" s="13"/>
      <c r="J410" s="13"/>
    </row>
    <row r="411" ht="19.5" customHeight="1">
      <c r="A411" s="13"/>
      <c r="B411" s="22"/>
      <c r="C411" s="13"/>
      <c r="D411" s="13"/>
      <c r="E411" s="13"/>
      <c r="F411" s="12"/>
      <c r="G411" s="23">
        <f>IFERROR(SUMIFS(Transactions!$F$7:$F$996,Transactions!$G$7:$G$996,A411,Transactions!$D$7:$D$996,"Expense"),0)</f>
        <v>0</v>
      </c>
      <c r="H411" s="13"/>
      <c r="I411" s="13"/>
      <c r="J411" s="13"/>
    </row>
    <row r="412" ht="19.5" customHeight="1">
      <c r="A412" s="13"/>
      <c r="B412" s="22"/>
      <c r="C412" s="13"/>
      <c r="D412" s="13"/>
      <c r="E412" s="13"/>
      <c r="F412" s="12"/>
      <c r="G412" s="23">
        <f>IFERROR(SUMIFS(Transactions!$F$7:$F$996,Transactions!$G$7:$G$996,A412,Transactions!$D$7:$D$996,"Expense"),0)</f>
        <v>0</v>
      </c>
      <c r="H412" s="13"/>
      <c r="I412" s="13"/>
      <c r="J412" s="13"/>
    </row>
    <row r="413" ht="19.5" customHeight="1">
      <c r="A413" s="13"/>
      <c r="B413" s="22"/>
      <c r="C413" s="13"/>
      <c r="D413" s="13"/>
      <c r="E413" s="13"/>
      <c r="F413" s="12"/>
      <c r="G413" s="23">
        <f>IFERROR(SUMIFS(Transactions!$F$7:$F$996,Transactions!$G$7:$G$996,A413,Transactions!$D$7:$D$996,"Expense"),0)</f>
        <v>0</v>
      </c>
      <c r="H413" s="13"/>
      <c r="I413" s="13"/>
      <c r="J413" s="13"/>
    </row>
    <row r="414" ht="19.5" customHeight="1">
      <c r="A414" s="13"/>
      <c r="B414" s="22"/>
      <c r="C414" s="13"/>
      <c r="D414" s="13"/>
      <c r="E414" s="13"/>
      <c r="F414" s="12"/>
      <c r="G414" s="23">
        <f>IFERROR(SUMIFS(Transactions!$F$7:$F$996,Transactions!$G$7:$G$996,A414,Transactions!$D$7:$D$996,"Expense"),0)</f>
        <v>0</v>
      </c>
      <c r="H414" s="13"/>
      <c r="I414" s="13"/>
      <c r="J414" s="13"/>
    </row>
    <row r="415" ht="19.5" customHeight="1">
      <c r="A415" s="13"/>
      <c r="B415" s="22"/>
      <c r="C415" s="13"/>
      <c r="D415" s="13"/>
      <c r="E415" s="13"/>
      <c r="F415" s="12"/>
      <c r="G415" s="23">
        <f>IFERROR(SUMIFS(Transactions!$F$7:$F$996,Transactions!$G$7:$G$996,A415,Transactions!$D$7:$D$996,"Expense"),0)</f>
        <v>0</v>
      </c>
      <c r="H415" s="13"/>
      <c r="I415" s="13"/>
      <c r="J415" s="13"/>
    </row>
    <row r="416" ht="19.5" customHeight="1">
      <c r="A416" s="13"/>
      <c r="B416" s="22"/>
      <c r="C416" s="13"/>
      <c r="D416" s="13"/>
      <c r="E416" s="13"/>
      <c r="F416" s="12"/>
      <c r="G416" s="23">
        <f>IFERROR(SUMIFS(Transactions!$F$7:$F$996,Transactions!$G$7:$G$996,A416,Transactions!$D$7:$D$996,"Expense"),0)</f>
        <v>0</v>
      </c>
      <c r="H416" s="13"/>
      <c r="I416" s="13"/>
      <c r="J416" s="13"/>
    </row>
    <row r="417" ht="19.5" customHeight="1">
      <c r="A417" s="13"/>
      <c r="B417" s="22"/>
      <c r="C417" s="13"/>
      <c r="D417" s="13"/>
      <c r="E417" s="13"/>
      <c r="F417" s="12"/>
      <c r="G417" s="23">
        <f>IFERROR(SUMIFS(Transactions!$F$7:$F$996,Transactions!$G$7:$G$996,A417,Transactions!$D$7:$D$996,"Expense"),0)</f>
        <v>0</v>
      </c>
      <c r="H417" s="13"/>
      <c r="I417" s="13"/>
      <c r="J417" s="13"/>
    </row>
    <row r="418" ht="19.5" customHeight="1">
      <c r="A418" s="13"/>
      <c r="B418" s="22"/>
      <c r="C418" s="13"/>
      <c r="D418" s="13"/>
      <c r="E418" s="13"/>
      <c r="F418" s="12"/>
      <c r="G418" s="23">
        <f>IFERROR(SUMIFS(Transactions!$F$7:$F$996,Transactions!$G$7:$G$996,A418,Transactions!$D$7:$D$996,"Expense"),0)</f>
        <v>0</v>
      </c>
      <c r="H418" s="13"/>
      <c r="I418" s="13"/>
      <c r="J418" s="13"/>
    </row>
    <row r="419" ht="19.5" customHeight="1">
      <c r="A419" s="13"/>
      <c r="B419" s="22"/>
      <c r="C419" s="13"/>
      <c r="D419" s="13"/>
      <c r="E419" s="13"/>
      <c r="F419" s="12"/>
      <c r="G419" s="23">
        <f>IFERROR(SUMIFS(Transactions!$F$7:$F$996,Transactions!$G$7:$G$996,A419,Transactions!$D$7:$D$996,"Expense"),0)</f>
        <v>0</v>
      </c>
      <c r="H419" s="13"/>
      <c r="I419" s="13"/>
      <c r="J419" s="13"/>
    </row>
    <row r="420" ht="19.5" customHeight="1">
      <c r="A420" s="13"/>
      <c r="B420" s="22"/>
      <c r="C420" s="13"/>
      <c r="D420" s="13"/>
      <c r="E420" s="13"/>
      <c r="F420" s="12"/>
      <c r="G420" s="23">
        <f>IFERROR(SUMIFS(Transactions!$F$7:$F$996,Transactions!$G$7:$G$996,A420,Transactions!$D$7:$D$996,"Expense"),0)</f>
        <v>0</v>
      </c>
      <c r="H420" s="13"/>
      <c r="I420" s="13"/>
      <c r="J420" s="13"/>
    </row>
    <row r="421" ht="19.5" customHeight="1">
      <c r="A421" s="13"/>
      <c r="B421" s="22"/>
      <c r="C421" s="13"/>
      <c r="D421" s="13"/>
      <c r="E421" s="13"/>
      <c r="F421" s="12"/>
      <c r="G421" s="23">
        <f>IFERROR(SUMIFS(Transactions!$F$7:$F$996,Transactions!$G$7:$G$996,A421,Transactions!$D$7:$D$996,"Expense"),0)</f>
        <v>0</v>
      </c>
      <c r="H421" s="13"/>
      <c r="I421" s="13"/>
      <c r="J421" s="13"/>
    </row>
    <row r="422" ht="19.5" customHeight="1">
      <c r="A422" s="13"/>
      <c r="B422" s="22"/>
      <c r="C422" s="13"/>
      <c r="D422" s="13"/>
      <c r="E422" s="13"/>
      <c r="F422" s="12"/>
      <c r="G422" s="23">
        <f>IFERROR(SUMIFS(Transactions!$F$7:$F$996,Transactions!$G$7:$G$996,A422,Transactions!$D$7:$D$996,"Expense"),0)</f>
        <v>0</v>
      </c>
      <c r="H422" s="13"/>
      <c r="I422" s="13"/>
      <c r="J422" s="13"/>
    </row>
    <row r="423" ht="19.5" customHeight="1">
      <c r="A423" s="13"/>
      <c r="B423" s="22"/>
      <c r="C423" s="13"/>
      <c r="D423" s="13"/>
      <c r="E423" s="13"/>
      <c r="F423" s="12"/>
      <c r="G423" s="23">
        <f>IFERROR(SUMIFS(Transactions!$F$7:$F$996,Transactions!$G$7:$G$996,A423,Transactions!$D$7:$D$996,"Expense"),0)</f>
        <v>0</v>
      </c>
      <c r="H423" s="13"/>
      <c r="I423" s="13"/>
      <c r="J423" s="13"/>
    </row>
    <row r="424" ht="19.5" customHeight="1">
      <c r="A424" s="13"/>
      <c r="B424" s="22"/>
      <c r="C424" s="13"/>
      <c r="D424" s="13"/>
      <c r="E424" s="13"/>
      <c r="F424" s="12"/>
      <c r="G424" s="23">
        <f>IFERROR(SUMIFS(Transactions!$F$7:$F$996,Transactions!$G$7:$G$996,A424,Transactions!$D$7:$D$996,"Expense"),0)</f>
        <v>0</v>
      </c>
      <c r="H424" s="13"/>
      <c r="I424" s="13"/>
      <c r="J424" s="13"/>
    </row>
    <row r="425" ht="19.5" customHeight="1">
      <c r="A425" s="13"/>
      <c r="B425" s="22"/>
      <c r="C425" s="13"/>
      <c r="D425" s="13"/>
      <c r="E425" s="13"/>
      <c r="F425" s="12"/>
      <c r="G425" s="23">
        <f>IFERROR(SUMIFS(Transactions!$F$7:$F$996,Transactions!$G$7:$G$996,A425,Transactions!$D$7:$D$996,"Expense"),0)</f>
        <v>0</v>
      </c>
      <c r="H425" s="13"/>
      <c r="I425" s="13"/>
      <c r="J425" s="13"/>
    </row>
    <row r="426" ht="19.5" customHeight="1">
      <c r="A426" s="13"/>
      <c r="B426" s="22"/>
      <c r="C426" s="13"/>
      <c r="D426" s="13"/>
      <c r="E426" s="13"/>
      <c r="F426" s="12"/>
      <c r="G426" s="23">
        <f>IFERROR(SUMIFS(Transactions!$F$7:$F$996,Transactions!$G$7:$G$996,A426,Transactions!$D$7:$D$996,"Expense"),0)</f>
        <v>0</v>
      </c>
      <c r="H426" s="13"/>
      <c r="I426" s="13"/>
      <c r="J426" s="13"/>
    </row>
    <row r="427" ht="19.5" customHeight="1">
      <c r="A427" s="13"/>
      <c r="B427" s="22"/>
      <c r="C427" s="13"/>
      <c r="D427" s="13"/>
      <c r="E427" s="13"/>
      <c r="F427" s="12"/>
      <c r="G427" s="23">
        <f>IFERROR(SUMIFS(Transactions!$F$7:$F$996,Transactions!$G$7:$G$996,A427,Transactions!$D$7:$D$996,"Expense"),0)</f>
        <v>0</v>
      </c>
      <c r="H427" s="13"/>
      <c r="I427" s="13"/>
      <c r="J427" s="13"/>
    </row>
    <row r="428" ht="19.5" customHeight="1">
      <c r="A428" s="13"/>
      <c r="B428" s="22"/>
      <c r="C428" s="13"/>
      <c r="D428" s="13"/>
      <c r="E428" s="13"/>
      <c r="F428" s="12"/>
      <c r="G428" s="23">
        <f>IFERROR(SUMIFS(Transactions!$F$7:$F$996,Transactions!$G$7:$G$996,A428,Transactions!$D$7:$D$996,"Expense"),0)</f>
        <v>0</v>
      </c>
      <c r="H428" s="13"/>
      <c r="I428" s="13"/>
      <c r="J428" s="13"/>
    </row>
    <row r="429" ht="19.5" customHeight="1">
      <c r="A429" s="13"/>
      <c r="B429" s="22"/>
      <c r="C429" s="13"/>
      <c r="D429" s="13"/>
      <c r="E429" s="13"/>
      <c r="F429" s="12"/>
      <c r="G429" s="23">
        <f>IFERROR(SUMIFS(Transactions!$F$7:$F$996,Transactions!$G$7:$G$996,A429,Transactions!$D$7:$D$996,"Expense"),0)</f>
        <v>0</v>
      </c>
      <c r="H429" s="13"/>
      <c r="I429" s="13"/>
      <c r="J429" s="13"/>
    </row>
    <row r="430" ht="19.5" customHeight="1">
      <c r="A430" s="13"/>
      <c r="B430" s="22"/>
      <c r="C430" s="13"/>
      <c r="D430" s="13"/>
      <c r="E430" s="13"/>
      <c r="F430" s="12"/>
      <c r="G430" s="23">
        <f>IFERROR(SUMIFS(Transactions!$F$7:$F$996,Transactions!$G$7:$G$996,A430,Transactions!$D$7:$D$996,"Expense"),0)</f>
        <v>0</v>
      </c>
      <c r="H430" s="13"/>
      <c r="I430" s="13"/>
      <c r="J430" s="13"/>
    </row>
    <row r="431" ht="19.5" customHeight="1">
      <c r="A431" s="13"/>
      <c r="B431" s="22"/>
      <c r="C431" s="13"/>
      <c r="D431" s="13"/>
      <c r="E431" s="13"/>
      <c r="F431" s="12"/>
      <c r="G431" s="23">
        <f>IFERROR(SUMIFS(Transactions!$F$7:$F$996,Transactions!$G$7:$G$996,A431,Transactions!$D$7:$D$996,"Expense"),0)</f>
        <v>0</v>
      </c>
      <c r="H431" s="13"/>
      <c r="I431" s="13"/>
      <c r="J431" s="13"/>
    </row>
    <row r="432" ht="19.5" customHeight="1">
      <c r="A432" s="13"/>
      <c r="B432" s="22"/>
      <c r="C432" s="13"/>
      <c r="D432" s="13"/>
      <c r="E432" s="13"/>
      <c r="F432" s="12"/>
      <c r="G432" s="23">
        <f>IFERROR(SUMIFS(Transactions!$F$7:$F$996,Transactions!$G$7:$G$996,A432,Transactions!$D$7:$D$996,"Expense"),0)</f>
        <v>0</v>
      </c>
      <c r="H432" s="13"/>
      <c r="I432" s="13"/>
      <c r="J432" s="13"/>
    </row>
    <row r="433" ht="19.5" customHeight="1">
      <c r="A433" s="13"/>
      <c r="B433" s="22"/>
      <c r="C433" s="13"/>
      <c r="D433" s="13"/>
      <c r="E433" s="13"/>
      <c r="F433" s="12"/>
      <c r="G433" s="23">
        <f>IFERROR(SUMIFS(Transactions!$F$7:$F$996,Transactions!$G$7:$G$996,A433,Transactions!$D$7:$D$996,"Expense"),0)</f>
        <v>0</v>
      </c>
      <c r="H433" s="13"/>
      <c r="I433" s="13"/>
      <c r="J433" s="13"/>
    </row>
    <row r="434" ht="19.5" customHeight="1">
      <c r="A434" s="13"/>
      <c r="B434" s="22"/>
      <c r="C434" s="13"/>
      <c r="D434" s="13"/>
      <c r="E434" s="13"/>
      <c r="F434" s="12"/>
      <c r="G434" s="23">
        <f>IFERROR(SUMIFS(Transactions!$F$7:$F$996,Transactions!$G$7:$G$996,A434,Transactions!$D$7:$D$996,"Expense"),0)</f>
        <v>0</v>
      </c>
      <c r="H434" s="13"/>
      <c r="I434" s="13"/>
      <c r="J434" s="13"/>
    </row>
    <row r="435" ht="19.5" customHeight="1">
      <c r="A435" s="13"/>
      <c r="B435" s="22"/>
      <c r="C435" s="13"/>
      <c r="D435" s="13"/>
      <c r="E435" s="13"/>
      <c r="F435" s="12"/>
      <c r="G435" s="23">
        <f>IFERROR(SUMIFS(Transactions!$F$7:$F$996,Transactions!$G$7:$G$996,A435,Transactions!$D$7:$D$996,"Expense"),0)</f>
        <v>0</v>
      </c>
      <c r="H435" s="13"/>
      <c r="I435" s="13"/>
      <c r="J435" s="13"/>
    </row>
    <row r="436" ht="19.5" customHeight="1">
      <c r="A436" s="13"/>
      <c r="B436" s="22"/>
      <c r="C436" s="13"/>
      <c r="D436" s="13"/>
      <c r="E436" s="13"/>
      <c r="F436" s="12"/>
      <c r="G436" s="23">
        <f>IFERROR(SUMIFS(Transactions!$F$7:$F$996,Transactions!$G$7:$G$996,A436,Transactions!$D$7:$D$996,"Expense"),0)</f>
        <v>0</v>
      </c>
      <c r="H436" s="13"/>
      <c r="I436" s="13"/>
      <c r="J436" s="13"/>
    </row>
    <row r="437" ht="19.5" customHeight="1">
      <c r="A437" s="13"/>
      <c r="B437" s="22"/>
      <c r="C437" s="13"/>
      <c r="D437" s="13"/>
      <c r="E437" s="13"/>
      <c r="F437" s="12"/>
      <c r="G437" s="23">
        <f>IFERROR(SUMIFS(Transactions!$F$7:$F$996,Transactions!$G$7:$G$996,A437,Transactions!$D$7:$D$996,"Expense"),0)</f>
        <v>0</v>
      </c>
      <c r="H437" s="13"/>
      <c r="I437" s="13"/>
      <c r="J437" s="13"/>
    </row>
    <row r="438" ht="19.5" customHeight="1">
      <c r="A438" s="13"/>
      <c r="B438" s="22"/>
      <c r="C438" s="13"/>
      <c r="D438" s="13"/>
      <c r="E438" s="13"/>
      <c r="F438" s="12"/>
      <c r="G438" s="23">
        <f>IFERROR(SUMIFS(Transactions!$F$7:$F$996,Transactions!$G$7:$G$996,A438,Transactions!$D$7:$D$996,"Expense"),0)</f>
        <v>0</v>
      </c>
      <c r="H438" s="13"/>
      <c r="I438" s="13"/>
      <c r="J438" s="13"/>
    </row>
    <row r="439" ht="19.5" customHeight="1">
      <c r="A439" s="13"/>
      <c r="B439" s="22"/>
      <c r="C439" s="13"/>
      <c r="D439" s="13"/>
      <c r="E439" s="13"/>
      <c r="F439" s="12"/>
      <c r="G439" s="23">
        <f>IFERROR(SUMIFS(Transactions!$F$7:$F$996,Transactions!$G$7:$G$996,A439,Transactions!$D$7:$D$996,"Expense"),0)</f>
        <v>0</v>
      </c>
      <c r="H439" s="13"/>
      <c r="I439" s="13"/>
      <c r="J439" s="13"/>
    </row>
    <row r="440" ht="19.5" customHeight="1">
      <c r="A440" s="13"/>
      <c r="B440" s="22"/>
      <c r="C440" s="13"/>
      <c r="D440" s="13"/>
      <c r="E440" s="13"/>
      <c r="F440" s="12"/>
      <c r="G440" s="23">
        <f>IFERROR(SUMIFS(Transactions!$F$7:$F$996,Transactions!$G$7:$G$996,A440,Transactions!$D$7:$D$996,"Expense"),0)</f>
        <v>0</v>
      </c>
      <c r="H440" s="13"/>
      <c r="I440" s="13"/>
      <c r="J440" s="13"/>
    </row>
    <row r="441" ht="19.5" customHeight="1">
      <c r="A441" s="13"/>
      <c r="B441" s="22"/>
      <c r="C441" s="13"/>
      <c r="D441" s="13"/>
      <c r="E441" s="13"/>
      <c r="F441" s="12"/>
      <c r="G441" s="23">
        <f>IFERROR(SUMIFS(Transactions!$F$7:$F$996,Transactions!$G$7:$G$996,A441,Transactions!$D$7:$D$996,"Expense"),0)</f>
        <v>0</v>
      </c>
      <c r="H441" s="13"/>
      <c r="I441" s="13"/>
      <c r="J441" s="13"/>
    </row>
    <row r="442" ht="19.5" customHeight="1">
      <c r="A442" s="13"/>
      <c r="B442" s="22"/>
      <c r="C442" s="13"/>
      <c r="D442" s="13"/>
      <c r="E442" s="13"/>
      <c r="F442" s="12"/>
      <c r="G442" s="23">
        <f>IFERROR(SUMIFS(Transactions!$F$7:$F$996,Transactions!$G$7:$G$996,A442,Transactions!$D$7:$D$996,"Expense"),0)</f>
        <v>0</v>
      </c>
      <c r="H442" s="13"/>
      <c r="I442" s="13"/>
      <c r="J442" s="13"/>
    </row>
    <row r="443" ht="19.5" customHeight="1">
      <c r="A443" s="13"/>
      <c r="B443" s="22"/>
      <c r="C443" s="13"/>
      <c r="D443" s="13"/>
      <c r="E443" s="13"/>
      <c r="F443" s="12"/>
      <c r="G443" s="23">
        <f>IFERROR(SUMIFS(Transactions!$F$7:$F$996,Transactions!$G$7:$G$996,A443,Transactions!$D$7:$D$996,"Expense"),0)</f>
        <v>0</v>
      </c>
      <c r="H443" s="13"/>
      <c r="I443" s="13"/>
      <c r="J443" s="13"/>
    </row>
    <row r="444" ht="19.5" customHeight="1">
      <c r="A444" s="13"/>
      <c r="B444" s="22"/>
      <c r="C444" s="13"/>
      <c r="D444" s="13"/>
      <c r="E444" s="13"/>
      <c r="F444" s="12"/>
      <c r="G444" s="23">
        <f>IFERROR(SUMIFS(Transactions!$F$7:$F$996,Transactions!$G$7:$G$996,A444,Transactions!$D$7:$D$996,"Expense"),0)</f>
        <v>0</v>
      </c>
      <c r="H444" s="13"/>
      <c r="I444" s="13"/>
      <c r="J444" s="13"/>
    </row>
    <row r="445" ht="19.5" customHeight="1">
      <c r="A445" s="13"/>
      <c r="B445" s="22"/>
      <c r="C445" s="13"/>
      <c r="D445" s="13"/>
      <c r="E445" s="13"/>
      <c r="F445" s="12"/>
      <c r="G445" s="23">
        <f>IFERROR(SUMIFS(Transactions!$F$7:$F$996,Transactions!$G$7:$G$996,A445,Transactions!$D$7:$D$996,"Expense"),0)</f>
        <v>0</v>
      </c>
      <c r="H445" s="13"/>
      <c r="I445" s="13"/>
      <c r="J445" s="13"/>
    </row>
    <row r="446" ht="19.5" customHeight="1">
      <c r="A446" s="13"/>
      <c r="B446" s="22"/>
      <c r="C446" s="13"/>
      <c r="D446" s="13"/>
      <c r="E446" s="13"/>
      <c r="F446" s="12"/>
      <c r="G446" s="23">
        <f>IFERROR(SUMIFS(Transactions!$F$7:$F$996,Transactions!$G$7:$G$996,A446,Transactions!$D$7:$D$996,"Expense"),0)</f>
        <v>0</v>
      </c>
      <c r="H446" s="13"/>
      <c r="I446" s="13"/>
      <c r="J446" s="13"/>
    </row>
    <row r="447" ht="19.5" customHeight="1">
      <c r="A447" s="13"/>
      <c r="B447" s="22"/>
      <c r="C447" s="13"/>
      <c r="D447" s="13"/>
      <c r="E447" s="13"/>
      <c r="F447" s="12"/>
      <c r="G447" s="23">
        <f>IFERROR(SUMIFS(Transactions!$F$7:$F$996,Transactions!$G$7:$G$996,A447,Transactions!$D$7:$D$996,"Expense"),0)</f>
        <v>0</v>
      </c>
      <c r="H447" s="13"/>
      <c r="I447" s="13"/>
      <c r="J447" s="13"/>
    </row>
    <row r="448" ht="19.5" customHeight="1">
      <c r="A448" s="13"/>
      <c r="B448" s="22"/>
      <c r="C448" s="13"/>
      <c r="D448" s="13"/>
      <c r="E448" s="13"/>
      <c r="F448" s="12"/>
      <c r="G448" s="23">
        <f>IFERROR(SUMIFS(Transactions!$F$7:$F$996,Transactions!$G$7:$G$996,A448,Transactions!$D$7:$D$996,"Expense"),0)</f>
        <v>0</v>
      </c>
      <c r="H448" s="13"/>
      <c r="I448" s="13"/>
      <c r="J448" s="13"/>
    </row>
    <row r="449" ht="19.5" customHeight="1">
      <c r="A449" s="13"/>
      <c r="B449" s="22"/>
      <c r="C449" s="13"/>
      <c r="D449" s="13"/>
      <c r="E449" s="13"/>
      <c r="F449" s="12"/>
      <c r="G449" s="23">
        <f>IFERROR(SUMIFS(Transactions!$F$7:$F$996,Transactions!$G$7:$G$996,A449,Transactions!$D$7:$D$996,"Expense"),0)</f>
        <v>0</v>
      </c>
      <c r="H449" s="13"/>
      <c r="I449" s="13"/>
      <c r="J449" s="13"/>
    </row>
    <row r="450" ht="19.5" customHeight="1">
      <c r="A450" s="13"/>
      <c r="B450" s="22"/>
      <c r="C450" s="13"/>
      <c r="D450" s="13"/>
      <c r="E450" s="13"/>
      <c r="F450" s="12"/>
      <c r="G450" s="23">
        <f>IFERROR(SUMIFS(Transactions!$F$7:$F$996,Transactions!$G$7:$G$996,A450,Transactions!$D$7:$D$996,"Expense"),0)</f>
        <v>0</v>
      </c>
      <c r="H450" s="13"/>
      <c r="I450" s="13"/>
      <c r="J450" s="13"/>
    </row>
    <row r="451" ht="19.5" customHeight="1">
      <c r="A451" s="13"/>
      <c r="B451" s="22"/>
      <c r="C451" s="13"/>
      <c r="D451" s="13"/>
      <c r="E451" s="13"/>
      <c r="F451" s="12"/>
      <c r="G451" s="23">
        <f>IFERROR(SUMIFS(Transactions!$F$7:$F$996,Transactions!$G$7:$G$996,A451,Transactions!$D$7:$D$996,"Expense"),0)</f>
        <v>0</v>
      </c>
      <c r="H451" s="13"/>
      <c r="I451" s="13"/>
      <c r="J451" s="13"/>
    </row>
    <row r="452" ht="19.5" customHeight="1">
      <c r="A452" s="13"/>
      <c r="B452" s="22"/>
      <c r="C452" s="13"/>
      <c r="D452" s="13"/>
      <c r="E452" s="13"/>
      <c r="F452" s="12"/>
      <c r="G452" s="23">
        <f>IFERROR(SUMIFS(Transactions!$F$7:$F$996,Transactions!$G$7:$G$996,A452,Transactions!$D$7:$D$996,"Expense"),0)</f>
        <v>0</v>
      </c>
      <c r="H452" s="13"/>
      <c r="I452" s="13"/>
      <c r="J452" s="13"/>
    </row>
    <row r="453" ht="19.5" customHeight="1">
      <c r="A453" s="13"/>
      <c r="B453" s="22"/>
      <c r="C453" s="13"/>
      <c r="D453" s="13"/>
      <c r="E453" s="13"/>
      <c r="F453" s="12"/>
      <c r="G453" s="23">
        <f>IFERROR(SUMIFS(Transactions!$F$7:$F$996,Transactions!$G$7:$G$996,A453,Transactions!$D$7:$D$996,"Expense"),0)</f>
        <v>0</v>
      </c>
      <c r="H453" s="13"/>
      <c r="I453" s="13"/>
      <c r="J453" s="13"/>
    </row>
    <row r="454" ht="19.5" customHeight="1">
      <c r="A454" s="13"/>
      <c r="B454" s="22"/>
      <c r="C454" s="13"/>
      <c r="D454" s="13"/>
      <c r="E454" s="13"/>
      <c r="F454" s="12"/>
      <c r="G454" s="23">
        <f>IFERROR(SUMIFS(Transactions!$F$7:$F$996,Transactions!$G$7:$G$996,A454,Transactions!$D$7:$D$996,"Expense"),0)</f>
        <v>0</v>
      </c>
      <c r="H454" s="13"/>
      <c r="I454" s="13"/>
      <c r="J454" s="13"/>
    </row>
    <row r="455" ht="19.5" customHeight="1">
      <c r="A455" s="13"/>
      <c r="B455" s="22"/>
      <c r="C455" s="13"/>
      <c r="D455" s="13"/>
      <c r="E455" s="13"/>
      <c r="F455" s="12"/>
      <c r="G455" s="23">
        <f>IFERROR(SUMIFS(Transactions!$F$7:$F$996,Transactions!$G$7:$G$996,A455,Transactions!$D$7:$D$996,"Expense"),0)</f>
        <v>0</v>
      </c>
      <c r="H455" s="13"/>
      <c r="I455" s="13"/>
      <c r="J455" s="13"/>
    </row>
    <row r="456" ht="19.5" customHeight="1">
      <c r="A456" s="13"/>
      <c r="B456" s="22"/>
      <c r="C456" s="13"/>
      <c r="D456" s="13"/>
      <c r="E456" s="13"/>
      <c r="F456" s="12"/>
      <c r="G456" s="23">
        <f>IFERROR(SUMIFS(Transactions!$F$7:$F$996,Transactions!$G$7:$G$996,A456,Transactions!$D$7:$D$996,"Expense"),0)</f>
        <v>0</v>
      </c>
      <c r="H456" s="13"/>
      <c r="I456" s="13"/>
      <c r="J456" s="13"/>
    </row>
    <row r="457" ht="19.5" customHeight="1">
      <c r="A457" s="13"/>
      <c r="B457" s="22"/>
      <c r="C457" s="13"/>
      <c r="D457" s="13"/>
      <c r="E457" s="13"/>
      <c r="F457" s="12"/>
      <c r="G457" s="23">
        <f>IFERROR(SUMIFS(Transactions!$F$7:$F$996,Transactions!$G$7:$G$996,A457,Transactions!$D$7:$D$996,"Expense"),0)</f>
        <v>0</v>
      </c>
      <c r="H457" s="13"/>
      <c r="I457" s="13"/>
      <c r="J457" s="13"/>
    </row>
    <row r="458" ht="19.5" customHeight="1">
      <c r="A458" s="13"/>
      <c r="B458" s="22"/>
      <c r="C458" s="13"/>
      <c r="D458" s="13"/>
      <c r="E458" s="13"/>
      <c r="F458" s="12"/>
      <c r="G458" s="23">
        <f>IFERROR(SUMIFS(Transactions!$F$7:$F$996,Transactions!$G$7:$G$996,A458,Transactions!$D$7:$D$996,"Expense"),0)</f>
        <v>0</v>
      </c>
      <c r="H458" s="13"/>
      <c r="I458" s="13"/>
      <c r="J458" s="13"/>
    </row>
    <row r="459" ht="19.5" customHeight="1">
      <c r="A459" s="13"/>
      <c r="B459" s="22"/>
      <c r="C459" s="13"/>
      <c r="D459" s="13"/>
      <c r="E459" s="13"/>
      <c r="F459" s="12"/>
      <c r="G459" s="23">
        <f>IFERROR(SUMIFS(Transactions!$F$7:$F$996,Transactions!$G$7:$G$996,A459,Transactions!$D$7:$D$996,"Expense"),0)</f>
        <v>0</v>
      </c>
      <c r="H459" s="13"/>
      <c r="I459" s="13"/>
      <c r="J459" s="13"/>
    </row>
    <row r="460" ht="19.5" customHeight="1">
      <c r="A460" s="13"/>
      <c r="B460" s="22"/>
      <c r="C460" s="13"/>
      <c r="D460" s="13"/>
      <c r="E460" s="13"/>
      <c r="F460" s="12"/>
      <c r="G460" s="23">
        <f>IFERROR(SUMIFS(Transactions!$F$7:$F$996,Transactions!$G$7:$G$996,A460,Transactions!$D$7:$D$996,"Expense"),0)</f>
        <v>0</v>
      </c>
      <c r="H460" s="13"/>
      <c r="I460" s="13"/>
      <c r="J460" s="13"/>
    </row>
    <row r="461" ht="19.5" customHeight="1">
      <c r="A461" s="13"/>
      <c r="B461" s="22"/>
      <c r="C461" s="13"/>
      <c r="D461" s="13"/>
      <c r="E461" s="13"/>
      <c r="F461" s="12"/>
      <c r="G461" s="23">
        <f>IFERROR(SUMIFS(Transactions!$F$7:$F$996,Transactions!$G$7:$G$996,A461,Transactions!$D$7:$D$996,"Expense"),0)</f>
        <v>0</v>
      </c>
      <c r="H461" s="13"/>
      <c r="I461" s="13"/>
      <c r="J461" s="13"/>
    </row>
    <row r="462" ht="19.5" customHeight="1">
      <c r="A462" s="13"/>
      <c r="B462" s="22"/>
      <c r="C462" s="13"/>
      <c r="D462" s="13"/>
      <c r="E462" s="13"/>
      <c r="F462" s="12"/>
      <c r="G462" s="23">
        <f>IFERROR(SUMIFS(Transactions!$F$7:$F$996,Transactions!$G$7:$G$996,A462,Transactions!$D$7:$D$996,"Expense"),0)</f>
        <v>0</v>
      </c>
      <c r="H462" s="13"/>
      <c r="I462" s="13"/>
      <c r="J462" s="13"/>
    </row>
    <row r="463" ht="19.5" customHeight="1">
      <c r="A463" s="13"/>
      <c r="B463" s="22"/>
      <c r="C463" s="13"/>
      <c r="D463" s="13"/>
      <c r="E463" s="13"/>
      <c r="F463" s="12"/>
      <c r="G463" s="23">
        <f>IFERROR(SUMIFS(Transactions!$F$7:$F$996,Transactions!$G$7:$G$996,A463,Transactions!$D$7:$D$996,"Expense"),0)</f>
        <v>0</v>
      </c>
      <c r="H463" s="13"/>
      <c r="I463" s="13"/>
      <c r="J463" s="13"/>
    </row>
    <row r="464" ht="19.5" customHeight="1">
      <c r="A464" s="13"/>
      <c r="B464" s="22"/>
      <c r="C464" s="13"/>
      <c r="D464" s="13"/>
      <c r="E464" s="13"/>
      <c r="F464" s="12"/>
      <c r="G464" s="23">
        <f>IFERROR(SUMIFS(Transactions!$F$7:$F$996,Transactions!$G$7:$G$996,A464,Transactions!$D$7:$D$996,"Expense"),0)</f>
        <v>0</v>
      </c>
      <c r="H464" s="13"/>
      <c r="I464" s="13"/>
      <c r="J464" s="13"/>
    </row>
    <row r="465" ht="19.5" customHeight="1">
      <c r="A465" s="13"/>
      <c r="B465" s="22"/>
      <c r="C465" s="13"/>
      <c r="D465" s="13"/>
      <c r="E465" s="13"/>
      <c r="F465" s="12"/>
      <c r="G465" s="23">
        <f>IFERROR(SUMIFS(Transactions!$F$7:$F$996,Transactions!$G$7:$G$996,A465,Transactions!$D$7:$D$996,"Expense"),0)</f>
        <v>0</v>
      </c>
      <c r="H465" s="13"/>
      <c r="I465" s="13"/>
      <c r="J465" s="13"/>
    </row>
    <row r="466" ht="19.5" customHeight="1">
      <c r="A466" s="13"/>
      <c r="B466" s="22"/>
      <c r="C466" s="13"/>
      <c r="D466" s="13"/>
      <c r="E466" s="13"/>
      <c r="F466" s="12"/>
      <c r="G466" s="23">
        <f>IFERROR(SUMIFS(Transactions!$F$7:$F$996,Transactions!$G$7:$G$996,A466,Transactions!$D$7:$D$996,"Expense"),0)</f>
        <v>0</v>
      </c>
      <c r="H466" s="13"/>
      <c r="I466" s="13"/>
      <c r="J466" s="13"/>
    </row>
    <row r="467" ht="19.5" customHeight="1">
      <c r="A467" s="13"/>
      <c r="B467" s="22"/>
      <c r="C467" s="13"/>
      <c r="D467" s="13"/>
      <c r="E467" s="13"/>
      <c r="F467" s="12"/>
      <c r="G467" s="23">
        <f>IFERROR(SUMIFS(Transactions!$F$7:$F$996,Transactions!$G$7:$G$996,A467,Transactions!$D$7:$D$996,"Expense"),0)</f>
        <v>0</v>
      </c>
      <c r="H467" s="13"/>
      <c r="I467" s="13"/>
      <c r="J467" s="13"/>
    </row>
    <row r="468" ht="19.5" customHeight="1">
      <c r="A468" s="13"/>
      <c r="B468" s="22"/>
      <c r="C468" s="13"/>
      <c r="D468" s="13"/>
      <c r="E468" s="13"/>
      <c r="F468" s="12"/>
      <c r="G468" s="23">
        <f>IFERROR(SUMIFS(Transactions!$F$7:$F$996,Transactions!$G$7:$G$996,A468,Transactions!$D$7:$D$996,"Expense"),0)</f>
        <v>0</v>
      </c>
      <c r="H468" s="13"/>
      <c r="I468" s="13"/>
      <c r="J468" s="13"/>
    </row>
    <row r="469" ht="19.5" customHeight="1">
      <c r="A469" s="13"/>
      <c r="B469" s="22"/>
      <c r="C469" s="13"/>
      <c r="D469" s="13"/>
      <c r="E469" s="13"/>
      <c r="F469" s="12"/>
      <c r="G469" s="23">
        <f>IFERROR(SUMIFS(Transactions!$F$7:$F$996,Transactions!$G$7:$G$996,A469,Transactions!$D$7:$D$996,"Expense"),0)</f>
        <v>0</v>
      </c>
      <c r="H469" s="13"/>
      <c r="I469" s="13"/>
      <c r="J469" s="13"/>
    </row>
    <row r="470" ht="19.5" customHeight="1">
      <c r="A470" s="13"/>
      <c r="B470" s="22"/>
      <c r="C470" s="13"/>
      <c r="D470" s="13"/>
      <c r="E470" s="13"/>
      <c r="F470" s="12"/>
      <c r="G470" s="23">
        <f>IFERROR(SUMIFS(Transactions!$F$7:$F$996,Transactions!$G$7:$G$996,A470,Transactions!$D$7:$D$996,"Expense"),0)</f>
        <v>0</v>
      </c>
      <c r="H470" s="13"/>
      <c r="I470" s="13"/>
      <c r="J470" s="13"/>
    </row>
    <row r="471" ht="19.5" customHeight="1">
      <c r="A471" s="13"/>
      <c r="B471" s="22"/>
      <c r="C471" s="13"/>
      <c r="D471" s="13"/>
      <c r="E471" s="13"/>
      <c r="F471" s="12"/>
      <c r="G471" s="23">
        <f>IFERROR(SUMIFS(Transactions!$F$7:$F$996,Transactions!$G$7:$G$996,A471,Transactions!$D$7:$D$996,"Expense"),0)</f>
        <v>0</v>
      </c>
      <c r="H471" s="13"/>
      <c r="I471" s="13"/>
      <c r="J471" s="13"/>
    </row>
    <row r="472" ht="19.5" customHeight="1">
      <c r="A472" s="13"/>
      <c r="B472" s="22"/>
      <c r="C472" s="13"/>
      <c r="D472" s="13"/>
      <c r="E472" s="13"/>
      <c r="F472" s="12"/>
      <c r="G472" s="23">
        <f>IFERROR(SUMIFS(Transactions!$F$7:$F$996,Transactions!$G$7:$G$996,A472,Transactions!$D$7:$D$996,"Expense"),0)</f>
        <v>0</v>
      </c>
      <c r="H472" s="13"/>
      <c r="I472" s="13"/>
      <c r="J472" s="13"/>
    </row>
    <row r="473" ht="19.5" customHeight="1">
      <c r="A473" s="13"/>
      <c r="B473" s="22"/>
      <c r="C473" s="13"/>
      <c r="D473" s="13"/>
      <c r="E473" s="13"/>
      <c r="F473" s="12"/>
      <c r="G473" s="23">
        <f>IFERROR(SUMIFS(Transactions!$F$7:$F$996,Transactions!$G$7:$G$996,A473,Transactions!$D$7:$D$996,"Expense"),0)</f>
        <v>0</v>
      </c>
      <c r="H473" s="13"/>
      <c r="I473" s="13"/>
      <c r="J473" s="13"/>
    </row>
    <row r="474" ht="19.5" customHeight="1">
      <c r="A474" s="13"/>
      <c r="B474" s="22"/>
      <c r="C474" s="13"/>
      <c r="D474" s="13"/>
      <c r="E474" s="13"/>
      <c r="F474" s="12"/>
      <c r="G474" s="23">
        <f>IFERROR(SUMIFS(Transactions!$F$7:$F$996,Transactions!$G$7:$G$996,A474,Transactions!$D$7:$D$996,"Expense"),0)</f>
        <v>0</v>
      </c>
      <c r="H474" s="13"/>
      <c r="I474" s="13"/>
      <c r="J474" s="13"/>
    </row>
    <row r="475" ht="19.5" customHeight="1">
      <c r="A475" s="13"/>
      <c r="B475" s="22"/>
      <c r="C475" s="13"/>
      <c r="D475" s="13"/>
      <c r="E475" s="13"/>
      <c r="F475" s="12"/>
      <c r="G475" s="23">
        <f>IFERROR(SUMIFS(Transactions!$F$7:$F$996,Transactions!$G$7:$G$996,A475,Transactions!$D$7:$D$996,"Expense"),0)</f>
        <v>0</v>
      </c>
      <c r="H475" s="13"/>
      <c r="I475" s="13"/>
      <c r="J475" s="13"/>
    </row>
    <row r="476" ht="19.5" customHeight="1">
      <c r="A476" s="13"/>
      <c r="B476" s="22"/>
      <c r="C476" s="13"/>
      <c r="D476" s="13"/>
      <c r="E476" s="13"/>
      <c r="F476" s="12"/>
      <c r="G476" s="23">
        <f>IFERROR(SUMIFS(Transactions!$F$7:$F$996,Transactions!$G$7:$G$996,A476,Transactions!$D$7:$D$996,"Expense"),0)</f>
        <v>0</v>
      </c>
      <c r="H476" s="13"/>
      <c r="I476" s="13"/>
      <c r="J476" s="13"/>
    </row>
    <row r="477" ht="19.5" customHeight="1">
      <c r="A477" s="13"/>
      <c r="B477" s="22"/>
      <c r="C477" s="13"/>
      <c r="D477" s="13"/>
      <c r="E477" s="13"/>
      <c r="F477" s="12"/>
      <c r="G477" s="23">
        <f>IFERROR(SUMIFS(Transactions!$F$7:$F$996,Transactions!$G$7:$G$996,A477,Transactions!$D$7:$D$996,"Expense"),0)</f>
        <v>0</v>
      </c>
      <c r="H477" s="13"/>
      <c r="I477" s="13"/>
      <c r="J477" s="13"/>
    </row>
    <row r="478" ht="19.5" customHeight="1">
      <c r="A478" s="13"/>
      <c r="B478" s="22"/>
      <c r="C478" s="13"/>
      <c r="D478" s="13"/>
      <c r="E478" s="13"/>
      <c r="F478" s="12"/>
      <c r="G478" s="23">
        <f>IFERROR(SUMIFS(Transactions!$F$7:$F$996,Transactions!$G$7:$G$996,A478,Transactions!$D$7:$D$996,"Expense"),0)</f>
        <v>0</v>
      </c>
      <c r="H478" s="13"/>
      <c r="I478" s="13"/>
      <c r="J478" s="13"/>
    </row>
    <row r="479" ht="19.5" customHeight="1">
      <c r="A479" s="13"/>
      <c r="B479" s="22"/>
      <c r="C479" s="13"/>
      <c r="D479" s="13"/>
      <c r="E479" s="13"/>
      <c r="F479" s="12"/>
      <c r="G479" s="23">
        <f>IFERROR(SUMIFS(Transactions!$F$7:$F$996,Transactions!$G$7:$G$996,A479,Transactions!$D$7:$D$996,"Expense"),0)</f>
        <v>0</v>
      </c>
      <c r="H479" s="13"/>
      <c r="I479" s="13"/>
      <c r="J479" s="13"/>
    </row>
    <row r="480" ht="19.5" customHeight="1">
      <c r="A480" s="13"/>
      <c r="B480" s="22"/>
      <c r="C480" s="13"/>
      <c r="D480" s="13"/>
      <c r="E480" s="13"/>
      <c r="F480" s="12"/>
      <c r="G480" s="23">
        <f>IFERROR(SUMIFS(Transactions!$F$7:$F$996,Transactions!$G$7:$G$996,A480,Transactions!$D$7:$D$996,"Expense"),0)</f>
        <v>0</v>
      </c>
      <c r="H480" s="13"/>
      <c r="I480" s="13"/>
      <c r="J480" s="13"/>
    </row>
    <row r="481" ht="19.5" customHeight="1">
      <c r="A481" s="13"/>
      <c r="B481" s="22"/>
      <c r="C481" s="13"/>
      <c r="D481" s="13"/>
      <c r="E481" s="13"/>
      <c r="F481" s="12"/>
      <c r="G481" s="23">
        <f>IFERROR(SUMIFS(Transactions!$F$7:$F$996,Transactions!$G$7:$G$996,A481,Transactions!$D$7:$D$996,"Expense"),0)</f>
        <v>0</v>
      </c>
      <c r="H481" s="13"/>
      <c r="I481" s="13"/>
      <c r="J481" s="13"/>
    </row>
    <row r="482" ht="19.5" customHeight="1">
      <c r="A482" s="13"/>
      <c r="B482" s="22"/>
      <c r="C482" s="13"/>
      <c r="D482" s="13"/>
      <c r="E482" s="13"/>
      <c r="F482" s="12"/>
      <c r="G482" s="23">
        <f>IFERROR(SUMIFS(Transactions!$F$7:$F$996,Transactions!$G$7:$G$996,A482,Transactions!$D$7:$D$996,"Expense"),0)</f>
        <v>0</v>
      </c>
      <c r="H482" s="13"/>
      <c r="I482" s="13"/>
      <c r="J482" s="13"/>
    </row>
    <row r="483" ht="19.5" customHeight="1">
      <c r="A483" s="13"/>
      <c r="B483" s="22"/>
      <c r="C483" s="13"/>
      <c r="D483" s="13"/>
      <c r="E483" s="13"/>
      <c r="F483" s="12"/>
      <c r="G483" s="23">
        <f>IFERROR(SUMIFS(Transactions!$F$7:$F$996,Transactions!$G$7:$G$996,A483,Transactions!$D$7:$D$996,"Expense"),0)</f>
        <v>0</v>
      </c>
      <c r="H483" s="13"/>
      <c r="I483" s="13"/>
      <c r="J483" s="13"/>
    </row>
    <row r="484" ht="19.5" customHeight="1">
      <c r="A484" s="13"/>
      <c r="B484" s="22"/>
      <c r="C484" s="13"/>
      <c r="D484" s="13"/>
      <c r="E484" s="13"/>
      <c r="F484" s="12"/>
      <c r="G484" s="23">
        <f>IFERROR(SUMIFS(Transactions!$F$7:$F$996,Transactions!$G$7:$G$996,A484,Transactions!$D$7:$D$996,"Expense"),0)</f>
        <v>0</v>
      </c>
      <c r="H484" s="13"/>
      <c r="I484" s="13"/>
      <c r="J484" s="13"/>
    </row>
    <row r="485" ht="19.5" customHeight="1">
      <c r="A485" s="13"/>
      <c r="B485" s="22"/>
      <c r="C485" s="13"/>
      <c r="D485" s="13"/>
      <c r="E485" s="13"/>
      <c r="F485" s="12"/>
      <c r="G485" s="23">
        <f>IFERROR(SUMIFS(Transactions!$F$7:$F$996,Transactions!$G$7:$G$996,A485,Transactions!$D$7:$D$996,"Expense"),0)</f>
        <v>0</v>
      </c>
      <c r="H485" s="13"/>
      <c r="I485" s="13"/>
      <c r="J485" s="13"/>
    </row>
    <row r="486" ht="19.5" customHeight="1">
      <c r="A486" s="13"/>
      <c r="B486" s="22"/>
      <c r="C486" s="13"/>
      <c r="D486" s="13"/>
      <c r="E486" s="13"/>
      <c r="F486" s="12"/>
      <c r="G486" s="23">
        <f>IFERROR(SUMIFS(Transactions!$F$7:$F$996,Transactions!$G$7:$G$996,A486,Transactions!$D$7:$D$996,"Expense"),0)</f>
        <v>0</v>
      </c>
      <c r="H486" s="13"/>
      <c r="I486" s="13"/>
      <c r="J486" s="13"/>
    </row>
    <row r="487" ht="19.5" customHeight="1">
      <c r="A487" s="13"/>
      <c r="B487" s="22"/>
      <c r="C487" s="13"/>
      <c r="D487" s="13"/>
      <c r="E487" s="13"/>
      <c r="F487" s="12"/>
      <c r="G487" s="23">
        <f>IFERROR(SUMIFS(Transactions!$F$7:$F$996,Transactions!$G$7:$G$996,A487,Transactions!$D$7:$D$996,"Expense"),0)</f>
        <v>0</v>
      </c>
      <c r="H487" s="13"/>
      <c r="I487" s="13"/>
      <c r="J487" s="13"/>
    </row>
    <row r="488" ht="19.5" customHeight="1">
      <c r="A488" s="13"/>
      <c r="B488" s="22"/>
      <c r="C488" s="13"/>
      <c r="D488" s="13"/>
      <c r="E488" s="13"/>
      <c r="F488" s="12"/>
      <c r="G488" s="23">
        <f>IFERROR(SUMIFS(Transactions!$F$7:$F$996,Transactions!$G$7:$G$996,A488,Transactions!$D$7:$D$996,"Expense"),0)</f>
        <v>0</v>
      </c>
      <c r="H488" s="13"/>
      <c r="I488" s="13"/>
      <c r="J488" s="13"/>
    </row>
    <row r="489" ht="19.5" customHeight="1">
      <c r="A489" s="13"/>
      <c r="B489" s="22"/>
      <c r="C489" s="13"/>
      <c r="D489" s="13"/>
      <c r="E489" s="13"/>
      <c r="F489" s="12"/>
      <c r="G489" s="23">
        <f>IFERROR(SUMIFS(Transactions!$F$7:$F$996,Transactions!$G$7:$G$996,A489,Transactions!$D$7:$D$996,"Expense"),0)</f>
        <v>0</v>
      </c>
      <c r="H489" s="13"/>
      <c r="I489" s="13"/>
      <c r="J489" s="13"/>
    </row>
    <row r="490" ht="19.5" customHeight="1">
      <c r="A490" s="13"/>
      <c r="B490" s="22"/>
      <c r="C490" s="13"/>
      <c r="D490" s="13"/>
      <c r="E490" s="13"/>
      <c r="F490" s="12"/>
      <c r="G490" s="23">
        <f>IFERROR(SUMIFS(Transactions!$F$7:$F$996,Transactions!$G$7:$G$996,A490,Transactions!$D$7:$D$996,"Expense"),0)</f>
        <v>0</v>
      </c>
      <c r="H490" s="13"/>
      <c r="I490" s="13"/>
      <c r="J490" s="13"/>
    </row>
    <row r="491" ht="19.5" customHeight="1">
      <c r="A491" s="13"/>
      <c r="B491" s="22"/>
      <c r="C491" s="13"/>
      <c r="D491" s="13"/>
      <c r="E491" s="13"/>
      <c r="F491" s="12"/>
      <c r="G491" s="23">
        <f>IFERROR(SUMIFS(Transactions!$F$7:$F$996,Transactions!$G$7:$G$996,A491,Transactions!$D$7:$D$996,"Expense"),0)</f>
        <v>0</v>
      </c>
      <c r="H491" s="13"/>
      <c r="I491" s="13"/>
      <c r="J491" s="13"/>
    </row>
    <row r="492" ht="19.5" customHeight="1">
      <c r="A492" s="13"/>
      <c r="B492" s="22"/>
      <c r="C492" s="13"/>
      <c r="D492" s="13"/>
      <c r="E492" s="13"/>
      <c r="F492" s="12"/>
      <c r="G492" s="23">
        <f>IFERROR(SUMIFS(Transactions!$F$7:$F$996,Transactions!$G$7:$G$996,A492,Transactions!$D$7:$D$996,"Expense"),0)</f>
        <v>0</v>
      </c>
      <c r="H492" s="13"/>
      <c r="I492" s="13"/>
      <c r="J492" s="13"/>
    </row>
    <row r="493" ht="19.5" customHeight="1">
      <c r="A493" s="13"/>
      <c r="B493" s="22"/>
      <c r="C493" s="13"/>
      <c r="D493" s="13"/>
      <c r="E493" s="13"/>
      <c r="F493" s="12"/>
      <c r="G493" s="23">
        <f>IFERROR(SUMIFS(Transactions!$F$7:$F$996,Transactions!$G$7:$G$996,A493,Transactions!$D$7:$D$996,"Expense"),0)</f>
        <v>0</v>
      </c>
      <c r="H493" s="13"/>
      <c r="I493" s="13"/>
      <c r="J493" s="13"/>
    </row>
    <row r="494" ht="19.5" customHeight="1">
      <c r="A494" s="13"/>
      <c r="B494" s="22"/>
      <c r="C494" s="13"/>
      <c r="D494" s="13"/>
      <c r="E494" s="13"/>
      <c r="F494" s="12"/>
      <c r="G494" s="23">
        <f>IFERROR(SUMIFS(Transactions!$F$7:$F$996,Transactions!$G$7:$G$996,A494,Transactions!$D$7:$D$996,"Expense"),0)</f>
        <v>0</v>
      </c>
      <c r="H494" s="13"/>
      <c r="I494" s="13"/>
      <c r="J494" s="13"/>
    </row>
    <row r="495" ht="19.5" customHeight="1">
      <c r="A495" s="13"/>
      <c r="B495" s="22"/>
      <c r="C495" s="13"/>
      <c r="D495" s="13"/>
      <c r="E495" s="13"/>
      <c r="F495" s="12"/>
      <c r="G495" s="23">
        <f>IFERROR(SUMIFS(Transactions!$F$7:$F$996,Transactions!$G$7:$G$996,A495,Transactions!$D$7:$D$996,"Expense"),0)</f>
        <v>0</v>
      </c>
      <c r="H495" s="13"/>
      <c r="I495" s="13"/>
      <c r="J495" s="13"/>
    </row>
    <row r="496" ht="19.5" customHeight="1">
      <c r="A496" s="13"/>
      <c r="B496" s="22"/>
      <c r="C496" s="13"/>
      <c r="D496" s="13"/>
      <c r="E496" s="13"/>
      <c r="F496" s="12"/>
      <c r="G496" s="23">
        <f>IFERROR(SUMIFS(Transactions!$F$7:$F$996,Transactions!$G$7:$G$996,A496,Transactions!$D$7:$D$996,"Expense"),0)</f>
        <v>0</v>
      </c>
      <c r="H496" s="13"/>
      <c r="I496" s="13"/>
      <c r="J496" s="13"/>
    </row>
    <row r="497" ht="19.5" customHeight="1">
      <c r="A497" s="13"/>
      <c r="B497" s="22"/>
      <c r="C497" s="13"/>
      <c r="D497" s="13"/>
      <c r="E497" s="13"/>
      <c r="F497" s="12"/>
      <c r="G497" s="23">
        <f>IFERROR(SUMIFS(Transactions!$F$7:$F$996,Transactions!$G$7:$G$996,A497,Transactions!$D$7:$D$996,"Expense"),0)</f>
        <v>0</v>
      </c>
      <c r="H497" s="13"/>
      <c r="I497" s="13"/>
      <c r="J497" s="13"/>
    </row>
    <row r="498" ht="19.5" customHeight="1">
      <c r="A498" s="13"/>
      <c r="B498" s="22"/>
      <c r="C498" s="13"/>
      <c r="D498" s="13"/>
      <c r="E498" s="13"/>
      <c r="F498" s="12"/>
      <c r="G498" s="23">
        <f>IFERROR(SUMIFS(Transactions!$F$7:$F$996,Transactions!$G$7:$G$996,A498,Transactions!$D$7:$D$996,"Expense"),0)</f>
        <v>0</v>
      </c>
      <c r="H498" s="13"/>
      <c r="I498" s="13"/>
      <c r="J498" s="13"/>
    </row>
    <row r="499" ht="19.5" customHeight="1">
      <c r="A499" s="13"/>
      <c r="B499" s="22"/>
      <c r="C499" s="13"/>
      <c r="D499" s="13"/>
      <c r="E499" s="13"/>
      <c r="F499" s="12"/>
      <c r="G499" s="23">
        <f>IFERROR(SUMIFS(Transactions!$F$7:$F$996,Transactions!$G$7:$G$996,A499,Transactions!$D$7:$D$996,"Expense"),0)</f>
        <v>0</v>
      </c>
      <c r="H499" s="13"/>
      <c r="I499" s="13"/>
      <c r="J499" s="13"/>
    </row>
    <row r="500" ht="19.5" customHeight="1">
      <c r="A500" s="13"/>
      <c r="B500" s="22"/>
      <c r="C500" s="13"/>
      <c r="D500" s="13"/>
      <c r="E500" s="13"/>
      <c r="F500" s="12"/>
      <c r="G500" s="23">
        <f>IFERROR(SUMIFS(Transactions!$F$7:$F$996,Transactions!$G$7:$G$996,A500,Transactions!$D$7:$D$996,"Expense"),0)</f>
        <v>0</v>
      </c>
      <c r="H500" s="13"/>
      <c r="I500" s="13"/>
      <c r="J500" s="13"/>
    </row>
    <row r="501" ht="19.5" customHeight="1">
      <c r="A501" s="13"/>
      <c r="B501" s="22"/>
      <c r="C501" s="13"/>
      <c r="D501" s="13"/>
      <c r="E501" s="13"/>
      <c r="F501" s="12"/>
      <c r="G501" s="23">
        <f>IFERROR(SUMIFS(Transactions!$F$7:$F$996,Transactions!$G$7:$G$996,A501,Transactions!$D$7:$D$996,"Expense"),0)</f>
        <v>0</v>
      </c>
      <c r="H501" s="13"/>
      <c r="I501" s="13"/>
      <c r="J501" s="13"/>
    </row>
    <row r="502" ht="19.5" customHeight="1">
      <c r="A502" s="13"/>
      <c r="B502" s="22"/>
      <c r="C502" s="13"/>
      <c r="D502" s="13"/>
      <c r="E502" s="13"/>
      <c r="F502" s="12"/>
      <c r="G502" s="23">
        <f>IFERROR(SUMIFS(Transactions!$F$7:$F$996,Transactions!$G$7:$G$996,A502,Transactions!$D$7:$D$996,"Expense"),0)</f>
        <v>0</v>
      </c>
      <c r="H502" s="13"/>
      <c r="I502" s="13"/>
      <c r="J502" s="13"/>
    </row>
    <row r="503" ht="19.5" customHeight="1">
      <c r="A503" s="13"/>
      <c r="B503" s="22"/>
      <c r="C503" s="13"/>
      <c r="D503" s="13"/>
      <c r="E503" s="13"/>
      <c r="F503" s="12"/>
      <c r="G503" s="23">
        <f>IFERROR(SUMIFS(Transactions!$F$7:$F$996,Transactions!$G$7:$G$996,A503,Transactions!$D$7:$D$996,"Expense"),0)</f>
        <v>0</v>
      </c>
      <c r="H503" s="13"/>
      <c r="I503" s="13"/>
      <c r="J503" s="13"/>
    </row>
    <row r="504" ht="19.5" customHeight="1">
      <c r="A504" s="13"/>
      <c r="B504" s="22"/>
      <c r="C504" s="13"/>
      <c r="D504" s="13"/>
      <c r="E504" s="13"/>
      <c r="F504" s="12"/>
      <c r="G504" s="23">
        <f>IFERROR(SUMIFS(Transactions!$F$7:$F$996,Transactions!$G$7:$G$996,A504,Transactions!$D$7:$D$996,"Expense"),0)</f>
        <v>0</v>
      </c>
      <c r="H504" s="13"/>
      <c r="I504" s="13"/>
      <c r="J504" s="13"/>
    </row>
    <row r="505" ht="19.5" customHeight="1">
      <c r="A505" s="13"/>
      <c r="B505" s="22"/>
      <c r="C505" s="13"/>
      <c r="D505" s="13"/>
      <c r="E505" s="13"/>
      <c r="F505" s="12"/>
      <c r="G505" s="23">
        <f>IFERROR(SUMIFS(Transactions!$F$7:$F$996,Transactions!$G$7:$G$996,A505,Transactions!$D$7:$D$996,"Expense"),0)</f>
        <v>0</v>
      </c>
      <c r="H505" s="13"/>
      <c r="I505" s="13"/>
      <c r="J505" s="13"/>
    </row>
    <row r="506" ht="19.5" customHeight="1"/>
    <row r="507" ht="19.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J1"/>
  </mergeCells>
  <dataValidations>
    <dataValidation type="list" allowBlank="1" sqref="I5:I201">
      <formula1>"Equal Split,Attendance,Custom,Team Pays,Individual Pays"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8.14"/>
    <col customWidth="1" min="2" max="51" width="22.0"/>
  </cols>
  <sheetData>
    <row r="1" ht="37.5" customHeight="1">
      <c r="A1" s="14"/>
      <c r="B1" s="14" t="s">
        <v>85</v>
      </c>
      <c r="C1" s="15"/>
      <c r="D1" s="15"/>
      <c r="E1" s="15"/>
      <c r="F1" s="16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</row>
    <row r="2" ht="13.5" customHeight="1"/>
    <row r="3" ht="18.0" customHeight="1">
      <c r="A3" s="4" t="s">
        <v>86</v>
      </c>
      <c r="B3" s="4" t="str">
        <f>IF(Events!$A$5&lt;&gt;"",Events!$A$5,"")</f>
        <v>May-July Fields</v>
      </c>
      <c r="C3" s="4" t="str">
        <f>IF(Events!$A$7&lt;&gt;"",Events!$A$7,"")</f>
        <v>PEC</v>
      </c>
      <c r="D3" s="4" t="str">
        <f>IF(Events!$A$8&lt;&gt;"",Events!$A$8,"")</f>
        <v>SFI</v>
      </c>
      <c r="E3" s="4" t="str">
        <f>IF(#REF!&lt;&gt;"",#REF!,"")</f>
        <v>#REF!</v>
      </c>
      <c r="F3" s="4" t="str">
        <f>IF(Events!$A$10&lt;&gt;"",Events!$A$10,"")</f>
        <v>Fantapalooza</v>
      </c>
      <c r="G3" s="4" t="str">
        <f>IF(Events!$A$12&lt;&gt;"",Events!$A$12,"")</f>
        <v>GHP Sessions</v>
      </c>
      <c r="H3" s="4" t="str">
        <f>IF(#REF!&lt;&gt;"",#REF!,"")</f>
        <v>#REF!</v>
      </c>
      <c r="I3" s="4" t="str">
        <f>IF(Events!$A$13&lt;&gt;"",Events!$A$13,"")</f>
        <v/>
      </c>
      <c r="J3" s="4" t="str">
        <f>IF(Events!$A$14&lt;&gt;"",Events!$A$14,"")</f>
        <v/>
      </c>
      <c r="K3" s="4" t="str">
        <f>IF(Events!$A$15&lt;&gt;"",Events!$A$15,"")</f>
        <v/>
      </c>
      <c r="L3" s="4" t="str">
        <f>IF(Events!$A$16&lt;&gt;"",Events!$A$16,"")</f>
        <v/>
      </c>
      <c r="M3" s="4" t="str">
        <f>IF(Events!$A$17&lt;&gt;"",Events!$A$17,"")</f>
        <v/>
      </c>
      <c r="N3" s="4" t="str">
        <f>IF(Events!$A$18&lt;&gt;"",Events!$A$18,"")</f>
        <v/>
      </c>
      <c r="O3" s="4" t="str">
        <f>IF(Events!$A$19&lt;&gt;"",Events!$A$19,"")</f>
        <v/>
      </c>
      <c r="P3" s="4" t="str">
        <f>IF(Events!$A$20&lt;&gt;"",Events!$A$20,"")</f>
        <v/>
      </c>
      <c r="Q3" s="4" t="str">
        <f>IF(Events!$A$21&lt;&gt;"",Events!$A$21,"")</f>
        <v/>
      </c>
      <c r="R3" s="4" t="str">
        <f>IF(Events!$A$22&lt;&gt;"",Events!$A$22,"")</f>
        <v/>
      </c>
      <c r="S3" s="4" t="str">
        <f>IF(Events!$A$23&lt;&gt;"",Events!$A$23,"")</f>
        <v/>
      </c>
      <c r="T3" s="4" t="str">
        <f>IF(Events!$A$24&lt;&gt;"",Events!$A$24,"")</f>
        <v/>
      </c>
      <c r="U3" s="4" t="str">
        <f>IF(Events!$A$25&lt;&gt;"",Events!$A$25,"")</f>
        <v/>
      </c>
      <c r="V3" s="4" t="str">
        <f>IF(Events!$A$26&lt;&gt;"",Events!$A$26,"")</f>
        <v/>
      </c>
      <c r="W3" s="4" t="str">
        <f>IF(Events!$A$27&lt;&gt;"",Events!$A$27,"")</f>
        <v/>
      </c>
      <c r="X3" s="4" t="str">
        <f>IF(Events!$A$28&lt;&gt;"",Events!$A$28,"")</f>
        <v/>
      </c>
      <c r="Y3" s="4" t="str">
        <f>IF(Events!$A$29&lt;&gt;"",Events!$A$29,"")</f>
        <v/>
      </c>
      <c r="Z3" s="4" t="str">
        <f>IF(Events!$A$30&lt;&gt;"",Events!$A$30,"")</f>
        <v/>
      </c>
      <c r="AA3" s="4" t="str">
        <f>IF(Events!$A$31&lt;&gt;"",Events!$A$31,"")</f>
        <v/>
      </c>
      <c r="AB3" s="4" t="str">
        <f>IF(Events!$A$32&lt;&gt;"",Events!$A$32,"")</f>
        <v/>
      </c>
      <c r="AC3" s="4" t="str">
        <f>IF(Events!$A$33&lt;&gt;"",Events!$A$33,"")</f>
        <v/>
      </c>
      <c r="AD3" s="4" t="str">
        <f>IF(Events!$A$34&lt;&gt;"",Events!$A$34,"")</f>
        <v/>
      </c>
      <c r="AE3" s="4" t="str">
        <f>IF(Events!$A$35&lt;&gt;"",Events!$A$35,"")</f>
        <v/>
      </c>
      <c r="AF3" s="4" t="str">
        <f>IF(Events!$A$36&lt;&gt;"",Events!$A$36,"")</f>
        <v/>
      </c>
      <c r="AG3" s="4" t="str">
        <f>IF(Events!$A$37&lt;&gt;"",Events!$A$37,"")</f>
        <v/>
      </c>
      <c r="AH3" s="4" t="str">
        <f>IF(Events!$A$38&lt;&gt;"",Events!$A$38,"")</f>
        <v/>
      </c>
      <c r="AI3" s="4" t="str">
        <f>IF(Events!$A$39&lt;&gt;"",Events!$A$39,"")</f>
        <v/>
      </c>
      <c r="AJ3" s="4" t="str">
        <f>IF(Events!$A$40&lt;&gt;"",Events!$A$40,"")</f>
        <v/>
      </c>
      <c r="AK3" s="4" t="str">
        <f>IF(Events!$A$41&lt;&gt;"",Events!$A$41,"")</f>
        <v/>
      </c>
      <c r="AL3" s="4" t="str">
        <f>IF(Events!$A$42&lt;&gt;"",Events!$A$42,"")</f>
        <v/>
      </c>
      <c r="AM3" s="4" t="str">
        <f>IF(Events!$A$43&lt;&gt;"",Events!$A$43,"")</f>
        <v/>
      </c>
      <c r="AN3" s="4" t="str">
        <f>IF(Events!$A$44&lt;&gt;"",Events!$A$44,"")</f>
        <v/>
      </c>
      <c r="AO3" s="4" t="str">
        <f>IF(Events!$A$45&lt;&gt;"",Events!$A$45,"")</f>
        <v/>
      </c>
      <c r="AP3" s="4" t="str">
        <f>IF(Events!$A$46&lt;&gt;"",Events!$A$46,"")</f>
        <v/>
      </c>
      <c r="AQ3" s="4" t="str">
        <f>IF(Events!$A$47&lt;&gt;"",Events!$A$47,"")</f>
        <v/>
      </c>
      <c r="AR3" s="4" t="str">
        <f>IF(Events!$A$48&lt;&gt;"",Events!$A$48,"")</f>
        <v/>
      </c>
      <c r="AS3" s="4" t="str">
        <f>IF(Events!$A$49&lt;&gt;"",Events!$A$49,"")</f>
        <v/>
      </c>
      <c r="AT3" s="4" t="str">
        <f>IF(Events!$A$50&lt;&gt;"",Events!$A$50,"")</f>
        <v/>
      </c>
      <c r="AU3" s="4" t="str">
        <f>IF(Events!$A$51&lt;&gt;"",Events!$A$51,"")</f>
        <v/>
      </c>
      <c r="AV3" s="4" t="str">
        <f>IF(Events!$A$52&lt;&gt;"",Events!$A$52,"")</f>
        <v/>
      </c>
      <c r="AW3" s="4" t="str">
        <f>IF(Events!$A$53&lt;&gt;"",Events!$A$53,"")</f>
        <v/>
      </c>
      <c r="AX3" s="4" t="str">
        <f>IF(Events!$A$54&lt;&gt;"",Events!$A$54,"")</f>
        <v/>
      </c>
      <c r="AY3" s="4" t="str">
        <f>IF(Events!$A$55&lt;&gt;"",Events!$A$55,"")</f>
        <v/>
      </c>
    </row>
    <row r="4" ht="18.0" customHeight="1">
      <c r="A4" s="25" t="s">
        <v>87</v>
      </c>
      <c r="B4" s="26">
        <f>IFERROR(IF(Events!$A$5&lt;&gt;"",IF(Events!$I$5="Equal Split",Events!$G$5/MAX(1,COUNTA(Roster!$A$5:$A$204)),Events!$G$5/MAX(1,COUNTIF(B$7:B$206,"1"))),0),0)</f>
        <v>0</v>
      </c>
      <c r="C4" s="26">
        <f>IFERROR(IF(Events!$A$7&lt;&gt;"",IF(Events!$I$7="Equal Split",Events!$G$7/MAX(1,COUNTA(Roster!$A$5:$A$204)),Events!$G$7/MAX(1,COUNTIF(C$7:C$206,"1"))),0),0)</f>
        <v>50.38461538</v>
      </c>
      <c r="D4" s="26">
        <f>IFERROR(IF(Events!$A$8&lt;&gt;"",IF(Events!$I$8="Equal Split",Events!$G$8/MAX(1,COUNTA(Roster!$A$5:$A$204)),Events!$G$8/MAX(1,COUNTIF(D$7:D$206,"1"))),0),0)</f>
        <v>40.38461538</v>
      </c>
      <c r="E4" s="26">
        <f>IFERROR(IF(#REF!&lt;&gt;"",IF(#REF!="Equal Split",#REF!/MAX(1,COUNTA(Roster!$A$5:$A$204)),#REF!/MAX(1,COUNTIF(E$7:E$206,"1"))),0),0)</f>
        <v>0</v>
      </c>
      <c r="F4" s="26">
        <f>IFERROR(IF(Events!$A$10&lt;&gt;"",IF(Events!$I$10="Equal Split",Events!$G$10/MAX(1,COUNTA(Roster!$A$5:$A$204)),Events!$G$10/MAX(1,COUNTIF(F$7:F$206,"1"))),0),0)</f>
        <v>-956</v>
      </c>
      <c r="G4" s="26">
        <f>IFERROR(IF(Events!$A$12&lt;&gt;"",IF(Events!$I$12="Equal Split",Events!$G$12/MAX(1,COUNTA(Roster!$A$5:$A$204)),Events!$G$12/MAX(1,COUNTIF(G$7:G$206,"1"))),0),0)</f>
        <v>0</v>
      </c>
      <c r="H4" s="26">
        <f>IFERROR(IF(#REF!&lt;&gt;"",IF(#REF!="Equal Split",#REF!/MAX(1,COUNTA(Roster!$A$5:$A$204)),#REF!/MAX(1,COUNTIF(H$7:H$206,"1"))),0),0)</f>
        <v>0</v>
      </c>
      <c r="I4" s="26">
        <f>IFERROR(IF(Events!$A$13&lt;&gt;"",IF(Events!$I$13="Equal Split",Events!$G$13/MAX(1,COUNTA(Roster!$A$5:$A$204)),Events!$G$13/MAX(1,COUNTIF(I$7:I$206,"1"))),0),0)</f>
        <v>0</v>
      </c>
      <c r="J4" s="26">
        <f>IFERROR(IF(Events!$A$14&lt;&gt;"",IF(Events!$I$14="Equal Split",Events!$G$14/MAX(1,COUNTA(Roster!$A$5:$A$204)),Events!$G$14/MAX(1,COUNTIF(J$7:J$206,"1"))),0),0)</f>
        <v>0</v>
      </c>
      <c r="K4" s="26">
        <f>IFERROR(IF(Events!$A$15&lt;&gt;"",IF(Events!$I$15="Equal Split",Events!$G$15/MAX(1,COUNTA(Roster!$A$5:$A$204)),Events!$G$15/MAX(1,COUNTIF(K$7:K$206,"1"))),0),0)</f>
        <v>0</v>
      </c>
      <c r="L4" s="26">
        <f>IFERROR(IF(Events!$A$16&lt;&gt;"",IF(Events!$I$16="Equal Split",Events!$G$16/MAX(1,COUNTA(Roster!$A$5:$A$204)),Events!$G$16/MAX(1,COUNTIF(L$7:L$206,"1"))),0),0)</f>
        <v>0</v>
      </c>
      <c r="M4" s="26">
        <f>IFERROR(IF(Events!$A$17&lt;&gt;"",IF(Events!$I$17="Equal Split",Events!$G$17/MAX(1,COUNTA(Roster!$A$5:$A$204)),Events!$G$17/MAX(1,COUNTIF(M$7:M$206,"1"))),0),0)</f>
        <v>0</v>
      </c>
      <c r="N4" s="26">
        <f>IFERROR(IF(Events!$A$18&lt;&gt;"",IF(Events!$I$18="Equal Split",Events!$G$18/MAX(1,COUNTA(Roster!$A$5:$A$204)),Events!$G$18/MAX(1,COUNTIF(N$7:N$206,"1"))),0),0)</f>
        <v>0</v>
      </c>
      <c r="O4" s="26">
        <f>IFERROR(IF(Events!$A$19&lt;&gt;"",IF(Events!$I$19="Equal Split",Events!$G$19/MAX(1,COUNTA(Roster!$A$5:$A$204)),Events!$G$19/MAX(1,COUNTIF(O$7:O$206,"1"))),0),0)</f>
        <v>0</v>
      </c>
      <c r="P4" s="26">
        <f>IFERROR(IF(Events!$A$20&lt;&gt;"",IF(Events!$I$20="Equal Split",Events!$G$20/MAX(1,COUNTA(Roster!$A$5:$A$204)),Events!$G$20/MAX(1,COUNTIF(P$7:P$206,"1"))),0),0)</f>
        <v>0</v>
      </c>
      <c r="Q4" s="26">
        <f>IFERROR(IF(Events!$A$21&lt;&gt;"",IF(Events!$I$21="Equal Split",Events!$G$21/MAX(1,COUNTA(Roster!$A$5:$A$204)),Events!$G$21/MAX(1,COUNTIF(Q$7:Q$206,"1"))),0),0)</f>
        <v>0</v>
      </c>
      <c r="R4" s="26">
        <f>IFERROR(IF(Events!$A$22&lt;&gt;"",IF(Events!$I$22="Equal Split",Events!$G$22/MAX(1,COUNTA(Roster!$A$5:$A$204)),Events!$G$22/MAX(1,COUNTIF(R$7:R$206,"1"))),0),0)</f>
        <v>0</v>
      </c>
      <c r="S4" s="26">
        <f>IFERROR(IF(Events!$A$23&lt;&gt;"",IF(Events!$I$23="Equal Split",Events!$G$23/MAX(1,COUNTA(Roster!$A$5:$A$204)),Events!$G$23/MAX(1,COUNTIF(S$7:S$206,"1"))),0),0)</f>
        <v>0</v>
      </c>
      <c r="T4" s="26">
        <f>IFERROR(IF(Events!$A$24&lt;&gt;"",IF(Events!$I$24="Equal Split",Events!$G$24/MAX(1,COUNTA(Roster!$A$5:$A$204)),Events!$G$24/MAX(1,COUNTIF(T$7:T$206,"1"))),0),0)</f>
        <v>0</v>
      </c>
      <c r="U4" s="26">
        <f>IFERROR(IF(Events!$A$25&lt;&gt;"",IF(Events!$I$25="Equal Split",Events!$G$25/MAX(1,COUNTA(Roster!$A$5:$A$204)),Events!$G$25/MAX(1,COUNTIF(U$7:U$206,"1"))),0),0)</f>
        <v>0</v>
      </c>
      <c r="V4" s="26">
        <f>IFERROR(IF(Events!$A$26&lt;&gt;"",IF(Events!$I$26="Equal Split",Events!$G$26/MAX(1,COUNTA(Roster!$A$5:$A$204)),Events!$G$26/MAX(1,COUNTIF(V$7:V$206,"1"))),0),0)</f>
        <v>0</v>
      </c>
      <c r="W4" s="26">
        <f>IFERROR(IF(Events!$A$27&lt;&gt;"",IF(Events!$I$27="Equal Split",Events!$G$27/MAX(1,COUNTA(Roster!$A$5:$A$204)),Events!$G$27/MAX(1,COUNTIF(W$7:W$206,"1"))),0),0)</f>
        <v>0</v>
      </c>
      <c r="X4" s="26">
        <f>IFERROR(IF(Events!$A$28&lt;&gt;"",IF(Events!$I$28="Equal Split",Events!$G$28/MAX(1,COUNTA(Roster!$A$5:$A$204)),Events!$G$28/MAX(1,COUNTIF(X$7:X$206,"1"))),0),0)</f>
        <v>0</v>
      </c>
      <c r="Y4" s="26">
        <f>IFERROR(IF(Events!$A$29&lt;&gt;"",IF(Events!$I$29="Equal Split",Events!$G$29/MAX(1,COUNTA(Roster!$A$5:$A$204)),Events!$G$29/MAX(1,COUNTIF(Y$7:Y$206,"1"))),0),0)</f>
        <v>0</v>
      </c>
      <c r="Z4" s="26">
        <f>IFERROR(IF(Events!$A$30&lt;&gt;"",IF(Events!$I$30="Equal Split",Events!$G$30/MAX(1,COUNTA(Roster!$A$5:$A$204)),Events!$G$30/MAX(1,COUNTIF(Z$7:Z$206,"1"))),0),0)</f>
        <v>0</v>
      </c>
      <c r="AA4" s="26">
        <f>IFERROR(IF(Events!$A$31&lt;&gt;"",IF(Events!$I$31="Equal Split",Events!$G$31/MAX(1,COUNTA(Roster!$A$5:$A$204)),Events!$G$31/MAX(1,COUNTIF(AA$7:AA$206,"1"))),0),0)</f>
        <v>0</v>
      </c>
      <c r="AB4" s="26">
        <f>IFERROR(IF(Events!$A$32&lt;&gt;"",IF(Events!$I$32="Equal Split",Events!$G$32/MAX(1,COUNTA(Roster!$A$5:$A$204)),Events!$G$32/MAX(1,COUNTIF(AB$7:AB$206,"1"))),0),0)</f>
        <v>0</v>
      </c>
      <c r="AC4" s="26">
        <f>IFERROR(IF(Events!$A$33&lt;&gt;"",IF(Events!$I$33="Equal Split",Events!$G$33/MAX(1,COUNTA(Roster!$A$5:$A$204)),Events!$G$33/MAX(1,COUNTIF(AC$7:AC$206,"1"))),0),0)</f>
        <v>0</v>
      </c>
      <c r="AD4" s="26">
        <f>IFERROR(IF(Events!$A$34&lt;&gt;"",IF(Events!$I$34="Equal Split",Events!$G$34/MAX(1,COUNTA(Roster!$A$5:$A$204)),Events!$G$34/MAX(1,COUNTIF(AD$7:AD$206,"1"))),0),0)</f>
        <v>0</v>
      </c>
      <c r="AE4" s="26">
        <f>IFERROR(IF(Events!$A$35&lt;&gt;"",IF(Events!$I$35="Equal Split",Events!$G$35/MAX(1,COUNTA(Roster!$A$5:$A$204)),Events!$G$35/MAX(1,COUNTIF(AE$7:AE$206,"1"))),0),0)</f>
        <v>0</v>
      </c>
      <c r="AF4" s="26">
        <f>IFERROR(IF(Events!$A$36&lt;&gt;"",IF(Events!$I$36="Equal Split",Events!$G$36/MAX(1,COUNTA(Roster!$A$5:$A$204)),Events!$G$36/MAX(1,COUNTIF(AF$7:AF$206,"1"))),0),0)</f>
        <v>0</v>
      </c>
      <c r="AG4" s="26">
        <f>IFERROR(IF(Events!$A$37&lt;&gt;"",IF(Events!$I$37="Equal Split",Events!$G$37/MAX(1,COUNTA(Roster!$A$5:$A$204)),Events!$G$37/MAX(1,COUNTIF(AG$7:AG$206,"1"))),0),0)</f>
        <v>0</v>
      </c>
      <c r="AH4" s="26">
        <f>IFERROR(IF(Events!$A$38&lt;&gt;"",IF(Events!$I$38="Equal Split",Events!$G$38/MAX(1,COUNTA(Roster!$A$5:$A$204)),Events!$G$38/MAX(1,COUNTIF(AH$7:AH$206,"1"))),0),0)</f>
        <v>0</v>
      </c>
      <c r="AI4" s="26">
        <f>IFERROR(IF(Events!$A$39&lt;&gt;"",IF(Events!$I$39="Equal Split",Events!$G$39/MAX(1,COUNTA(Roster!$A$5:$A$204)),Events!$G$39/MAX(1,COUNTIF(AI$7:AI$206,"1"))),0),0)</f>
        <v>0</v>
      </c>
      <c r="AJ4" s="26">
        <f>IFERROR(IF(Events!$A$40&lt;&gt;"",IF(Events!$I$40="Equal Split",Events!$G$40/MAX(1,COUNTA(Roster!$A$5:$A$204)),Events!$G$40/MAX(1,COUNTIF(AJ$7:AJ$206,"1"))),0),0)</f>
        <v>0</v>
      </c>
      <c r="AK4" s="26">
        <f>IFERROR(IF(Events!$A$41&lt;&gt;"",IF(Events!$I$41="Equal Split",Events!$G$41/MAX(1,COUNTA(Roster!$A$5:$A$204)),Events!$G$41/MAX(1,COUNTIF(AK$7:AK$206,"1"))),0),0)</f>
        <v>0</v>
      </c>
      <c r="AL4" s="26">
        <f>IFERROR(IF(Events!$A$42&lt;&gt;"",IF(Events!$I$42="Equal Split",Events!$G$42/MAX(1,COUNTA(Roster!$A$5:$A$204)),Events!$G$42/MAX(1,COUNTIF(AL$7:AL$206,"1"))),0),0)</f>
        <v>0</v>
      </c>
      <c r="AM4" s="26">
        <f>IFERROR(IF(Events!$A$43&lt;&gt;"",IF(Events!$I$43="Equal Split",Events!$G$43/MAX(1,COUNTA(Roster!$A$5:$A$204)),Events!$G$43/MAX(1,COUNTIF(AM$7:AM$206,"1"))),0),0)</f>
        <v>0</v>
      </c>
      <c r="AN4" s="26">
        <f>IFERROR(IF(Events!$A$44&lt;&gt;"",IF(Events!$I$44="Equal Split",Events!$G$44/MAX(1,COUNTA(Roster!$A$5:$A$204)),Events!$G$44/MAX(1,COUNTIF(AN$7:AN$206,"1"))),0),0)</f>
        <v>0</v>
      </c>
      <c r="AO4" s="26">
        <f>IFERROR(IF(Events!$A$45&lt;&gt;"",IF(Events!$I$45="Equal Split",Events!$G$45/MAX(1,COUNTA(Roster!$A$5:$A$204)),Events!$G$45/MAX(1,COUNTIF(AO$7:AO$206,"1"))),0),0)</f>
        <v>0</v>
      </c>
      <c r="AP4" s="26">
        <f>IFERROR(IF(Events!$A$46&lt;&gt;"",IF(Events!$I$46="Equal Split",Events!$G$46/MAX(1,COUNTA(Roster!$A$5:$A$204)),Events!$G$46/MAX(1,COUNTIF(AP$7:AP$206,"1"))),0),0)</f>
        <v>0</v>
      </c>
      <c r="AQ4" s="26">
        <f>IFERROR(IF(Events!$A$47&lt;&gt;"",IF(Events!$I$47="Equal Split",Events!$G$47/MAX(1,COUNTA(Roster!$A$5:$A$204)),Events!$G$47/MAX(1,COUNTIF(AQ$7:AQ$206,"1"))),0),0)</f>
        <v>0</v>
      </c>
      <c r="AR4" s="26">
        <f>IFERROR(IF(Events!$A$48&lt;&gt;"",IF(Events!$I$48="Equal Split",Events!$G$48/MAX(1,COUNTA(Roster!$A$5:$A$204)),Events!$G$48/MAX(1,COUNTIF(AR$7:AR$206,"1"))),0),0)</f>
        <v>0</v>
      </c>
      <c r="AS4" s="26">
        <f>IFERROR(IF(Events!$A$49&lt;&gt;"",IF(Events!$I$49="Equal Split",Events!$G$49/MAX(1,COUNTA(Roster!$A$5:$A$204)),Events!$G$49/MAX(1,COUNTIF(AS$7:AS$206,"1"))),0),0)</f>
        <v>0</v>
      </c>
      <c r="AT4" s="26">
        <f>IFERROR(IF(Events!$A$50&lt;&gt;"",IF(Events!$I$50="Equal Split",Events!$G$50/MAX(1,COUNTA(Roster!$A$5:$A$204)),Events!$G$50/MAX(1,COUNTIF(AT$7:AT$206,"1"))),0),0)</f>
        <v>0</v>
      </c>
      <c r="AU4" s="26">
        <f>IFERROR(IF(Events!$A$51&lt;&gt;"",IF(Events!$I$51="Equal Split",Events!$G$51/MAX(1,COUNTA(Roster!$A$5:$A$204)),Events!$G$51/MAX(1,COUNTIF(AU$7:AU$206,"1"))),0),0)</f>
        <v>0</v>
      </c>
      <c r="AV4" s="26">
        <f>IFERROR(IF(Events!$A$52&lt;&gt;"",IF(Events!$I$52="Equal Split",Events!$G$52/MAX(1,COUNTA(Roster!$A$5:$A$204)),Events!$G$52/MAX(1,COUNTIF(AV$7:AV$206,"1"))),0),0)</f>
        <v>0</v>
      </c>
      <c r="AW4" s="26">
        <f>IFERROR(IF(Events!$A$53&lt;&gt;"",IF(Events!$I$53="Equal Split",Events!$G$53/MAX(1,COUNTA(Roster!$A$5:$A$204)),Events!$G$53/MAX(1,COUNTIF(AW$7:AW$206,"1"))),0),0)</f>
        <v>0</v>
      </c>
      <c r="AX4" s="26">
        <f>IFERROR(IF(Events!$A$54&lt;&gt;"",IF(Events!$I$54="Equal Split",Events!$G$54/MAX(1,COUNTA(Roster!$A$5:$A$204)),Events!$G$54/MAX(1,COUNTIF(AX$7:AX$206,"1"))),0),0)</f>
        <v>0</v>
      </c>
      <c r="AY4" s="26">
        <f>IFERROR(IF(Events!$A$55&lt;&gt;"",IF(Events!$I$55="Equal Split",Events!$G$55/MAX(1,COUNTA(Roster!$A$5:$A$204)),Events!$G$55/MAX(1,COUNTIF(AY$7:AY$206,"1"))),0),0)</f>
        <v>0</v>
      </c>
    </row>
    <row r="5" ht="18.0" customHeight="1">
      <c r="A5" s="25" t="s">
        <v>88</v>
      </c>
      <c r="B5" s="26">
        <f t="shared" ref="B5:AY5" si="1">COUNTIF(B7:B206,"1")</f>
        <v>0</v>
      </c>
      <c r="C5" s="26">
        <f t="shared" si="1"/>
        <v>26</v>
      </c>
      <c r="D5" s="26">
        <f t="shared" si="1"/>
        <v>26</v>
      </c>
      <c r="E5" s="26">
        <f t="shared" si="1"/>
        <v>0</v>
      </c>
      <c r="F5" s="26">
        <f t="shared" si="1"/>
        <v>0</v>
      </c>
      <c r="G5" s="26">
        <f t="shared" si="1"/>
        <v>0</v>
      </c>
      <c r="H5" s="26">
        <f t="shared" si="1"/>
        <v>0</v>
      </c>
      <c r="I5" s="26">
        <f t="shared" si="1"/>
        <v>0</v>
      </c>
      <c r="J5" s="26">
        <f t="shared" si="1"/>
        <v>0</v>
      </c>
      <c r="K5" s="26">
        <f t="shared" si="1"/>
        <v>0</v>
      </c>
      <c r="L5" s="26">
        <f t="shared" si="1"/>
        <v>0</v>
      </c>
      <c r="M5" s="26">
        <f t="shared" si="1"/>
        <v>0</v>
      </c>
      <c r="N5" s="26">
        <f t="shared" si="1"/>
        <v>0</v>
      </c>
      <c r="O5" s="26">
        <f t="shared" si="1"/>
        <v>0</v>
      </c>
      <c r="P5" s="26">
        <f t="shared" si="1"/>
        <v>0</v>
      </c>
      <c r="Q5" s="26">
        <f t="shared" si="1"/>
        <v>0</v>
      </c>
      <c r="R5" s="26">
        <f t="shared" si="1"/>
        <v>0</v>
      </c>
      <c r="S5" s="26">
        <f t="shared" si="1"/>
        <v>0</v>
      </c>
      <c r="T5" s="26">
        <f t="shared" si="1"/>
        <v>0</v>
      </c>
      <c r="U5" s="26">
        <f t="shared" si="1"/>
        <v>0</v>
      </c>
      <c r="V5" s="26">
        <f t="shared" si="1"/>
        <v>0</v>
      </c>
      <c r="W5" s="26">
        <f t="shared" si="1"/>
        <v>0</v>
      </c>
      <c r="X5" s="26">
        <f t="shared" si="1"/>
        <v>0</v>
      </c>
      <c r="Y5" s="26">
        <f t="shared" si="1"/>
        <v>0</v>
      </c>
      <c r="Z5" s="26">
        <f t="shared" si="1"/>
        <v>0</v>
      </c>
      <c r="AA5" s="26">
        <f t="shared" si="1"/>
        <v>0</v>
      </c>
      <c r="AB5" s="26">
        <f t="shared" si="1"/>
        <v>0</v>
      </c>
      <c r="AC5" s="26">
        <f t="shared" si="1"/>
        <v>0</v>
      </c>
      <c r="AD5" s="26">
        <f t="shared" si="1"/>
        <v>0</v>
      </c>
      <c r="AE5" s="26">
        <f t="shared" si="1"/>
        <v>0</v>
      </c>
      <c r="AF5" s="26">
        <f t="shared" si="1"/>
        <v>0</v>
      </c>
      <c r="AG5" s="26">
        <f t="shared" si="1"/>
        <v>0</v>
      </c>
      <c r="AH5" s="26">
        <f t="shared" si="1"/>
        <v>0</v>
      </c>
      <c r="AI5" s="26">
        <f t="shared" si="1"/>
        <v>0</v>
      </c>
      <c r="AJ5" s="26">
        <f t="shared" si="1"/>
        <v>0</v>
      </c>
      <c r="AK5" s="26">
        <f t="shared" si="1"/>
        <v>0</v>
      </c>
      <c r="AL5" s="26">
        <f t="shared" si="1"/>
        <v>0</v>
      </c>
      <c r="AM5" s="26">
        <f t="shared" si="1"/>
        <v>0</v>
      </c>
      <c r="AN5" s="26">
        <f t="shared" si="1"/>
        <v>0</v>
      </c>
      <c r="AO5" s="26">
        <f t="shared" si="1"/>
        <v>0</v>
      </c>
      <c r="AP5" s="26">
        <f t="shared" si="1"/>
        <v>0</v>
      </c>
      <c r="AQ5" s="26">
        <f t="shared" si="1"/>
        <v>0</v>
      </c>
      <c r="AR5" s="26">
        <f t="shared" si="1"/>
        <v>0</v>
      </c>
      <c r="AS5" s="26">
        <f t="shared" si="1"/>
        <v>0</v>
      </c>
      <c r="AT5" s="26">
        <f t="shared" si="1"/>
        <v>0</v>
      </c>
      <c r="AU5" s="26">
        <f t="shared" si="1"/>
        <v>0</v>
      </c>
      <c r="AV5" s="26">
        <f t="shared" si="1"/>
        <v>0</v>
      </c>
      <c r="AW5" s="26">
        <f t="shared" si="1"/>
        <v>0</v>
      </c>
      <c r="AX5" s="26">
        <f t="shared" si="1"/>
        <v>0</v>
      </c>
      <c r="AY5" s="26">
        <f t="shared" si="1"/>
        <v>0</v>
      </c>
    </row>
    <row r="6" ht="18.0" customHeight="1">
      <c r="A6" s="25" t="s">
        <v>89</v>
      </c>
      <c r="B6" s="26">
        <f t="shared" ref="B6:AY6" si="2">B4*B5</f>
        <v>0</v>
      </c>
      <c r="C6" s="26">
        <f t="shared" si="2"/>
        <v>1310</v>
      </c>
      <c r="D6" s="26">
        <f t="shared" si="2"/>
        <v>1050</v>
      </c>
      <c r="E6" s="26">
        <f t="shared" si="2"/>
        <v>0</v>
      </c>
      <c r="F6" s="26">
        <f t="shared" si="2"/>
        <v>0</v>
      </c>
      <c r="G6" s="26">
        <f t="shared" si="2"/>
        <v>0</v>
      </c>
      <c r="H6" s="26">
        <f t="shared" si="2"/>
        <v>0</v>
      </c>
      <c r="I6" s="26">
        <f t="shared" si="2"/>
        <v>0</v>
      </c>
      <c r="J6" s="26">
        <f t="shared" si="2"/>
        <v>0</v>
      </c>
      <c r="K6" s="26">
        <f t="shared" si="2"/>
        <v>0</v>
      </c>
      <c r="L6" s="26">
        <f t="shared" si="2"/>
        <v>0</v>
      </c>
      <c r="M6" s="26">
        <f t="shared" si="2"/>
        <v>0</v>
      </c>
      <c r="N6" s="26">
        <f t="shared" si="2"/>
        <v>0</v>
      </c>
      <c r="O6" s="26">
        <f t="shared" si="2"/>
        <v>0</v>
      </c>
      <c r="P6" s="26">
        <f t="shared" si="2"/>
        <v>0</v>
      </c>
      <c r="Q6" s="26">
        <f t="shared" si="2"/>
        <v>0</v>
      </c>
      <c r="R6" s="26">
        <f t="shared" si="2"/>
        <v>0</v>
      </c>
      <c r="S6" s="26">
        <f t="shared" si="2"/>
        <v>0</v>
      </c>
      <c r="T6" s="26">
        <f t="shared" si="2"/>
        <v>0</v>
      </c>
      <c r="U6" s="26">
        <f t="shared" si="2"/>
        <v>0</v>
      </c>
      <c r="V6" s="26">
        <f t="shared" si="2"/>
        <v>0</v>
      </c>
      <c r="W6" s="26">
        <f t="shared" si="2"/>
        <v>0</v>
      </c>
      <c r="X6" s="26">
        <f t="shared" si="2"/>
        <v>0</v>
      </c>
      <c r="Y6" s="26">
        <f t="shared" si="2"/>
        <v>0</v>
      </c>
      <c r="Z6" s="26">
        <f t="shared" si="2"/>
        <v>0</v>
      </c>
      <c r="AA6" s="26">
        <f t="shared" si="2"/>
        <v>0</v>
      </c>
      <c r="AB6" s="26">
        <f t="shared" si="2"/>
        <v>0</v>
      </c>
      <c r="AC6" s="26">
        <f t="shared" si="2"/>
        <v>0</v>
      </c>
      <c r="AD6" s="26">
        <f t="shared" si="2"/>
        <v>0</v>
      </c>
      <c r="AE6" s="26">
        <f t="shared" si="2"/>
        <v>0</v>
      </c>
      <c r="AF6" s="26">
        <f t="shared" si="2"/>
        <v>0</v>
      </c>
      <c r="AG6" s="26">
        <f t="shared" si="2"/>
        <v>0</v>
      </c>
      <c r="AH6" s="26">
        <f t="shared" si="2"/>
        <v>0</v>
      </c>
      <c r="AI6" s="26">
        <f t="shared" si="2"/>
        <v>0</v>
      </c>
      <c r="AJ6" s="26">
        <f t="shared" si="2"/>
        <v>0</v>
      </c>
      <c r="AK6" s="26">
        <f t="shared" si="2"/>
        <v>0</v>
      </c>
      <c r="AL6" s="26">
        <f t="shared" si="2"/>
        <v>0</v>
      </c>
      <c r="AM6" s="26">
        <f t="shared" si="2"/>
        <v>0</v>
      </c>
      <c r="AN6" s="26">
        <f t="shared" si="2"/>
        <v>0</v>
      </c>
      <c r="AO6" s="26">
        <f t="shared" si="2"/>
        <v>0</v>
      </c>
      <c r="AP6" s="26">
        <f t="shared" si="2"/>
        <v>0</v>
      </c>
      <c r="AQ6" s="26">
        <f t="shared" si="2"/>
        <v>0</v>
      </c>
      <c r="AR6" s="26">
        <f t="shared" si="2"/>
        <v>0</v>
      </c>
      <c r="AS6" s="26">
        <f t="shared" si="2"/>
        <v>0</v>
      </c>
      <c r="AT6" s="26">
        <f t="shared" si="2"/>
        <v>0</v>
      </c>
      <c r="AU6" s="26">
        <f t="shared" si="2"/>
        <v>0</v>
      </c>
      <c r="AV6" s="26">
        <f t="shared" si="2"/>
        <v>0</v>
      </c>
      <c r="AW6" s="26">
        <f t="shared" si="2"/>
        <v>0</v>
      </c>
      <c r="AX6" s="26">
        <f t="shared" si="2"/>
        <v>0</v>
      </c>
      <c r="AY6" s="26">
        <f t="shared" si="2"/>
        <v>0</v>
      </c>
    </row>
    <row r="7" ht="18.0" customHeight="1">
      <c r="A7" s="27" t="str">
        <f>IF(Roster!$A$5&lt;&gt;"",Roster!$A$5,"")</f>
        <v>At</v>
      </c>
      <c r="B7" s="28"/>
      <c r="C7" s="29">
        <v>1.0</v>
      </c>
      <c r="D7" s="29">
        <v>1.0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</row>
    <row r="8" ht="18.0" customHeight="1">
      <c r="A8" s="27" t="str">
        <f>IF(Roster!$A$6&lt;&gt;"",Roster!$A$6,"")</f>
        <v>Alex Warrington</v>
      </c>
      <c r="B8" s="28"/>
      <c r="C8" s="29">
        <v>1.0</v>
      </c>
      <c r="D8" s="29">
        <v>1.0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</row>
    <row r="9" ht="21.75" customHeight="1">
      <c r="A9" s="27" t="str">
        <f>IF(Roster!$A$7&lt;&gt;"",Roster!$A$7,"")</f>
        <v>Chris Wohl</v>
      </c>
      <c r="B9" s="28"/>
      <c r="C9" s="29">
        <v>1.0</v>
      </c>
      <c r="D9" s="29">
        <v>1.0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</row>
    <row r="10" ht="19.5" customHeight="1">
      <c r="A10" s="27" t="str">
        <f>IF(Roster!$A$8&lt;&gt;"",Roster!$A$8,"")</f>
        <v>Darra Reppermund</v>
      </c>
      <c r="B10" s="28"/>
      <c r="C10" s="29">
        <v>1.0</v>
      </c>
      <c r="D10" s="29">
        <v>1.0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</row>
    <row r="11" ht="19.5" customHeight="1">
      <c r="A11" s="27" t="str">
        <f>IF(Roster!$A$9&lt;&gt;"",Roster!$A$9,"")</f>
        <v>Dylan Best</v>
      </c>
      <c r="B11" s="28"/>
      <c r="C11" s="29">
        <v>1.0</v>
      </c>
      <c r="D11" s="29">
        <v>1.0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</row>
    <row r="12" ht="19.5" customHeight="1">
      <c r="A12" s="27" t="str">
        <f>IF(Roster!$A$10&lt;&gt;"",Roster!$A$10,"")</f>
        <v>Griffin O'Neal-Freeman</v>
      </c>
      <c r="B12" s="28"/>
      <c r="C12" s="29">
        <v>1.0</v>
      </c>
      <c r="D12" s="29">
        <v>1.0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</row>
    <row r="13" ht="19.5" customHeight="1">
      <c r="A13" s="27" t="str">
        <f>IF(Roster!$A$11&lt;&gt;"",Roster!$A$11,"")</f>
        <v>Haley Young</v>
      </c>
      <c r="B13" s="28"/>
      <c r="C13" s="29">
        <v>1.0</v>
      </c>
      <c r="D13" s="29">
        <v>1.0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</row>
    <row r="14" ht="19.5" customHeight="1">
      <c r="A14" s="27" t="str">
        <f>IF(Roster!$A$12&lt;&gt;"",Roster!$A$12,"")</f>
        <v>Harry Park</v>
      </c>
      <c r="B14" s="28"/>
      <c r="C14" s="29">
        <v>1.0</v>
      </c>
      <c r="D14" s="29">
        <v>1.0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</row>
    <row r="15" ht="19.5" customHeight="1">
      <c r="A15" s="27" t="str">
        <f>IF(Roster!$A$13&lt;&gt;"",Roster!$A$13,"")</f>
        <v>Ian Piper</v>
      </c>
      <c r="B15" s="28"/>
      <c r="C15" s="29">
        <v>1.0</v>
      </c>
      <c r="D15" s="29">
        <v>1.0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</row>
    <row r="16" ht="19.5" customHeight="1">
      <c r="A16" s="27" t="str">
        <f>IF(Roster!$A$14&lt;&gt;"",Roster!$A$14,"")</f>
        <v>Jake Murray</v>
      </c>
      <c r="B16" s="28"/>
      <c r="C16" s="29">
        <v>1.0</v>
      </c>
      <c r="D16" s="29">
        <v>1.0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</row>
    <row r="17" ht="19.5" customHeight="1">
      <c r="A17" s="27" t="str">
        <f>IF(Roster!$A$15&lt;&gt;"",Roster!$A$15,"")</f>
        <v>Jenna Nold</v>
      </c>
      <c r="B17" s="28"/>
      <c r="C17" s="29">
        <v>1.0</v>
      </c>
      <c r="D17" s="29">
        <v>1.0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</row>
    <row r="18" ht="19.5" customHeight="1">
      <c r="A18" s="27" t="str">
        <f>IF(Roster!$A$16&lt;&gt;"",Roster!$A$16,"")</f>
        <v>Jimmy Towle</v>
      </c>
      <c r="B18" s="28"/>
      <c r="C18" s="29">
        <v>0.0</v>
      </c>
      <c r="D18" s="29">
        <v>0.0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</row>
    <row r="19" ht="19.5" customHeight="1">
      <c r="A19" s="27" t="str">
        <f>IF(Roster!$A$17&lt;&gt;"",Roster!$A$17,"")</f>
        <v>Kailey Rugani</v>
      </c>
      <c r="B19" s="28"/>
      <c r="C19" s="29">
        <v>1.0</v>
      </c>
      <c r="D19" s="29">
        <v>1.0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</row>
    <row r="20" ht="19.5" customHeight="1">
      <c r="A20" s="27" t="str">
        <f>IF(Roster!$A$18&lt;&gt;"",Roster!$A$18,"")</f>
        <v>Kasey Schock</v>
      </c>
      <c r="B20" s="28"/>
      <c r="C20" s="29">
        <v>1.0</v>
      </c>
      <c r="D20" s="29">
        <v>1.0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</row>
    <row r="21" ht="19.5" customHeight="1">
      <c r="A21" s="27" t="str">
        <f>IF(Roster!$A$19&lt;&gt;"",Roster!$A$19,"")</f>
        <v>Kevin Nicholl</v>
      </c>
      <c r="B21" s="28"/>
      <c r="C21" s="29">
        <v>1.0</v>
      </c>
      <c r="D21" s="29">
        <v>1.0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</row>
    <row r="22" ht="19.5" customHeight="1">
      <c r="A22" s="27" t="str">
        <f>IF(Roster!$A$20&lt;&gt;"",Roster!$A$20,"")</f>
        <v>Kit Asterin</v>
      </c>
      <c r="B22" s="28"/>
      <c r="C22" s="29">
        <v>1.0</v>
      </c>
      <c r="D22" s="29">
        <v>1.0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</row>
    <row r="23" ht="19.5" customHeight="1">
      <c r="A23" s="27" t="str">
        <f>IF(Roster!$A$21&lt;&gt;"",Roster!$A$21,"")</f>
        <v>Kristin Dudley</v>
      </c>
      <c r="B23" s="28"/>
      <c r="C23" s="29">
        <v>1.0</v>
      </c>
      <c r="D23" s="29">
        <v>1.0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</row>
    <row r="24" ht="19.5" customHeight="1">
      <c r="A24" s="27" t="str">
        <f>IF(Roster!$A$22&lt;&gt;"",Roster!$A$22,"")</f>
        <v>Lexie Thomas</v>
      </c>
      <c r="B24" s="28"/>
      <c r="C24" s="29">
        <v>1.0</v>
      </c>
      <c r="D24" s="29">
        <v>1.0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</row>
    <row r="25" ht="19.5" customHeight="1">
      <c r="A25" s="27" t="str">
        <f>IF(Roster!$A$23&lt;&gt;"",Roster!$A$23,"")</f>
        <v>Lucas Jones</v>
      </c>
      <c r="B25" s="28"/>
      <c r="C25" s="29">
        <v>0.0</v>
      </c>
      <c r="D25" s="29">
        <v>0.0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</row>
    <row r="26" ht="19.5" customHeight="1">
      <c r="A26" s="27" t="str">
        <f>IF(Roster!$A$24&lt;&gt;"",Roster!$A$24,"")</f>
        <v>Lucius Christie</v>
      </c>
      <c r="B26" s="28"/>
      <c r="C26" s="29">
        <v>1.0</v>
      </c>
      <c r="D26" s="29">
        <v>1.0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</row>
    <row r="27" ht="19.5" customHeight="1">
      <c r="A27" s="27" t="str">
        <f>IF(Roster!$A$25&lt;&gt;"",Roster!$A$25,"")</f>
        <v>Patrick McMullen</v>
      </c>
      <c r="B27" s="28"/>
      <c r="C27" s="29">
        <v>1.0</v>
      </c>
      <c r="D27" s="29">
        <v>1.0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</row>
    <row r="28" ht="19.5" customHeight="1">
      <c r="A28" s="27" t="str">
        <f>IF(Roster!$A$26&lt;&gt;"",Roster!$A$26,"")</f>
        <v>Rachel Graber</v>
      </c>
      <c r="B28" s="28"/>
      <c r="C28" s="29">
        <v>1.0</v>
      </c>
      <c r="D28" s="29">
        <v>1.0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</row>
    <row r="29" ht="19.5" customHeight="1">
      <c r="A29" s="27" t="str">
        <f>IF(Roster!$A$27&lt;&gt;"",Roster!$A$27,"")</f>
        <v>Ryan Kindell</v>
      </c>
      <c r="B29" s="28"/>
      <c r="C29" s="29">
        <v>1.0</v>
      </c>
      <c r="D29" s="29">
        <v>1.0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</row>
    <row r="30" ht="19.5" customHeight="1">
      <c r="A30" s="27" t="str">
        <f>IF(Roster!$A$28&lt;&gt;"",Roster!$A$28,"")</f>
        <v>Ryan Ward</v>
      </c>
      <c r="B30" s="28"/>
      <c r="C30" s="29">
        <v>1.0</v>
      </c>
      <c r="D30" s="29">
        <v>1.0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</row>
    <row r="31" ht="19.5" customHeight="1">
      <c r="A31" s="27" t="str">
        <f>IF(Roster!$A$29&lt;&gt;"",Roster!$A$29,"")</f>
        <v>Sam Gombiner</v>
      </c>
      <c r="B31" s="28"/>
      <c r="C31" s="29">
        <v>0.0</v>
      </c>
      <c r="D31" s="29">
        <v>0.0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</row>
    <row r="32" ht="19.5" customHeight="1">
      <c r="A32" s="27" t="str">
        <f>IF(Roster!$A$30&lt;&gt;"",Roster!$A$30,"")</f>
        <v>Sarah Kingsley-Hart</v>
      </c>
      <c r="B32" s="28"/>
      <c r="C32" s="29">
        <v>1.0</v>
      </c>
      <c r="D32" s="29">
        <v>1.0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</row>
    <row r="33" ht="19.5" customHeight="1">
      <c r="A33" s="27" t="str">
        <f>IF(Roster!$A$31&lt;&gt;"",Roster!$A$31,"")</f>
        <v>Sarah Lynch</v>
      </c>
      <c r="B33" s="28"/>
      <c r="C33" s="29">
        <v>1.0</v>
      </c>
      <c r="D33" s="29">
        <v>1.0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</row>
    <row r="34" ht="19.5" customHeight="1">
      <c r="A34" s="27" t="str">
        <f>IF(Roster!$A$32&lt;&gt;"",Roster!$A$32,"")</f>
        <v>Shani Rosenthal</v>
      </c>
      <c r="B34" s="28"/>
      <c r="C34" s="29">
        <v>1.0</v>
      </c>
      <c r="D34" s="29">
        <v>1.0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</row>
    <row r="35" ht="19.5" customHeight="1">
      <c r="A35" s="27" t="str">
        <f>IF(Roster!$A$33&lt;&gt;"",Roster!$A$33,"")</f>
        <v>Vivian Shen</v>
      </c>
      <c r="B35" s="28"/>
      <c r="C35" s="29">
        <v>1.0</v>
      </c>
      <c r="D35" s="29">
        <v>1.0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</row>
    <row r="36" ht="19.5" customHeight="1">
      <c r="A36" s="27" t="str">
        <f>IF(Roster!$A$34&lt;&gt;"",Roster!$A$34,"")</f>
        <v>Zach Esakof</v>
      </c>
      <c r="B36" s="28"/>
      <c r="C36" s="29">
        <v>0.0</v>
      </c>
      <c r="D36" s="29">
        <v>0.0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</row>
    <row r="37" ht="19.5" customHeight="1">
      <c r="A37" s="27" t="str">
        <f>IF(Roster!$A$35&lt;&gt;"",Roster!$A$35,"")</f>
        <v>Annette Kukunas-Piper</v>
      </c>
      <c r="B37" s="28"/>
      <c r="C37" s="29" t="s">
        <v>90</v>
      </c>
      <c r="D37" s="29" t="s">
        <v>90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</row>
    <row r="38" ht="19.5" customHeight="1">
      <c r="A38" s="27" t="str">
        <f>IF(Roster!$A$36&lt;&gt;"",Roster!$A$36,"")</f>
        <v>Matt Duffy</v>
      </c>
      <c r="B38" s="28"/>
      <c r="C38" s="29" t="s">
        <v>90</v>
      </c>
      <c r="D38" s="29" t="s">
        <v>90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</row>
    <row r="39" ht="19.5" customHeight="1">
      <c r="A39" s="27" t="str">
        <f>IF(Roster!$A$37&lt;&gt;"",Roster!$A$37,"")</f>
        <v>Ryan Birchard</v>
      </c>
      <c r="B39" s="28"/>
      <c r="C39" s="29" t="s">
        <v>90</v>
      </c>
      <c r="D39" s="29" t="s">
        <v>90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</row>
    <row r="40" ht="19.5" customHeight="1">
      <c r="A40" s="27" t="str">
        <f>IF(Roster!$A$38&lt;&gt;"",Roster!$A$38,"")</f>
        <v>Nick Blair</v>
      </c>
      <c r="B40" s="28"/>
      <c r="C40" s="29" t="s">
        <v>90</v>
      </c>
      <c r="D40" s="29" t="s">
        <v>90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</row>
    <row r="41" ht="19.5" customHeight="1">
      <c r="A41" s="27" t="str">
        <f>IF(Roster!$A$39&lt;&gt;"",Roster!$A$39,"")</f>
        <v/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</row>
    <row r="42" ht="19.5" customHeight="1">
      <c r="A42" s="27" t="str">
        <f>IF(Roster!$A$40&lt;&gt;"",Roster!$A$40,"")</f>
        <v/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</row>
    <row r="43" ht="19.5" customHeight="1">
      <c r="A43" s="27" t="str">
        <f>IF(Roster!$A$41&lt;&gt;"",Roster!$A$41,"")</f>
        <v/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</row>
    <row r="44" ht="19.5" customHeight="1">
      <c r="A44" s="27" t="str">
        <f>IF(Roster!$A$42&lt;&gt;"",Roster!$A$42,"")</f>
        <v/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</row>
    <row r="45" ht="19.5" customHeight="1">
      <c r="A45" s="27" t="str">
        <f>IF(Roster!$A$43&lt;&gt;"",Roster!$A$43,"")</f>
        <v/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</row>
    <row r="46" ht="19.5" customHeight="1">
      <c r="A46" s="27" t="str">
        <f>IF(Roster!$A$44&lt;&gt;"",Roster!$A$44,"")</f>
        <v/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</row>
    <row r="47" ht="19.5" customHeight="1">
      <c r="A47" s="27" t="str">
        <f>IF(Roster!$A$45&lt;&gt;"",Roster!$A$45,"")</f>
        <v/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</row>
    <row r="48" ht="19.5" customHeight="1">
      <c r="A48" s="27" t="str">
        <f>IF(Roster!$A$46&lt;&gt;"",Roster!$A$46,"")</f>
        <v/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</row>
    <row r="49" ht="19.5" customHeight="1">
      <c r="A49" s="27" t="str">
        <f>IF(Roster!$A$47&lt;&gt;"",Roster!$A$47,"")</f>
        <v/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</row>
    <row r="50" ht="19.5" customHeight="1">
      <c r="A50" s="27" t="str">
        <f>IF(Roster!$A$48&lt;&gt;"",Roster!$A$48,"")</f>
        <v/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</row>
    <row r="51" ht="19.5" customHeight="1">
      <c r="A51" s="27" t="str">
        <f>IF(Roster!$A$49&lt;&gt;"",Roster!$A$49,"")</f>
        <v/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</row>
    <row r="52" ht="19.5" customHeight="1">
      <c r="A52" s="27" t="str">
        <f>IF(Roster!$A$50&lt;&gt;"",Roster!$A$50,"")</f>
        <v/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</row>
    <row r="53" ht="19.5" customHeight="1">
      <c r="A53" s="27" t="str">
        <f>IF(Roster!$A$51&lt;&gt;"",Roster!$A$51,"")</f>
        <v/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</row>
    <row r="54" ht="19.5" customHeight="1">
      <c r="A54" s="27" t="str">
        <f>IF(Roster!$A$52&lt;&gt;"",Roster!$A$52,"")</f>
        <v/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</row>
    <row r="55" ht="19.5" customHeight="1">
      <c r="A55" s="27" t="str">
        <f>IF(Roster!$A$53&lt;&gt;"",Roster!$A$53,"")</f>
        <v/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</row>
    <row r="56" ht="19.5" customHeight="1">
      <c r="A56" s="27" t="str">
        <f>IF(Roster!$A$54&lt;&gt;"",Roster!$A$54,"")</f>
        <v/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</row>
    <row r="57" ht="19.5" customHeight="1">
      <c r="A57" s="27" t="str">
        <f>IF(Roster!$A$55&lt;&gt;"",Roster!$A$55,"")</f>
        <v/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</row>
    <row r="58" ht="19.5" customHeight="1">
      <c r="A58" s="27" t="str">
        <f>IF(Roster!$A$56&lt;&gt;"",Roster!$A$56,"")</f>
        <v/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</row>
    <row r="59" ht="19.5" customHeight="1">
      <c r="A59" s="27" t="str">
        <f>IF(Roster!$A$57&lt;&gt;"",Roster!$A$57,"")</f>
        <v/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</row>
    <row r="60" ht="19.5" customHeight="1">
      <c r="A60" s="27" t="str">
        <f>IF(Roster!$A$58&lt;&gt;"",Roster!$A$58,"")</f>
        <v/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</row>
    <row r="61" ht="19.5" customHeight="1">
      <c r="A61" s="27" t="str">
        <f>IF(Roster!$A$59&lt;&gt;"",Roster!$A$59,"")</f>
        <v/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</row>
    <row r="62" ht="19.5" customHeight="1">
      <c r="A62" s="27" t="str">
        <f>IF(Roster!$A$60&lt;&gt;"",Roster!$A$60,"")</f>
        <v/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</row>
    <row r="63" ht="19.5" customHeight="1">
      <c r="A63" s="27" t="str">
        <f>IF(Roster!$A$61&lt;&gt;"",Roster!$A$61,"")</f>
        <v/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</row>
    <row r="64" ht="19.5" customHeight="1">
      <c r="A64" s="27" t="str">
        <f>IF(Roster!$A$62&lt;&gt;"",Roster!$A$62,"")</f>
        <v/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</row>
    <row r="65" ht="19.5" customHeight="1">
      <c r="A65" s="27" t="str">
        <f>IF(Roster!$A$63&lt;&gt;"",Roster!$A$63,"")</f>
        <v/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</row>
    <row r="66" ht="19.5" customHeight="1">
      <c r="A66" s="27" t="str">
        <f>IF(Roster!$A$64&lt;&gt;"",Roster!$A$64,"")</f>
        <v/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</row>
    <row r="67" ht="19.5" customHeight="1">
      <c r="A67" s="27" t="str">
        <f>IF(Roster!$A$65&lt;&gt;"",Roster!$A$65,"")</f>
        <v/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</row>
    <row r="68" ht="19.5" customHeight="1">
      <c r="A68" s="27" t="str">
        <f>IF(Roster!$A$66&lt;&gt;"",Roster!$A$66,"")</f>
        <v/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</row>
    <row r="69" ht="19.5" customHeight="1">
      <c r="A69" s="27" t="str">
        <f>IF(Roster!$A$67&lt;&gt;"",Roster!$A$67,"")</f>
        <v/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</row>
    <row r="70" ht="19.5" customHeight="1">
      <c r="A70" s="27" t="str">
        <f>IF(Roster!$A$68&lt;&gt;"",Roster!$A$68,"")</f>
        <v/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</row>
    <row r="71" ht="19.5" customHeight="1">
      <c r="A71" s="27" t="str">
        <f>IF(Roster!$A$69&lt;&gt;"",Roster!$A$69,"")</f>
        <v/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</row>
    <row r="72" ht="19.5" customHeight="1">
      <c r="A72" s="27" t="str">
        <f>IF(Roster!$A$70&lt;&gt;"",Roster!$A$70,"")</f>
        <v/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</row>
    <row r="73" ht="19.5" customHeight="1">
      <c r="A73" s="27" t="str">
        <f>IF(Roster!$A$71&lt;&gt;"",Roster!$A$71,"")</f>
        <v/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</row>
    <row r="74" ht="19.5" customHeight="1">
      <c r="A74" s="27" t="str">
        <f>IF(Roster!$A$72&lt;&gt;"",Roster!$A$72,"")</f>
        <v/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</row>
    <row r="75" ht="19.5" customHeight="1">
      <c r="A75" s="27" t="str">
        <f>IF(Roster!$A$73&lt;&gt;"",Roster!$A$73,"")</f>
        <v/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</row>
    <row r="76" ht="19.5" customHeight="1">
      <c r="A76" s="27" t="str">
        <f>IF(Roster!$A$74&lt;&gt;"",Roster!$A$74,"")</f>
        <v/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</row>
    <row r="77" ht="19.5" customHeight="1">
      <c r="A77" s="27" t="str">
        <f>IF(Roster!$A$75&lt;&gt;"",Roster!$A$75,"")</f>
        <v/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</row>
    <row r="78" ht="19.5" customHeight="1">
      <c r="A78" s="27" t="str">
        <f>IF(Roster!$A$76&lt;&gt;"",Roster!$A$76,"")</f>
        <v/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</row>
    <row r="79" ht="19.5" customHeight="1">
      <c r="A79" s="27" t="str">
        <f>IF(Roster!$A$77&lt;&gt;"",Roster!$A$77,"")</f>
        <v/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</row>
    <row r="80" ht="19.5" customHeight="1">
      <c r="A80" s="27" t="str">
        <f>IF(Roster!$A$78&lt;&gt;"",Roster!$A$78,"")</f>
        <v/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</row>
    <row r="81" ht="19.5" customHeight="1">
      <c r="A81" s="27" t="str">
        <f>IF(Roster!$A$79&lt;&gt;"",Roster!$A$79,"")</f>
        <v/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</row>
    <row r="82" ht="19.5" customHeight="1">
      <c r="A82" s="27" t="str">
        <f>IF(Roster!$A$80&lt;&gt;"",Roster!$A$80,"")</f>
        <v/>
      </c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</row>
    <row r="83" ht="19.5" customHeight="1">
      <c r="A83" s="27" t="str">
        <f>IF(Roster!$A$81&lt;&gt;"",Roster!$A$81,"")</f>
        <v/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</row>
    <row r="84" ht="19.5" customHeight="1">
      <c r="A84" s="27" t="str">
        <f>IF(Roster!$A$82&lt;&gt;"",Roster!$A$82,"")</f>
        <v/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</row>
    <row r="85" ht="19.5" customHeight="1">
      <c r="A85" s="27" t="str">
        <f>IF(Roster!$A$83&lt;&gt;"",Roster!$A$83,"")</f>
        <v/>
      </c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</row>
    <row r="86" ht="19.5" customHeight="1">
      <c r="A86" s="27" t="str">
        <f>IF(Roster!$A$84&lt;&gt;"",Roster!$A$84,"")</f>
        <v/>
      </c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</row>
    <row r="87" ht="19.5" customHeight="1">
      <c r="A87" s="27" t="str">
        <f>IF(Roster!$A$85&lt;&gt;"",Roster!$A$85,"")</f>
        <v/>
      </c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</row>
    <row r="88" ht="19.5" customHeight="1">
      <c r="A88" s="27" t="str">
        <f>IF(Roster!$A$86&lt;&gt;"",Roster!$A$86,"")</f>
        <v/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</row>
    <row r="89" ht="19.5" customHeight="1">
      <c r="A89" s="27" t="str">
        <f>IF(Roster!$A$87&lt;&gt;"",Roster!$A$87,"")</f>
        <v/>
      </c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</row>
    <row r="90" ht="19.5" customHeight="1">
      <c r="A90" s="27" t="str">
        <f>IF(Roster!$A$88&lt;&gt;"",Roster!$A$88,"")</f>
        <v/>
      </c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</row>
    <row r="91" ht="19.5" customHeight="1">
      <c r="A91" s="27" t="str">
        <f>IF(Roster!$A$89&lt;&gt;"",Roster!$A$89,"")</f>
        <v/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</row>
    <row r="92" ht="19.5" customHeight="1">
      <c r="A92" s="27" t="str">
        <f>IF(Roster!$A$90&lt;&gt;"",Roster!$A$90,"")</f>
        <v/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</row>
    <row r="93" ht="19.5" customHeight="1">
      <c r="A93" s="27" t="str">
        <f>IF(Roster!$A$91&lt;&gt;"",Roster!$A$91,"")</f>
        <v/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</row>
    <row r="94" ht="19.5" customHeight="1">
      <c r="A94" s="27" t="str">
        <f>IF(Roster!$A$92&lt;&gt;"",Roster!$A$92,"")</f>
        <v/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</row>
    <row r="95" ht="19.5" customHeight="1">
      <c r="A95" s="27" t="str">
        <f>IF(Roster!$A$93&lt;&gt;"",Roster!$A$93,"")</f>
        <v/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</row>
    <row r="96" ht="19.5" customHeight="1">
      <c r="A96" s="27" t="str">
        <f>IF(Roster!$A$94&lt;&gt;"",Roster!$A$94,"")</f>
        <v/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</row>
    <row r="97" ht="19.5" customHeight="1">
      <c r="A97" s="27" t="str">
        <f>IF(Roster!$A$95&lt;&gt;"",Roster!$A$95,"")</f>
        <v/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</row>
    <row r="98" ht="19.5" customHeight="1">
      <c r="A98" s="27" t="str">
        <f>IF(Roster!$A$96&lt;&gt;"",Roster!$A$96,"")</f>
        <v/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</row>
    <row r="99" ht="19.5" customHeight="1">
      <c r="A99" s="27" t="str">
        <f>IF(Roster!$A$97&lt;&gt;"",Roster!$A$97,"")</f>
        <v/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</row>
    <row r="100" ht="19.5" customHeight="1">
      <c r="A100" s="27" t="str">
        <f>IF(Roster!$A$98&lt;&gt;"",Roster!$A$98,"")</f>
        <v/>
      </c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</row>
    <row r="101" ht="19.5" customHeight="1">
      <c r="A101" s="27" t="str">
        <f>IF(Roster!$A$99&lt;&gt;"",Roster!$A$99,"")</f>
        <v/>
      </c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</row>
    <row r="102" ht="19.5" customHeight="1">
      <c r="A102" s="27" t="str">
        <f>IF(Roster!$A$100&lt;&gt;"",Roster!$A$100,"")</f>
        <v/>
      </c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</row>
    <row r="103" ht="19.5" customHeight="1">
      <c r="A103" s="27" t="str">
        <f>IF(Roster!$A$101&lt;&gt;"",Roster!$A$101,"")</f>
        <v/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</row>
    <row r="104" ht="19.5" customHeight="1">
      <c r="A104" s="27" t="str">
        <f>IF(Roster!$A$102&lt;&gt;"",Roster!$A$102,"")</f>
        <v/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</row>
    <row r="105" ht="19.5" customHeight="1">
      <c r="A105" s="27" t="str">
        <f>IF(Roster!$A$103&lt;&gt;"",Roster!$A$103,"")</f>
        <v/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</row>
    <row r="106" ht="19.5" customHeight="1">
      <c r="A106" s="27" t="str">
        <f>IF(Roster!$A$104&lt;&gt;"",Roster!$A$104,"")</f>
        <v/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</row>
    <row r="107" ht="19.5" customHeight="1">
      <c r="A107" s="27" t="str">
        <f>IF(Roster!$A$105&lt;&gt;"",Roster!$A$105,"")</f>
        <v/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</row>
    <row r="108" ht="19.5" customHeight="1">
      <c r="A108" s="27" t="str">
        <f>IF(Roster!$A$106&lt;&gt;"",Roster!$A$106,"")</f>
        <v/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</row>
    <row r="109" ht="19.5" customHeight="1">
      <c r="A109" s="27" t="str">
        <f>IF(Roster!$A$107&lt;&gt;"",Roster!$A$107,"")</f>
        <v/>
      </c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</row>
    <row r="110" ht="19.5" customHeight="1">
      <c r="A110" s="27" t="str">
        <f>IF(Roster!$A$108&lt;&gt;"",Roster!$A$108,"")</f>
        <v/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</row>
    <row r="111" ht="19.5" customHeight="1">
      <c r="A111" s="27" t="str">
        <f>IF(Roster!$A$109&lt;&gt;"",Roster!$A$109,"")</f>
        <v/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</row>
    <row r="112" ht="19.5" customHeight="1">
      <c r="A112" s="27" t="str">
        <f>IF(Roster!$A$110&lt;&gt;"",Roster!$A$110,"")</f>
        <v/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</row>
    <row r="113" ht="19.5" customHeight="1">
      <c r="A113" s="27" t="str">
        <f>IF(Roster!$A$111&lt;&gt;"",Roster!$A$111,"")</f>
        <v/>
      </c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</row>
    <row r="114" ht="19.5" customHeight="1">
      <c r="A114" s="27" t="str">
        <f>IF(Roster!$A$112&lt;&gt;"",Roster!$A$112,"")</f>
        <v/>
      </c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</row>
    <row r="115" ht="19.5" customHeight="1">
      <c r="A115" s="27" t="str">
        <f>IF(Roster!$A$113&lt;&gt;"",Roster!$A$113,"")</f>
        <v/>
      </c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</row>
    <row r="116" ht="19.5" customHeight="1">
      <c r="A116" s="27" t="str">
        <f>IF(Roster!$A$114&lt;&gt;"",Roster!$A$114,"")</f>
        <v/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</row>
    <row r="117" ht="19.5" customHeight="1">
      <c r="A117" s="27" t="str">
        <f>IF(Roster!$A$115&lt;&gt;"",Roster!$A$115,"")</f>
        <v/>
      </c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</row>
    <row r="118" ht="19.5" customHeight="1">
      <c r="A118" s="27" t="str">
        <f>IF(Roster!$A$116&lt;&gt;"",Roster!$A$116,"")</f>
        <v/>
      </c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</row>
    <row r="119" ht="19.5" customHeight="1">
      <c r="A119" s="27" t="str">
        <f>IF(Roster!$A$117&lt;&gt;"",Roster!$A$117,"")</f>
        <v/>
      </c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</row>
    <row r="120" ht="19.5" customHeight="1">
      <c r="A120" s="27" t="str">
        <f>IF(Roster!$A$118&lt;&gt;"",Roster!$A$118,"")</f>
        <v/>
      </c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</row>
    <row r="121" ht="19.5" customHeight="1">
      <c r="A121" s="27" t="str">
        <f>IF(Roster!$A$119&lt;&gt;"",Roster!$A$119,"")</f>
        <v/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</row>
    <row r="122" ht="19.5" customHeight="1">
      <c r="A122" s="27" t="str">
        <f>IF(Roster!$A$120&lt;&gt;"",Roster!$A$120,"")</f>
        <v/>
      </c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</row>
    <row r="123" ht="19.5" customHeight="1">
      <c r="A123" s="27" t="str">
        <f>IF(Roster!$A$121&lt;&gt;"",Roster!$A$121,"")</f>
        <v/>
      </c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</row>
    <row r="124" ht="19.5" customHeight="1">
      <c r="A124" s="27" t="str">
        <f>IF(Roster!$A$122&lt;&gt;"",Roster!$A$122,"")</f>
        <v/>
      </c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</row>
    <row r="125" ht="19.5" customHeight="1">
      <c r="A125" s="27" t="str">
        <f>IF(Roster!$A$123&lt;&gt;"",Roster!$A$123,"")</f>
        <v/>
      </c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</row>
    <row r="126" ht="19.5" customHeight="1">
      <c r="A126" s="27" t="str">
        <f>IF(Roster!$A$124&lt;&gt;"",Roster!$A$124,"")</f>
        <v/>
      </c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</row>
    <row r="127" ht="19.5" customHeight="1">
      <c r="A127" s="27" t="str">
        <f>IF(Roster!$A$125&lt;&gt;"",Roster!$A$125,"")</f>
        <v/>
      </c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</row>
    <row r="128" ht="19.5" customHeight="1">
      <c r="A128" s="27" t="str">
        <f>IF(Roster!$A$126&lt;&gt;"",Roster!$A$126,"")</f>
        <v/>
      </c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</row>
    <row r="129" ht="19.5" customHeight="1">
      <c r="A129" s="27" t="str">
        <f>IF(Roster!$A$127&lt;&gt;"",Roster!$A$127,"")</f>
        <v/>
      </c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</row>
    <row r="130" ht="19.5" customHeight="1">
      <c r="A130" s="27" t="str">
        <f>IF(Roster!$A$128&lt;&gt;"",Roster!$A$128,"")</f>
        <v/>
      </c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</row>
    <row r="131" ht="19.5" customHeight="1">
      <c r="A131" s="27" t="str">
        <f>IF(Roster!$A$129&lt;&gt;"",Roster!$A$129,"")</f>
        <v/>
      </c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</row>
    <row r="132" ht="19.5" customHeight="1">
      <c r="A132" s="27" t="str">
        <f>IF(Roster!$A$130&lt;&gt;"",Roster!$A$130,"")</f>
        <v/>
      </c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</row>
    <row r="133" ht="19.5" customHeight="1">
      <c r="A133" s="27" t="str">
        <f>IF(Roster!$A$131&lt;&gt;"",Roster!$A$131,"")</f>
        <v/>
      </c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</row>
    <row r="134" ht="19.5" customHeight="1">
      <c r="A134" s="27" t="str">
        <f>IF(Roster!$A$132&lt;&gt;"",Roster!$A$132,"")</f>
        <v/>
      </c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</row>
    <row r="135" ht="19.5" customHeight="1">
      <c r="A135" s="27" t="str">
        <f>IF(Roster!$A$133&lt;&gt;"",Roster!$A$133,"")</f>
        <v/>
      </c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</row>
    <row r="136" ht="19.5" customHeight="1">
      <c r="A136" s="27" t="str">
        <f>IF(Roster!$A$134&lt;&gt;"",Roster!$A$134,"")</f>
        <v/>
      </c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</row>
    <row r="137" ht="19.5" customHeight="1">
      <c r="A137" s="27" t="str">
        <f>IF(Roster!$A$135&lt;&gt;"",Roster!$A$135,"")</f>
        <v/>
      </c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</row>
    <row r="138" ht="19.5" customHeight="1">
      <c r="A138" s="27" t="str">
        <f>IF(Roster!$A$136&lt;&gt;"",Roster!$A$136,"")</f>
        <v/>
      </c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</row>
    <row r="139" ht="19.5" customHeight="1">
      <c r="A139" s="27" t="str">
        <f>IF(Roster!$A$137&lt;&gt;"",Roster!$A$137,"")</f>
        <v/>
      </c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</row>
    <row r="140" ht="19.5" customHeight="1">
      <c r="A140" s="27" t="str">
        <f>IF(Roster!$A$138&lt;&gt;"",Roster!$A$138,"")</f>
        <v/>
      </c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</row>
    <row r="141" ht="19.5" customHeight="1">
      <c r="A141" s="27" t="str">
        <f>IF(Roster!$A$139&lt;&gt;"",Roster!$A$139,"")</f>
        <v/>
      </c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</row>
    <row r="142" ht="19.5" customHeight="1">
      <c r="A142" s="27" t="str">
        <f>IF(Roster!$A$140&lt;&gt;"",Roster!$A$140,"")</f>
        <v/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</row>
    <row r="143" ht="19.5" customHeight="1">
      <c r="A143" s="27" t="str">
        <f>IF(Roster!$A$141&lt;&gt;"",Roster!$A$141,"")</f>
        <v/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</row>
    <row r="144" ht="19.5" customHeight="1">
      <c r="A144" s="27" t="str">
        <f>IF(Roster!$A$142&lt;&gt;"",Roster!$A$142,"")</f>
        <v/>
      </c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</row>
    <row r="145" ht="19.5" customHeight="1">
      <c r="A145" s="27" t="str">
        <f>IF(Roster!$A$143&lt;&gt;"",Roster!$A$143,"")</f>
        <v/>
      </c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</row>
    <row r="146" ht="19.5" customHeight="1">
      <c r="A146" s="27" t="str">
        <f>IF(Roster!$A$144&lt;&gt;"",Roster!$A$144,"")</f>
        <v/>
      </c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</row>
    <row r="147" ht="19.5" customHeight="1">
      <c r="A147" s="27" t="str">
        <f>IF(Roster!$A$145&lt;&gt;"",Roster!$A$145,"")</f>
        <v/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</row>
    <row r="148" ht="19.5" customHeight="1">
      <c r="A148" s="27" t="str">
        <f>IF(Roster!$A$146&lt;&gt;"",Roster!$A$146,"")</f>
        <v/>
      </c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</row>
    <row r="149" ht="19.5" customHeight="1">
      <c r="A149" s="27" t="str">
        <f>IF(Roster!$A$147&lt;&gt;"",Roster!$A$147,"")</f>
        <v/>
      </c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</row>
    <row r="150" ht="19.5" customHeight="1">
      <c r="A150" s="27" t="str">
        <f>IF(Roster!$A$148&lt;&gt;"",Roster!$A$148,"")</f>
        <v/>
      </c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</row>
    <row r="151" ht="19.5" customHeight="1">
      <c r="A151" s="27" t="str">
        <f>IF(Roster!$A$149&lt;&gt;"",Roster!$A$149,"")</f>
        <v/>
      </c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</row>
    <row r="152" ht="19.5" customHeight="1">
      <c r="A152" s="27" t="str">
        <f>IF(Roster!$A$150&lt;&gt;"",Roster!$A$150,"")</f>
        <v/>
      </c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</row>
    <row r="153" ht="19.5" customHeight="1">
      <c r="A153" s="27" t="str">
        <f>IF(Roster!$A$151&lt;&gt;"",Roster!$A$151,"")</f>
        <v/>
      </c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</row>
    <row r="154" ht="19.5" customHeight="1">
      <c r="A154" s="27" t="str">
        <f>IF(Roster!$A$152&lt;&gt;"",Roster!$A$152,"")</f>
        <v/>
      </c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</row>
    <row r="155" ht="19.5" customHeight="1">
      <c r="A155" s="27" t="str">
        <f>IF(Roster!$A$153&lt;&gt;"",Roster!$A$153,"")</f>
        <v/>
      </c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</row>
    <row r="156" ht="19.5" customHeight="1">
      <c r="A156" s="27" t="str">
        <f>IF(Roster!$A$154&lt;&gt;"",Roster!$A$154,"")</f>
        <v/>
      </c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</row>
    <row r="157" ht="19.5" customHeight="1">
      <c r="A157" s="27" t="str">
        <f>IF(Roster!$A$155&lt;&gt;"",Roster!$A$155,"")</f>
        <v/>
      </c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</row>
    <row r="158" ht="19.5" customHeight="1">
      <c r="A158" s="27" t="str">
        <f>IF(Roster!$A$156&lt;&gt;"",Roster!$A$156,"")</f>
        <v/>
      </c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</row>
    <row r="159" ht="19.5" customHeight="1">
      <c r="A159" s="27" t="str">
        <f>IF(Roster!$A$157&lt;&gt;"",Roster!$A$157,"")</f>
        <v/>
      </c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</row>
    <row r="160" ht="19.5" customHeight="1">
      <c r="A160" s="27" t="str">
        <f>IF(Roster!$A$158&lt;&gt;"",Roster!$A$158,"")</f>
        <v/>
      </c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</row>
    <row r="161" ht="19.5" customHeight="1">
      <c r="A161" s="27" t="str">
        <f>IF(Roster!$A$159&lt;&gt;"",Roster!$A$159,"")</f>
        <v/>
      </c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</row>
    <row r="162" ht="19.5" customHeight="1">
      <c r="A162" s="27" t="str">
        <f>IF(Roster!$A$160&lt;&gt;"",Roster!$A$160,"")</f>
        <v/>
      </c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</row>
    <row r="163" ht="19.5" customHeight="1">
      <c r="A163" s="27" t="str">
        <f>IF(Roster!$A$161&lt;&gt;"",Roster!$A$161,"")</f>
        <v/>
      </c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</row>
    <row r="164" ht="19.5" customHeight="1">
      <c r="A164" s="27" t="str">
        <f>IF(Roster!$A$162&lt;&gt;"",Roster!$A$162,"")</f>
        <v/>
      </c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</row>
    <row r="165" ht="19.5" customHeight="1">
      <c r="A165" s="27" t="str">
        <f>IF(Roster!$A$163&lt;&gt;"",Roster!$A$163,"")</f>
        <v/>
      </c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</row>
    <row r="166" ht="19.5" customHeight="1">
      <c r="A166" s="27" t="str">
        <f>IF(Roster!$A$164&lt;&gt;"",Roster!$A$164,"")</f>
        <v/>
      </c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</row>
    <row r="167" ht="19.5" customHeight="1">
      <c r="A167" s="27" t="str">
        <f>IF(Roster!$A$165&lt;&gt;"",Roster!$A$165,"")</f>
        <v/>
      </c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</row>
    <row r="168" ht="19.5" customHeight="1">
      <c r="A168" s="27" t="str">
        <f>IF(Roster!$A$166&lt;&gt;"",Roster!$A$166,"")</f>
        <v/>
      </c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</row>
    <row r="169" ht="19.5" customHeight="1">
      <c r="A169" s="27" t="str">
        <f>IF(Roster!$A$167&lt;&gt;"",Roster!$A$167,"")</f>
        <v/>
      </c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</row>
    <row r="170" ht="19.5" customHeight="1">
      <c r="A170" s="27" t="str">
        <f>IF(Roster!$A$168&lt;&gt;"",Roster!$A$168,"")</f>
        <v/>
      </c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</row>
    <row r="171" ht="19.5" customHeight="1">
      <c r="A171" s="27" t="str">
        <f>IF(Roster!$A$169&lt;&gt;"",Roster!$A$169,"")</f>
        <v/>
      </c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</row>
    <row r="172" ht="19.5" customHeight="1">
      <c r="A172" s="27" t="str">
        <f>IF(Roster!$A$170&lt;&gt;"",Roster!$A$170,"")</f>
        <v/>
      </c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</row>
    <row r="173" ht="19.5" customHeight="1">
      <c r="A173" s="27" t="str">
        <f>IF(Roster!$A$171&lt;&gt;"",Roster!$A$171,"")</f>
        <v/>
      </c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</row>
    <row r="174" ht="19.5" customHeight="1">
      <c r="A174" s="27" t="str">
        <f>IF(Roster!$A$172&lt;&gt;"",Roster!$A$172,"")</f>
        <v/>
      </c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</row>
    <row r="175" ht="19.5" customHeight="1">
      <c r="A175" s="27" t="str">
        <f>IF(Roster!$A$173&lt;&gt;"",Roster!$A$173,"")</f>
        <v/>
      </c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</row>
    <row r="176" ht="19.5" customHeight="1">
      <c r="A176" s="27" t="str">
        <f>IF(Roster!$A$174&lt;&gt;"",Roster!$A$174,"")</f>
        <v/>
      </c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</row>
    <row r="177" ht="19.5" customHeight="1">
      <c r="A177" s="27" t="str">
        <f>IF(Roster!$A$175&lt;&gt;"",Roster!$A$175,"")</f>
        <v/>
      </c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</row>
    <row r="178" ht="19.5" customHeight="1">
      <c r="A178" s="27" t="str">
        <f>IF(Roster!$A$176&lt;&gt;"",Roster!$A$176,"")</f>
        <v/>
      </c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</row>
    <row r="179" ht="19.5" customHeight="1">
      <c r="A179" s="27" t="str">
        <f>IF(Roster!$A$177&lt;&gt;"",Roster!$A$177,"")</f>
        <v/>
      </c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</row>
    <row r="180" ht="19.5" customHeight="1">
      <c r="A180" s="27" t="str">
        <f>IF(Roster!$A$178&lt;&gt;"",Roster!$A$178,"")</f>
        <v/>
      </c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</row>
    <row r="181" ht="19.5" customHeight="1">
      <c r="A181" s="27" t="str">
        <f>IF(Roster!$A$179&lt;&gt;"",Roster!$A$179,"")</f>
        <v/>
      </c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</row>
    <row r="182" ht="19.5" customHeight="1">
      <c r="A182" s="27" t="str">
        <f>IF(Roster!$A$180&lt;&gt;"",Roster!$A$180,"")</f>
        <v/>
      </c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</row>
    <row r="183" ht="19.5" customHeight="1">
      <c r="A183" s="27" t="str">
        <f>IF(Roster!$A$181&lt;&gt;"",Roster!$A$181,"")</f>
        <v/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</row>
    <row r="184" ht="19.5" customHeight="1">
      <c r="A184" s="27" t="str">
        <f>IF(Roster!$A$182&lt;&gt;"",Roster!$A$182,"")</f>
        <v/>
      </c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</row>
    <row r="185" ht="19.5" customHeight="1">
      <c r="A185" s="27" t="str">
        <f>IF(Roster!$A$183&lt;&gt;"",Roster!$A$183,"")</f>
        <v/>
      </c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</row>
    <row r="186" ht="19.5" customHeight="1">
      <c r="A186" s="27" t="str">
        <f>IF(Roster!$A$184&lt;&gt;"",Roster!$A$184,"")</f>
        <v/>
      </c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</row>
    <row r="187" ht="19.5" customHeight="1">
      <c r="A187" s="27" t="str">
        <f>IF(Roster!$A$185&lt;&gt;"",Roster!$A$185,"")</f>
        <v/>
      </c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</row>
    <row r="188" ht="19.5" customHeight="1">
      <c r="A188" s="27" t="str">
        <f>IF(Roster!$A$186&lt;&gt;"",Roster!$A$186,"")</f>
        <v/>
      </c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</row>
    <row r="189" ht="19.5" customHeight="1">
      <c r="A189" s="27" t="str">
        <f>IF(Roster!$A$187&lt;&gt;"",Roster!$A$187,"")</f>
        <v/>
      </c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</row>
    <row r="190" ht="19.5" customHeight="1">
      <c r="A190" s="27" t="str">
        <f>IF(Roster!$A$188&lt;&gt;"",Roster!$A$188,"")</f>
        <v/>
      </c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</row>
    <row r="191" ht="19.5" customHeight="1">
      <c r="A191" s="27" t="str">
        <f>IF(Roster!$A$189&lt;&gt;"",Roster!$A$189,"")</f>
        <v/>
      </c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</row>
    <row r="192" ht="19.5" customHeight="1">
      <c r="A192" s="27" t="str">
        <f>IF(Roster!$A$190&lt;&gt;"",Roster!$A$190,"")</f>
        <v/>
      </c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</row>
    <row r="193" ht="19.5" customHeight="1">
      <c r="A193" s="27" t="str">
        <f>IF(Roster!$A$191&lt;&gt;"",Roster!$A$191,"")</f>
        <v/>
      </c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</row>
    <row r="194" ht="19.5" customHeight="1">
      <c r="A194" s="27" t="str">
        <f>IF(Roster!$A$192&lt;&gt;"",Roster!$A$192,"")</f>
        <v/>
      </c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</row>
    <row r="195" ht="19.5" customHeight="1">
      <c r="A195" s="27" t="str">
        <f>IF(Roster!$A$193&lt;&gt;"",Roster!$A$193,"")</f>
        <v/>
      </c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</row>
    <row r="196" ht="19.5" customHeight="1">
      <c r="A196" s="27" t="str">
        <f>IF(Roster!$A$194&lt;&gt;"",Roster!$A$194,"")</f>
        <v/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</row>
    <row r="197" ht="19.5" customHeight="1">
      <c r="A197" s="27" t="str">
        <f>IF(Roster!$A$195&lt;&gt;"",Roster!$A$195,"")</f>
        <v/>
      </c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</row>
    <row r="198" ht="19.5" customHeight="1">
      <c r="A198" s="27" t="str">
        <f>IF(Roster!$A$196&lt;&gt;"",Roster!$A$196,"")</f>
        <v/>
      </c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</row>
    <row r="199" ht="19.5" customHeight="1">
      <c r="A199" s="27" t="str">
        <f>IF(Roster!$A$197&lt;&gt;"",Roster!$A$197,"")</f>
        <v/>
      </c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</row>
    <row r="200" ht="19.5" customHeight="1">
      <c r="A200" s="27" t="str">
        <f>IF(Roster!$A$198&lt;&gt;"",Roster!$A$198,"")</f>
        <v/>
      </c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</row>
    <row r="201" ht="19.5" customHeight="1">
      <c r="A201" s="27" t="str">
        <f>IF(Roster!$A$199&lt;&gt;"",Roster!$A$199,"")</f>
        <v/>
      </c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</row>
    <row r="202" ht="19.5" customHeight="1">
      <c r="A202" s="27" t="str">
        <f>IF(Roster!$A$200&lt;&gt;"",Roster!$A$200,"")</f>
        <v/>
      </c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</row>
    <row r="203" ht="19.5" customHeight="1">
      <c r="A203" s="27" t="str">
        <f>IF(Roster!$A$201&lt;&gt;"",Roster!$A$201,"")</f>
        <v/>
      </c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</row>
    <row r="204" ht="19.5" customHeight="1">
      <c r="A204" s="27" t="str">
        <f>IF(Roster!$A$202&lt;&gt;"",Roster!$A$202,"")</f>
        <v/>
      </c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</row>
    <row r="205" ht="19.5" customHeight="1">
      <c r="A205" s="27" t="str">
        <f>IF(Roster!$A$203&lt;&gt;"",Roster!$A$203,"")</f>
        <v/>
      </c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</row>
    <row r="206" ht="19.5" customHeight="1">
      <c r="A206" s="27" t="str">
        <f>IF(Roster!$A$204&lt;&gt;"",Roster!$A$204,"")</f>
        <v/>
      </c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</row>
    <row r="207" ht="19.5" customHeight="1"/>
    <row r="208" ht="19.5" customHeight="1"/>
    <row r="209" ht="19.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dataValidations>
    <dataValidation type="list" allowBlank="1" sqref="C7:AY200">
      <formula1>"1,0,X"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4" width="18.0"/>
    <col customWidth="1" min="5" max="7" width="16.0"/>
    <col customWidth="1" min="8" max="8" width="20.0"/>
    <col customWidth="1" min="9" max="9" width="16.0"/>
    <col customWidth="1" min="10" max="10" width="22.0"/>
    <col customWidth="1" min="11" max="26" width="8.71"/>
  </cols>
  <sheetData>
    <row r="1" ht="37.5" customHeight="1">
      <c r="A1" s="30" t="s">
        <v>91</v>
      </c>
      <c r="B1" s="31"/>
      <c r="C1" s="31"/>
      <c r="D1" s="31"/>
      <c r="E1" s="31"/>
      <c r="F1" s="31"/>
      <c r="G1" s="31"/>
      <c r="H1" s="31"/>
      <c r="I1" s="32"/>
    </row>
    <row r="2" ht="13.5" customHeight="1"/>
    <row r="3" ht="21.75" customHeight="1">
      <c r="A3" s="33" t="s">
        <v>92</v>
      </c>
      <c r="B3" s="33" t="s">
        <v>93</v>
      </c>
      <c r="C3" s="33" t="s">
        <v>94</v>
      </c>
      <c r="D3" s="33" t="s">
        <v>95</v>
      </c>
      <c r="E3" s="33" t="s">
        <v>96</v>
      </c>
      <c r="F3" s="33"/>
      <c r="G3" s="33"/>
      <c r="H3" s="33"/>
      <c r="I3" s="33"/>
    </row>
    <row r="4" ht="21.75" customHeight="1">
      <c r="A4" s="34">
        <f>SUMIF(D7:D996,"Income",F7:F996)+SUMIF(D7:D996,"Fundraiser",F7:F996)</f>
        <v>2109</v>
      </c>
      <c r="B4" s="35">
        <f>SUMIF(D7:D996,"Expense",F7:F996)</f>
        <v>2070</v>
      </c>
      <c r="C4" s="36">
        <f>A4-B4</f>
        <v>39</v>
      </c>
      <c r="D4" s="37">
        <f>IFERROR(AVERAGE(F7:F996),0)</f>
        <v>835.8</v>
      </c>
      <c r="E4" s="38">
        <f>COUNTIF(I7:I996,"Pending")</f>
        <v>0</v>
      </c>
    </row>
    <row r="5" ht="7.5" customHeight="1"/>
    <row r="6" ht="21.75" customHeight="1">
      <c r="A6" s="39" t="s">
        <v>97</v>
      </c>
      <c r="B6" s="39" t="s">
        <v>98</v>
      </c>
      <c r="C6" s="39" t="s">
        <v>55</v>
      </c>
      <c r="D6" s="39" t="s">
        <v>99</v>
      </c>
      <c r="E6" s="39" t="s">
        <v>100</v>
      </c>
      <c r="F6" s="39" t="s">
        <v>101</v>
      </c>
      <c r="G6" s="39" t="s">
        <v>102</v>
      </c>
      <c r="H6" s="39" t="s">
        <v>103</v>
      </c>
      <c r="I6" s="39" t="s">
        <v>5</v>
      </c>
      <c r="J6" s="4" t="s">
        <v>104</v>
      </c>
    </row>
    <row r="7" ht="19.5" customHeight="1">
      <c r="A7" s="40" t="s">
        <v>62</v>
      </c>
      <c r="B7" s="41" t="s">
        <v>105</v>
      </c>
      <c r="C7" s="42" t="s">
        <v>106</v>
      </c>
      <c r="D7" s="42" t="s">
        <v>107</v>
      </c>
      <c r="E7" s="41" t="s">
        <v>24</v>
      </c>
      <c r="F7" s="43">
        <v>920.0</v>
      </c>
      <c r="G7" s="41" t="s">
        <v>68</v>
      </c>
      <c r="H7" s="41"/>
      <c r="I7" s="42" t="s">
        <v>108</v>
      </c>
      <c r="J7" s="44">
        <f t="array" ref="J7">IF(G7="","",IFERROR(LET(ev_cost,INDEX(Events!$G$5:$G$506,MATCH(G7,Events!$A$5:$A$506,0)),ev_split,INDEX(Events!$I$5:$I$506,MATCH(G7,Events!$A$5:$A$506,0)),att_offset,MATCH(G7,Attendance!$B$3:$AY$3,0),attendees,COUNTIF(INDEX(Attendance!$B$7:$AY$206,0,att_offset),"1"),IF(ev_split="Equal Split",ev_cost/MAX(1,COUNTA(Roster!$A$5:$A$204)),ev_cost/MAX(1,attendees))),"N/A"))</f>
        <v>50.38461538</v>
      </c>
    </row>
    <row r="8" ht="19.5" customHeight="1">
      <c r="A8" s="40" t="s">
        <v>74</v>
      </c>
      <c r="B8" s="41" t="s">
        <v>109</v>
      </c>
      <c r="C8" s="42" t="s">
        <v>110</v>
      </c>
      <c r="D8" s="42" t="s">
        <v>107</v>
      </c>
      <c r="E8" s="41" t="s">
        <v>24</v>
      </c>
      <c r="F8" s="43">
        <v>1150.0</v>
      </c>
      <c r="G8" s="41" t="s">
        <v>73</v>
      </c>
      <c r="H8" s="41"/>
      <c r="I8" s="42" t="s">
        <v>108</v>
      </c>
      <c r="J8" s="44">
        <f t="array" ref="J8">IF(G8="","",IFERROR(LET(ev_cost,INDEX(Events!$G$5:$G$506,MATCH(G8,Events!$A$5:$A$506,0)),ev_split,INDEX(Events!$I$5:$I$506,MATCH(G8,Events!$A$5:$A$506,0)),att_offset,MATCH(G8,Attendance!$B$3:$AY$3,0),attendees,COUNTIF(INDEX(Attendance!$B$7:$AY$206,0,att_offset),"1"),IF(ev_split="Equal Split",ev_cost/MAX(1,COUNTA(Roster!$A$5:$A$204)),ev_cost/MAX(1,attendees))),"N/A"))</f>
        <v>40.38461538</v>
      </c>
    </row>
    <row r="9" ht="19.5" customHeight="1">
      <c r="A9" s="40" t="s">
        <v>111</v>
      </c>
      <c r="B9" s="41" t="s">
        <v>79</v>
      </c>
      <c r="C9" s="42" t="s">
        <v>112</v>
      </c>
      <c r="D9" s="41" t="s">
        <v>77</v>
      </c>
      <c r="E9" s="41" t="s">
        <v>24</v>
      </c>
      <c r="F9" s="45">
        <v>956.0</v>
      </c>
      <c r="G9" s="41" t="s">
        <v>79</v>
      </c>
      <c r="H9" s="41"/>
      <c r="I9" s="42" t="s">
        <v>108</v>
      </c>
      <c r="J9" s="44">
        <f t="array" ref="J9">IF(G9="","",IFERROR(LET(ev_cost,INDEX(Events!$G$5:$G$506,MATCH(G9,Events!$A$5:$A$506,0)),ev_split,INDEX(Events!$I$5:$I$506,MATCH(G9,Events!$A$5:$A$506,0)),att_offset,MATCH(G9,Attendance!$B$3:$AY$3,0),attendees,COUNTIF(INDEX(Attendance!$B$7:$AY$206,0,att_offset),"1"),IF(ev_split="Equal Split",ev_cost/MAX(1,COUNTA(Roster!$A$5:$A$204)),ev_cost/MAX(1,attendees))),"N/A"))</f>
        <v>-956</v>
      </c>
    </row>
    <row r="10" ht="19.5" customHeight="1">
      <c r="A10" s="46"/>
      <c r="B10" s="47" t="s">
        <v>76</v>
      </c>
      <c r="C10" s="47" t="s">
        <v>112</v>
      </c>
      <c r="D10" s="47" t="s">
        <v>77</v>
      </c>
      <c r="E10" s="47" t="s">
        <v>24</v>
      </c>
      <c r="F10" s="48">
        <v>123.0</v>
      </c>
      <c r="G10" s="47" t="s">
        <v>76</v>
      </c>
      <c r="H10" s="49"/>
      <c r="I10" s="47" t="s">
        <v>108</v>
      </c>
      <c r="J10" s="44">
        <f t="array" ref="J10">IF(G10="","",IFERROR(LET(ev_cost,INDEX(Events!$G$5:$G$506,MATCH(G10,Events!$A$5:$A$506,0)),ev_split,INDEX(Events!$I$5:$I$506,MATCH(G10,Events!$A$5:$A$506,0)),att_offset,MATCH(G10,Attendance!$B$3:$AY$3,0),attendees,COUNTIF(INDEX(Attendance!$B$7:$AY$206,0,att_offset),"1"),IF(ev_split="Equal Split",ev_cost/MAX(1,COUNTA(Roster!$A$5:$A$204)),ev_cost/MAX(1,attendees))),"N/A"))</f>
        <v>-123</v>
      </c>
    </row>
    <row r="11" ht="19.5" customHeight="1">
      <c r="A11" s="50"/>
      <c r="B11" s="51" t="s">
        <v>113</v>
      </c>
      <c r="C11" s="51" t="s">
        <v>112</v>
      </c>
      <c r="D11" s="51" t="s">
        <v>77</v>
      </c>
      <c r="E11" s="51" t="s">
        <v>24</v>
      </c>
      <c r="F11" s="52">
        <v>1030.0</v>
      </c>
      <c r="G11" s="51" t="s">
        <v>80</v>
      </c>
      <c r="H11" s="53"/>
      <c r="I11" s="51" t="s">
        <v>108</v>
      </c>
      <c r="J11" s="44">
        <f t="array" ref="J11">IF(G11="","",IFERROR(LET(ev_cost,INDEX(Events!$G$5:$G$506,MATCH(G11,Events!$A$5:$A$506,0)),ev_split,INDEX(Events!$I$5:$I$506,MATCH(G11,Events!$A$5:$A$506,0)),att_offset,MATCH(G11,Attendance!$B$3:$AY$3,0),attendees,COUNTIF(INDEX(Attendance!$B$7:$AY$206,0,att_offset),"1"),IF(ev_split="Equal Split",ev_cost/MAX(1,COUNTA(Roster!$A$5:$A$204)),ev_cost/MAX(1,attendees))),"N/A"))</f>
        <v>1030</v>
      </c>
    </row>
    <row r="12" ht="19.5" customHeight="1">
      <c r="A12" s="46"/>
      <c r="B12" s="49"/>
      <c r="C12" s="49"/>
      <c r="D12" s="49"/>
      <c r="E12" s="49"/>
      <c r="F12" s="54"/>
      <c r="G12" s="49"/>
      <c r="H12" s="49"/>
      <c r="I12" s="49"/>
      <c r="J12" s="44" t="str">
        <f t="array" ref="J12">IF(G12="","",IFERROR(LET(ev_cost,INDEX(Events!$G$5:$G$506,MATCH(G12,Events!$A$5:$A$506,0)),ev_split,INDEX(Events!$I$5:$I$506,MATCH(G12,Events!$A$5:$A$506,0)),att_offset,MATCH(G12,Attendance!$B$3:$AY$3,0),attendees,COUNTIF(INDEX(Attendance!$B$7:$AY$206,0,att_offset),"1"),IF(ev_split="Equal Split",ev_cost/MAX(1,COUNTA(Roster!$A$5:$A$204)),ev_cost/MAX(1,attendees))),"N/A"))</f>
        <v/>
      </c>
    </row>
    <row r="13" ht="19.5" customHeight="1">
      <c r="A13" s="50"/>
      <c r="B13" s="53"/>
      <c r="C13" s="53"/>
      <c r="D13" s="53"/>
      <c r="E13" s="53"/>
      <c r="F13" s="55"/>
      <c r="G13" s="53"/>
      <c r="H13" s="53"/>
      <c r="I13" s="53"/>
      <c r="J13" s="44" t="str">
        <f t="array" ref="J13">IF(G13="","",IFERROR(LET(ev_cost,INDEX(Events!$G$5:$G$506,MATCH(G13,Events!$A$5:$A$506,0)),ev_split,INDEX(Events!$I$5:$I$506,MATCH(G13,Events!$A$5:$A$506,0)),att_offset,MATCH(G13,Attendance!$B$3:$AY$3,0),attendees,COUNTIF(INDEX(Attendance!$B$7:$AY$206,0,att_offset),"1"),IF(ev_split="Equal Split",ev_cost/MAX(1,COUNTA(Roster!$A$5:$A$204)),ev_cost/MAX(1,attendees))),"N/A"))</f>
        <v/>
      </c>
    </row>
    <row r="14" ht="19.5" customHeight="1">
      <c r="A14" s="46"/>
      <c r="B14" s="49"/>
      <c r="C14" s="49"/>
      <c r="D14" s="49"/>
      <c r="E14" s="49"/>
      <c r="F14" s="54"/>
      <c r="G14" s="49"/>
      <c r="H14" s="49"/>
      <c r="I14" s="49"/>
      <c r="J14" s="44" t="str">
        <f t="array" ref="J14">IF(G14="","",IFERROR(LET(ev_cost,INDEX(Events!$G$5:$G$506,MATCH(G14,Events!$A$5:$A$506,0)),ev_split,INDEX(Events!$I$5:$I$506,MATCH(G14,Events!$A$5:$A$506,0)),att_offset,MATCH(G14,Attendance!$B$3:$AY$3,0),attendees,COUNTIF(INDEX(Attendance!$B$7:$AY$206,0,att_offset),"1"),IF(ev_split="Equal Split",ev_cost/MAX(1,COUNTA(Roster!$A$5:$A$204)),ev_cost/MAX(1,attendees))),"N/A"))</f>
        <v/>
      </c>
    </row>
    <row r="15" ht="19.5" customHeight="1">
      <c r="A15" s="50"/>
      <c r="B15" s="53"/>
      <c r="C15" s="53"/>
      <c r="D15" s="53"/>
      <c r="E15" s="53"/>
      <c r="F15" s="55"/>
      <c r="G15" s="53"/>
      <c r="H15" s="53"/>
      <c r="I15" s="53"/>
      <c r="J15" s="44" t="str">
        <f t="array" ref="J15">IF(G15="","",IFERROR(LET(ev_cost,INDEX(Events!$G$5:$G$506,MATCH(G15,Events!$A$5:$A$506,0)),ev_split,INDEX(Events!$I$5:$I$506,MATCH(G15,Events!$A$5:$A$506,0)),att_offset,MATCH(G15,Attendance!$B$3:$AY$3,0),attendees,COUNTIF(INDEX(Attendance!$B$7:$AY$206,0,att_offset),"1"),IF(ev_split="Equal Split",ev_cost/MAX(1,COUNTA(Roster!$A$5:$A$204)),ev_cost/MAX(1,attendees))),"N/A"))</f>
        <v/>
      </c>
    </row>
    <row r="16" ht="19.5" customHeight="1">
      <c r="A16" s="46"/>
      <c r="B16" s="49"/>
      <c r="C16" s="49"/>
      <c r="D16" s="49"/>
      <c r="E16" s="49"/>
      <c r="F16" s="54"/>
      <c r="G16" s="49"/>
      <c r="H16" s="49"/>
      <c r="I16" s="49"/>
      <c r="J16" s="44" t="str">
        <f t="array" ref="J16">IF(G16="","",IFERROR(LET(ev_cost,INDEX(Events!$G$5:$G$506,MATCH(G16,Events!$A$5:$A$506,0)),ev_split,INDEX(Events!$I$5:$I$506,MATCH(G16,Events!$A$5:$A$506,0)),att_offset,MATCH(G16,Attendance!$B$3:$AY$3,0),attendees,COUNTIF(INDEX(Attendance!$B$7:$AY$206,0,att_offset),"1"),IF(ev_split="Equal Split",ev_cost/MAX(1,COUNTA(Roster!$A$5:$A$204)),ev_cost/MAX(1,attendees))),"N/A"))</f>
        <v/>
      </c>
    </row>
    <row r="17" ht="19.5" customHeight="1">
      <c r="A17" s="50"/>
      <c r="B17" s="53"/>
      <c r="C17" s="53"/>
      <c r="D17" s="53"/>
      <c r="E17" s="53"/>
      <c r="F17" s="55"/>
      <c r="G17" s="53"/>
      <c r="H17" s="53"/>
      <c r="I17" s="53"/>
      <c r="J17" s="44" t="str">
        <f t="array" ref="J17">IF(G17="","",IFERROR(LET(ev_cost,INDEX(Events!$G$5:$G$506,MATCH(G17,Events!$A$5:$A$506,0)),ev_split,INDEX(Events!$I$5:$I$506,MATCH(G17,Events!$A$5:$A$506,0)),att_offset,MATCH(G17,Attendance!$B$3:$AY$3,0),attendees,COUNTIF(INDEX(Attendance!$B$7:$AY$206,0,att_offset),"1"),IF(ev_split="Equal Split",ev_cost/MAX(1,COUNTA(Roster!$A$5:$A$204)),ev_cost/MAX(1,attendees))),"N/A"))</f>
        <v/>
      </c>
    </row>
    <row r="18" ht="19.5" customHeight="1">
      <c r="A18" s="46"/>
      <c r="B18" s="49"/>
      <c r="C18" s="49"/>
      <c r="D18" s="49"/>
      <c r="E18" s="49"/>
      <c r="F18" s="54"/>
      <c r="G18" s="49"/>
      <c r="H18" s="49"/>
      <c r="I18" s="49"/>
      <c r="J18" s="44" t="str">
        <f t="array" ref="J18">IF(G18="","",IFERROR(LET(ev_cost,INDEX(Events!$G$5:$G$506,MATCH(G18,Events!$A$5:$A$506,0)),ev_split,INDEX(Events!$I$5:$I$506,MATCH(G18,Events!$A$5:$A$506,0)),att_offset,MATCH(G18,Attendance!$B$3:$AY$3,0),attendees,COUNTIF(INDEX(Attendance!$B$7:$AY$206,0,att_offset),"1"),IF(ev_split="Equal Split",ev_cost/MAX(1,COUNTA(Roster!$A$5:$A$204)),ev_cost/MAX(1,attendees))),"N/A"))</f>
        <v/>
      </c>
    </row>
    <row r="19" ht="19.5" customHeight="1">
      <c r="A19" s="50"/>
      <c r="B19" s="53"/>
      <c r="C19" s="53"/>
      <c r="D19" s="53"/>
      <c r="E19" s="53"/>
      <c r="F19" s="55"/>
      <c r="G19" s="53"/>
      <c r="H19" s="53"/>
      <c r="I19" s="53"/>
      <c r="J19" s="44" t="str">
        <f t="array" ref="J19">IF(G19="","",IFERROR(LET(ev_cost,INDEX(Events!$G$5:$G$506,MATCH(G19,Events!$A$5:$A$506,0)),ev_split,INDEX(Events!$I$5:$I$506,MATCH(G19,Events!$A$5:$A$506,0)),att_offset,MATCH(G19,Attendance!$B$3:$AY$3,0),attendees,COUNTIF(INDEX(Attendance!$B$7:$AY$206,0,att_offset),"1"),IF(ev_split="Equal Split",ev_cost/MAX(1,COUNTA(Roster!$A$5:$A$204)),ev_cost/MAX(1,attendees))),"N/A"))</f>
        <v/>
      </c>
    </row>
    <row r="20" ht="19.5" customHeight="1">
      <c r="A20" s="46"/>
      <c r="B20" s="49"/>
      <c r="C20" s="49"/>
      <c r="D20" s="49"/>
      <c r="E20" s="49"/>
      <c r="F20" s="54"/>
      <c r="G20" s="49"/>
      <c r="H20" s="49"/>
      <c r="I20" s="49"/>
      <c r="J20" s="44" t="str">
        <f t="array" ref="J20">IF(G20="","",IFERROR(LET(ev_cost,INDEX(Events!$G$5:$G$506,MATCH(G20,Events!$A$5:$A$506,0)),ev_split,INDEX(Events!$I$5:$I$506,MATCH(G20,Events!$A$5:$A$506,0)),att_offset,MATCH(G20,Attendance!$B$3:$AY$3,0),attendees,COUNTIF(INDEX(Attendance!$B$7:$AY$206,0,att_offset),"1"),IF(ev_split="Equal Split",ev_cost/MAX(1,COUNTA(Roster!$A$5:$A$204)),ev_cost/MAX(1,attendees))),"N/A"))</f>
        <v/>
      </c>
    </row>
    <row r="21" ht="19.5" customHeight="1">
      <c r="A21" s="50"/>
      <c r="B21" s="53"/>
      <c r="C21" s="53"/>
      <c r="D21" s="53"/>
      <c r="E21" s="53"/>
      <c r="F21" s="55"/>
      <c r="G21" s="53"/>
      <c r="H21" s="53"/>
      <c r="I21" s="53"/>
      <c r="J21" s="44" t="str">
        <f t="array" ref="J21">IF(G21="","",IFERROR(LET(ev_cost,INDEX(Events!$G$5:$G$506,MATCH(G21,Events!$A$5:$A$506,0)),ev_split,INDEX(Events!$I$5:$I$506,MATCH(G21,Events!$A$5:$A$506,0)),att_offset,MATCH(G21,Attendance!$B$3:$AY$3,0),attendees,COUNTIF(INDEX(Attendance!$B$7:$AY$206,0,att_offset),"1"),IF(ev_split="Equal Split",ev_cost/MAX(1,COUNTA(Roster!$A$5:$A$204)),ev_cost/MAX(1,attendees))),"N/A"))</f>
        <v/>
      </c>
    </row>
    <row r="22" ht="19.5" customHeight="1">
      <c r="A22" s="46"/>
      <c r="B22" s="49"/>
      <c r="C22" s="49"/>
      <c r="D22" s="49"/>
      <c r="E22" s="49"/>
      <c r="F22" s="54"/>
      <c r="G22" s="49"/>
      <c r="H22" s="49"/>
      <c r="I22" s="49"/>
      <c r="J22" s="44" t="str">
        <f t="array" ref="J22">IF(G22="","",IFERROR(LET(ev_cost,INDEX(Events!$G$5:$G$506,MATCH(G22,Events!$A$5:$A$506,0)),ev_split,INDEX(Events!$I$5:$I$506,MATCH(G22,Events!$A$5:$A$506,0)),att_offset,MATCH(G22,Attendance!$B$3:$AY$3,0),attendees,COUNTIF(INDEX(Attendance!$B$7:$AY$206,0,att_offset),"1"),IF(ev_split="Equal Split",ev_cost/MAX(1,COUNTA(Roster!$A$5:$A$204)),ev_cost/MAX(1,attendees))),"N/A"))</f>
        <v/>
      </c>
    </row>
    <row r="23" ht="19.5" customHeight="1">
      <c r="A23" s="50"/>
      <c r="B23" s="53"/>
      <c r="C23" s="53"/>
      <c r="D23" s="53"/>
      <c r="E23" s="53"/>
      <c r="F23" s="55"/>
      <c r="G23" s="53"/>
      <c r="H23" s="53"/>
      <c r="I23" s="53"/>
      <c r="J23" s="44" t="str">
        <f t="array" ref="J23">IF(G23="","",IFERROR(LET(ev_cost,INDEX(Events!$G$5:$G$506,MATCH(G23,Events!$A$5:$A$506,0)),ev_split,INDEX(Events!$I$5:$I$506,MATCH(G23,Events!$A$5:$A$506,0)),att_offset,MATCH(G23,Attendance!$B$3:$AY$3,0),attendees,COUNTIF(INDEX(Attendance!$B$7:$AY$206,0,att_offset),"1"),IF(ev_split="Equal Split",ev_cost/MAX(1,COUNTA(Roster!$A$5:$A$204)),ev_cost/MAX(1,attendees))),"N/A"))</f>
        <v/>
      </c>
    </row>
    <row r="24" ht="19.5" customHeight="1">
      <c r="A24" s="46"/>
      <c r="B24" s="49"/>
      <c r="C24" s="49"/>
      <c r="D24" s="49"/>
      <c r="E24" s="49"/>
      <c r="F24" s="54"/>
      <c r="G24" s="49"/>
      <c r="H24" s="49"/>
      <c r="I24" s="49"/>
      <c r="J24" s="44" t="str">
        <f t="array" ref="J24">IF(G24="","",IFERROR(LET(ev_cost,INDEX(Events!$G$5:$G$506,MATCH(G24,Events!$A$5:$A$506,0)),ev_split,INDEX(Events!$I$5:$I$506,MATCH(G24,Events!$A$5:$A$506,0)),att_offset,MATCH(G24,Attendance!$B$3:$AY$3,0),attendees,COUNTIF(INDEX(Attendance!$B$7:$AY$206,0,att_offset),"1"),IF(ev_split="Equal Split",ev_cost/MAX(1,COUNTA(Roster!$A$5:$A$204)),ev_cost/MAX(1,attendees))),"N/A"))</f>
        <v/>
      </c>
    </row>
    <row r="25" ht="19.5" customHeight="1">
      <c r="A25" s="50"/>
      <c r="B25" s="53"/>
      <c r="C25" s="53"/>
      <c r="D25" s="53"/>
      <c r="E25" s="53"/>
      <c r="F25" s="55"/>
      <c r="G25" s="53"/>
      <c r="H25" s="53"/>
      <c r="I25" s="53"/>
      <c r="J25" s="44" t="str">
        <f t="array" ref="J25">IF(G25="","",IFERROR(LET(ev_cost,INDEX(Events!$G$5:$G$506,MATCH(G25,Events!$A$5:$A$506,0)),ev_split,INDEX(Events!$I$5:$I$506,MATCH(G25,Events!$A$5:$A$506,0)),att_offset,MATCH(G25,Attendance!$B$3:$AY$3,0),attendees,COUNTIF(INDEX(Attendance!$B$7:$AY$206,0,att_offset),"1"),IF(ev_split="Equal Split",ev_cost/MAX(1,COUNTA(Roster!$A$5:$A$204)),ev_cost/MAX(1,attendees))),"N/A"))</f>
        <v/>
      </c>
    </row>
    <row r="26" ht="19.5" customHeight="1">
      <c r="A26" s="46"/>
      <c r="B26" s="49"/>
      <c r="C26" s="49"/>
      <c r="D26" s="49"/>
      <c r="E26" s="49"/>
      <c r="F26" s="54"/>
      <c r="G26" s="49"/>
      <c r="H26" s="49"/>
      <c r="I26" s="49"/>
      <c r="J26" s="44" t="str">
        <f t="array" ref="J26">IF(G26="","",IFERROR(LET(ev_cost,INDEX(Events!$G$5:$G$506,MATCH(G26,Events!$A$5:$A$506,0)),ev_split,INDEX(Events!$I$5:$I$506,MATCH(G26,Events!$A$5:$A$506,0)),att_offset,MATCH(G26,Attendance!$B$3:$AY$3,0),attendees,COUNTIF(INDEX(Attendance!$B$7:$AY$206,0,att_offset),"1"),IF(ev_split="Equal Split",ev_cost/MAX(1,COUNTA(Roster!$A$5:$A$204)),ev_cost/MAX(1,attendees))),"N/A"))</f>
        <v/>
      </c>
    </row>
    <row r="27" ht="19.5" customHeight="1">
      <c r="A27" s="50"/>
      <c r="B27" s="53"/>
      <c r="C27" s="53"/>
      <c r="D27" s="53"/>
      <c r="E27" s="53"/>
      <c r="F27" s="55"/>
      <c r="G27" s="53"/>
      <c r="H27" s="53"/>
      <c r="I27" s="53"/>
      <c r="J27" s="44" t="str">
        <f t="array" ref="J27">IF(G27="","",IFERROR(LET(ev_cost,INDEX(Events!$G$5:$G$506,MATCH(G27,Events!$A$5:$A$506,0)),ev_split,INDEX(Events!$I$5:$I$506,MATCH(G27,Events!$A$5:$A$506,0)),att_offset,MATCH(G27,Attendance!$B$3:$AY$3,0),attendees,COUNTIF(INDEX(Attendance!$B$7:$AY$206,0,att_offset),"1"),IF(ev_split="Equal Split",ev_cost/MAX(1,COUNTA(Roster!$A$5:$A$204)),ev_cost/MAX(1,attendees))),"N/A"))</f>
        <v/>
      </c>
    </row>
    <row r="28" ht="19.5" customHeight="1">
      <c r="A28" s="46"/>
      <c r="B28" s="49"/>
      <c r="C28" s="49"/>
      <c r="D28" s="49"/>
      <c r="E28" s="49"/>
      <c r="F28" s="54"/>
      <c r="G28" s="49"/>
      <c r="H28" s="49"/>
      <c r="I28" s="49"/>
      <c r="J28" s="44" t="str">
        <f t="array" ref="J28">IF(G28="","",IFERROR(LET(ev_cost,INDEX(Events!$G$5:$G$506,MATCH(G28,Events!$A$5:$A$506,0)),ev_split,INDEX(Events!$I$5:$I$506,MATCH(G28,Events!$A$5:$A$506,0)),att_offset,MATCH(G28,Attendance!$B$3:$AY$3,0),attendees,COUNTIF(INDEX(Attendance!$B$7:$AY$206,0,att_offset),"1"),IF(ev_split="Equal Split",ev_cost/MAX(1,COUNTA(Roster!$A$5:$A$204)),ev_cost/MAX(1,attendees))),"N/A"))</f>
        <v/>
      </c>
    </row>
    <row r="29" ht="19.5" customHeight="1">
      <c r="A29" s="50"/>
      <c r="B29" s="53"/>
      <c r="C29" s="53"/>
      <c r="D29" s="53"/>
      <c r="E29" s="53"/>
      <c r="F29" s="55"/>
      <c r="G29" s="53"/>
      <c r="H29" s="53"/>
      <c r="I29" s="53"/>
      <c r="J29" s="44" t="str">
        <f t="array" ref="J29">IF(G29="","",IFERROR(LET(ev_cost,INDEX(Events!$G$5:$G$506,MATCH(G29,Events!$A$5:$A$506,0)),ev_split,INDEX(Events!$I$5:$I$506,MATCH(G29,Events!$A$5:$A$506,0)),att_offset,MATCH(G29,Attendance!$B$3:$AY$3,0),attendees,COUNTIF(INDEX(Attendance!$B$7:$AY$206,0,att_offset),"1"),IF(ev_split="Equal Split",ev_cost/MAX(1,COUNTA(Roster!$A$5:$A$204)),ev_cost/MAX(1,attendees))),"N/A"))</f>
        <v/>
      </c>
    </row>
    <row r="30" ht="19.5" customHeight="1">
      <c r="A30" s="46"/>
      <c r="B30" s="49"/>
      <c r="C30" s="49"/>
      <c r="D30" s="49"/>
      <c r="E30" s="49"/>
      <c r="F30" s="54"/>
      <c r="G30" s="49"/>
      <c r="H30" s="49"/>
      <c r="I30" s="49"/>
      <c r="J30" s="44" t="str">
        <f t="array" ref="J30">IF(G30="","",IFERROR(LET(ev_cost,INDEX(Events!$G$5:$G$506,MATCH(G30,Events!$A$5:$A$506,0)),ev_split,INDEX(Events!$I$5:$I$506,MATCH(G30,Events!$A$5:$A$506,0)),att_offset,MATCH(G30,Attendance!$B$3:$AY$3,0),attendees,COUNTIF(INDEX(Attendance!$B$7:$AY$206,0,att_offset),"1"),IF(ev_split="Equal Split",ev_cost/MAX(1,COUNTA(Roster!$A$5:$A$204)),ev_cost/MAX(1,attendees))),"N/A"))</f>
        <v/>
      </c>
    </row>
    <row r="31" ht="19.5" customHeight="1">
      <c r="A31" s="50"/>
      <c r="B31" s="53"/>
      <c r="C31" s="53"/>
      <c r="D31" s="53"/>
      <c r="E31" s="53"/>
      <c r="F31" s="55"/>
      <c r="G31" s="53"/>
      <c r="H31" s="53"/>
      <c r="I31" s="53"/>
      <c r="J31" s="44" t="str">
        <f t="array" ref="J31">IF(G31="","",IFERROR(LET(ev_cost,INDEX(Events!$G$5:$G$506,MATCH(G31,Events!$A$5:$A$506,0)),ev_split,INDEX(Events!$I$5:$I$506,MATCH(G31,Events!$A$5:$A$506,0)),att_offset,MATCH(G31,Attendance!$B$3:$AY$3,0),attendees,COUNTIF(INDEX(Attendance!$B$7:$AY$206,0,att_offset),"1"),IF(ev_split="Equal Split",ev_cost/MAX(1,COUNTA(Roster!$A$5:$A$204)),ev_cost/MAX(1,attendees))),"N/A"))</f>
        <v/>
      </c>
    </row>
    <row r="32" ht="19.5" customHeight="1">
      <c r="A32" s="46"/>
      <c r="B32" s="49"/>
      <c r="C32" s="49"/>
      <c r="D32" s="49"/>
      <c r="E32" s="49"/>
      <c r="F32" s="54"/>
      <c r="G32" s="49"/>
      <c r="H32" s="49"/>
      <c r="I32" s="49"/>
      <c r="J32" s="44" t="str">
        <f t="array" ref="J32">IF(G32="","",IFERROR(LET(ev_cost,INDEX(Events!$G$5:$G$506,MATCH(G32,Events!$A$5:$A$506,0)),ev_split,INDEX(Events!$I$5:$I$506,MATCH(G32,Events!$A$5:$A$506,0)),att_offset,MATCH(G32,Attendance!$B$3:$AY$3,0),attendees,COUNTIF(INDEX(Attendance!$B$7:$AY$206,0,att_offset),"1"),IF(ev_split="Equal Split",ev_cost/MAX(1,COUNTA(Roster!$A$5:$A$204)),ev_cost/MAX(1,attendees))),"N/A"))</f>
        <v/>
      </c>
    </row>
    <row r="33" ht="19.5" customHeight="1">
      <c r="A33" s="50"/>
      <c r="B33" s="53"/>
      <c r="C33" s="53"/>
      <c r="D33" s="53"/>
      <c r="E33" s="53"/>
      <c r="F33" s="55"/>
      <c r="G33" s="53"/>
      <c r="H33" s="53"/>
      <c r="I33" s="53"/>
      <c r="J33" s="44" t="str">
        <f t="array" ref="J33">IF(G33="","",IFERROR(LET(ev_cost,INDEX(Events!$G$5:$G$506,MATCH(G33,Events!$A$5:$A$506,0)),ev_split,INDEX(Events!$I$5:$I$506,MATCH(G33,Events!$A$5:$A$506,0)),att_offset,MATCH(G33,Attendance!$B$3:$AY$3,0),attendees,COUNTIF(INDEX(Attendance!$B$7:$AY$206,0,att_offset),"1"),IF(ev_split="Equal Split",ev_cost/MAX(1,COUNTA(Roster!$A$5:$A$204)),ev_cost/MAX(1,attendees))),"N/A"))</f>
        <v/>
      </c>
    </row>
    <row r="34" ht="19.5" customHeight="1">
      <c r="A34" s="46"/>
      <c r="B34" s="49"/>
      <c r="C34" s="49"/>
      <c r="D34" s="49"/>
      <c r="E34" s="49"/>
      <c r="F34" s="54"/>
      <c r="G34" s="49"/>
      <c r="H34" s="49"/>
      <c r="I34" s="49"/>
      <c r="J34" s="44" t="str">
        <f t="array" ref="J34">IF(G34="","",IFERROR(LET(ev_cost,INDEX(Events!$G$5:$G$506,MATCH(G34,Events!$A$5:$A$506,0)),ev_split,INDEX(Events!$I$5:$I$506,MATCH(G34,Events!$A$5:$A$506,0)),att_offset,MATCH(G34,Attendance!$B$3:$AY$3,0),attendees,COUNTIF(INDEX(Attendance!$B$7:$AY$206,0,att_offset),"1"),IF(ev_split="Equal Split",ev_cost/MAX(1,COUNTA(Roster!$A$5:$A$204)),ev_cost/MAX(1,attendees))),"N/A"))</f>
        <v/>
      </c>
    </row>
    <row r="35" ht="19.5" customHeight="1">
      <c r="A35" s="50"/>
      <c r="B35" s="53"/>
      <c r="C35" s="53"/>
      <c r="D35" s="53"/>
      <c r="E35" s="53"/>
      <c r="F35" s="55"/>
      <c r="G35" s="53"/>
      <c r="H35" s="53"/>
      <c r="I35" s="53"/>
      <c r="J35" s="44" t="str">
        <f t="array" ref="J35">IF(G35="","",IFERROR(LET(ev_cost,INDEX(Events!$G$5:$G$506,MATCH(G35,Events!$A$5:$A$506,0)),ev_split,INDEX(Events!$I$5:$I$506,MATCH(G35,Events!$A$5:$A$506,0)),att_offset,MATCH(G35,Attendance!$B$3:$AY$3,0),attendees,COUNTIF(INDEX(Attendance!$B$7:$AY$206,0,att_offset),"1"),IF(ev_split="Equal Split",ev_cost/MAX(1,COUNTA(Roster!$A$5:$A$204)),ev_cost/MAX(1,attendees))),"N/A"))</f>
        <v/>
      </c>
    </row>
    <row r="36" ht="19.5" customHeight="1">
      <c r="A36" s="46"/>
      <c r="B36" s="49"/>
      <c r="C36" s="49"/>
      <c r="D36" s="49"/>
      <c r="E36" s="49"/>
      <c r="F36" s="54"/>
      <c r="G36" s="49"/>
      <c r="H36" s="49"/>
      <c r="I36" s="49"/>
      <c r="J36" s="44" t="str">
        <f t="array" ref="J36">IF(G36="","",IFERROR(LET(ev_cost,INDEX(Events!$G$5:$G$506,MATCH(G36,Events!$A$5:$A$506,0)),ev_split,INDEX(Events!$I$5:$I$506,MATCH(G36,Events!$A$5:$A$506,0)),att_offset,MATCH(G36,Attendance!$B$3:$AY$3,0),attendees,COUNTIF(INDEX(Attendance!$B$7:$AY$206,0,att_offset),"1"),IF(ev_split="Equal Split",ev_cost/MAX(1,COUNTA(Roster!$A$5:$A$204)),ev_cost/MAX(1,attendees))),"N/A"))</f>
        <v/>
      </c>
    </row>
    <row r="37" ht="19.5" customHeight="1">
      <c r="A37" s="50"/>
      <c r="B37" s="53"/>
      <c r="C37" s="53"/>
      <c r="D37" s="53"/>
      <c r="E37" s="53"/>
      <c r="F37" s="55"/>
      <c r="G37" s="53"/>
      <c r="H37" s="53"/>
      <c r="I37" s="53"/>
      <c r="J37" s="44" t="str">
        <f t="array" ref="J37">IF(G37="","",IFERROR(LET(ev_cost,INDEX(Events!$G$5:$G$506,MATCH(G37,Events!$A$5:$A$506,0)),ev_split,INDEX(Events!$I$5:$I$506,MATCH(G37,Events!$A$5:$A$506,0)),att_offset,MATCH(G37,Attendance!$B$3:$AY$3,0),attendees,COUNTIF(INDEX(Attendance!$B$7:$AY$206,0,att_offset),"1"),IF(ev_split="Equal Split",ev_cost/MAX(1,COUNTA(Roster!$A$5:$A$204)),ev_cost/MAX(1,attendees))),"N/A"))</f>
        <v/>
      </c>
    </row>
    <row r="38" ht="19.5" customHeight="1">
      <c r="A38" s="46"/>
      <c r="B38" s="49"/>
      <c r="C38" s="49"/>
      <c r="D38" s="49"/>
      <c r="E38" s="49"/>
      <c r="F38" s="54"/>
      <c r="G38" s="49"/>
      <c r="H38" s="49"/>
      <c r="I38" s="49"/>
      <c r="J38" s="44" t="str">
        <f t="array" ref="J38">IF(G38="","",IFERROR(LET(ev_cost,INDEX(Events!$G$5:$G$506,MATCH(G38,Events!$A$5:$A$506,0)),ev_split,INDEX(Events!$I$5:$I$506,MATCH(G38,Events!$A$5:$A$506,0)),att_offset,MATCH(G38,Attendance!$B$3:$AY$3,0),attendees,COUNTIF(INDEX(Attendance!$B$7:$AY$206,0,att_offset),"1"),IF(ev_split="Equal Split",ev_cost/MAX(1,COUNTA(Roster!$A$5:$A$204)),ev_cost/MAX(1,attendees))),"N/A"))</f>
        <v/>
      </c>
    </row>
    <row r="39" ht="19.5" customHeight="1">
      <c r="A39" s="50"/>
      <c r="B39" s="53"/>
      <c r="C39" s="53"/>
      <c r="D39" s="53"/>
      <c r="E39" s="53"/>
      <c r="F39" s="55"/>
      <c r="G39" s="53"/>
      <c r="H39" s="53"/>
      <c r="I39" s="53"/>
      <c r="J39" s="44" t="str">
        <f t="array" ref="J39">IF(G39="","",IFERROR(LET(ev_cost,INDEX(Events!$G$5:$G$506,MATCH(G39,Events!$A$5:$A$506,0)),ev_split,INDEX(Events!$I$5:$I$506,MATCH(G39,Events!$A$5:$A$506,0)),att_offset,MATCH(G39,Attendance!$B$3:$AY$3,0),attendees,COUNTIF(INDEX(Attendance!$B$7:$AY$206,0,att_offset),"1"),IF(ev_split="Equal Split",ev_cost/MAX(1,COUNTA(Roster!$A$5:$A$204)),ev_cost/MAX(1,attendees))),"N/A"))</f>
        <v/>
      </c>
    </row>
    <row r="40" ht="19.5" customHeight="1">
      <c r="A40" s="46"/>
      <c r="B40" s="49"/>
      <c r="C40" s="49"/>
      <c r="D40" s="49"/>
      <c r="E40" s="49"/>
      <c r="F40" s="54"/>
      <c r="G40" s="49"/>
      <c r="H40" s="49"/>
      <c r="I40" s="49"/>
      <c r="J40" s="44" t="str">
        <f t="array" ref="J40">IF(G40="","",IFERROR(LET(ev_cost,INDEX(Events!$G$5:$G$506,MATCH(G40,Events!$A$5:$A$506,0)),ev_split,INDEX(Events!$I$5:$I$506,MATCH(G40,Events!$A$5:$A$506,0)),att_offset,MATCH(G40,Attendance!$B$3:$AY$3,0),attendees,COUNTIF(INDEX(Attendance!$B$7:$AY$206,0,att_offset),"1"),IF(ev_split="Equal Split",ev_cost/MAX(1,COUNTA(Roster!$A$5:$A$204)),ev_cost/MAX(1,attendees))),"N/A"))</f>
        <v/>
      </c>
    </row>
    <row r="41" ht="19.5" customHeight="1">
      <c r="A41" s="50"/>
      <c r="B41" s="53"/>
      <c r="C41" s="53"/>
      <c r="D41" s="53"/>
      <c r="E41" s="53"/>
      <c r="F41" s="55"/>
      <c r="G41" s="53"/>
      <c r="H41" s="53"/>
      <c r="I41" s="53"/>
      <c r="J41" s="44" t="str">
        <f t="array" ref="J41">IF(G41="","",IFERROR(LET(ev_cost,INDEX(Events!$G$5:$G$506,MATCH(G41,Events!$A$5:$A$506,0)),ev_split,INDEX(Events!$I$5:$I$506,MATCH(G41,Events!$A$5:$A$506,0)),att_offset,MATCH(G41,Attendance!$B$3:$AY$3,0),attendees,COUNTIF(INDEX(Attendance!$B$7:$AY$206,0,att_offset),"1"),IF(ev_split="Equal Split",ev_cost/MAX(1,COUNTA(Roster!$A$5:$A$204)),ev_cost/MAX(1,attendees))),"N/A"))</f>
        <v/>
      </c>
    </row>
    <row r="42" ht="19.5" customHeight="1">
      <c r="A42" s="46"/>
      <c r="B42" s="49"/>
      <c r="C42" s="49"/>
      <c r="D42" s="49"/>
      <c r="E42" s="49"/>
      <c r="F42" s="54"/>
      <c r="G42" s="49"/>
      <c r="H42" s="49"/>
      <c r="I42" s="49"/>
      <c r="J42" s="44" t="str">
        <f t="array" ref="J42">IF(G42="","",IFERROR(LET(ev_cost,INDEX(Events!$G$5:$G$506,MATCH(G42,Events!$A$5:$A$506,0)),ev_split,INDEX(Events!$I$5:$I$506,MATCH(G42,Events!$A$5:$A$506,0)),att_offset,MATCH(G42,Attendance!$B$3:$AY$3,0),attendees,COUNTIF(INDEX(Attendance!$B$7:$AY$206,0,att_offset),"1"),IF(ev_split="Equal Split",ev_cost/MAX(1,COUNTA(Roster!$A$5:$A$204)),ev_cost/MAX(1,attendees))),"N/A"))</f>
        <v/>
      </c>
    </row>
    <row r="43" ht="19.5" customHeight="1">
      <c r="A43" s="50"/>
      <c r="B43" s="53"/>
      <c r="C43" s="53"/>
      <c r="D43" s="53"/>
      <c r="E43" s="53"/>
      <c r="F43" s="55"/>
      <c r="G43" s="53"/>
      <c r="H43" s="53"/>
      <c r="I43" s="53"/>
      <c r="J43" s="44" t="str">
        <f t="array" ref="J43">IF(G43="","",IFERROR(LET(ev_cost,INDEX(Events!$G$5:$G$506,MATCH(G43,Events!$A$5:$A$506,0)),ev_split,INDEX(Events!$I$5:$I$506,MATCH(G43,Events!$A$5:$A$506,0)),att_offset,MATCH(G43,Attendance!$B$3:$AY$3,0),attendees,COUNTIF(INDEX(Attendance!$B$7:$AY$206,0,att_offset),"1"),IF(ev_split="Equal Split",ev_cost/MAX(1,COUNTA(Roster!$A$5:$A$204)),ev_cost/MAX(1,attendees))),"N/A"))</f>
        <v/>
      </c>
    </row>
    <row r="44" ht="19.5" customHeight="1">
      <c r="A44" s="46"/>
      <c r="B44" s="49"/>
      <c r="C44" s="49"/>
      <c r="D44" s="49"/>
      <c r="E44" s="49"/>
      <c r="F44" s="54"/>
      <c r="G44" s="49"/>
      <c r="H44" s="49"/>
      <c r="I44" s="49"/>
      <c r="J44" s="44" t="str">
        <f t="array" ref="J44">IF(G44="","",IFERROR(LET(ev_cost,INDEX(Events!$G$5:$G$506,MATCH(G44,Events!$A$5:$A$506,0)),ev_split,INDEX(Events!$I$5:$I$506,MATCH(G44,Events!$A$5:$A$506,0)),att_offset,MATCH(G44,Attendance!$B$3:$AY$3,0),attendees,COUNTIF(INDEX(Attendance!$B$7:$AY$206,0,att_offset),"1"),IF(ev_split="Equal Split",ev_cost/MAX(1,COUNTA(Roster!$A$5:$A$204)),ev_cost/MAX(1,attendees))),"N/A"))</f>
        <v/>
      </c>
    </row>
    <row r="45" ht="19.5" customHeight="1">
      <c r="A45" s="50"/>
      <c r="B45" s="53"/>
      <c r="C45" s="53"/>
      <c r="D45" s="53"/>
      <c r="E45" s="53"/>
      <c r="F45" s="55"/>
      <c r="G45" s="53"/>
      <c r="H45" s="53"/>
      <c r="I45" s="53"/>
      <c r="J45" s="44" t="str">
        <f t="array" ref="J45">IF(G45="","",IFERROR(LET(ev_cost,INDEX(Events!$G$5:$G$506,MATCH(G45,Events!$A$5:$A$506,0)),ev_split,INDEX(Events!$I$5:$I$506,MATCH(G45,Events!$A$5:$A$506,0)),att_offset,MATCH(G45,Attendance!$B$3:$AY$3,0),attendees,COUNTIF(INDEX(Attendance!$B$7:$AY$206,0,att_offset),"1"),IF(ev_split="Equal Split",ev_cost/MAX(1,COUNTA(Roster!$A$5:$A$204)),ev_cost/MAX(1,attendees))),"N/A"))</f>
        <v/>
      </c>
    </row>
    <row r="46" ht="19.5" customHeight="1">
      <c r="A46" s="46"/>
      <c r="B46" s="49"/>
      <c r="C46" s="49"/>
      <c r="D46" s="49"/>
      <c r="E46" s="49"/>
      <c r="F46" s="54"/>
      <c r="G46" s="49"/>
      <c r="H46" s="49"/>
      <c r="I46" s="49"/>
      <c r="J46" s="44" t="str">
        <f t="array" ref="J46">IF(G46="","",IFERROR(LET(ev_cost,INDEX(Events!$G$5:$G$506,MATCH(G46,Events!$A$5:$A$506,0)),ev_split,INDEX(Events!$I$5:$I$506,MATCH(G46,Events!$A$5:$A$506,0)),att_offset,MATCH(G46,Attendance!$B$3:$AY$3,0),attendees,COUNTIF(INDEX(Attendance!$B$7:$AY$206,0,att_offset),"1"),IF(ev_split="Equal Split",ev_cost/MAX(1,COUNTA(Roster!$A$5:$A$204)),ev_cost/MAX(1,attendees))),"N/A"))</f>
        <v/>
      </c>
    </row>
    <row r="47" ht="19.5" customHeight="1">
      <c r="A47" s="50"/>
      <c r="B47" s="53"/>
      <c r="C47" s="53"/>
      <c r="D47" s="53"/>
      <c r="E47" s="53"/>
      <c r="F47" s="55"/>
      <c r="G47" s="53"/>
      <c r="H47" s="53"/>
      <c r="I47" s="53"/>
      <c r="J47" s="44" t="str">
        <f t="array" ref="J47">IF(G47="","",IFERROR(LET(ev_cost,INDEX(Events!$G$5:$G$506,MATCH(G47,Events!$A$5:$A$506,0)),ev_split,INDEX(Events!$I$5:$I$506,MATCH(G47,Events!$A$5:$A$506,0)),att_offset,MATCH(G47,Attendance!$B$3:$AY$3,0),attendees,COUNTIF(INDEX(Attendance!$B$7:$AY$206,0,att_offset),"1"),IF(ev_split="Equal Split",ev_cost/MAX(1,COUNTA(Roster!$A$5:$A$204)),ev_cost/MAX(1,attendees))),"N/A"))</f>
        <v/>
      </c>
    </row>
    <row r="48" ht="19.5" customHeight="1">
      <c r="A48" s="46"/>
      <c r="B48" s="49"/>
      <c r="C48" s="49"/>
      <c r="D48" s="49"/>
      <c r="E48" s="49"/>
      <c r="F48" s="54"/>
      <c r="G48" s="49"/>
      <c r="H48" s="49"/>
      <c r="I48" s="49"/>
      <c r="J48" s="44" t="str">
        <f t="array" ref="J48">IF(G48="","",IFERROR(LET(ev_cost,INDEX(Events!$G$5:$G$506,MATCH(G48,Events!$A$5:$A$506,0)),ev_split,INDEX(Events!$I$5:$I$506,MATCH(G48,Events!$A$5:$A$506,0)),att_offset,MATCH(G48,Attendance!$B$3:$AY$3,0),attendees,COUNTIF(INDEX(Attendance!$B$7:$AY$206,0,att_offset),"1"),IF(ev_split="Equal Split",ev_cost/MAX(1,COUNTA(Roster!$A$5:$A$204)),ev_cost/MAX(1,attendees))),"N/A"))</f>
        <v/>
      </c>
    </row>
    <row r="49" ht="19.5" customHeight="1">
      <c r="A49" s="50"/>
      <c r="B49" s="53"/>
      <c r="C49" s="53"/>
      <c r="D49" s="53"/>
      <c r="E49" s="53"/>
      <c r="F49" s="55"/>
      <c r="G49" s="53"/>
      <c r="H49" s="53"/>
      <c r="I49" s="53"/>
      <c r="J49" s="44" t="str">
        <f t="array" ref="J49">IF(G49="","",IFERROR(LET(ev_cost,INDEX(Events!$G$5:$G$506,MATCH(G49,Events!$A$5:$A$506,0)),ev_split,INDEX(Events!$I$5:$I$506,MATCH(G49,Events!$A$5:$A$506,0)),att_offset,MATCH(G49,Attendance!$B$3:$AY$3,0),attendees,COUNTIF(INDEX(Attendance!$B$7:$AY$206,0,att_offset),"1"),IF(ev_split="Equal Split",ev_cost/MAX(1,COUNTA(Roster!$A$5:$A$204)),ev_cost/MAX(1,attendees))),"N/A"))</f>
        <v/>
      </c>
    </row>
    <row r="50" ht="19.5" customHeight="1">
      <c r="A50" s="46"/>
      <c r="B50" s="49"/>
      <c r="C50" s="49"/>
      <c r="D50" s="49"/>
      <c r="E50" s="49"/>
      <c r="F50" s="54"/>
      <c r="G50" s="49"/>
      <c r="H50" s="49"/>
      <c r="I50" s="49"/>
      <c r="J50" s="44" t="str">
        <f t="array" ref="J50">IF(G50="","",IFERROR(LET(ev_cost,INDEX(Events!$G$5:$G$506,MATCH(G50,Events!$A$5:$A$506,0)),ev_split,INDEX(Events!$I$5:$I$506,MATCH(G50,Events!$A$5:$A$506,0)),att_offset,MATCH(G50,Attendance!$B$3:$AY$3,0),attendees,COUNTIF(INDEX(Attendance!$B$7:$AY$206,0,att_offset),"1"),IF(ev_split="Equal Split",ev_cost/MAX(1,COUNTA(Roster!$A$5:$A$204)),ev_cost/MAX(1,attendees))),"N/A"))</f>
        <v/>
      </c>
    </row>
    <row r="51" ht="19.5" customHeight="1">
      <c r="A51" s="50"/>
      <c r="B51" s="53"/>
      <c r="C51" s="53"/>
      <c r="D51" s="53"/>
      <c r="E51" s="53"/>
      <c r="F51" s="55"/>
      <c r="G51" s="53"/>
      <c r="H51" s="53"/>
      <c r="I51" s="53"/>
      <c r="J51" s="44" t="str">
        <f t="array" ref="J51">IF(G51="","",IFERROR(LET(ev_cost,INDEX(Events!$G$5:$G$506,MATCH(G51,Events!$A$5:$A$506,0)),ev_split,INDEX(Events!$I$5:$I$506,MATCH(G51,Events!$A$5:$A$506,0)),att_offset,MATCH(G51,Attendance!$B$3:$AY$3,0),attendees,COUNTIF(INDEX(Attendance!$B$7:$AY$206,0,att_offset),"1"),IF(ev_split="Equal Split",ev_cost/MAX(1,COUNTA(Roster!$A$5:$A$204)),ev_cost/MAX(1,attendees))),"N/A"))</f>
        <v/>
      </c>
    </row>
    <row r="52" ht="19.5" customHeight="1">
      <c r="A52" s="46"/>
      <c r="B52" s="49"/>
      <c r="C52" s="49"/>
      <c r="D52" s="49"/>
      <c r="E52" s="49"/>
      <c r="F52" s="54"/>
      <c r="G52" s="49"/>
      <c r="H52" s="49"/>
      <c r="I52" s="49"/>
      <c r="J52" s="44" t="str">
        <f t="array" ref="J52">IF(G52="","",IFERROR(LET(ev_cost,INDEX(Events!$G$5:$G$506,MATCH(G52,Events!$A$5:$A$506,0)),ev_split,INDEX(Events!$I$5:$I$506,MATCH(G52,Events!$A$5:$A$506,0)),att_offset,MATCH(G52,Attendance!$B$3:$AY$3,0),attendees,COUNTIF(INDEX(Attendance!$B$7:$AY$206,0,att_offset),"1"),IF(ev_split="Equal Split",ev_cost/MAX(1,COUNTA(Roster!$A$5:$A$204)),ev_cost/MAX(1,attendees))),"N/A"))</f>
        <v/>
      </c>
    </row>
    <row r="53" ht="19.5" customHeight="1">
      <c r="A53" s="50"/>
      <c r="B53" s="53"/>
      <c r="C53" s="53"/>
      <c r="D53" s="53"/>
      <c r="E53" s="53"/>
      <c r="F53" s="55"/>
      <c r="G53" s="53"/>
      <c r="H53" s="53"/>
      <c r="I53" s="53"/>
      <c r="J53" s="44" t="str">
        <f t="array" ref="J53">IF(G53="","",IFERROR(LET(ev_cost,INDEX(Events!$G$5:$G$506,MATCH(G53,Events!$A$5:$A$506,0)),ev_split,INDEX(Events!$I$5:$I$506,MATCH(G53,Events!$A$5:$A$506,0)),att_offset,MATCH(G53,Attendance!$B$3:$AY$3,0),attendees,COUNTIF(INDEX(Attendance!$B$7:$AY$206,0,att_offset),"1"),IF(ev_split="Equal Split",ev_cost/MAX(1,COUNTA(Roster!$A$5:$A$204)),ev_cost/MAX(1,attendees))),"N/A"))</f>
        <v/>
      </c>
    </row>
    <row r="54" ht="19.5" customHeight="1">
      <c r="A54" s="46"/>
      <c r="B54" s="49"/>
      <c r="C54" s="49"/>
      <c r="D54" s="49"/>
      <c r="E54" s="49"/>
      <c r="F54" s="54"/>
      <c r="G54" s="49"/>
      <c r="H54" s="49"/>
      <c r="I54" s="49"/>
      <c r="J54" s="44" t="str">
        <f t="array" ref="J54">IF(G54="","",IFERROR(LET(ev_cost,INDEX(Events!$G$5:$G$506,MATCH(G54,Events!$A$5:$A$506,0)),ev_split,INDEX(Events!$I$5:$I$506,MATCH(G54,Events!$A$5:$A$506,0)),att_offset,MATCH(G54,Attendance!$B$3:$AY$3,0),attendees,COUNTIF(INDEX(Attendance!$B$7:$AY$206,0,att_offset),"1"),IF(ev_split="Equal Split",ev_cost/MAX(1,COUNTA(Roster!$A$5:$A$204)),ev_cost/MAX(1,attendees))),"N/A"))</f>
        <v/>
      </c>
    </row>
    <row r="55" ht="19.5" customHeight="1">
      <c r="A55" s="50"/>
      <c r="B55" s="53"/>
      <c r="C55" s="53"/>
      <c r="D55" s="53"/>
      <c r="E55" s="53"/>
      <c r="F55" s="55"/>
      <c r="G55" s="53"/>
      <c r="H55" s="53"/>
      <c r="I55" s="53"/>
      <c r="J55" s="44" t="str">
        <f t="array" ref="J55">IF(G55="","",IFERROR(LET(ev_cost,INDEX(Events!$G$5:$G$506,MATCH(G55,Events!$A$5:$A$506,0)),ev_split,INDEX(Events!$I$5:$I$506,MATCH(G55,Events!$A$5:$A$506,0)),att_offset,MATCH(G55,Attendance!$B$3:$AY$3,0),attendees,COUNTIF(INDEX(Attendance!$B$7:$AY$206,0,att_offset),"1"),IF(ev_split="Equal Split",ev_cost/MAX(1,COUNTA(Roster!$A$5:$A$204)),ev_cost/MAX(1,attendees))),"N/A"))</f>
        <v/>
      </c>
    </row>
    <row r="56" ht="19.5" customHeight="1">
      <c r="A56" s="46"/>
      <c r="B56" s="49"/>
      <c r="C56" s="49"/>
      <c r="D56" s="49"/>
      <c r="E56" s="49"/>
      <c r="F56" s="54"/>
      <c r="G56" s="49"/>
      <c r="H56" s="49"/>
      <c r="I56" s="49"/>
      <c r="J56" s="44" t="str">
        <f t="array" ref="J56">IF(G56="","",IFERROR(LET(ev_cost,INDEX(Events!$G$5:$G$506,MATCH(G56,Events!$A$5:$A$506,0)),ev_split,INDEX(Events!$I$5:$I$506,MATCH(G56,Events!$A$5:$A$506,0)),att_offset,MATCH(G56,Attendance!$B$3:$AY$3,0),attendees,COUNTIF(INDEX(Attendance!$B$7:$AY$206,0,att_offset),"1"),IF(ev_split="Equal Split",ev_cost/MAX(1,COUNTA(Roster!$A$5:$A$204)),ev_cost/MAX(1,attendees))),"N/A"))</f>
        <v/>
      </c>
    </row>
    <row r="57" ht="19.5" customHeight="1">
      <c r="A57" s="50"/>
      <c r="B57" s="53"/>
      <c r="C57" s="53"/>
      <c r="D57" s="53"/>
      <c r="E57" s="53"/>
      <c r="F57" s="55"/>
      <c r="G57" s="53"/>
      <c r="H57" s="53"/>
      <c r="I57" s="53"/>
      <c r="J57" s="44" t="str">
        <f t="array" ref="J57">IF(G57="","",IFERROR(LET(ev_cost,INDEX(Events!$G$5:$G$506,MATCH(G57,Events!$A$5:$A$506,0)),ev_split,INDEX(Events!$I$5:$I$506,MATCH(G57,Events!$A$5:$A$506,0)),att_offset,MATCH(G57,Attendance!$B$3:$AY$3,0),attendees,COUNTIF(INDEX(Attendance!$B$7:$AY$206,0,att_offset),"1"),IF(ev_split="Equal Split",ev_cost/MAX(1,COUNTA(Roster!$A$5:$A$204)),ev_cost/MAX(1,attendees))),"N/A"))</f>
        <v/>
      </c>
    </row>
    <row r="58" ht="19.5" customHeight="1">
      <c r="A58" s="46"/>
      <c r="B58" s="49"/>
      <c r="C58" s="49"/>
      <c r="D58" s="49"/>
      <c r="E58" s="49"/>
      <c r="F58" s="54"/>
      <c r="G58" s="49"/>
      <c r="H58" s="49"/>
      <c r="I58" s="49"/>
      <c r="J58" s="44" t="str">
        <f t="array" ref="J58">IF(G58="","",IFERROR(LET(ev_cost,INDEX(Events!$G$5:$G$506,MATCH(G58,Events!$A$5:$A$506,0)),ev_split,INDEX(Events!$I$5:$I$506,MATCH(G58,Events!$A$5:$A$506,0)),att_offset,MATCH(G58,Attendance!$B$3:$AY$3,0),attendees,COUNTIF(INDEX(Attendance!$B$7:$AY$206,0,att_offset),"1"),IF(ev_split="Equal Split",ev_cost/MAX(1,COUNTA(Roster!$A$5:$A$204)),ev_cost/MAX(1,attendees))),"N/A"))</f>
        <v/>
      </c>
    </row>
    <row r="59" ht="19.5" customHeight="1">
      <c r="A59" s="50"/>
      <c r="B59" s="53"/>
      <c r="C59" s="53"/>
      <c r="D59" s="53"/>
      <c r="E59" s="53"/>
      <c r="F59" s="55"/>
      <c r="G59" s="53"/>
      <c r="H59" s="53"/>
      <c r="I59" s="53"/>
      <c r="J59" s="44" t="str">
        <f t="array" ref="J59">IF(G59="","",IFERROR(LET(ev_cost,INDEX(Events!$G$5:$G$506,MATCH(G59,Events!$A$5:$A$506,0)),ev_split,INDEX(Events!$I$5:$I$506,MATCH(G59,Events!$A$5:$A$506,0)),att_offset,MATCH(G59,Attendance!$B$3:$AY$3,0),attendees,COUNTIF(INDEX(Attendance!$B$7:$AY$206,0,att_offset),"1"),IF(ev_split="Equal Split",ev_cost/MAX(1,COUNTA(Roster!$A$5:$A$204)),ev_cost/MAX(1,attendees))),"N/A"))</f>
        <v/>
      </c>
    </row>
    <row r="60" ht="19.5" customHeight="1">
      <c r="A60" s="46"/>
      <c r="B60" s="49"/>
      <c r="C60" s="49"/>
      <c r="D60" s="49"/>
      <c r="E60" s="49"/>
      <c r="F60" s="54"/>
      <c r="G60" s="49"/>
      <c r="H60" s="49"/>
      <c r="I60" s="49"/>
      <c r="J60" s="44" t="str">
        <f t="array" ref="J60">IF(G60="","",IFERROR(LET(ev_cost,INDEX(Events!$G$5:$G$506,MATCH(G60,Events!$A$5:$A$506,0)),ev_split,INDEX(Events!$I$5:$I$506,MATCH(G60,Events!$A$5:$A$506,0)),att_offset,MATCH(G60,Attendance!$B$3:$AY$3,0),attendees,COUNTIF(INDEX(Attendance!$B$7:$AY$206,0,att_offset),"1"),IF(ev_split="Equal Split",ev_cost/MAX(1,COUNTA(Roster!$A$5:$A$204)),ev_cost/MAX(1,attendees))),"N/A"))</f>
        <v/>
      </c>
    </row>
    <row r="61" ht="19.5" customHeight="1">
      <c r="A61" s="50"/>
      <c r="B61" s="53"/>
      <c r="C61" s="53"/>
      <c r="D61" s="53"/>
      <c r="E61" s="53"/>
      <c r="F61" s="55"/>
      <c r="G61" s="53"/>
      <c r="H61" s="53"/>
      <c r="I61" s="53"/>
      <c r="J61" s="44" t="str">
        <f t="array" ref="J61">IF(G61="","",IFERROR(LET(ev_cost,INDEX(Events!$G$5:$G$506,MATCH(G61,Events!$A$5:$A$506,0)),ev_split,INDEX(Events!$I$5:$I$506,MATCH(G61,Events!$A$5:$A$506,0)),att_offset,MATCH(G61,Attendance!$B$3:$AY$3,0),attendees,COUNTIF(INDEX(Attendance!$B$7:$AY$206,0,att_offset),"1"),IF(ev_split="Equal Split",ev_cost/MAX(1,COUNTA(Roster!$A$5:$A$204)),ev_cost/MAX(1,attendees))),"N/A"))</f>
        <v/>
      </c>
    </row>
    <row r="62" ht="19.5" customHeight="1">
      <c r="A62" s="46"/>
      <c r="B62" s="49"/>
      <c r="C62" s="49"/>
      <c r="D62" s="49"/>
      <c r="E62" s="49"/>
      <c r="F62" s="54"/>
      <c r="G62" s="49"/>
      <c r="H62" s="49"/>
      <c r="I62" s="49"/>
      <c r="J62" s="44" t="str">
        <f t="array" ref="J62">IF(G62="","",IFERROR(LET(ev_cost,INDEX(Events!$G$5:$G$506,MATCH(G62,Events!$A$5:$A$506,0)),ev_split,INDEX(Events!$I$5:$I$506,MATCH(G62,Events!$A$5:$A$506,0)),att_offset,MATCH(G62,Attendance!$B$3:$AY$3,0),attendees,COUNTIF(INDEX(Attendance!$B$7:$AY$206,0,att_offset),"1"),IF(ev_split="Equal Split",ev_cost/MAX(1,COUNTA(Roster!$A$5:$A$204)),ev_cost/MAX(1,attendees))),"N/A"))</f>
        <v/>
      </c>
    </row>
    <row r="63" ht="19.5" customHeight="1">
      <c r="A63" s="50"/>
      <c r="B63" s="53"/>
      <c r="C63" s="53"/>
      <c r="D63" s="53"/>
      <c r="E63" s="53"/>
      <c r="F63" s="55"/>
      <c r="G63" s="53"/>
      <c r="H63" s="53"/>
      <c r="I63" s="53"/>
      <c r="J63" s="44" t="str">
        <f t="array" ref="J63">IF(G63="","",IFERROR(LET(ev_cost,INDEX(Events!$G$5:$G$506,MATCH(G63,Events!$A$5:$A$506,0)),ev_split,INDEX(Events!$I$5:$I$506,MATCH(G63,Events!$A$5:$A$506,0)),att_offset,MATCH(G63,Attendance!$B$3:$AY$3,0),attendees,COUNTIF(INDEX(Attendance!$B$7:$AY$206,0,att_offset),"1"),IF(ev_split="Equal Split",ev_cost/MAX(1,COUNTA(Roster!$A$5:$A$204)),ev_cost/MAX(1,attendees))),"N/A"))</f>
        <v/>
      </c>
    </row>
    <row r="64" ht="19.5" customHeight="1">
      <c r="A64" s="46"/>
      <c r="B64" s="49"/>
      <c r="C64" s="49"/>
      <c r="D64" s="49"/>
      <c r="E64" s="49"/>
      <c r="F64" s="54"/>
      <c r="G64" s="49"/>
      <c r="H64" s="49"/>
      <c r="I64" s="49"/>
      <c r="J64" s="44" t="str">
        <f t="array" ref="J64">IF(G64="","",IFERROR(LET(ev_cost,INDEX(Events!$G$5:$G$506,MATCH(G64,Events!$A$5:$A$506,0)),ev_split,INDEX(Events!$I$5:$I$506,MATCH(G64,Events!$A$5:$A$506,0)),att_offset,MATCH(G64,Attendance!$B$3:$AY$3,0),attendees,COUNTIF(INDEX(Attendance!$B$7:$AY$206,0,att_offset),"1"),IF(ev_split="Equal Split",ev_cost/MAX(1,COUNTA(Roster!$A$5:$A$204)),ev_cost/MAX(1,attendees))),"N/A"))</f>
        <v/>
      </c>
    </row>
    <row r="65" ht="19.5" customHeight="1">
      <c r="A65" s="50"/>
      <c r="B65" s="53"/>
      <c r="C65" s="53"/>
      <c r="D65" s="53"/>
      <c r="E65" s="53"/>
      <c r="F65" s="55"/>
      <c r="G65" s="53"/>
      <c r="H65" s="53"/>
      <c r="I65" s="53"/>
      <c r="J65" s="44" t="str">
        <f t="array" ref="J65">IF(G65="","",IFERROR(LET(ev_cost,INDEX(Events!$G$5:$G$506,MATCH(G65,Events!$A$5:$A$506,0)),ev_split,INDEX(Events!$I$5:$I$506,MATCH(G65,Events!$A$5:$A$506,0)),att_offset,MATCH(G65,Attendance!$B$3:$AY$3,0),attendees,COUNTIF(INDEX(Attendance!$B$7:$AY$206,0,att_offset),"1"),IF(ev_split="Equal Split",ev_cost/MAX(1,COUNTA(Roster!$A$5:$A$204)),ev_cost/MAX(1,attendees))),"N/A"))</f>
        <v/>
      </c>
    </row>
    <row r="66" ht="19.5" customHeight="1">
      <c r="A66" s="46"/>
      <c r="B66" s="49"/>
      <c r="C66" s="49"/>
      <c r="D66" s="49"/>
      <c r="E66" s="49"/>
      <c r="F66" s="54"/>
      <c r="G66" s="49"/>
      <c r="H66" s="49"/>
      <c r="I66" s="49"/>
      <c r="J66" s="44" t="str">
        <f t="array" ref="J66">IF(G66="","",IFERROR(LET(ev_cost,INDEX(Events!$G$5:$G$506,MATCH(G66,Events!$A$5:$A$506,0)),ev_split,INDEX(Events!$I$5:$I$506,MATCH(G66,Events!$A$5:$A$506,0)),att_offset,MATCH(G66,Attendance!$B$3:$AY$3,0),attendees,COUNTIF(INDEX(Attendance!$B$7:$AY$206,0,att_offset),"1"),IF(ev_split="Equal Split",ev_cost/MAX(1,COUNTA(Roster!$A$5:$A$204)),ev_cost/MAX(1,attendees))),"N/A"))</f>
        <v/>
      </c>
    </row>
    <row r="67" ht="19.5" customHeight="1">
      <c r="A67" s="50"/>
      <c r="B67" s="53"/>
      <c r="C67" s="53"/>
      <c r="D67" s="53"/>
      <c r="E67" s="53"/>
      <c r="F67" s="55"/>
      <c r="G67" s="53"/>
      <c r="H67" s="53"/>
      <c r="I67" s="53"/>
      <c r="J67" s="44" t="str">
        <f t="array" ref="J67">IF(G67="","",IFERROR(LET(ev_cost,INDEX(Events!$G$5:$G$506,MATCH(G67,Events!$A$5:$A$506,0)),ev_split,INDEX(Events!$I$5:$I$506,MATCH(G67,Events!$A$5:$A$506,0)),att_offset,MATCH(G67,Attendance!$B$3:$AY$3,0),attendees,COUNTIF(INDEX(Attendance!$B$7:$AY$206,0,att_offset),"1"),IF(ev_split="Equal Split",ev_cost/MAX(1,COUNTA(Roster!$A$5:$A$204)),ev_cost/MAX(1,attendees))),"N/A"))</f>
        <v/>
      </c>
    </row>
    <row r="68" ht="19.5" customHeight="1">
      <c r="A68" s="46"/>
      <c r="B68" s="49"/>
      <c r="C68" s="49"/>
      <c r="D68" s="49"/>
      <c r="E68" s="49"/>
      <c r="F68" s="54"/>
      <c r="G68" s="49"/>
      <c r="H68" s="49"/>
      <c r="I68" s="49"/>
      <c r="J68" s="44" t="str">
        <f t="array" ref="J68">IF(G68="","",IFERROR(LET(ev_cost,INDEX(Events!$G$5:$G$506,MATCH(G68,Events!$A$5:$A$506,0)),ev_split,INDEX(Events!$I$5:$I$506,MATCH(G68,Events!$A$5:$A$506,0)),att_offset,MATCH(G68,Attendance!$B$3:$AY$3,0),attendees,COUNTIF(INDEX(Attendance!$B$7:$AY$206,0,att_offset),"1"),IF(ev_split="Equal Split",ev_cost/MAX(1,COUNTA(Roster!$A$5:$A$204)),ev_cost/MAX(1,attendees))),"N/A"))</f>
        <v/>
      </c>
    </row>
    <row r="69" ht="19.5" customHeight="1">
      <c r="A69" s="50"/>
      <c r="B69" s="53"/>
      <c r="C69" s="53"/>
      <c r="D69" s="53"/>
      <c r="E69" s="53"/>
      <c r="F69" s="55"/>
      <c r="G69" s="53"/>
      <c r="H69" s="53"/>
      <c r="I69" s="53"/>
      <c r="J69" s="44" t="str">
        <f t="array" ref="J69">IF(G69="","",IFERROR(LET(ev_cost,INDEX(Events!$G$5:$G$506,MATCH(G69,Events!$A$5:$A$506,0)),ev_split,INDEX(Events!$I$5:$I$506,MATCH(G69,Events!$A$5:$A$506,0)),att_offset,MATCH(G69,Attendance!$B$3:$AY$3,0),attendees,COUNTIF(INDEX(Attendance!$B$7:$AY$206,0,att_offset),"1"),IF(ev_split="Equal Split",ev_cost/MAX(1,COUNTA(Roster!$A$5:$A$204)),ev_cost/MAX(1,attendees))),"N/A"))</f>
        <v/>
      </c>
    </row>
    <row r="70" ht="19.5" customHeight="1">
      <c r="A70" s="46"/>
      <c r="B70" s="49"/>
      <c r="C70" s="49"/>
      <c r="D70" s="49"/>
      <c r="E70" s="49"/>
      <c r="F70" s="54"/>
      <c r="G70" s="49"/>
      <c r="H70" s="49"/>
      <c r="I70" s="49"/>
      <c r="J70" s="44" t="str">
        <f t="array" ref="J70">IF(G70="","",IFERROR(LET(ev_cost,INDEX(Events!$G$5:$G$506,MATCH(G70,Events!$A$5:$A$506,0)),ev_split,INDEX(Events!$I$5:$I$506,MATCH(G70,Events!$A$5:$A$506,0)),att_offset,MATCH(G70,Attendance!$B$3:$AY$3,0),attendees,COUNTIF(INDEX(Attendance!$B$7:$AY$206,0,att_offset),"1"),IF(ev_split="Equal Split",ev_cost/MAX(1,COUNTA(Roster!$A$5:$A$204)),ev_cost/MAX(1,attendees))),"N/A"))</f>
        <v/>
      </c>
    </row>
    <row r="71" ht="19.5" customHeight="1">
      <c r="A71" s="50"/>
      <c r="B71" s="53"/>
      <c r="C71" s="53"/>
      <c r="D71" s="53"/>
      <c r="E71" s="53"/>
      <c r="F71" s="55"/>
      <c r="G71" s="53"/>
      <c r="H71" s="53"/>
      <c r="I71" s="53"/>
      <c r="J71" s="44" t="str">
        <f t="array" ref="J71">IF(G71="","",IFERROR(LET(ev_cost,INDEX(Events!$G$5:$G$506,MATCH(G71,Events!$A$5:$A$506,0)),ev_split,INDEX(Events!$I$5:$I$506,MATCH(G71,Events!$A$5:$A$506,0)),att_offset,MATCH(G71,Attendance!$B$3:$AY$3,0),attendees,COUNTIF(INDEX(Attendance!$B$7:$AY$206,0,att_offset),"1"),IF(ev_split="Equal Split",ev_cost/MAX(1,COUNTA(Roster!$A$5:$A$204)),ev_cost/MAX(1,attendees))),"N/A"))</f>
        <v/>
      </c>
    </row>
    <row r="72" ht="19.5" customHeight="1">
      <c r="A72" s="46"/>
      <c r="B72" s="49"/>
      <c r="C72" s="49"/>
      <c r="D72" s="49"/>
      <c r="E72" s="49"/>
      <c r="F72" s="54"/>
      <c r="G72" s="49"/>
      <c r="H72" s="49"/>
      <c r="I72" s="49"/>
      <c r="J72" s="44" t="str">
        <f t="array" ref="J72">IF(G72="","",IFERROR(LET(ev_cost,INDEX(Events!$G$5:$G$506,MATCH(G72,Events!$A$5:$A$506,0)),ev_split,INDEX(Events!$I$5:$I$506,MATCH(G72,Events!$A$5:$A$506,0)),att_offset,MATCH(G72,Attendance!$B$3:$AY$3,0),attendees,COUNTIF(INDEX(Attendance!$B$7:$AY$206,0,att_offset),"1"),IF(ev_split="Equal Split",ev_cost/MAX(1,COUNTA(Roster!$A$5:$A$204)),ev_cost/MAX(1,attendees))),"N/A"))</f>
        <v/>
      </c>
    </row>
    <row r="73" ht="19.5" customHeight="1">
      <c r="A73" s="50"/>
      <c r="B73" s="53"/>
      <c r="C73" s="53"/>
      <c r="D73" s="53"/>
      <c r="E73" s="53"/>
      <c r="F73" s="55"/>
      <c r="G73" s="53"/>
      <c r="H73" s="53"/>
      <c r="I73" s="53"/>
      <c r="J73" s="44" t="str">
        <f t="array" ref="J73">IF(G73="","",IFERROR(LET(ev_cost,INDEX(Events!$G$5:$G$506,MATCH(G73,Events!$A$5:$A$506,0)),ev_split,INDEX(Events!$I$5:$I$506,MATCH(G73,Events!$A$5:$A$506,0)),att_offset,MATCH(G73,Attendance!$B$3:$AY$3,0),attendees,COUNTIF(INDEX(Attendance!$B$7:$AY$206,0,att_offset),"1"),IF(ev_split="Equal Split",ev_cost/MAX(1,COUNTA(Roster!$A$5:$A$204)),ev_cost/MAX(1,attendees))),"N/A"))</f>
        <v/>
      </c>
    </row>
    <row r="74" ht="19.5" customHeight="1">
      <c r="A74" s="46"/>
      <c r="B74" s="49"/>
      <c r="C74" s="49"/>
      <c r="D74" s="49"/>
      <c r="E74" s="49"/>
      <c r="F74" s="54"/>
      <c r="G74" s="49"/>
      <c r="H74" s="49"/>
      <c r="I74" s="49"/>
      <c r="J74" s="44" t="str">
        <f t="array" ref="J74">IF(G74="","",IFERROR(LET(ev_cost,INDEX(Events!$G$5:$G$506,MATCH(G74,Events!$A$5:$A$506,0)),ev_split,INDEX(Events!$I$5:$I$506,MATCH(G74,Events!$A$5:$A$506,0)),att_offset,MATCH(G74,Attendance!$B$3:$AY$3,0),attendees,COUNTIF(INDEX(Attendance!$B$7:$AY$206,0,att_offset),"1"),IF(ev_split="Equal Split",ev_cost/MAX(1,COUNTA(Roster!$A$5:$A$204)),ev_cost/MAX(1,attendees))),"N/A"))</f>
        <v/>
      </c>
    </row>
    <row r="75" ht="19.5" customHeight="1">
      <c r="A75" s="50"/>
      <c r="B75" s="53"/>
      <c r="C75" s="53"/>
      <c r="D75" s="53"/>
      <c r="E75" s="53"/>
      <c r="F75" s="55"/>
      <c r="G75" s="53"/>
      <c r="H75" s="53"/>
      <c r="I75" s="53"/>
      <c r="J75" s="44" t="str">
        <f t="array" ref="J75">IF(G75="","",IFERROR(LET(ev_cost,INDEX(Events!$G$5:$G$506,MATCH(G75,Events!$A$5:$A$506,0)),ev_split,INDEX(Events!$I$5:$I$506,MATCH(G75,Events!$A$5:$A$506,0)),att_offset,MATCH(G75,Attendance!$B$3:$AY$3,0),attendees,COUNTIF(INDEX(Attendance!$B$7:$AY$206,0,att_offset),"1"),IF(ev_split="Equal Split",ev_cost/MAX(1,COUNTA(Roster!$A$5:$A$204)),ev_cost/MAX(1,attendees))),"N/A"))</f>
        <v/>
      </c>
    </row>
    <row r="76" ht="19.5" customHeight="1">
      <c r="A76" s="46"/>
      <c r="B76" s="49"/>
      <c r="C76" s="49"/>
      <c r="D76" s="49"/>
      <c r="E76" s="49"/>
      <c r="F76" s="54"/>
      <c r="G76" s="49"/>
      <c r="H76" s="49"/>
      <c r="I76" s="49"/>
      <c r="J76" s="44" t="str">
        <f t="array" ref="J76">IF(G76="","",IFERROR(LET(ev_cost,INDEX(Events!$G$5:$G$506,MATCH(G76,Events!$A$5:$A$506,0)),ev_split,INDEX(Events!$I$5:$I$506,MATCH(G76,Events!$A$5:$A$506,0)),att_offset,MATCH(G76,Attendance!$B$3:$AY$3,0),attendees,COUNTIF(INDEX(Attendance!$B$7:$AY$206,0,att_offset),"1"),IF(ev_split="Equal Split",ev_cost/MAX(1,COUNTA(Roster!$A$5:$A$204)),ev_cost/MAX(1,attendees))),"N/A"))</f>
        <v/>
      </c>
    </row>
    <row r="77" ht="19.5" customHeight="1">
      <c r="A77" s="50"/>
      <c r="B77" s="53"/>
      <c r="C77" s="53"/>
      <c r="D77" s="53"/>
      <c r="E77" s="53"/>
      <c r="F77" s="55"/>
      <c r="G77" s="53"/>
      <c r="H77" s="53"/>
      <c r="I77" s="53"/>
      <c r="J77" s="44" t="str">
        <f t="array" ref="J77">IF(G77="","",IFERROR(LET(ev_cost,INDEX(Events!$G$5:$G$506,MATCH(G77,Events!$A$5:$A$506,0)),ev_split,INDEX(Events!$I$5:$I$506,MATCH(G77,Events!$A$5:$A$506,0)),att_offset,MATCH(G77,Attendance!$B$3:$AY$3,0),attendees,COUNTIF(INDEX(Attendance!$B$7:$AY$206,0,att_offset),"1"),IF(ev_split="Equal Split",ev_cost/MAX(1,COUNTA(Roster!$A$5:$A$204)),ev_cost/MAX(1,attendees))),"N/A"))</f>
        <v/>
      </c>
    </row>
    <row r="78" ht="19.5" customHeight="1">
      <c r="A78" s="46"/>
      <c r="B78" s="49"/>
      <c r="C78" s="49"/>
      <c r="D78" s="49"/>
      <c r="E78" s="49"/>
      <c r="F78" s="54"/>
      <c r="G78" s="49"/>
      <c r="H78" s="49"/>
      <c r="I78" s="49"/>
      <c r="J78" s="44" t="str">
        <f t="array" ref="J78">IF(G78="","",IFERROR(LET(ev_cost,INDEX(Events!$G$5:$G$506,MATCH(G78,Events!$A$5:$A$506,0)),ev_split,INDEX(Events!$I$5:$I$506,MATCH(G78,Events!$A$5:$A$506,0)),att_offset,MATCH(G78,Attendance!$B$3:$AY$3,0),attendees,COUNTIF(INDEX(Attendance!$B$7:$AY$206,0,att_offset),"1"),IF(ev_split="Equal Split",ev_cost/MAX(1,COUNTA(Roster!$A$5:$A$204)),ev_cost/MAX(1,attendees))),"N/A"))</f>
        <v/>
      </c>
    </row>
    <row r="79" ht="19.5" customHeight="1">
      <c r="A79" s="50"/>
      <c r="B79" s="53"/>
      <c r="C79" s="53"/>
      <c r="D79" s="53"/>
      <c r="E79" s="53"/>
      <c r="F79" s="55"/>
      <c r="G79" s="53"/>
      <c r="H79" s="53"/>
      <c r="I79" s="53"/>
      <c r="J79" s="44" t="str">
        <f t="array" ref="J79">IF(G79="","",IFERROR(LET(ev_cost,INDEX(Events!$G$5:$G$506,MATCH(G79,Events!$A$5:$A$506,0)),ev_split,INDEX(Events!$I$5:$I$506,MATCH(G79,Events!$A$5:$A$506,0)),att_offset,MATCH(G79,Attendance!$B$3:$AY$3,0),attendees,COUNTIF(INDEX(Attendance!$B$7:$AY$206,0,att_offset),"1"),IF(ev_split="Equal Split",ev_cost/MAX(1,COUNTA(Roster!$A$5:$A$204)),ev_cost/MAX(1,attendees))),"N/A"))</f>
        <v/>
      </c>
    </row>
    <row r="80" ht="19.5" customHeight="1">
      <c r="A80" s="46"/>
      <c r="B80" s="49"/>
      <c r="C80" s="49"/>
      <c r="D80" s="49"/>
      <c r="E80" s="49"/>
      <c r="F80" s="54"/>
      <c r="G80" s="49"/>
      <c r="H80" s="49"/>
      <c r="I80" s="49"/>
      <c r="J80" s="44" t="str">
        <f t="array" ref="J80">IF(G80="","",IFERROR(LET(ev_cost,INDEX(Events!$G$5:$G$506,MATCH(G80,Events!$A$5:$A$506,0)),ev_split,INDEX(Events!$I$5:$I$506,MATCH(G80,Events!$A$5:$A$506,0)),att_offset,MATCH(G80,Attendance!$B$3:$AY$3,0),attendees,COUNTIF(INDEX(Attendance!$B$7:$AY$206,0,att_offset),"1"),IF(ev_split="Equal Split",ev_cost/MAX(1,COUNTA(Roster!$A$5:$A$204)),ev_cost/MAX(1,attendees))),"N/A"))</f>
        <v/>
      </c>
    </row>
    <row r="81" ht="19.5" customHeight="1">
      <c r="A81" s="50"/>
      <c r="B81" s="53"/>
      <c r="C81" s="53"/>
      <c r="D81" s="53"/>
      <c r="E81" s="53"/>
      <c r="F81" s="55"/>
      <c r="G81" s="53"/>
      <c r="H81" s="53"/>
      <c r="I81" s="53"/>
      <c r="J81" s="44" t="str">
        <f t="array" ref="J81">IF(G81="","",IFERROR(LET(ev_cost,INDEX(Events!$G$5:$G$506,MATCH(G81,Events!$A$5:$A$506,0)),ev_split,INDEX(Events!$I$5:$I$506,MATCH(G81,Events!$A$5:$A$506,0)),att_offset,MATCH(G81,Attendance!$B$3:$AY$3,0),attendees,COUNTIF(INDEX(Attendance!$B$7:$AY$206,0,att_offset),"1"),IF(ev_split="Equal Split",ev_cost/MAX(1,COUNTA(Roster!$A$5:$A$204)),ev_cost/MAX(1,attendees))),"N/A"))</f>
        <v/>
      </c>
    </row>
    <row r="82" ht="19.5" customHeight="1">
      <c r="A82" s="46"/>
      <c r="B82" s="49"/>
      <c r="C82" s="49"/>
      <c r="D82" s="49"/>
      <c r="E82" s="49"/>
      <c r="F82" s="54"/>
      <c r="G82" s="49"/>
      <c r="H82" s="49"/>
      <c r="I82" s="49"/>
      <c r="J82" s="44" t="str">
        <f t="array" ref="J82">IF(G82="","",IFERROR(LET(ev_cost,INDEX(Events!$G$5:$G$506,MATCH(G82,Events!$A$5:$A$506,0)),ev_split,INDEX(Events!$I$5:$I$506,MATCH(G82,Events!$A$5:$A$506,0)),att_offset,MATCH(G82,Attendance!$B$3:$AY$3,0),attendees,COUNTIF(INDEX(Attendance!$B$7:$AY$206,0,att_offset),"1"),IF(ev_split="Equal Split",ev_cost/MAX(1,COUNTA(Roster!$A$5:$A$204)),ev_cost/MAX(1,attendees))),"N/A"))</f>
        <v/>
      </c>
    </row>
    <row r="83" ht="19.5" customHeight="1">
      <c r="A83" s="50"/>
      <c r="B83" s="53"/>
      <c r="C83" s="53"/>
      <c r="D83" s="53"/>
      <c r="E83" s="53"/>
      <c r="F83" s="55"/>
      <c r="G83" s="53"/>
      <c r="H83" s="53"/>
      <c r="I83" s="53"/>
      <c r="J83" s="44" t="str">
        <f t="array" ref="J83">IF(G83="","",IFERROR(LET(ev_cost,INDEX(Events!$G$5:$G$506,MATCH(G83,Events!$A$5:$A$506,0)),ev_split,INDEX(Events!$I$5:$I$506,MATCH(G83,Events!$A$5:$A$506,0)),att_offset,MATCH(G83,Attendance!$B$3:$AY$3,0),attendees,COUNTIF(INDEX(Attendance!$B$7:$AY$206,0,att_offset),"1"),IF(ev_split="Equal Split",ev_cost/MAX(1,COUNTA(Roster!$A$5:$A$204)),ev_cost/MAX(1,attendees))),"N/A"))</f>
        <v/>
      </c>
    </row>
    <row r="84" ht="19.5" customHeight="1">
      <c r="A84" s="46"/>
      <c r="B84" s="49"/>
      <c r="C84" s="49"/>
      <c r="D84" s="49"/>
      <c r="E84" s="49"/>
      <c r="F84" s="54"/>
      <c r="G84" s="49"/>
      <c r="H84" s="49"/>
      <c r="I84" s="49"/>
      <c r="J84" s="44" t="str">
        <f t="array" ref="J84">IF(G84="","",IFERROR(LET(ev_cost,INDEX(Events!$G$5:$G$506,MATCH(G84,Events!$A$5:$A$506,0)),ev_split,INDEX(Events!$I$5:$I$506,MATCH(G84,Events!$A$5:$A$506,0)),att_offset,MATCH(G84,Attendance!$B$3:$AY$3,0),attendees,COUNTIF(INDEX(Attendance!$B$7:$AY$206,0,att_offset),"1"),IF(ev_split="Equal Split",ev_cost/MAX(1,COUNTA(Roster!$A$5:$A$204)),ev_cost/MAX(1,attendees))),"N/A"))</f>
        <v/>
      </c>
    </row>
    <row r="85" ht="19.5" customHeight="1">
      <c r="A85" s="50"/>
      <c r="B85" s="53"/>
      <c r="C85" s="53"/>
      <c r="D85" s="53"/>
      <c r="E85" s="53"/>
      <c r="F85" s="55"/>
      <c r="G85" s="53"/>
      <c r="H85" s="53"/>
      <c r="I85" s="53"/>
      <c r="J85" s="44" t="str">
        <f t="array" ref="J85">IF(G85="","",IFERROR(LET(ev_cost,INDEX(Events!$G$5:$G$506,MATCH(G85,Events!$A$5:$A$506,0)),ev_split,INDEX(Events!$I$5:$I$506,MATCH(G85,Events!$A$5:$A$506,0)),att_offset,MATCH(G85,Attendance!$B$3:$AY$3,0),attendees,COUNTIF(INDEX(Attendance!$B$7:$AY$206,0,att_offset),"1"),IF(ev_split="Equal Split",ev_cost/MAX(1,COUNTA(Roster!$A$5:$A$204)),ev_cost/MAX(1,attendees))),"N/A"))</f>
        <v/>
      </c>
    </row>
    <row r="86" ht="19.5" customHeight="1">
      <c r="A86" s="46"/>
      <c r="B86" s="49"/>
      <c r="C86" s="49"/>
      <c r="D86" s="49"/>
      <c r="E86" s="49"/>
      <c r="F86" s="54"/>
      <c r="G86" s="49"/>
      <c r="H86" s="49"/>
      <c r="I86" s="49"/>
      <c r="J86" s="44" t="str">
        <f t="array" ref="J86">IF(G86="","",IFERROR(LET(ev_cost,INDEX(Events!$G$5:$G$506,MATCH(G86,Events!$A$5:$A$506,0)),ev_split,INDEX(Events!$I$5:$I$506,MATCH(G86,Events!$A$5:$A$506,0)),att_offset,MATCH(G86,Attendance!$B$3:$AY$3,0),attendees,COUNTIF(INDEX(Attendance!$B$7:$AY$206,0,att_offset),"1"),IF(ev_split="Equal Split",ev_cost/MAX(1,COUNTA(Roster!$A$5:$A$204)),ev_cost/MAX(1,attendees))),"N/A"))</f>
        <v/>
      </c>
    </row>
    <row r="87" ht="19.5" customHeight="1">
      <c r="A87" s="50"/>
      <c r="B87" s="53"/>
      <c r="C87" s="53"/>
      <c r="D87" s="53"/>
      <c r="E87" s="53"/>
      <c r="F87" s="55"/>
      <c r="G87" s="53"/>
      <c r="H87" s="53"/>
      <c r="I87" s="53"/>
      <c r="J87" s="44" t="str">
        <f t="array" ref="J87">IF(G87="","",IFERROR(LET(ev_cost,INDEX(Events!$G$5:$G$506,MATCH(G87,Events!$A$5:$A$506,0)),ev_split,INDEX(Events!$I$5:$I$506,MATCH(G87,Events!$A$5:$A$506,0)),att_offset,MATCH(G87,Attendance!$B$3:$AY$3,0),attendees,COUNTIF(INDEX(Attendance!$B$7:$AY$206,0,att_offset),"1"),IF(ev_split="Equal Split",ev_cost/MAX(1,COUNTA(Roster!$A$5:$A$204)),ev_cost/MAX(1,attendees))),"N/A"))</f>
        <v/>
      </c>
    </row>
    <row r="88" ht="19.5" customHeight="1">
      <c r="A88" s="46"/>
      <c r="B88" s="49"/>
      <c r="C88" s="49"/>
      <c r="D88" s="49"/>
      <c r="E88" s="49"/>
      <c r="F88" s="54"/>
      <c r="G88" s="49"/>
      <c r="H88" s="49"/>
      <c r="I88" s="49"/>
      <c r="J88" s="44" t="str">
        <f t="array" ref="J88">IF(G88="","",IFERROR(LET(ev_cost,INDEX(Events!$G$5:$G$506,MATCH(G88,Events!$A$5:$A$506,0)),ev_split,INDEX(Events!$I$5:$I$506,MATCH(G88,Events!$A$5:$A$506,0)),att_offset,MATCH(G88,Attendance!$B$3:$AY$3,0),attendees,COUNTIF(INDEX(Attendance!$B$7:$AY$206,0,att_offset),"1"),IF(ev_split="Equal Split",ev_cost/MAX(1,COUNTA(Roster!$A$5:$A$204)),ev_cost/MAX(1,attendees))),"N/A"))</f>
        <v/>
      </c>
    </row>
    <row r="89" ht="19.5" customHeight="1">
      <c r="A89" s="50"/>
      <c r="B89" s="53"/>
      <c r="C89" s="53"/>
      <c r="D89" s="53"/>
      <c r="E89" s="53"/>
      <c r="F89" s="55"/>
      <c r="G89" s="53"/>
      <c r="H89" s="53"/>
      <c r="I89" s="53"/>
      <c r="J89" s="44" t="str">
        <f t="array" ref="J89">IF(G89="","",IFERROR(LET(ev_cost,INDEX(Events!$G$5:$G$506,MATCH(G89,Events!$A$5:$A$506,0)),ev_split,INDEX(Events!$I$5:$I$506,MATCH(G89,Events!$A$5:$A$506,0)),att_offset,MATCH(G89,Attendance!$B$3:$AY$3,0),attendees,COUNTIF(INDEX(Attendance!$B$7:$AY$206,0,att_offset),"1"),IF(ev_split="Equal Split",ev_cost/MAX(1,COUNTA(Roster!$A$5:$A$204)),ev_cost/MAX(1,attendees))),"N/A"))</f>
        <v/>
      </c>
    </row>
    <row r="90" ht="19.5" customHeight="1">
      <c r="A90" s="46"/>
      <c r="B90" s="49"/>
      <c r="C90" s="49"/>
      <c r="D90" s="49"/>
      <c r="E90" s="49"/>
      <c r="F90" s="54"/>
      <c r="G90" s="49"/>
      <c r="H90" s="49"/>
      <c r="I90" s="49"/>
      <c r="J90" s="44" t="str">
        <f t="array" ref="J90">IF(G90="","",IFERROR(LET(ev_cost,INDEX(Events!$G$5:$G$506,MATCH(G90,Events!$A$5:$A$506,0)),ev_split,INDEX(Events!$I$5:$I$506,MATCH(G90,Events!$A$5:$A$506,0)),att_offset,MATCH(G90,Attendance!$B$3:$AY$3,0),attendees,COUNTIF(INDEX(Attendance!$B$7:$AY$206,0,att_offset),"1"),IF(ev_split="Equal Split",ev_cost/MAX(1,COUNTA(Roster!$A$5:$A$204)),ev_cost/MAX(1,attendees))),"N/A"))</f>
        <v/>
      </c>
    </row>
    <row r="91" ht="19.5" customHeight="1">
      <c r="A91" s="50"/>
      <c r="B91" s="53"/>
      <c r="C91" s="53"/>
      <c r="D91" s="53"/>
      <c r="E91" s="53"/>
      <c r="F91" s="55"/>
      <c r="G91" s="53"/>
      <c r="H91" s="53"/>
      <c r="I91" s="53"/>
      <c r="J91" s="44" t="str">
        <f t="array" ref="J91">IF(G91="","",IFERROR(LET(ev_cost,INDEX(Events!$G$5:$G$506,MATCH(G91,Events!$A$5:$A$506,0)),ev_split,INDEX(Events!$I$5:$I$506,MATCH(G91,Events!$A$5:$A$506,0)),att_offset,MATCH(G91,Attendance!$B$3:$AY$3,0),attendees,COUNTIF(INDEX(Attendance!$B$7:$AY$206,0,att_offset),"1"),IF(ev_split="Equal Split",ev_cost/MAX(1,COUNTA(Roster!$A$5:$A$204)),ev_cost/MAX(1,attendees))),"N/A"))</f>
        <v/>
      </c>
    </row>
    <row r="92" ht="19.5" customHeight="1">
      <c r="A92" s="46"/>
      <c r="B92" s="49"/>
      <c r="C92" s="49"/>
      <c r="D92" s="49"/>
      <c r="E92" s="49"/>
      <c r="F92" s="54"/>
      <c r="G92" s="49"/>
      <c r="H92" s="49"/>
      <c r="I92" s="49"/>
      <c r="J92" s="44" t="str">
        <f t="array" ref="J92">IF(G92="","",IFERROR(LET(ev_cost,INDEX(Events!$G$5:$G$506,MATCH(G92,Events!$A$5:$A$506,0)),ev_split,INDEX(Events!$I$5:$I$506,MATCH(G92,Events!$A$5:$A$506,0)),att_offset,MATCH(G92,Attendance!$B$3:$AY$3,0),attendees,COUNTIF(INDEX(Attendance!$B$7:$AY$206,0,att_offset),"1"),IF(ev_split="Equal Split",ev_cost/MAX(1,COUNTA(Roster!$A$5:$A$204)),ev_cost/MAX(1,attendees))),"N/A"))</f>
        <v/>
      </c>
    </row>
    <row r="93" ht="19.5" customHeight="1">
      <c r="A93" s="50"/>
      <c r="B93" s="53"/>
      <c r="C93" s="53"/>
      <c r="D93" s="53"/>
      <c r="E93" s="53"/>
      <c r="F93" s="55"/>
      <c r="G93" s="53"/>
      <c r="H93" s="53"/>
      <c r="I93" s="53"/>
      <c r="J93" s="44" t="str">
        <f t="array" ref="J93">IF(G93="","",IFERROR(LET(ev_cost,INDEX(Events!$G$5:$G$506,MATCH(G93,Events!$A$5:$A$506,0)),ev_split,INDEX(Events!$I$5:$I$506,MATCH(G93,Events!$A$5:$A$506,0)),att_offset,MATCH(G93,Attendance!$B$3:$AY$3,0),attendees,COUNTIF(INDEX(Attendance!$B$7:$AY$206,0,att_offset),"1"),IF(ev_split="Equal Split",ev_cost/MAX(1,COUNTA(Roster!$A$5:$A$204)),ev_cost/MAX(1,attendees))),"N/A"))</f>
        <v/>
      </c>
    </row>
    <row r="94" ht="19.5" customHeight="1">
      <c r="A94" s="46"/>
      <c r="B94" s="49"/>
      <c r="C94" s="49"/>
      <c r="D94" s="49"/>
      <c r="E94" s="49"/>
      <c r="F94" s="54"/>
      <c r="G94" s="49"/>
      <c r="H94" s="49"/>
      <c r="I94" s="49"/>
      <c r="J94" s="44" t="str">
        <f t="array" ref="J94">IF(G94="","",IFERROR(LET(ev_cost,INDEX(Events!$G$5:$G$506,MATCH(G94,Events!$A$5:$A$506,0)),ev_split,INDEX(Events!$I$5:$I$506,MATCH(G94,Events!$A$5:$A$506,0)),att_offset,MATCH(G94,Attendance!$B$3:$AY$3,0),attendees,COUNTIF(INDEX(Attendance!$B$7:$AY$206,0,att_offset),"1"),IF(ev_split="Equal Split",ev_cost/MAX(1,COUNTA(Roster!$A$5:$A$204)),ev_cost/MAX(1,attendees))),"N/A"))</f>
        <v/>
      </c>
    </row>
    <row r="95" ht="19.5" customHeight="1">
      <c r="A95" s="50"/>
      <c r="B95" s="53"/>
      <c r="C95" s="53"/>
      <c r="D95" s="53"/>
      <c r="E95" s="53"/>
      <c r="F95" s="55"/>
      <c r="G95" s="53"/>
      <c r="H95" s="53"/>
      <c r="I95" s="53"/>
      <c r="J95" s="44" t="str">
        <f t="array" ref="J95">IF(G95="","",IFERROR(LET(ev_cost,INDEX(Events!$G$5:$G$506,MATCH(G95,Events!$A$5:$A$506,0)),ev_split,INDEX(Events!$I$5:$I$506,MATCH(G95,Events!$A$5:$A$506,0)),att_offset,MATCH(G95,Attendance!$B$3:$AY$3,0),attendees,COUNTIF(INDEX(Attendance!$B$7:$AY$206,0,att_offset),"1"),IF(ev_split="Equal Split",ev_cost/MAX(1,COUNTA(Roster!$A$5:$A$204)),ev_cost/MAX(1,attendees))),"N/A"))</f>
        <v/>
      </c>
    </row>
    <row r="96" ht="19.5" customHeight="1">
      <c r="A96" s="46"/>
      <c r="B96" s="49"/>
      <c r="C96" s="49"/>
      <c r="D96" s="49"/>
      <c r="E96" s="49"/>
      <c r="F96" s="54"/>
      <c r="G96" s="49"/>
      <c r="H96" s="49"/>
      <c r="I96" s="49"/>
      <c r="J96" s="44" t="str">
        <f t="array" ref="J96">IF(G96="","",IFERROR(LET(ev_cost,INDEX(Events!$G$5:$G$506,MATCH(G96,Events!$A$5:$A$506,0)),ev_split,INDEX(Events!$I$5:$I$506,MATCH(G96,Events!$A$5:$A$506,0)),att_offset,MATCH(G96,Attendance!$B$3:$AY$3,0),attendees,COUNTIF(INDEX(Attendance!$B$7:$AY$206,0,att_offset),"1"),IF(ev_split="Equal Split",ev_cost/MAX(1,COUNTA(Roster!$A$5:$A$204)),ev_cost/MAX(1,attendees))),"N/A"))</f>
        <v/>
      </c>
    </row>
    <row r="97" ht="19.5" customHeight="1">
      <c r="A97" s="50"/>
      <c r="B97" s="53"/>
      <c r="C97" s="53"/>
      <c r="D97" s="53"/>
      <c r="E97" s="53"/>
      <c r="F97" s="55"/>
      <c r="G97" s="53"/>
      <c r="H97" s="53"/>
      <c r="I97" s="53"/>
      <c r="J97" s="44" t="str">
        <f t="array" ref="J97">IF(G97="","",IFERROR(LET(ev_cost,INDEX(Events!$G$5:$G$506,MATCH(G97,Events!$A$5:$A$506,0)),ev_split,INDEX(Events!$I$5:$I$506,MATCH(G97,Events!$A$5:$A$506,0)),att_offset,MATCH(G97,Attendance!$B$3:$AY$3,0),attendees,COUNTIF(INDEX(Attendance!$B$7:$AY$206,0,att_offset),"1"),IF(ev_split="Equal Split",ev_cost/MAX(1,COUNTA(Roster!$A$5:$A$204)),ev_cost/MAX(1,attendees))),"N/A"))</f>
        <v/>
      </c>
    </row>
    <row r="98" ht="19.5" customHeight="1">
      <c r="A98" s="46"/>
      <c r="B98" s="49"/>
      <c r="C98" s="49"/>
      <c r="D98" s="49"/>
      <c r="E98" s="49"/>
      <c r="F98" s="54"/>
      <c r="G98" s="49"/>
      <c r="H98" s="49"/>
      <c r="I98" s="49"/>
      <c r="J98" s="44" t="str">
        <f t="array" ref="J98">IF(G98="","",IFERROR(LET(ev_cost,INDEX(Events!$G$5:$G$506,MATCH(G98,Events!$A$5:$A$506,0)),ev_split,INDEX(Events!$I$5:$I$506,MATCH(G98,Events!$A$5:$A$506,0)),att_offset,MATCH(G98,Attendance!$B$3:$AY$3,0),attendees,COUNTIF(INDEX(Attendance!$B$7:$AY$206,0,att_offset),"1"),IF(ev_split="Equal Split",ev_cost/MAX(1,COUNTA(Roster!$A$5:$A$204)),ev_cost/MAX(1,attendees))),"N/A"))</f>
        <v/>
      </c>
    </row>
    <row r="99" ht="19.5" customHeight="1">
      <c r="A99" s="50"/>
      <c r="B99" s="53"/>
      <c r="C99" s="53"/>
      <c r="D99" s="53"/>
      <c r="E99" s="53"/>
      <c r="F99" s="55"/>
      <c r="G99" s="53"/>
      <c r="H99" s="53"/>
      <c r="I99" s="53"/>
      <c r="J99" s="44" t="str">
        <f t="array" ref="J99">IF(G99="","",IFERROR(LET(ev_cost,INDEX(Events!$G$5:$G$506,MATCH(G99,Events!$A$5:$A$506,0)),ev_split,INDEX(Events!$I$5:$I$506,MATCH(G99,Events!$A$5:$A$506,0)),att_offset,MATCH(G99,Attendance!$B$3:$AY$3,0),attendees,COUNTIF(INDEX(Attendance!$B$7:$AY$206,0,att_offset),"1"),IF(ev_split="Equal Split",ev_cost/MAX(1,COUNTA(Roster!$A$5:$A$204)),ev_cost/MAX(1,attendees))),"N/A"))</f>
        <v/>
      </c>
    </row>
    <row r="100" ht="19.5" customHeight="1">
      <c r="A100" s="46"/>
      <c r="B100" s="49"/>
      <c r="C100" s="49"/>
      <c r="D100" s="49"/>
      <c r="E100" s="49"/>
      <c r="F100" s="54"/>
      <c r="G100" s="49"/>
      <c r="H100" s="49"/>
      <c r="I100" s="49"/>
      <c r="J100" s="44" t="str">
        <f t="array" ref="J100">IF(G100="","",IFERROR(LET(ev_cost,INDEX(Events!$G$5:$G$506,MATCH(G100,Events!$A$5:$A$506,0)),ev_split,INDEX(Events!$I$5:$I$506,MATCH(G100,Events!$A$5:$A$506,0)),att_offset,MATCH(G100,Attendance!$B$3:$AY$3,0),attendees,COUNTIF(INDEX(Attendance!$B$7:$AY$206,0,att_offset),"1"),IF(ev_split="Equal Split",ev_cost/MAX(1,COUNTA(Roster!$A$5:$A$204)),ev_cost/MAX(1,attendees))),"N/A"))</f>
        <v/>
      </c>
    </row>
    <row r="101" ht="19.5" customHeight="1">
      <c r="A101" s="50"/>
      <c r="B101" s="53"/>
      <c r="C101" s="53"/>
      <c r="D101" s="53"/>
      <c r="E101" s="53"/>
      <c r="F101" s="55"/>
      <c r="G101" s="53"/>
      <c r="H101" s="53"/>
      <c r="I101" s="53"/>
      <c r="J101" s="44" t="str">
        <f t="array" ref="J101">IF(G101="","",IFERROR(LET(ev_cost,INDEX(Events!$G$5:$G$506,MATCH(G101,Events!$A$5:$A$506,0)),ev_split,INDEX(Events!$I$5:$I$506,MATCH(G101,Events!$A$5:$A$506,0)),att_offset,MATCH(G101,Attendance!$B$3:$AY$3,0),attendees,COUNTIF(INDEX(Attendance!$B$7:$AY$206,0,att_offset),"1"),IF(ev_split="Equal Split",ev_cost/MAX(1,COUNTA(Roster!$A$5:$A$204)),ev_cost/MAX(1,attendees))),"N/A"))</f>
        <v/>
      </c>
    </row>
    <row r="102" ht="19.5" customHeight="1">
      <c r="A102" s="46"/>
      <c r="B102" s="49"/>
      <c r="C102" s="49"/>
      <c r="D102" s="49"/>
      <c r="E102" s="49"/>
      <c r="F102" s="54"/>
      <c r="G102" s="49"/>
      <c r="H102" s="49"/>
      <c r="I102" s="49"/>
      <c r="J102" s="44" t="str">
        <f t="array" ref="J102">IF(G102="","",IFERROR(LET(ev_cost,INDEX(Events!$G$5:$G$506,MATCH(G102,Events!$A$5:$A$506,0)),ev_split,INDEX(Events!$I$5:$I$506,MATCH(G102,Events!$A$5:$A$506,0)),att_offset,MATCH(G102,Attendance!$B$3:$AY$3,0),attendees,COUNTIF(INDEX(Attendance!$B$7:$AY$206,0,att_offset),"1"),IF(ev_split="Equal Split",ev_cost/MAX(1,COUNTA(Roster!$A$5:$A$204)),ev_cost/MAX(1,attendees))),"N/A"))</f>
        <v/>
      </c>
    </row>
    <row r="103" ht="19.5" customHeight="1">
      <c r="A103" s="50"/>
      <c r="B103" s="53"/>
      <c r="C103" s="53"/>
      <c r="D103" s="53"/>
      <c r="E103" s="53"/>
      <c r="F103" s="55"/>
      <c r="G103" s="53"/>
      <c r="H103" s="53"/>
      <c r="I103" s="53"/>
      <c r="J103" s="44" t="str">
        <f t="array" ref="J103">IF(G103="","",IFERROR(LET(ev_cost,INDEX(Events!$G$5:$G$506,MATCH(G103,Events!$A$5:$A$506,0)),ev_split,INDEX(Events!$I$5:$I$506,MATCH(G103,Events!$A$5:$A$506,0)),att_offset,MATCH(G103,Attendance!$B$3:$AY$3,0),attendees,COUNTIF(INDEX(Attendance!$B$7:$AY$206,0,att_offset),"1"),IF(ev_split="Equal Split",ev_cost/MAX(1,COUNTA(Roster!$A$5:$A$204)),ev_cost/MAX(1,attendees))),"N/A"))</f>
        <v/>
      </c>
    </row>
    <row r="104" ht="19.5" customHeight="1">
      <c r="A104" s="46"/>
      <c r="B104" s="49"/>
      <c r="C104" s="49"/>
      <c r="D104" s="49"/>
      <c r="E104" s="49"/>
      <c r="F104" s="54"/>
      <c r="G104" s="49"/>
      <c r="H104" s="49"/>
      <c r="I104" s="49"/>
      <c r="J104" s="44" t="str">
        <f t="array" ref="J104">IF(G104="","",IFERROR(LET(ev_cost,INDEX(Events!$G$5:$G$506,MATCH(G104,Events!$A$5:$A$506,0)),ev_split,INDEX(Events!$I$5:$I$506,MATCH(G104,Events!$A$5:$A$506,0)),att_offset,MATCH(G104,Attendance!$B$3:$AY$3,0),attendees,COUNTIF(INDEX(Attendance!$B$7:$AY$206,0,att_offset),"1"),IF(ev_split="Equal Split",ev_cost/MAX(1,COUNTA(Roster!$A$5:$A$204)),ev_cost/MAX(1,attendees))),"N/A"))</f>
        <v/>
      </c>
    </row>
    <row r="105" ht="19.5" customHeight="1">
      <c r="A105" s="50"/>
      <c r="B105" s="53"/>
      <c r="C105" s="53"/>
      <c r="D105" s="53"/>
      <c r="E105" s="53"/>
      <c r="F105" s="55"/>
      <c r="G105" s="53"/>
      <c r="H105" s="53"/>
      <c r="I105" s="53"/>
      <c r="J105" s="44" t="str">
        <f t="array" ref="J105">IF(G105="","",IFERROR(LET(ev_cost,INDEX(Events!$G$5:$G$506,MATCH(G105,Events!$A$5:$A$506,0)),ev_split,INDEX(Events!$I$5:$I$506,MATCH(G105,Events!$A$5:$A$506,0)),att_offset,MATCH(G105,Attendance!$B$3:$AY$3,0),attendees,COUNTIF(INDEX(Attendance!$B$7:$AY$206,0,att_offset),"1"),IF(ev_split="Equal Split",ev_cost/MAX(1,COUNTA(Roster!$A$5:$A$204)),ev_cost/MAX(1,attendees))),"N/A"))</f>
        <v/>
      </c>
    </row>
    <row r="106" ht="19.5" customHeight="1">
      <c r="A106" s="46"/>
      <c r="B106" s="49"/>
      <c r="C106" s="49"/>
      <c r="D106" s="49"/>
      <c r="E106" s="49"/>
      <c r="F106" s="54"/>
      <c r="G106" s="49"/>
      <c r="H106" s="49"/>
      <c r="I106" s="49"/>
      <c r="J106" s="44" t="str">
        <f t="array" ref="J106">IF(G106="","",IFERROR(LET(ev_cost,INDEX(Events!$G$5:$G$506,MATCH(G106,Events!$A$5:$A$506,0)),ev_split,INDEX(Events!$I$5:$I$506,MATCH(G106,Events!$A$5:$A$506,0)),att_offset,MATCH(G106,Attendance!$B$3:$AY$3,0),attendees,COUNTIF(INDEX(Attendance!$B$7:$AY$206,0,att_offset),"1"),IF(ev_split="Equal Split",ev_cost/MAX(1,COUNTA(Roster!$A$5:$A$204)),ev_cost/MAX(1,attendees))),"N/A"))</f>
        <v/>
      </c>
    </row>
    <row r="107" ht="19.5" customHeight="1">
      <c r="A107" s="50"/>
      <c r="B107" s="53"/>
      <c r="C107" s="53"/>
      <c r="D107" s="53"/>
      <c r="E107" s="53"/>
      <c r="F107" s="55"/>
      <c r="G107" s="53"/>
      <c r="H107" s="53"/>
      <c r="I107" s="53"/>
      <c r="J107" s="44" t="str">
        <f t="array" ref="J107">IF(G107="","",IFERROR(LET(ev_cost,INDEX(Events!$G$5:$G$506,MATCH(G107,Events!$A$5:$A$506,0)),ev_split,INDEX(Events!$I$5:$I$506,MATCH(G107,Events!$A$5:$A$506,0)),att_offset,MATCH(G107,Attendance!$B$3:$AY$3,0),attendees,COUNTIF(INDEX(Attendance!$B$7:$AY$206,0,att_offset),"1"),IF(ev_split="Equal Split",ev_cost/MAX(1,COUNTA(Roster!$A$5:$A$204)),ev_cost/MAX(1,attendees))),"N/A"))</f>
        <v/>
      </c>
    </row>
    <row r="108" ht="19.5" customHeight="1">
      <c r="A108" s="46"/>
      <c r="B108" s="49"/>
      <c r="C108" s="49"/>
      <c r="D108" s="49"/>
      <c r="E108" s="49"/>
      <c r="F108" s="54"/>
      <c r="G108" s="49"/>
      <c r="H108" s="49"/>
      <c r="I108" s="49"/>
      <c r="J108" s="44" t="str">
        <f t="array" ref="J108">IF(G108="","",IFERROR(LET(ev_cost,INDEX(Events!$G$5:$G$506,MATCH(G108,Events!$A$5:$A$506,0)),ev_split,INDEX(Events!$I$5:$I$506,MATCH(G108,Events!$A$5:$A$506,0)),att_offset,MATCH(G108,Attendance!$B$3:$AY$3,0),attendees,COUNTIF(INDEX(Attendance!$B$7:$AY$206,0,att_offset),"1"),IF(ev_split="Equal Split",ev_cost/MAX(1,COUNTA(Roster!$A$5:$A$204)),ev_cost/MAX(1,attendees))),"N/A"))</f>
        <v/>
      </c>
    </row>
    <row r="109" ht="19.5" customHeight="1">
      <c r="A109" s="50"/>
      <c r="B109" s="53"/>
      <c r="C109" s="53"/>
      <c r="D109" s="53"/>
      <c r="E109" s="53"/>
      <c r="F109" s="55"/>
      <c r="G109" s="53"/>
      <c r="H109" s="53"/>
      <c r="I109" s="53"/>
      <c r="J109" s="44" t="str">
        <f t="array" ref="J109">IF(G109="","",IFERROR(LET(ev_cost,INDEX(Events!$G$5:$G$506,MATCH(G109,Events!$A$5:$A$506,0)),ev_split,INDEX(Events!$I$5:$I$506,MATCH(G109,Events!$A$5:$A$506,0)),att_offset,MATCH(G109,Attendance!$B$3:$AY$3,0),attendees,COUNTIF(INDEX(Attendance!$B$7:$AY$206,0,att_offset),"1"),IF(ev_split="Equal Split",ev_cost/MAX(1,COUNTA(Roster!$A$5:$A$204)),ev_cost/MAX(1,attendees))),"N/A"))</f>
        <v/>
      </c>
    </row>
    <row r="110" ht="19.5" customHeight="1">
      <c r="A110" s="46"/>
      <c r="B110" s="49"/>
      <c r="C110" s="49"/>
      <c r="D110" s="49"/>
      <c r="E110" s="49"/>
      <c r="F110" s="54"/>
      <c r="G110" s="49"/>
      <c r="H110" s="49"/>
      <c r="I110" s="49"/>
      <c r="J110" s="44" t="str">
        <f t="array" ref="J110">IF(G110="","",IFERROR(LET(ev_cost,INDEX(Events!$G$5:$G$506,MATCH(G110,Events!$A$5:$A$506,0)),ev_split,INDEX(Events!$I$5:$I$506,MATCH(G110,Events!$A$5:$A$506,0)),att_offset,MATCH(G110,Attendance!$B$3:$AY$3,0),attendees,COUNTIF(INDEX(Attendance!$B$7:$AY$206,0,att_offset),"1"),IF(ev_split="Equal Split",ev_cost/MAX(1,COUNTA(Roster!$A$5:$A$204)),ev_cost/MAX(1,attendees))),"N/A"))</f>
        <v/>
      </c>
    </row>
    <row r="111" ht="19.5" customHeight="1">
      <c r="A111" s="50"/>
      <c r="B111" s="53"/>
      <c r="C111" s="53"/>
      <c r="D111" s="53"/>
      <c r="E111" s="53"/>
      <c r="F111" s="55"/>
      <c r="G111" s="53"/>
      <c r="H111" s="53"/>
      <c r="I111" s="53"/>
      <c r="J111" s="44" t="str">
        <f t="array" ref="J111">IF(G111="","",IFERROR(LET(ev_cost,INDEX(Events!$G$5:$G$506,MATCH(G111,Events!$A$5:$A$506,0)),ev_split,INDEX(Events!$I$5:$I$506,MATCH(G111,Events!$A$5:$A$506,0)),att_offset,MATCH(G111,Attendance!$B$3:$AY$3,0),attendees,COUNTIF(INDEX(Attendance!$B$7:$AY$206,0,att_offset),"1"),IF(ev_split="Equal Split",ev_cost/MAX(1,COUNTA(Roster!$A$5:$A$204)),ev_cost/MAX(1,attendees))),"N/A"))</f>
        <v/>
      </c>
    </row>
    <row r="112" ht="19.5" customHeight="1">
      <c r="A112" s="46"/>
      <c r="B112" s="49"/>
      <c r="C112" s="49"/>
      <c r="D112" s="49"/>
      <c r="E112" s="49"/>
      <c r="F112" s="54"/>
      <c r="G112" s="49"/>
      <c r="H112" s="49"/>
      <c r="I112" s="49"/>
      <c r="J112" s="44" t="str">
        <f t="array" ref="J112">IF(G112="","",IFERROR(LET(ev_cost,INDEX(Events!$G$5:$G$506,MATCH(G112,Events!$A$5:$A$506,0)),ev_split,INDEX(Events!$I$5:$I$506,MATCH(G112,Events!$A$5:$A$506,0)),att_offset,MATCH(G112,Attendance!$B$3:$AY$3,0),attendees,COUNTIF(INDEX(Attendance!$B$7:$AY$206,0,att_offset),"1"),IF(ev_split="Equal Split",ev_cost/MAX(1,COUNTA(Roster!$A$5:$A$204)),ev_cost/MAX(1,attendees))),"N/A"))</f>
        <v/>
      </c>
    </row>
    <row r="113" ht="19.5" customHeight="1">
      <c r="A113" s="50"/>
      <c r="B113" s="53"/>
      <c r="C113" s="53"/>
      <c r="D113" s="53"/>
      <c r="E113" s="53"/>
      <c r="F113" s="55"/>
      <c r="G113" s="53"/>
      <c r="H113" s="53"/>
      <c r="I113" s="53"/>
      <c r="J113" s="44" t="str">
        <f t="array" ref="J113">IF(G113="","",IFERROR(LET(ev_cost,INDEX(Events!$G$5:$G$506,MATCH(G113,Events!$A$5:$A$506,0)),ev_split,INDEX(Events!$I$5:$I$506,MATCH(G113,Events!$A$5:$A$506,0)),att_offset,MATCH(G113,Attendance!$B$3:$AY$3,0),attendees,COUNTIF(INDEX(Attendance!$B$7:$AY$206,0,att_offset),"1"),IF(ev_split="Equal Split",ev_cost/MAX(1,COUNTA(Roster!$A$5:$A$204)),ev_cost/MAX(1,attendees))),"N/A"))</f>
        <v/>
      </c>
    </row>
    <row r="114" ht="19.5" customHeight="1">
      <c r="A114" s="46"/>
      <c r="B114" s="49"/>
      <c r="C114" s="49"/>
      <c r="D114" s="49"/>
      <c r="E114" s="49"/>
      <c r="F114" s="54"/>
      <c r="G114" s="49"/>
      <c r="H114" s="49"/>
      <c r="I114" s="49"/>
      <c r="J114" s="44" t="str">
        <f t="array" ref="J114">IF(G114="","",IFERROR(LET(ev_cost,INDEX(Events!$G$5:$G$506,MATCH(G114,Events!$A$5:$A$506,0)),ev_split,INDEX(Events!$I$5:$I$506,MATCH(G114,Events!$A$5:$A$506,0)),att_offset,MATCH(G114,Attendance!$B$3:$AY$3,0),attendees,COUNTIF(INDEX(Attendance!$B$7:$AY$206,0,att_offset),"1"),IF(ev_split="Equal Split",ev_cost/MAX(1,COUNTA(Roster!$A$5:$A$204)),ev_cost/MAX(1,attendees))),"N/A"))</f>
        <v/>
      </c>
    </row>
    <row r="115" ht="19.5" customHeight="1">
      <c r="A115" s="50"/>
      <c r="B115" s="53"/>
      <c r="C115" s="53"/>
      <c r="D115" s="53"/>
      <c r="E115" s="53"/>
      <c r="F115" s="55"/>
      <c r="G115" s="53"/>
      <c r="H115" s="53"/>
      <c r="I115" s="53"/>
      <c r="J115" s="44" t="str">
        <f t="array" ref="J115">IF(G115="","",IFERROR(LET(ev_cost,INDEX(Events!$G$5:$G$506,MATCH(G115,Events!$A$5:$A$506,0)),ev_split,INDEX(Events!$I$5:$I$506,MATCH(G115,Events!$A$5:$A$506,0)),att_offset,MATCH(G115,Attendance!$B$3:$AY$3,0),attendees,COUNTIF(INDEX(Attendance!$B$7:$AY$206,0,att_offset),"1"),IF(ev_split="Equal Split",ev_cost/MAX(1,COUNTA(Roster!$A$5:$A$204)),ev_cost/MAX(1,attendees))),"N/A"))</f>
        <v/>
      </c>
    </row>
    <row r="116" ht="19.5" customHeight="1">
      <c r="A116" s="46"/>
      <c r="B116" s="49"/>
      <c r="C116" s="49"/>
      <c r="D116" s="49"/>
      <c r="E116" s="49"/>
      <c r="F116" s="54"/>
      <c r="G116" s="49"/>
      <c r="H116" s="49"/>
      <c r="I116" s="49"/>
      <c r="J116" s="44" t="str">
        <f t="array" ref="J116">IF(G116="","",IFERROR(LET(ev_cost,INDEX(Events!$G$5:$G$506,MATCH(G116,Events!$A$5:$A$506,0)),ev_split,INDEX(Events!$I$5:$I$506,MATCH(G116,Events!$A$5:$A$506,0)),att_offset,MATCH(G116,Attendance!$B$3:$AY$3,0),attendees,COUNTIF(INDEX(Attendance!$B$7:$AY$206,0,att_offset),"1"),IF(ev_split="Equal Split",ev_cost/MAX(1,COUNTA(Roster!$A$5:$A$204)),ev_cost/MAX(1,attendees))),"N/A"))</f>
        <v/>
      </c>
    </row>
    <row r="117" ht="19.5" customHeight="1">
      <c r="A117" s="50"/>
      <c r="B117" s="53"/>
      <c r="C117" s="53"/>
      <c r="D117" s="53"/>
      <c r="E117" s="53"/>
      <c r="F117" s="55"/>
      <c r="G117" s="53"/>
      <c r="H117" s="53"/>
      <c r="I117" s="53"/>
      <c r="J117" s="44" t="str">
        <f t="array" ref="J117">IF(G117="","",IFERROR(LET(ev_cost,INDEX(Events!$G$5:$G$506,MATCH(G117,Events!$A$5:$A$506,0)),ev_split,INDEX(Events!$I$5:$I$506,MATCH(G117,Events!$A$5:$A$506,0)),att_offset,MATCH(G117,Attendance!$B$3:$AY$3,0),attendees,COUNTIF(INDEX(Attendance!$B$7:$AY$206,0,att_offset),"1"),IF(ev_split="Equal Split",ev_cost/MAX(1,COUNTA(Roster!$A$5:$A$204)),ev_cost/MAX(1,attendees))),"N/A"))</f>
        <v/>
      </c>
    </row>
    <row r="118" ht="19.5" customHeight="1">
      <c r="A118" s="46"/>
      <c r="B118" s="49"/>
      <c r="C118" s="49"/>
      <c r="D118" s="49"/>
      <c r="E118" s="49"/>
      <c r="F118" s="54"/>
      <c r="G118" s="49"/>
      <c r="H118" s="49"/>
      <c r="I118" s="49"/>
      <c r="J118" s="44" t="str">
        <f t="array" ref="J118">IF(G118="","",IFERROR(LET(ev_cost,INDEX(Events!$G$5:$G$506,MATCH(G118,Events!$A$5:$A$506,0)),ev_split,INDEX(Events!$I$5:$I$506,MATCH(G118,Events!$A$5:$A$506,0)),att_offset,MATCH(G118,Attendance!$B$3:$AY$3,0),attendees,COUNTIF(INDEX(Attendance!$B$7:$AY$206,0,att_offset),"1"),IF(ev_split="Equal Split",ev_cost/MAX(1,COUNTA(Roster!$A$5:$A$204)),ev_cost/MAX(1,attendees))),"N/A"))</f>
        <v/>
      </c>
    </row>
    <row r="119" ht="19.5" customHeight="1">
      <c r="A119" s="50"/>
      <c r="B119" s="53"/>
      <c r="C119" s="53"/>
      <c r="D119" s="53"/>
      <c r="E119" s="53"/>
      <c r="F119" s="55"/>
      <c r="G119" s="53"/>
      <c r="H119" s="53"/>
      <c r="I119" s="53"/>
      <c r="J119" s="44" t="str">
        <f t="array" ref="J119">IF(G119="","",IFERROR(LET(ev_cost,INDEX(Events!$G$5:$G$506,MATCH(G119,Events!$A$5:$A$506,0)),ev_split,INDEX(Events!$I$5:$I$506,MATCH(G119,Events!$A$5:$A$506,0)),att_offset,MATCH(G119,Attendance!$B$3:$AY$3,0),attendees,COUNTIF(INDEX(Attendance!$B$7:$AY$206,0,att_offset),"1"),IF(ev_split="Equal Split",ev_cost/MAX(1,COUNTA(Roster!$A$5:$A$204)),ev_cost/MAX(1,attendees))),"N/A"))</f>
        <v/>
      </c>
    </row>
    <row r="120" ht="19.5" customHeight="1">
      <c r="A120" s="46"/>
      <c r="B120" s="49"/>
      <c r="C120" s="49"/>
      <c r="D120" s="49"/>
      <c r="E120" s="49"/>
      <c r="F120" s="54"/>
      <c r="G120" s="49"/>
      <c r="H120" s="49"/>
      <c r="I120" s="49"/>
      <c r="J120" s="44" t="str">
        <f t="array" ref="J120">IF(G120="","",IFERROR(LET(ev_cost,INDEX(Events!$G$5:$G$506,MATCH(G120,Events!$A$5:$A$506,0)),ev_split,INDEX(Events!$I$5:$I$506,MATCH(G120,Events!$A$5:$A$506,0)),att_offset,MATCH(G120,Attendance!$B$3:$AY$3,0),attendees,COUNTIF(INDEX(Attendance!$B$7:$AY$206,0,att_offset),"1"),IF(ev_split="Equal Split",ev_cost/MAX(1,COUNTA(Roster!$A$5:$A$204)),ev_cost/MAX(1,attendees))),"N/A"))</f>
        <v/>
      </c>
    </row>
    <row r="121" ht="19.5" customHeight="1">
      <c r="A121" s="50"/>
      <c r="B121" s="53"/>
      <c r="C121" s="53"/>
      <c r="D121" s="53"/>
      <c r="E121" s="53"/>
      <c r="F121" s="55"/>
      <c r="G121" s="53"/>
      <c r="H121" s="53"/>
      <c r="I121" s="53"/>
      <c r="J121" s="44" t="str">
        <f t="array" ref="J121">IF(G121="","",IFERROR(LET(ev_cost,INDEX(Events!$G$5:$G$506,MATCH(G121,Events!$A$5:$A$506,0)),ev_split,INDEX(Events!$I$5:$I$506,MATCH(G121,Events!$A$5:$A$506,0)),att_offset,MATCH(G121,Attendance!$B$3:$AY$3,0),attendees,COUNTIF(INDEX(Attendance!$B$7:$AY$206,0,att_offset),"1"),IF(ev_split="Equal Split",ev_cost/MAX(1,COUNTA(Roster!$A$5:$A$204)),ev_cost/MAX(1,attendees))),"N/A"))</f>
        <v/>
      </c>
    </row>
    <row r="122" ht="19.5" customHeight="1">
      <c r="A122" s="46"/>
      <c r="B122" s="49"/>
      <c r="C122" s="49"/>
      <c r="D122" s="49"/>
      <c r="E122" s="49"/>
      <c r="F122" s="54"/>
      <c r="G122" s="49"/>
      <c r="H122" s="49"/>
      <c r="I122" s="49"/>
      <c r="J122" s="44" t="str">
        <f t="array" ref="J122">IF(G122="","",IFERROR(LET(ev_cost,INDEX(Events!$G$5:$G$506,MATCH(G122,Events!$A$5:$A$506,0)),ev_split,INDEX(Events!$I$5:$I$506,MATCH(G122,Events!$A$5:$A$506,0)),att_offset,MATCH(G122,Attendance!$B$3:$AY$3,0),attendees,COUNTIF(INDEX(Attendance!$B$7:$AY$206,0,att_offset),"1"),IF(ev_split="Equal Split",ev_cost/MAX(1,COUNTA(Roster!$A$5:$A$204)),ev_cost/MAX(1,attendees))),"N/A"))</f>
        <v/>
      </c>
    </row>
    <row r="123" ht="19.5" customHeight="1">
      <c r="A123" s="50"/>
      <c r="B123" s="53"/>
      <c r="C123" s="53"/>
      <c r="D123" s="53"/>
      <c r="E123" s="53"/>
      <c r="F123" s="55"/>
      <c r="G123" s="53"/>
      <c r="H123" s="53"/>
      <c r="I123" s="53"/>
      <c r="J123" s="44" t="str">
        <f t="array" ref="J123">IF(G123="","",IFERROR(LET(ev_cost,INDEX(Events!$G$5:$G$506,MATCH(G123,Events!$A$5:$A$506,0)),ev_split,INDEX(Events!$I$5:$I$506,MATCH(G123,Events!$A$5:$A$506,0)),att_offset,MATCH(G123,Attendance!$B$3:$AY$3,0),attendees,COUNTIF(INDEX(Attendance!$B$7:$AY$206,0,att_offset),"1"),IF(ev_split="Equal Split",ev_cost/MAX(1,COUNTA(Roster!$A$5:$A$204)),ev_cost/MAX(1,attendees))),"N/A"))</f>
        <v/>
      </c>
    </row>
    <row r="124" ht="19.5" customHeight="1">
      <c r="A124" s="46"/>
      <c r="B124" s="49"/>
      <c r="C124" s="49"/>
      <c r="D124" s="49"/>
      <c r="E124" s="49"/>
      <c r="F124" s="54"/>
      <c r="G124" s="49"/>
      <c r="H124" s="49"/>
      <c r="I124" s="49"/>
      <c r="J124" s="44" t="str">
        <f t="array" ref="J124">IF(G124="","",IFERROR(LET(ev_cost,INDEX(Events!$G$5:$G$506,MATCH(G124,Events!$A$5:$A$506,0)),ev_split,INDEX(Events!$I$5:$I$506,MATCH(G124,Events!$A$5:$A$506,0)),att_offset,MATCH(G124,Attendance!$B$3:$AY$3,0),attendees,COUNTIF(INDEX(Attendance!$B$7:$AY$206,0,att_offset),"1"),IF(ev_split="Equal Split",ev_cost/MAX(1,COUNTA(Roster!$A$5:$A$204)),ev_cost/MAX(1,attendees))),"N/A"))</f>
        <v/>
      </c>
    </row>
    <row r="125" ht="19.5" customHeight="1">
      <c r="A125" s="50"/>
      <c r="B125" s="53"/>
      <c r="C125" s="53"/>
      <c r="D125" s="53"/>
      <c r="E125" s="53"/>
      <c r="F125" s="55"/>
      <c r="G125" s="53"/>
      <c r="H125" s="53"/>
      <c r="I125" s="53"/>
      <c r="J125" s="44" t="str">
        <f t="array" ref="J125">IF(G125="","",IFERROR(LET(ev_cost,INDEX(Events!$G$5:$G$506,MATCH(G125,Events!$A$5:$A$506,0)),ev_split,INDEX(Events!$I$5:$I$506,MATCH(G125,Events!$A$5:$A$506,0)),att_offset,MATCH(G125,Attendance!$B$3:$AY$3,0),attendees,COUNTIF(INDEX(Attendance!$B$7:$AY$206,0,att_offset),"1"),IF(ev_split="Equal Split",ev_cost/MAX(1,COUNTA(Roster!$A$5:$A$204)),ev_cost/MAX(1,attendees))),"N/A"))</f>
        <v/>
      </c>
    </row>
    <row r="126" ht="19.5" customHeight="1">
      <c r="A126" s="46"/>
      <c r="B126" s="49"/>
      <c r="C126" s="49"/>
      <c r="D126" s="49"/>
      <c r="E126" s="49"/>
      <c r="F126" s="54"/>
      <c r="G126" s="49"/>
      <c r="H126" s="49"/>
      <c r="I126" s="49"/>
      <c r="J126" s="44" t="str">
        <f t="array" ref="J126">IF(G126="","",IFERROR(LET(ev_cost,INDEX(Events!$G$5:$G$506,MATCH(G126,Events!$A$5:$A$506,0)),ev_split,INDEX(Events!$I$5:$I$506,MATCH(G126,Events!$A$5:$A$506,0)),att_offset,MATCH(G126,Attendance!$B$3:$AY$3,0),attendees,COUNTIF(INDEX(Attendance!$B$7:$AY$206,0,att_offset),"1"),IF(ev_split="Equal Split",ev_cost/MAX(1,COUNTA(Roster!$A$5:$A$204)),ev_cost/MAX(1,attendees))),"N/A"))</f>
        <v/>
      </c>
    </row>
    <row r="127" ht="19.5" customHeight="1">
      <c r="A127" s="50"/>
      <c r="B127" s="53"/>
      <c r="C127" s="53"/>
      <c r="D127" s="53"/>
      <c r="E127" s="53"/>
      <c r="F127" s="55"/>
      <c r="G127" s="53"/>
      <c r="H127" s="53"/>
      <c r="I127" s="53"/>
      <c r="J127" s="44" t="str">
        <f t="array" ref="J127">IF(G127="","",IFERROR(LET(ev_cost,INDEX(Events!$G$5:$G$506,MATCH(G127,Events!$A$5:$A$506,0)),ev_split,INDEX(Events!$I$5:$I$506,MATCH(G127,Events!$A$5:$A$506,0)),att_offset,MATCH(G127,Attendance!$B$3:$AY$3,0),attendees,COUNTIF(INDEX(Attendance!$B$7:$AY$206,0,att_offset),"1"),IF(ev_split="Equal Split",ev_cost/MAX(1,COUNTA(Roster!$A$5:$A$204)),ev_cost/MAX(1,attendees))),"N/A"))</f>
        <v/>
      </c>
    </row>
    <row r="128" ht="19.5" customHeight="1">
      <c r="A128" s="46"/>
      <c r="B128" s="49"/>
      <c r="C128" s="49"/>
      <c r="D128" s="49"/>
      <c r="E128" s="49"/>
      <c r="F128" s="54"/>
      <c r="G128" s="49"/>
      <c r="H128" s="49"/>
      <c r="I128" s="49"/>
      <c r="J128" s="44" t="str">
        <f t="array" ref="J128">IF(G128="","",IFERROR(LET(ev_cost,INDEX(Events!$G$5:$G$506,MATCH(G128,Events!$A$5:$A$506,0)),ev_split,INDEX(Events!$I$5:$I$506,MATCH(G128,Events!$A$5:$A$506,0)),att_offset,MATCH(G128,Attendance!$B$3:$AY$3,0),attendees,COUNTIF(INDEX(Attendance!$B$7:$AY$206,0,att_offset),"1"),IF(ev_split="Equal Split",ev_cost/MAX(1,COUNTA(Roster!$A$5:$A$204)),ev_cost/MAX(1,attendees))),"N/A"))</f>
        <v/>
      </c>
    </row>
    <row r="129" ht="19.5" customHeight="1">
      <c r="A129" s="50"/>
      <c r="B129" s="53"/>
      <c r="C129" s="53"/>
      <c r="D129" s="53"/>
      <c r="E129" s="53"/>
      <c r="F129" s="55"/>
      <c r="G129" s="53"/>
      <c r="H129" s="53"/>
      <c r="I129" s="53"/>
      <c r="J129" s="44" t="str">
        <f t="array" ref="J129">IF(G129="","",IFERROR(LET(ev_cost,INDEX(Events!$G$5:$G$506,MATCH(G129,Events!$A$5:$A$506,0)),ev_split,INDEX(Events!$I$5:$I$506,MATCH(G129,Events!$A$5:$A$506,0)),att_offset,MATCH(G129,Attendance!$B$3:$AY$3,0),attendees,COUNTIF(INDEX(Attendance!$B$7:$AY$206,0,att_offset),"1"),IF(ev_split="Equal Split",ev_cost/MAX(1,COUNTA(Roster!$A$5:$A$204)),ev_cost/MAX(1,attendees))),"N/A"))</f>
        <v/>
      </c>
    </row>
    <row r="130" ht="19.5" customHeight="1">
      <c r="A130" s="46"/>
      <c r="B130" s="49"/>
      <c r="C130" s="49"/>
      <c r="D130" s="49"/>
      <c r="E130" s="49"/>
      <c r="F130" s="54"/>
      <c r="G130" s="49"/>
      <c r="H130" s="49"/>
      <c r="I130" s="49"/>
      <c r="J130" s="44" t="str">
        <f t="array" ref="J130">IF(G130="","",IFERROR(LET(ev_cost,INDEX(Events!$G$5:$G$506,MATCH(G130,Events!$A$5:$A$506,0)),ev_split,INDEX(Events!$I$5:$I$506,MATCH(G130,Events!$A$5:$A$506,0)),att_offset,MATCH(G130,Attendance!$B$3:$AY$3,0),attendees,COUNTIF(INDEX(Attendance!$B$7:$AY$206,0,att_offset),"1"),IF(ev_split="Equal Split",ev_cost/MAX(1,COUNTA(Roster!$A$5:$A$204)),ev_cost/MAX(1,attendees))),"N/A"))</f>
        <v/>
      </c>
    </row>
    <row r="131" ht="19.5" customHeight="1">
      <c r="A131" s="50"/>
      <c r="B131" s="53"/>
      <c r="C131" s="53"/>
      <c r="D131" s="53"/>
      <c r="E131" s="53"/>
      <c r="F131" s="55"/>
      <c r="G131" s="53"/>
      <c r="H131" s="53"/>
      <c r="I131" s="53"/>
      <c r="J131" s="44" t="str">
        <f t="array" ref="J131">IF(G131="","",IFERROR(LET(ev_cost,INDEX(Events!$G$5:$G$506,MATCH(G131,Events!$A$5:$A$506,0)),ev_split,INDEX(Events!$I$5:$I$506,MATCH(G131,Events!$A$5:$A$506,0)),att_offset,MATCH(G131,Attendance!$B$3:$AY$3,0),attendees,COUNTIF(INDEX(Attendance!$B$7:$AY$206,0,att_offset),"1"),IF(ev_split="Equal Split",ev_cost/MAX(1,COUNTA(Roster!$A$5:$A$204)),ev_cost/MAX(1,attendees))),"N/A"))</f>
        <v/>
      </c>
    </row>
    <row r="132" ht="19.5" customHeight="1">
      <c r="A132" s="46"/>
      <c r="B132" s="49"/>
      <c r="C132" s="49"/>
      <c r="D132" s="49"/>
      <c r="E132" s="49"/>
      <c r="F132" s="54"/>
      <c r="G132" s="49"/>
      <c r="H132" s="49"/>
      <c r="I132" s="49"/>
      <c r="J132" s="44" t="str">
        <f t="array" ref="J132">IF(G132="","",IFERROR(LET(ev_cost,INDEX(Events!$G$5:$G$506,MATCH(G132,Events!$A$5:$A$506,0)),ev_split,INDEX(Events!$I$5:$I$506,MATCH(G132,Events!$A$5:$A$506,0)),att_offset,MATCH(G132,Attendance!$B$3:$AY$3,0),attendees,COUNTIF(INDEX(Attendance!$B$7:$AY$206,0,att_offset),"1"),IF(ev_split="Equal Split",ev_cost/MAX(1,COUNTA(Roster!$A$5:$A$204)),ev_cost/MAX(1,attendees))),"N/A"))</f>
        <v/>
      </c>
    </row>
    <row r="133" ht="19.5" customHeight="1">
      <c r="A133" s="50"/>
      <c r="B133" s="53"/>
      <c r="C133" s="53"/>
      <c r="D133" s="53"/>
      <c r="E133" s="53"/>
      <c r="F133" s="55"/>
      <c r="G133" s="53"/>
      <c r="H133" s="53"/>
      <c r="I133" s="53"/>
      <c r="J133" s="44" t="str">
        <f t="array" ref="J133">IF(G133="","",IFERROR(LET(ev_cost,INDEX(Events!$G$5:$G$506,MATCH(G133,Events!$A$5:$A$506,0)),ev_split,INDEX(Events!$I$5:$I$506,MATCH(G133,Events!$A$5:$A$506,0)),att_offset,MATCH(G133,Attendance!$B$3:$AY$3,0),attendees,COUNTIF(INDEX(Attendance!$B$7:$AY$206,0,att_offset),"1"),IF(ev_split="Equal Split",ev_cost/MAX(1,COUNTA(Roster!$A$5:$A$204)),ev_cost/MAX(1,attendees))),"N/A"))</f>
        <v/>
      </c>
    </row>
    <row r="134" ht="19.5" customHeight="1">
      <c r="A134" s="46"/>
      <c r="B134" s="49"/>
      <c r="C134" s="49"/>
      <c r="D134" s="49"/>
      <c r="E134" s="49"/>
      <c r="F134" s="54"/>
      <c r="G134" s="49"/>
      <c r="H134" s="49"/>
      <c r="I134" s="49"/>
      <c r="J134" s="44" t="str">
        <f t="array" ref="J134">IF(G134="","",IFERROR(LET(ev_cost,INDEX(Events!$G$5:$G$506,MATCH(G134,Events!$A$5:$A$506,0)),ev_split,INDEX(Events!$I$5:$I$506,MATCH(G134,Events!$A$5:$A$506,0)),att_offset,MATCH(G134,Attendance!$B$3:$AY$3,0),attendees,COUNTIF(INDEX(Attendance!$B$7:$AY$206,0,att_offset),"1"),IF(ev_split="Equal Split",ev_cost/MAX(1,COUNTA(Roster!$A$5:$A$204)),ev_cost/MAX(1,attendees))),"N/A"))</f>
        <v/>
      </c>
    </row>
    <row r="135" ht="19.5" customHeight="1">
      <c r="A135" s="50"/>
      <c r="B135" s="53"/>
      <c r="C135" s="53"/>
      <c r="D135" s="53"/>
      <c r="E135" s="53"/>
      <c r="F135" s="55"/>
      <c r="G135" s="53"/>
      <c r="H135" s="53"/>
      <c r="I135" s="53"/>
      <c r="J135" s="44" t="str">
        <f t="array" ref="J135">IF(G135="","",IFERROR(LET(ev_cost,INDEX(Events!$G$5:$G$506,MATCH(G135,Events!$A$5:$A$506,0)),ev_split,INDEX(Events!$I$5:$I$506,MATCH(G135,Events!$A$5:$A$506,0)),att_offset,MATCH(G135,Attendance!$B$3:$AY$3,0),attendees,COUNTIF(INDEX(Attendance!$B$7:$AY$206,0,att_offset),"1"),IF(ev_split="Equal Split",ev_cost/MAX(1,COUNTA(Roster!$A$5:$A$204)),ev_cost/MAX(1,attendees))),"N/A"))</f>
        <v/>
      </c>
    </row>
    <row r="136" ht="19.5" customHeight="1">
      <c r="A136" s="46"/>
      <c r="B136" s="49"/>
      <c r="C136" s="49"/>
      <c r="D136" s="49"/>
      <c r="E136" s="49"/>
      <c r="F136" s="54"/>
      <c r="G136" s="49"/>
      <c r="H136" s="49"/>
      <c r="I136" s="49"/>
      <c r="J136" s="44" t="str">
        <f t="array" ref="J136">IF(G136="","",IFERROR(LET(ev_cost,INDEX(Events!$G$5:$G$506,MATCH(G136,Events!$A$5:$A$506,0)),ev_split,INDEX(Events!$I$5:$I$506,MATCH(G136,Events!$A$5:$A$506,0)),att_offset,MATCH(G136,Attendance!$B$3:$AY$3,0),attendees,COUNTIF(INDEX(Attendance!$B$7:$AY$206,0,att_offset),"1"),IF(ev_split="Equal Split",ev_cost/MAX(1,COUNTA(Roster!$A$5:$A$204)),ev_cost/MAX(1,attendees))),"N/A"))</f>
        <v/>
      </c>
    </row>
    <row r="137" ht="19.5" customHeight="1">
      <c r="A137" s="50"/>
      <c r="B137" s="53"/>
      <c r="C137" s="53"/>
      <c r="D137" s="53"/>
      <c r="E137" s="53"/>
      <c r="F137" s="55"/>
      <c r="G137" s="53"/>
      <c r="H137" s="53"/>
      <c r="I137" s="53"/>
      <c r="J137" s="44" t="str">
        <f t="array" ref="J137">IF(G137="","",IFERROR(LET(ev_cost,INDEX(Events!$G$5:$G$506,MATCH(G137,Events!$A$5:$A$506,0)),ev_split,INDEX(Events!$I$5:$I$506,MATCH(G137,Events!$A$5:$A$506,0)),att_offset,MATCH(G137,Attendance!$B$3:$AY$3,0),attendees,COUNTIF(INDEX(Attendance!$B$7:$AY$206,0,att_offset),"1"),IF(ev_split="Equal Split",ev_cost/MAX(1,COUNTA(Roster!$A$5:$A$204)),ev_cost/MAX(1,attendees))),"N/A"))</f>
        <v/>
      </c>
    </row>
    <row r="138" ht="19.5" customHeight="1">
      <c r="A138" s="46"/>
      <c r="B138" s="49"/>
      <c r="C138" s="49"/>
      <c r="D138" s="49"/>
      <c r="E138" s="49"/>
      <c r="F138" s="54"/>
      <c r="G138" s="49"/>
      <c r="H138" s="49"/>
      <c r="I138" s="49"/>
      <c r="J138" s="44" t="str">
        <f t="array" ref="J138">IF(G138="","",IFERROR(LET(ev_cost,INDEX(Events!$G$5:$G$506,MATCH(G138,Events!$A$5:$A$506,0)),ev_split,INDEX(Events!$I$5:$I$506,MATCH(G138,Events!$A$5:$A$506,0)),att_offset,MATCH(G138,Attendance!$B$3:$AY$3,0),attendees,COUNTIF(INDEX(Attendance!$B$7:$AY$206,0,att_offset),"1"),IF(ev_split="Equal Split",ev_cost/MAX(1,COUNTA(Roster!$A$5:$A$204)),ev_cost/MAX(1,attendees))),"N/A"))</f>
        <v/>
      </c>
    </row>
    <row r="139" ht="19.5" customHeight="1">
      <c r="A139" s="50"/>
      <c r="B139" s="53"/>
      <c r="C139" s="53"/>
      <c r="D139" s="53"/>
      <c r="E139" s="53"/>
      <c r="F139" s="55"/>
      <c r="G139" s="53"/>
      <c r="H139" s="53"/>
      <c r="I139" s="53"/>
      <c r="J139" s="44" t="str">
        <f t="array" ref="J139">IF(G139="","",IFERROR(LET(ev_cost,INDEX(Events!$G$5:$G$506,MATCH(G139,Events!$A$5:$A$506,0)),ev_split,INDEX(Events!$I$5:$I$506,MATCH(G139,Events!$A$5:$A$506,0)),att_offset,MATCH(G139,Attendance!$B$3:$AY$3,0),attendees,COUNTIF(INDEX(Attendance!$B$7:$AY$206,0,att_offset),"1"),IF(ev_split="Equal Split",ev_cost/MAX(1,COUNTA(Roster!$A$5:$A$204)),ev_cost/MAX(1,attendees))),"N/A"))</f>
        <v/>
      </c>
    </row>
    <row r="140" ht="19.5" customHeight="1">
      <c r="A140" s="46"/>
      <c r="B140" s="49"/>
      <c r="C140" s="49"/>
      <c r="D140" s="49"/>
      <c r="E140" s="49"/>
      <c r="F140" s="54"/>
      <c r="G140" s="49"/>
      <c r="H140" s="49"/>
      <c r="I140" s="49"/>
      <c r="J140" s="44" t="str">
        <f t="array" ref="J140">IF(G140="","",IFERROR(LET(ev_cost,INDEX(Events!$G$5:$G$506,MATCH(G140,Events!$A$5:$A$506,0)),ev_split,INDEX(Events!$I$5:$I$506,MATCH(G140,Events!$A$5:$A$506,0)),att_offset,MATCH(G140,Attendance!$B$3:$AY$3,0),attendees,COUNTIF(INDEX(Attendance!$B$7:$AY$206,0,att_offset),"1"),IF(ev_split="Equal Split",ev_cost/MAX(1,COUNTA(Roster!$A$5:$A$204)),ev_cost/MAX(1,attendees))),"N/A"))</f>
        <v/>
      </c>
    </row>
    <row r="141" ht="19.5" customHeight="1">
      <c r="A141" s="50"/>
      <c r="B141" s="53"/>
      <c r="C141" s="53"/>
      <c r="D141" s="53"/>
      <c r="E141" s="53"/>
      <c r="F141" s="55"/>
      <c r="G141" s="53"/>
      <c r="H141" s="53"/>
      <c r="I141" s="53"/>
      <c r="J141" s="44" t="str">
        <f t="array" ref="J141">IF(G141="","",IFERROR(LET(ev_cost,INDEX(Events!$G$5:$G$506,MATCH(G141,Events!$A$5:$A$506,0)),ev_split,INDEX(Events!$I$5:$I$506,MATCH(G141,Events!$A$5:$A$506,0)),att_offset,MATCH(G141,Attendance!$B$3:$AY$3,0),attendees,COUNTIF(INDEX(Attendance!$B$7:$AY$206,0,att_offset),"1"),IF(ev_split="Equal Split",ev_cost/MAX(1,COUNTA(Roster!$A$5:$A$204)),ev_cost/MAX(1,attendees))),"N/A"))</f>
        <v/>
      </c>
    </row>
    <row r="142" ht="19.5" customHeight="1">
      <c r="A142" s="46"/>
      <c r="B142" s="49"/>
      <c r="C142" s="49"/>
      <c r="D142" s="49"/>
      <c r="E142" s="49"/>
      <c r="F142" s="54"/>
      <c r="G142" s="49"/>
      <c r="H142" s="49"/>
      <c r="I142" s="49"/>
      <c r="J142" s="44" t="str">
        <f t="array" ref="J142">IF(G142="","",IFERROR(LET(ev_cost,INDEX(Events!$G$5:$G$506,MATCH(G142,Events!$A$5:$A$506,0)),ev_split,INDEX(Events!$I$5:$I$506,MATCH(G142,Events!$A$5:$A$506,0)),att_offset,MATCH(G142,Attendance!$B$3:$AY$3,0),attendees,COUNTIF(INDEX(Attendance!$B$7:$AY$206,0,att_offset),"1"),IF(ev_split="Equal Split",ev_cost/MAX(1,COUNTA(Roster!$A$5:$A$204)),ev_cost/MAX(1,attendees))),"N/A"))</f>
        <v/>
      </c>
    </row>
    <row r="143" ht="19.5" customHeight="1">
      <c r="A143" s="50"/>
      <c r="B143" s="53"/>
      <c r="C143" s="53"/>
      <c r="D143" s="53"/>
      <c r="E143" s="53"/>
      <c r="F143" s="55"/>
      <c r="G143" s="53"/>
      <c r="H143" s="53"/>
      <c r="I143" s="53"/>
      <c r="J143" s="44" t="str">
        <f t="array" ref="J143">IF(G143="","",IFERROR(LET(ev_cost,INDEX(Events!$G$5:$G$506,MATCH(G143,Events!$A$5:$A$506,0)),ev_split,INDEX(Events!$I$5:$I$506,MATCH(G143,Events!$A$5:$A$506,0)),att_offset,MATCH(G143,Attendance!$B$3:$AY$3,0),attendees,COUNTIF(INDEX(Attendance!$B$7:$AY$206,0,att_offset),"1"),IF(ev_split="Equal Split",ev_cost/MAX(1,COUNTA(Roster!$A$5:$A$204)),ev_cost/MAX(1,attendees))),"N/A"))</f>
        <v/>
      </c>
    </row>
    <row r="144" ht="19.5" customHeight="1">
      <c r="A144" s="46"/>
      <c r="B144" s="49"/>
      <c r="C144" s="49"/>
      <c r="D144" s="49"/>
      <c r="E144" s="49"/>
      <c r="F144" s="54"/>
      <c r="G144" s="49"/>
      <c r="H144" s="49"/>
      <c r="I144" s="49"/>
      <c r="J144" s="44" t="str">
        <f t="array" ref="J144">IF(G144="","",IFERROR(LET(ev_cost,INDEX(Events!$G$5:$G$506,MATCH(G144,Events!$A$5:$A$506,0)),ev_split,INDEX(Events!$I$5:$I$506,MATCH(G144,Events!$A$5:$A$506,0)),att_offset,MATCH(G144,Attendance!$B$3:$AY$3,0),attendees,COUNTIF(INDEX(Attendance!$B$7:$AY$206,0,att_offset),"1"),IF(ev_split="Equal Split",ev_cost/MAX(1,COUNTA(Roster!$A$5:$A$204)),ev_cost/MAX(1,attendees))),"N/A"))</f>
        <v/>
      </c>
    </row>
    <row r="145" ht="19.5" customHeight="1">
      <c r="A145" s="50"/>
      <c r="B145" s="53"/>
      <c r="C145" s="53"/>
      <c r="D145" s="53"/>
      <c r="E145" s="53"/>
      <c r="F145" s="55"/>
      <c r="G145" s="53"/>
      <c r="H145" s="53"/>
      <c r="I145" s="53"/>
      <c r="J145" s="44" t="str">
        <f t="array" ref="J145">IF(G145="","",IFERROR(LET(ev_cost,INDEX(Events!$G$5:$G$506,MATCH(G145,Events!$A$5:$A$506,0)),ev_split,INDEX(Events!$I$5:$I$506,MATCH(G145,Events!$A$5:$A$506,0)),att_offset,MATCH(G145,Attendance!$B$3:$AY$3,0),attendees,COUNTIF(INDEX(Attendance!$B$7:$AY$206,0,att_offset),"1"),IF(ev_split="Equal Split",ev_cost/MAX(1,COUNTA(Roster!$A$5:$A$204)),ev_cost/MAX(1,attendees))),"N/A"))</f>
        <v/>
      </c>
    </row>
    <row r="146" ht="19.5" customHeight="1">
      <c r="A146" s="46"/>
      <c r="B146" s="49"/>
      <c r="C146" s="49"/>
      <c r="D146" s="49"/>
      <c r="E146" s="49"/>
      <c r="F146" s="54"/>
      <c r="G146" s="49"/>
      <c r="H146" s="49"/>
      <c r="I146" s="49"/>
      <c r="J146" s="44" t="str">
        <f t="array" ref="J146">IF(G146="","",IFERROR(LET(ev_cost,INDEX(Events!$G$5:$G$506,MATCH(G146,Events!$A$5:$A$506,0)),ev_split,INDEX(Events!$I$5:$I$506,MATCH(G146,Events!$A$5:$A$506,0)),att_offset,MATCH(G146,Attendance!$B$3:$AY$3,0),attendees,COUNTIF(INDEX(Attendance!$B$7:$AY$206,0,att_offset),"1"),IF(ev_split="Equal Split",ev_cost/MAX(1,COUNTA(Roster!$A$5:$A$204)),ev_cost/MAX(1,attendees))),"N/A"))</f>
        <v/>
      </c>
    </row>
    <row r="147" ht="19.5" customHeight="1">
      <c r="A147" s="50"/>
      <c r="B147" s="53"/>
      <c r="C147" s="53"/>
      <c r="D147" s="53"/>
      <c r="E147" s="53"/>
      <c r="F147" s="55"/>
      <c r="G147" s="53"/>
      <c r="H147" s="53"/>
      <c r="I147" s="53"/>
      <c r="J147" s="44" t="str">
        <f t="array" ref="J147">IF(G147="","",IFERROR(LET(ev_cost,INDEX(Events!$G$5:$G$506,MATCH(G147,Events!$A$5:$A$506,0)),ev_split,INDEX(Events!$I$5:$I$506,MATCH(G147,Events!$A$5:$A$506,0)),att_offset,MATCH(G147,Attendance!$B$3:$AY$3,0),attendees,COUNTIF(INDEX(Attendance!$B$7:$AY$206,0,att_offset),"1"),IF(ev_split="Equal Split",ev_cost/MAX(1,COUNTA(Roster!$A$5:$A$204)),ev_cost/MAX(1,attendees))),"N/A"))</f>
        <v/>
      </c>
    </row>
    <row r="148" ht="19.5" customHeight="1">
      <c r="A148" s="46"/>
      <c r="B148" s="49"/>
      <c r="C148" s="49"/>
      <c r="D148" s="49"/>
      <c r="E148" s="49"/>
      <c r="F148" s="54"/>
      <c r="G148" s="49"/>
      <c r="H148" s="49"/>
      <c r="I148" s="49"/>
      <c r="J148" s="44" t="str">
        <f t="array" ref="J148">IF(G148="","",IFERROR(LET(ev_cost,INDEX(Events!$G$5:$G$506,MATCH(G148,Events!$A$5:$A$506,0)),ev_split,INDEX(Events!$I$5:$I$506,MATCH(G148,Events!$A$5:$A$506,0)),att_offset,MATCH(G148,Attendance!$B$3:$AY$3,0),attendees,COUNTIF(INDEX(Attendance!$B$7:$AY$206,0,att_offset),"1"),IF(ev_split="Equal Split",ev_cost/MAX(1,COUNTA(Roster!$A$5:$A$204)),ev_cost/MAX(1,attendees))),"N/A"))</f>
        <v/>
      </c>
    </row>
    <row r="149" ht="19.5" customHeight="1">
      <c r="A149" s="50"/>
      <c r="B149" s="53"/>
      <c r="C149" s="53"/>
      <c r="D149" s="53"/>
      <c r="E149" s="53"/>
      <c r="F149" s="55"/>
      <c r="G149" s="53"/>
      <c r="H149" s="53"/>
      <c r="I149" s="53"/>
      <c r="J149" s="44" t="str">
        <f t="array" ref="J149">IF(G149="","",IFERROR(LET(ev_cost,INDEX(Events!$G$5:$G$506,MATCH(G149,Events!$A$5:$A$506,0)),ev_split,INDEX(Events!$I$5:$I$506,MATCH(G149,Events!$A$5:$A$506,0)),att_offset,MATCH(G149,Attendance!$B$3:$AY$3,0),attendees,COUNTIF(INDEX(Attendance!$B$7:$AY$206,0,att_offset),"1"),IF(ev_split="Equal Split",ev_cost/MAX(1,COUNTA(Roster!$A$5:$A$204)),ev_cost/MAX(1,attendees))),"N/A"))</f>
        <v/>
      </c>
    </row>
    <row r="150" ht="19.5" customHeight="1">
      <c r="A150" s="46"/>
      <c r="B150" s="49"/>
      <c r="C150" s="49"/>
      <c r="D150" s="49"/>
      <c r="E150" s="49"/>
      <c r="F150" s="54"/>
      <c r="G150" s="49"/>
      <c r="H150" s="49"/>
      <c r="I150" s="49"/>
      <c r="J150" s="44" t="str">
        <f t="array" ref="J150">IF(G150="","",IFERROR(LET(ev_cost,INDEX(Events!$G$5:$G$506,MATCH(G150,Events!$A$5:$A$506,0)),ev_split,INDEX(Events!$I$5:$I$506,MATCH(G150,Events!$A$5:$A$506,0)),att_offset,MATCH(G150,Attendance!$B$3:$AY$3,0),attendees,COUNTIF(INDEX(Attendance!$B$7:$AY$206,0,att_offset),"1"),IF(ev_split="Equal Split",ev_cost/MAX(1,COUNTA(Roster!$A$5:$A$204)),ev_cost/MAX(1,attendees))),"N/A"))</f>
        <v/>
      </c>
    </row>
    <row r="151" ht="19.5" customHeight="1">
      <c r="A151" s="50"/>
      <c r="B151" s="53"/>
      <c r="C151" s="53"/>
      <c r="D151" s="53"/>
      <c r="E151" s="53"/>
      <c r="F151" s="55"/>
      <c r="G151" s="53"/>
      <c r="H151" s="53"/>
      <c r="I151" s="53"/>
      <c r="J151" s="44" t="str">
        <f t="array" ref="J151">IF(G151="","",IFERROR(LET(ev_cost,INDEX(Events!$G$5:$G$506,MATCH(G151,Events!$A$5:$A$506,0)),ev_split,INDEX(Events!$I$5:$I$506,MATCH(G151,Events!$A$5:$A$506,0)),att_offset,MATCH(G151,Attendance!$B$3:$AY$3,0),attendees,COUNTIF(INDEX(Attendance!$B$7:$AY$206,0,att_offset),"1"),IF(ev_split="Equal Split",ev_cost/MAX(1,COUNTA(Roster!$A$5:$A$204)),ev_cost/MAX(1,attendees))),"N/A"))</f>
        <v/>
      </c>
    </row>
    <row r="152" ht="19.5" customHeight="1">
      <c r="A152" s="46"/>
      <c r="B152" s="49"/>
      <c r="C152" s="49"/>
      <c r="D152" s="49"/>
      <c r="E152" s="49"/>
      <c r="F152" s="54"/>
      <c r="G152" s="49"/>
      <c r="H152" s="49"/>
      <c r="I152" s="49"/>
      <c r="J152" s="44" t="str">
        <f t="array" ref="J152">IF(G152="","",IFERROR(LET(ev_cost,INDEX(Events!$G$5:$G$506,MATCH(G152,Events!$A$5:$A$506,0)),ev_split,INDEX(Events!$I$5:$I$506,MATCH(G152,Events!$A$5:$A$506,0)),att_offset,MATCH(G152,Attendance!$B$3:$AY$3,0),attendees,COUNTIF(INDEX(Attendance!$B$7:$AY$206,0,att_offset),"1"),IF(ev_split="Equal Split",ev_cost/MAX(1,COUNTA(Roster!$A$5:$A$204)),ev_cost/MAX(1,attendees))),"N/A"))</f>
        <v/>
      </c>
    </row>
    <row r="153" ht="19.5" customHeight="1">
      <c r="A153" s="50"/>
      <c r="B153" s="53"/>
      <c r="C153" s="53"/>
      <c r="D153" s="53"/>
      <c r="E153" s="53"/>
      <c r="F153" s="55"/>
      <c r="G153" s="53"/>
      <c r="H153" s="53"/>
      <c r="I153" s="53"/>
      <c r="J153" s="44" t="str">
        <f t="array" ref="J153">IF(G153="","",IFERROR(LET(ev_cost,INDEX(Events!$G$5:$G$506,MATCH(G153,Events!$A$5:$A$506,0)),ev_split,INDEX(Events!$I$5:$I$506,MATCH(G153,Events!$A$5:$A$506,0)),att_offset,MATCH(G153,Attendance!$B$3:$AY$3,0),attendees,COUNTIF(INDEX(Attendance!$B$7:$AY$206,0,att_offset),"1"),IF(ev_split="Equal Split",ev_cost/MAX(1,COUNTA(Roster!$A$5:$A$204)),ev_cost/MAX(1,attendees))),"N/A"))</f>
        <v/>
      </c>
    </row>
    <row r="154" ht="19.5" customHeight="1">
      <c r="A154" s="46"/>
      <c r="B154" s="49"/>
      <c r="C154" s="49"/>
      <c r="D154" s="49"/>
      <c r="E154" s="49"/>
      <c r="F154" s="54"/>
      <c r="G154" s="49"/>
      <c r="H154" s="49"/>
      <c r="I154" s="49"/>
      <c r="J154" s="44" t="str">
        <f t="array" ref="J154">IF(G154="","",IFERROR(LET(ev_cost,INDEX(Events!$G$5:$G$506,MATCH(G154,Events!$A$5:$A$506,0)),ev_split,INDEX(Events!$I$5:$I$506,MATCH(G154,Events!$A$5:$A$506,0)),att_offset,MATCH(G154,Attendance!$B$3:$AY$3,0),attendees,COUNTIF(INDEX(Attendance!$B$7:$AY$206,0,att_offset),"1"),IF(ev_split="Equal Split",ev_cost/MAX(1,COUNTA(Roster!$A$5:$A$204)),ev_cost/MAX(1,attendees))),"N/A"))</f>
        <v/>
      </c>
    </row>
    <row r="155" ht="19.5" customHeight="1">
      <c r="A155" s="50"/>
      <c r="B155" s="53"/>
      <c r="C155" s="53"/>
      <c r="D155" s="53"/>
      <c r="E155" s="53"/>
      <c r="F155" s="55"/>
      <c r="G155" s="53"/>
      <c r="H155" s="53"/>
      <c r="I155" s="53"/>
      <c r="J155" s="44" t="str">
        <f t="array" ref="J155">IF(G155="","",IFERROR(LET(ev_cost,INDEX(Events!$G$5:$G$506,MATCH(G155,Events!$A$5:$A$506,0)),ev_split,INDEX(Events!$I$5:$I$506,MATCH(G155,Events!$A$5:$A$506,0)),att_offset,MATCH(G155,Attendance!$B$3:$AY$3,0),attendees,COUNTIF(INDEX(Attendance!$B$7:$AY$206,0,att_offset),"1"),IF(ev_split="Equal Split",ev_cost/MAX(1,COUNTA(Roster!$A$5:$A$204)),ev_cost/MAX(1,attendees))),"N/A"))</f>
        <v/>
      </c>
    </row>
    <row r="156" ht="19.5" customHeight="1">
      <c r="A156" s="46"/>
      <c r="B156" s="49"/>
      <c r="C156" s="49"/>
      <c r="D156" s="49"/>
      <c r="E156" s="49"/>
      <c r="F156" s="54"/>
      <c r="G156" s="49"/>
      <c r="H156" s="49"/>
      <c r="I156" s="49"/>
      <c r="J156" s="44" t="str">
        <f t="array" ref="J156">IF(G156="","",IFERROR(LET(ev_cost,INDEX(Events!$G$5:$G$506,MATCH(G156,Events!$A$5:$A$506,0)),ev_split,INDEX(Events!$I$5:$I$506,MATCH(G156,Events!$A$5:$A$506,0)),att_offset,MATCH(G156,Attendance!$B$3:$AY$3,0),attendees,COUNTIF(INDEX(Attendance!$B$7:$AY$206,0,att_offset),"1"),IF(ev_split="Equal Split",ev_cost/MAX(1,COUNTA(Roster!$A$5:$A$204)),ev_cost/MAX(1,attendees))),"N/A"))</f>
        <v/>
      </c>
    </row>
    <row r="157" ht="19.5" customHeight="1">
      <c r="A157" s="50"/>
      <c r="B157" s="53"/>
      <c r="C157" s="53"/>
      <c r="D157" s="53"/>
      <c r="E157" s="53"/>
      <c r="F157" s="55"/>
      <c r="G157" s="53"/>
      <c r="H157" s="53"/>
      <c r="I157" s="53"/>
      <c r="J157" s="44" t="str">
        <f t="array" ref="J157">IF(G157="","",IFERROR(LET(ev_cost,INDEX(Events!$G$5:$G$506,MATCH(G157,Events!$A$5:$A$506,0)),ev_split,INDEX(Events!$I$5:$I$506,MATCH(G157,Events!$A$5:$A$506,0)),att_offset,MATCH(G157,Attendance!$B$3:$AY$3,0),attendees,COUNTIF(INDEX(Attendance!$B$7:$AY$206,0,att_offset),"1"),IF(ev_split="Equal Split",ev_cost/MAX(1,COUNTA(Roster!$A$5:$A$204)),ev_cost/MAX(1,attendees))),"N/A"))</f>
        <v/>
      </c>
    </row>
    <row r="158" ht="19.5" customHeight="1">
      <c r="A158" s="46"/>
      <c r="B158" s="49"/>
      <c r="C158" s="49"/>
      <c r="D158" s="49"/>
      <c r="E158" s="49"/>
      <c r="F158" s="54"/>
      <c r="G158" s="49"/>
      <c r="H158" s="49"/>
      <c r="I158" s="49"/>
      <c r="J158" s="44" t="str">
        <f t="array" ref="J158">IF(G158="","",IFERROR(LET(ev_cost,INDEX(Events!$G$5:$G$506,MATCH(G158,Events!$A$5:$A$506,0)),ev_split,INDEX(Events!$I$5:$I$506,MATCH(G158,Events!$A$5:$A$506,0)),att_offset,MATCH(G158,Attendance!$B$3:$AY$3,0),attendees,COUNTIF(INDEX(Attendance!$B$7:$AY$206,0,att_offset),"1"),IF(ev_split="Equal Split",ev_cost/MAX(1,COUNTA(Roster!$A$5:$A$204)),ev_cost/MAX(1,attendees))),"N/A"))</f>
        <v/>
      </c>
    </row>
    <row r="159" ht="19.5" customHeight="1">
      <c r="A159" s="50"/>
      <c r="B159" s="53"/>
      <c r="C159" s="53"/>
      <c r="D159" s="53"/>
      <c r="E159" s="53"/>
      <c r="F159" s="55"/>
      <c r="G159" s="53"/>
      <c r="H159" s="53"/>
      <c r="I159" s="53"/>
      <c r="J159" s="44" t="str">
        <f t="array" ref="J159">IF(G159="","",IFERROR(LET(ev_cost,INDEX(Events!$G$5:$G$506,MATCH(G159,Events!$A$5:$A$506,0)),ev_split,INDEX(Events!$I$5:$I$506,MATCH(G159,Events!$A$5:$A$506,0)),att_offset,MATCH(G159,Attendance!$B$3:$AY$3,0),attendees,COUNTIF(INDEX(Attendance!$B$7:$AY$206,0,att_offset),"1"),IF(ev_split="Equal Split",ev_cost/MAX(1,COUNTA(Roster!$A$5:$A$204)),ev_cost/MAX(1,attendees))),"N/A"))</f>
        <v/>
      </c>
    </row>
    <row r="160" ht="19.5" customHeight="1">
      <c r="A160" s="46"/>
      <c r="B160" s="49"/>
      <c r="C160" s="49"/>
      <c r="D160" s="49"/>
      <c r="E160" s="49"/>
      <c r="F160" s="54"/>
      <c r="G160" s="49"/>
      <c r="H160" s="49"/>
      <c r="I160" s="49"/>
      <c r="J160" s="44" t="str">
        <f t="array" ref="J160">IF(G160="","",IFERROR(LET(ev_cost,INDEX(Events!$G$5:$G$506,MATCH(G160,Events!$A$5:$A$506,0)),ev_split,INDEX(Events!$I$5:$I$506,MATCH(G160,Events!$A$5:$A$506,0)),att_offset,MATCH(G160,Attendance!$B$3:$AY$3,0),attendees,COUNTIF(INDEX(Attendance!$B$7:$AY$206,0,att_offset),"1"),IF(ev_split="Equal Split",ev_cost/MAX(1,COUNTA(Roster!$A$5:$A$204)),ev_cost/MAX(1,attendees))),"N/A"))</f>
        <v/>
      </c>
    </row>
    <row r="161" ht="19.5" customHeight="1">
      <c r="A161" s="50"/>
      <c r="B161" s="53"/>
      <c r="C161" s="53"/>
      <c r="D161" s="53"/>
      <c r="E161" s="53"/>
      <c r="F161" s="55"/>
      <c r="G161" s="53"/>
      <c r="H161" s="53"/>
      <c r="I161" s="53"/>
      <c r="J161" s="44" t="str">
        <f t="array" ref="J161">IF(G161="","",IFERROR(LET(ev_cost,INDEX(Events!$G$5:$G$506,MATCH(G161,Events!$A$5:$A$506,0)),ev_split,INDEX(Events!$I$5:$I$506,MATCH(G161,Events!$A$5:$A$506,0)),att_offset,MATCH(G161,Attendance!$B$3:$AY$3,0),attendees,COUNTIF(INDEX(Attendance!$B$7:$AY$206,0,att_offset),"1"),IF(ev_split="Equal Split",ev_cost/MAX(1,COUNTA(Roster!$A$5:$A$204)),ev_cost/MAX(1,attendees))),"N/A"))</f>
        <v/>
      </c>
    </row>
    <row r="162" ht="19.5" customHeight="1">
      <c r="A162" s="46"/>
      <c r="B162" s="49"/>
      <c r="C162" s="49"/>
      <c r="D162" s="49"/>
      <c r="E162" s="49"/>
      <c r="F162" s="54"/>
      <c r="G162" s="49"/>
      <c r="H162" s="49"/>
      <c r="I162" s="49"/>
      <c r="J162" s="44" t="str">
        <f t="array" ref="J162">IF(G162="","",IFERROR(LET(ev_cost,INDEX(Events!$G$5:$G$506,MATCH(G162,Events!$A$5:$A$506,0)),ev_split,INDEX(Events!$I$5:$I$506,MATCH(G162,Events!$A$5:$A$506,0)),att_offset,MATCH(G162,Attendance!$B$3:$AY$3,0),attendees,COUNTIF(INDEX(Attendance!$B$7:$AY$206,0,att_offset),"1"),IF(ev_split="Equal Split",ev_cost/MAX(1,COUNTA(Roster!$A$5:$A$204)),ev_cost/MAX(1,attendees))),"N/A"))</f>
        <v/>
      </c>
    </row>
    <row r="163" ht="19.5" customHeight="1">
      <c r="A163" s="50"/>
      <c r="B163" s="53"/>
      <c r="C163" s="53"/>
      <c r="D163" s="53"/>
      <c r="E163" s="53"/>
      <c r="F163" s="55"/>
      <c r="G163" s="53"/>
      <c r="H163" s="53"/>
      <c r="I163" s="53"/>
      <c r="J163" s="44" t="str">
        <f t="array" ref="J163">IF(G163="","",IFERROR(LET(ev_cost,INDEX(Events!$G$5:$G$506,MATCH(G163,Events!$A$5:$A$506,0)),ev_split,INDEX(Events!$I$5:$I$506,MATCH(G163,Events!$A$5:$A$506,0)),att_offset,MATCH(G163,Attendance!$B$3:$AY$3,0),attendees,COUNTIF(INDEX(Attendance!$B$7:$AY$206,0,att_offset),"1"),IF(ev_split="Equal Split",ev_cost/MAX(1,COUNTA(Roster!$A$5:$A$204)),ev_cost/MAX(1,attendees))),"N/A"))</f>
        <v/>
      </c>
    </row>
    <row r="164" ht="19.5" customHeight="1">
      <c r="A164" s="46"/>
      <c r="B164" s="49"/>
      <c r="C164" s="49"/>
      <c r="D164" s="49"/>
      <c r="E164" s="49"/>
      <c r="F164" s="54"/>
      <c r="G164" s="49"/>
      <c r="H164" s="49"/>
      <c r="I164" s="49"/>
      <c r="J164" s="44" t="str">
        <f t="array" ref="J164">IF(G164="","",IFERROR(LET(ev_cost,INDEX(Events!$G$5:$G$506,MATCH(G164,Events!$A$5:$A$506,0)),ev_split,INDEX(Events!$I$5:$I$506,MATCH(G164,Events!$A$5:$A$506,0)),att_offset,MATCH(G164,Attendance!$B$3:$AY$3,0),attendees,COUNTIF(INDEX(Attendance!$B$7:$AY$206,0,att_offset),"1"),IF(ev_split="Equal Split",ev_cost/MAX(1,COUNTA(Roster!$A$5:$A$204)),ev_cost/MAX(1,attendees))),"N/A"))</f>
        <v/>
      </c>
    </row>
    <row r="165" ht="19.5" customHeight="1">
      <c r="A165" s="50"/>
      <c r="B165" s="53"/>
      <c r="C165" s="53"/>
      <c r="D165" s="53"/>
      <c r="E165" s="53"/>
      <c r="F165" s="55"/>
      <c r="G165" s="53"/>
      <c r="H165" s="53"/>
      <c r="I165" s="53"/>
      <c r="J165" s="44" t="str">
        <f t="array" ref="J165">IF(G165="","",IFERROR(LET(ev_cost,INDEX(Events!$G$5:$G$506,MATCH(G165,Events!$A$5:$A$506,0)),ev_split,INDEX(Events!$I$5:$I$506,MATCH(G165,Events!$A$5:$A$506,0)),att_offset,MATCH(G165,Attendance!$B$3:$AY$3,0),attendees,COUNTIF(INDEX(Attendance!$B$7:$AY$206,0,att_offset),"1"),IF(ev_split="Equal Split",ev_cost/MAX(1,COUNTA(Roster!$A$5:$A$204)),ev_cost/MAX(1,attendees))),"N/A"))</f>
        <v/>
      </c>
    </row>
    <row r="166" ht="19.5" customHeight="1">
      <c r="A166" s="46"/>
      <c r="B166" s="49"/>
      <c r="C166" s="49"/>
      <c r="D166" s="49"/>
      <c r="E166" s="49"/>
      <c r="F166" s="54"/>
      <c r="G166" s="49"/>
      <c r="H166" s="49"/>
      <c r="I166" s="49"/>
      <c r="J166" s="44" t="str">
        <f t="array" ref="J166">IF(G166="","",IFERROR(LET(ev_cost,INDEX(Events!$G$5:$G$506,MATCH(G166,Events!$A$5:$A$506,0)),ev_split,INDEX(Events!$I$5:$I$506,MATCH(G166,Events!$A$5:$A$506,0)),att_offset,MATCH(G166,Attendance!$B$3:$AY$3,0),attendees,COUNTIF(INDEX(Attendance!$B$7:$AY$206,0,att_offset),"1"),IF(ev_split="Equal Split",ev_cost/MAX(1,COUNTA(Roster!$A$5:$A$204)),ev_cost/MAX(1,attendees))),"N/A"))</f>
        <v/>
      </c>
    </row>
    <row r="167" ht="19.5" customHeight="1">
      <c r="A167" s="50"/>
      <c r="B167" s="53"/>
      <c r="C167" s="53"/>
      <c r="D167" s="53"/>
      <c r="E167" s="53"/>
      <c r="F167" s="55"/>
      <c r="G167" s="53"/>
      <c r="H167" s="53"/>
      <c r="I167" s="53"/>
      <c r="J167" s="44" t="str">
        <f t="array" ref="J167">IF(G167="","",IFERROR(LET(ev_cost,INDEX(Events!$G$5:$G$506,MATCH(G167,Events!$A$5:$A$506,0)),ev_split,INDEX(Events!$I$5:$I$506,MATCH(G167,Events!$A$5:$A$506,0)),att_offset,MATCH(G167,Attendance!$B$3:$AY$3,0),attendees,COUNTIF(INDEX(Attendance!$B$7:$AY$206,0,att_offset),"1"),IF(ev_split="Equal Split",ev_cost/MAX(1,COUNTA(Roster!$A$5:$A$204)),ev_cost/MAX(1,attendees))),"N/A"))</f>
        <v/>
      </c>
    </row>
    <row r="168" ht="19.5" customHeight="1">
      <c r="A168" s="46"/>
      <c r="B168" s="49"/>
      <c r="C168" s="49"/>
      <c r="D168" s="49"/>
      <c r="E168" s="49"/>
      <c r="F168" s="54"/>
      <c r="G168" s="49"/>
      <c r="H168" s="49"/>
      <c r="I168" s="49"/>
      <c r="J168" s="44" t="str">
        <f t="array" ref="J168">IF(G168="","",IFERROR(LET(ev_cost,INDEX(Events!$G$5:$G$506,MATCH(G168,Events!$A$5:$A$506,0)),ev_split,INDEX(Events!$I$5:$I$506,MATCH(G168,Events!$A$5:$A$506,0)),att_offset,MATCH(G168,Attendance!$B$3:$AY$3,0),attendees,COUNTIF(INDEX(Attendance!$B$7:$AY$206,0,att_offset),"1"),IF(ev_split="Equal Split",ev_cost/MAX(1,COUNTA(Roster!$A$5:$A$204)),ev_cost/MAX(1,attendees))),"N/A"))</f>
        <v/>
      </c>
    </row>
    <row r="169" ht="19.5" customHeight="1">
      <c r="A169" s="50"/>
      <c r="B169" s="53"/>
      <c r="C169" s="53"/>
      <c r="D169" s="53"/>
      <c r="E169" s="53"/>
      <c r="F169" s="55"/>
      <c r="G169" s="53"/>
      <c r="H169" s="53"/>
      <c r="I169" s="53"/>
      <c r="J169" s="44" t="str">
        <f t="array" ref="J169">IF(G169="","",IFERROR(LET(ev_cost,INDEX(Events!$G$5:$G$506,MATCH(G169,Events!$A$5:$A$506,0)),ev_split,INDEX(Events!$I$5:$I$506,MATCH(G169,Events!$A$5:$A$506,0)),att_offset,MATCH(G169,Attendance!$B$3:$AY$3,0),attendees,COUNTIF(INDEX(Attendance!$B$7:$AY$206,0,att_offset),"1"),IF(ev_split="Equal Split",ev_cost/MAX(1,COUNTA(Roster!$A$5:$A$204)),ev_cost/MAX(1,attendees))),"N/A"))</f>
        <v/>
      </c>
    </row>
    <row r="170" ht="19.5" customHeight="1">
      <c r="A170" s="46"/>
      <c r="B170" s="49"/>
      <c r="C170" s="49"/>
      <c r="D170" s="49"/>
      <c r="E170" s="49"/>
      <c r="F170" s="54"/>
      <c r="G170" s="49"/>
      <c r="H170" s="49"/>
      <c r="I170" s="49"/>
      <c r="J170" s="44" t="str">
        <f t="array" ref="J170">IF(G170="","",IFERROR(LET(ev_cost,INDEX(Events!$G$5:$G$506,MATCH(G170,Events!$A$5:$A$506,0)),ev_split,INDEX(Events!$I$5:$I$506,MATCH(G170,Events!$A$5:$A$506,0)),att_offset,MATCH(G170,Attendance!$B$3:$AY$3,0),attendees,COUNTIF(INDEX(Attendance!$B$7:$AY$206,0,att_offset),"1"),IF(ev_split="Equal Split",ev_cost/MAX(1,COUNTA(Roster!$A$5:$A$204)),ev_cost/MAX(1,attendees))),"N/A"))</f>
        <v/>
      </c>
    </row>
    <row r="171" ht="19.5" customHeight="1">
      <c r="A171" s="50"/>
      <c r="B171" s="53"/>
      <c r="C171" s="53"/>
      <c r="D171" s="53"/>
      <c r="E171" s="53"/>
      <c r="F171" s="55"/>
      <c r="G171" s="53"/>
      <c r="H171" s="53"/>
      <c r="I171" s="53"/>
      <c r="J171" s="44" t="str">
        <f t="array" ref="J171">IF(G171="","",IFERROR(LET(ev_cost,INDEX(Events!$G$5:$G$506,MATCH(G171,Events!$A$5:$A$506,0)),ev_split,INDEX(Events!$I$5:$I$506,MATCH(G171,Events!$A$5:$A$506,0)),att_offset,MATCH(G171,Attendance!$B$3:$AY$3,0),attendees,COUNTIF(INDEX(Attendance!$B$7:$AY$206,0,att_offset),"1"),IF(ev_split="Equal Split",ev_cost/MAX(1,COUNTA(Roster!$A$5:$A$204)),ev_cost/MAX(1,attendees))),"N/A"))</f>
        <v/>
      </c>
    </row>
    <row r="172" ht="19.5" customHeight="1">
      <c r="A172" s="46"/>
      <c r="B172" s="49"/>
      <c r="C172" s="49"/>
      <c r="D172" s="49"/>
      <c r="E172" s="49"/>
      <c r="F172" s="54"/>
      <c r="G172" s="49"/>
      <c r="H172" s="49"/>
      <c r="I172" s="49"/>
      <c r="J172" s="44" t="str">
        <f t="array" ref="J172">IF(G172="","",IFERROR(LET(ev_cost,INDEX(Events!$G$5:$G$506,MATCH(G172,Events!$A$5:$A$506,0)),ev_split,INDEX(Events!$I$5:$I$506,MATCH(G172,Events!$A$5:$A$506,0)),att_offset,MATCH(G172,Attendance!$B$3:$AY$3,0),attendees,COUNTIF(INDEX(Attendance!$B$7:$AY$206,0,att_offset),"1"),IF(ev_split="Equal Split",ev_cost/MAX(1,COUNTA(Roster!$A$5:$A$204)),ev_cost/MAX(1,attendees))),"N/A"))</f>
        <v/>
      </c>
    </row>
    <row r="173" ht="19.5" customHeight="1">
      <c r="A173" s="50"/>
      <c r="B173" s="53"/>
      <c r="C173" s="53"/>
      <c r="D173" s="53"/>
      <c r="E173" s="53"/>
      <c r="F173" s="55"/>
      <c r="G173" s="53"/>
      <c r="H173" s="53"/>
      <c r="I173" s="53"/>
      <c r="J173" s="44" t="str">
        <f t="array" ref="J173">IF(G173="","",IFERROR(LET(ev_cost,INDEX(Events!$G$5:$G$506,MATCH(G173,Events!$A$5:$A$506,0)),ev_split,INDEX(Events!$I$5:$I$506,MATCH(G173,Events!$A$5:$A$506,0)),att_offset,MATCH(G173,Attendance!$B$3:$AY$3,0),attendees,COUNTIF(INDEX(Attendance!$B$7:$AY$206,0,att_offset),"1"),IF(ev_split="Equal Split",ev_cost/MAX(1,COUNTA(Roster!$A$5:$A$204)),ev_cost/MAX(1,attendees))),"N/A"))</f>
        <v/>
      </c>
    </row>
    <row r="174" ht="19.5" customHeight="1">
      <c r="A174" s="46"/>
      <c r="B174" s="49"/>
      <c r="C174" s="49"/>
      <c r="D174" s="49"/>
      <c r="E174" s="49"/>
      <c r="F174" s="54"/>
      <c r="G174" s="49"/>
      <c r="H174" s="49"/>
      <c r="I174" s="49"/>
      <c r="J174" s="44" t="str">
        <f t="array" ref="J174">IF(G174="","",IFERROR(LET(ev_cost,INDEX(Events!$G$5:$G$506,MATCH(G174,Events!$A$5:$A$506,0)),ev_split,INDEX(Events!$I$5:$I$506,MATCH(G174,Events!$A$5:$A$506,0)),att_offset,MATCH(G174,Attendance!$B$3:$AY$3,0),attendees,COUNTIF(INDEX(Attendance!$B$7:$AY$206,0,att_offset),"1"),IF(ev_split="Equal Split",ev_cost/MAX(1,COUNTA(Roster!$A$5:$A$204)),ev_cost/MAX(1,attendees))),"N/A"))</f>
        <v/>
      </c>
    </row>
    <row r="175" ht="19.5" customHeight="1">
      <c r="A175" s="50"/>
      <c r="B175" s="53"/>
      <c r="C175" s="53"/>
      <c r="D175" s="53"/>
      <c r="E175" s="53"/>
      <c r="F175" s="55"/>
      <c r="G175" s="53"/>
      <c r="H175" s="53"/>
      <c r="I175" s="53"/>
      <c r="J175" s="44" t="str">
        <f t="array" ref="J175">IF(G175="","",IFERROR(LET(ev_cost,INDEX(Events!$G$5:$G$506,MATCH(G175,Events!$A$5:$A$506,0)),ev_split,INDEX(Events!$I$5:$I$506,MATCH(G175,Events!$A$5:$A$506,0)),att_offset,MATCH(G175,Attendance!$B$3:$AY$3,0),attendees,COUNTIF(INDEX(Attendance!$B$7:$AY$206,0,att_offset),"1"),IF(ev_split="Equal Split",ev_cost/MAX(1,COUNTA(Roster!$A$5:$A$204)),ev_cost/MAX(1,attendees))),"N/A"))</f>
        <v/>
      </c>
    </row>
    <row r="176" ht="19.5" customHeight="1">
      <c r="A176" s="46"/>
      <c r="B176" s="49"/>
      <c r="C176" s="49"/>
      <c r="D176" s="49"/>
      <c r="E176" s="49"/>
      <c r="F176" s="54"/>
      <c r="G176" s="49"/>
      <c r="H176" s="49"/>
      <c r="I176" s="49"/>
      <c r="J176" s="44" t="str">
        <f t="array" ref="J176">IF(G176="","",IFERROR(LET(ev_cost,INDEX(Events!$G$5:$G$506,MATCH(G176,Events!$A$5:$A$506,0)),ev_split,INDEX(Events!$I$5:$I$506,MATCH(G176,Events!$A$5:$A$506,0)),att_offset,MATCH(G176,Attendance!$B$3:$AY$3,0),attendees,COUNTIF(INDEX(Attendance!$B$7:$AY$206,0,att_offset),"1"),IF(ev_split="Equal Split",ev_cost/MAX(1,COUNTA(Roster!$A$5:$A$204)),ev_cost/MAX(1,attendees))),"N/A"))</f>
        <v/>
      </c>
    </row>
    <row r="177" ht="19.5" customHeight="1">
      <c r="A177" s="50"/>
      <c r="B177" s="53"/>
      <c r="C177" s="53"/>
      <c r="D177" s="53"/>
      <c r="E177" s="53"/>
      <c r="F177" s="55"/>
      <c r="G177" s="53"/>
      <c r="H177" s="53"/>
      <c r="I177" s="53"/>
      <c r="J177" s="44" t="str">
        <f t="array" ref="J177">IF(G177="","",IFERROR(LET(ev_cost,INDEX(Events!$G$5:$G$506,MATCH(G177,Events!$A$5:$A$506,0)),ev_split,INDEX(Events!$I$5:$I$506,MATCH(G177,Events!$A$5:$A$506,0)),att_offset,MATCH(G177,Attendance!$B$3:$AY$3,0),attendees,COUNTIF(INDEX(Attendance!$B$7:$AY$206,0,att_offset),"1"),IF(ev_split="Equal Split",ev_cost/MAX(1,COUNTA(Roster!$A$5:$A$204)),ev_cost/MAX(1,attendees))),"N/A"))</f>
        <v/>
      </c>
    </row>
    <row r="178" ht="19.5" customHeight="1">
      <c r="A178" s="46"/>
      <c r="B178" s="49"/>
      <c r="C178" s="49"/>
      <c r="D178" s="49"/>
      <c r="E178" s="49"/>
      <c r="F178" s="54"/>
      <c r="G178" s="49"/>
      <c r="H178" s="49"/>
      <c r="I178" s="49"/>
      <c r="J178" s="44" t="str">
        <f t="array" ref="J178">IF(G178="","",IFERROR(LET(ev_cost,INDEX(Events!$G$5:$G$506,MATCH(G178,Events!$A$5:$A$506,0)),ev_split,INDEX(Events!$I$5:$I$506,MATCH(G178,Events!$A$5:$A$506,0)),att_offset,MATCH(G178,Attendance!$B$3:$AY$3,0),attendees,COUNTIF(INDEX(Attendance!$B$7:$AY$206,0,att_offset),"1"),IF(ev_split="Equal Split",ev_cost/MAX(1,COUNTA(Roster!$A$5:$A$204)),ev_cost/MAX(1,attendees))),"N/A"))</f>
        <v/>
      </c>
    </row>
    <row r="179" ht="19.5" customHeight="1">
      <c r="A179" s="50"/>
      <c r="B179" s="53"/>
      <c r="C179" s="53"/>
      <c r="D179" s="53"/>
      <c r="E179" s="53"/>
      <c r="F179" s="55"/>
      <c r="G179" s="53"/>
      <c r="H179" s="53"/>
      <c r="I179" s="53"/>
      <c r="J179" s="44" t="str">
        <f t="array" ref="J179">IF(G179="","",IFERROR(LET(ev_cost,INDEX(Events!$G$5:$G$506,MATCH(G179,Events!$A$5:$A$506,0)),ev_split,INDEX(Events!$I$5:$I$506,MATCH(G179,Events!$A$5:$A$506,0)),att_offset,MATCH(G179,Attendance!$B$3:$AY$3,0),attendees,COUNTIF(INDEX(Attendance!$B$7:$AY$206,0,att_offset),"1"),IF(ev_split="Equal Split",ev_cost/MAX(1,COUNTA(Roster!$A$5:$A$204)),ev_cost/MAX(1,attendees))),"N/A"))</f>
        <v/>
      </c>
    </row>
    <row r="180" ht="19.5" customHeight="1">
      <c r="A180" s="46"/>
      <c r="B180" s="49"/>
      <c r="C180" s="49"/>
      <c r="D180" s="49"/>
      <c r="E180" s="49"/>
      <c r="F180" s="54"/>
      <c r="G180" s="49"/>
      <c r="H180" s="49"/>
      <c r="I180" s="49"/>
      <c r="J180" s="44" t="str">
        <f t="array" ref="J180">IF(G180="","",IFERROR(LET(ev_cost,INDEX(Events!$G$5:$G$506,MATCH(G180,Events!$A$5:$A$506,0)),ev_split,INDEX(Events!$I$5:$I$506,MATCH(G180,Events!$A$5:$A$506,0)),att_offset,MATCH(G180,Attendance!$B$3:$AY$3,0),attendees,COUNTIF(INDEX(Attendance!$B$7:$AY$206,0,att_offset),"1"),IF(ev_split="Equal Split",ev_cost/MAX(1,COUNTA(Roster!$A$5:$A$204)),ev_cost/MAX(1,attendees))),"N/A"))</f>
        <v/>
      </c>
    </row>
    <row r="181" ht="19.5" customHeight="1">
      <c r="A181" s="50"/>
      <c r="B181" s="53"/>
      <c r="C181" s="53"/>
      <c r="D181" s="53"/>
      <c r="E181" s="53"/>
      <c r="F181" s="55"/>
      <c r="G181" s="53"/>
      <c r="H181" s="53"/>
      <c r="I181" s="53"/>
      <c r="J181" s="44" t="str">
        <f t="array" ref="J181">IF(G181="","",IFERROR(LET(ev_cost,INDEX(Events!$G$5:$G$506,MATCH(G181,Events!$A$5:$A$506,0)),ev_split,INDEX(Events!$I$5:$I$506,MATCH(G181,Events!$A$5:$A$506,0)),att_offset,MATCH(G181,Attendance!$B$3:$AY$3,0),attendees,COUNTIF(INDEX(Attendance!$B$7:$AY$206,0,att_offset),"1"),IF(ev_split="Equal Split",ev_cost/MAX(1,COUNTA(Roster!$A$5:$A$204)),ev_cost/MAX(1,attendees))),"N/A"))</f>
        <v/>
      </c>
    </row>
    <row r="182" ht="19.5" customHeight="1">
      <c r="A182" s="46"/>
      <c r="B182" s="49"/>
      <c r="C182" s="49"/>
      <c r="D182" s="49"/>
      <c r="E182" s="49"/>
      <c r="F182" s="54"/>
      <c r="G182" s="49"/>
      <c r="H182" s="49"/>
      <c r="I182" s="49"/>
      <c r="J182" s="44" t="str">
        <f t="array" ref="J182">IF(G182="","",IFERROR(LET(ev_cost,INDEX(Events!$G$5:$G$506,MATCH(G182,Events!$A$5:$A$506,0)),ev_split,INDEX(Events!$I$5:$I$506,MATCH(G182,Events!$A$5:$A$506,0)),att_offset,MATCH(G182,Attendance!$B$3:$AY$3,0),attendees,COUNTIF(INDEX(Attendance!$B$7:$AY$206,0,att_offset),"1"),IF(ev_split="Equal Split",ev_cost/MAX(1,COUNTA(Roster!$A$5:$A$204)),ev_cost/MAX(1,attendees))),"N/A"))</f>
        <v/>
      </c>
    </row>
    <row r="183" ht="19.5" customHeight="1">
      <c r="A183" s="50"/>
      <c r="B183" s="53"/>
      <c r="C183" s="53"/>
      <c r="D183" s="53"/>
      <c r="E183" s="53"/>
      <c r="F183" s="55"/>
      <c r="G183" s="53"/>
      <c r="H183" s="53"/>
      <c r="I183" s="53"/>
      <c r="J183" s="44" t="str">
        <f t="array" ref="J183">IF(G183="","",IFERROR(LET(ev_cost,INDEX(Events!$G$5:$G$506,MATCH(G183,Events!$A$5:$A$506,0)),ev_split,INDEX(Events!$I$5:$I$506,MATCH(G183,Events!$A$5:$A$506,0)),att_offset,MATCH(G183,Attendance!$B$3:$AY$3,0),attendees,COUNTIF(INDEX(Attendance!$B$7:$AY$206,0,att_offset),"1"),IF(ev_split="Equal Split",ev_cost/MAX(1,COUNTA(Roster!$A$5:$A$204)),ev_cost/MAX(1,attendees))),"N/A"))</f>
        <v/>
      </c>
    </row>
    <row r="184" ht="19.5" customHeight="1">
      <c r="A184" s="46"/>
      <c r="B184" s="49"/>
      <c r="C184" s="49"/>
      <c r="D184" s="49"/>
      <c r="E184" s="49"/>
      <c r="F184" s="54"/>
      <c r="G184" s="49"/>
      <c r="H184" s="49"/>
      <c r="I184" s="49"/>
      <c r="J184" s="44" t="str">
        <f t="array" ref="J184">IF(G184="","",IFERROR(LET(ev_cost,INDEX(Events!$G$5:$G$506,MATCH(G184,Events!$A$5:$A$506,0)),ev_split,INDEX(Events!$I$5:$I$506,MATCH(G184,Events!$A$5:$A$506,0)),att_offset,MATCH(G184,Attendance!$B$3:$AY$3,0),attendees,COUNTIF(INDEX(Attendance!$B$7:$AY$206,0,att_offset),"1"),IF(ev_split="Equal Split",ev_cost/MAX(1,COUNTA(Roster!$A$5:$A$204)),ev_cost/MAX(1,attendees))),"N/A"))</f>
        <v/>
      </c>
    </row>
    <row r="185" ht="19.5" customHeight="1">
      <c r="A185" s="50"/>
      <c r="B185" s="53"/>
      <c r="C185" s="53"/>
      <c r="D185" s="53"/>
      <c r="E185" s="53"/>
      <c r="F185" s="55"/>
      <c r="G185" s="53"/>
      <c r="H185" s="53"/>
      <c r="I185" s="53"/>
      <c r="J185" s="44" t="str">
        <f t="array" ref="J185">IF(G185="","",IFERROR(LET(ev_cost,INDEX(Events!$G$5:$G$506,MATCH(G185,Events!$A$5:$A$506,0)),ev_split,INDEX(Events!$I$5:$I$506,MATCH(G185,Events!$A$5:$A$506,0)),att_offset,MATCH(G185,Attendance!$B$3:$AY$3,0),attendees,COUNTIF(INDEX(Attendance!$B$7:$AY$206,0,att_offset),"1"),IF(ev_split="Equal Split",ev_cost/MAX(1,COUNTA(Roster!$A$5:$A$204)),ev_cost/MAX(1,attendees))),"N/A"))</f>
        <v/>
      </c>
    </row>
    <row r="186" ht="19.5" customHeight="1">
      <c r="A186" s="46"/>
      <c r="B186" s="49"/>
      <c r="C186" s="49"/>
      <c r="D186" s="49"/>
      <c r="E186" s="49"/>
      <c r="F186" s="54"/>
      <c r="G186" s="49"/>
      <c r="H186" s="49"/>
      <c r="I186" s="49"/>
      <c r="J186" s="44" t="str">
        <f t="array" ref="J186">IF(G186="","",IFERROR(LET(ev_cost,INDEX(Events!$G$5:$G$506,MATCH(G186,Events!$A$5:$A$506,0)),ev_split,INDEX(Events!$I$5:$I$506,MATCH(G186,Events!$A$5:$A$506,0)),att_offset,MATCH(G186,Attendance!$B$3:$AY$3,0),attendees,COUNTIF(INDEX(Attendance!$B$7:$AY$206,0,att_offset),"1"),IF(ev_split="Equal Split",ev_cost/MAX(1,COUNTA(Roster!$A$5:$A$204)),ev_cost/MAX(1,attendees))),"N/A"))</f>
        <v/>
      </c>
    </row>
    <row r="187" ht="19.5" customHeight="1">
      <c r="A187" s="50"/>
      <c r="B187" s="53"/>
      <c r="C187" s="53"/>
      <c r="D187" s="53"/>
      <c r="E187" s="53"/>
      <c r="F187" s="55"/>
      <c r="G187" s="53"/>
      <c r="H187" s="53"/>
      <c r="I187" s="53"/>
      <c r="J187" s="44" t="str">
        <f t="array" ref="J187">IF(G187="","",IFERROR(LET(ev_cost,INDEX(Events!$G$5:$G$506,MATCH(G187,Events!$A$5:$A$506,0)),ev_split,INDEX(Events!$I$5:$I$506,MATCH(G187,Events!$A$5:$A$506,0)),att_offset,MATCH(G187,Attendance!$B$3:$AY$3,0),attendees,COUNTIF(INDEX(Attendance!$B$7:$AY$206,0,att_offset),"1"),IF(ev_split="Equal Split",ev_cost/MAX(1,COUNTA(Roster!$A$5:$A$204)),ev_cost/MAX(1,attendees))),"N/A"))</f>
        <v/>
      </c>
    </row>
    <row r="188" ht="19.5" customHeight="1">
      <c r="A188" s="46"/>
      <c r="B188" s="49"/>
      <c r="C188" s="49"/>
      <c r="D188" s="49"/>
      <c r="E188" s="49"/>
      <c r="F188" s="54"/>
      <c r="G188" s="49"/>
      <c r="H188" s="49"/>
      <c r="I188" s="49"/>
      <c r="J188" s="44" t="str">
        <f t="array" ref="J188">IF(G188="","",IFERROR(LET(ev_cost,INDEX(Events!$G$5:$G$506,MATCH(G188,Events!$A$5:$A$506,0)),ev_split,INDEX(Events!$I$5:$I$506,MATCH(G188,Events!$A$5:$A$506,0)),att_offset,MATCH(G188,Attendance!$B$3:$AY$3,0),attendees,COUNTIF(INDEX(Attendance!$B$7:$AY$206,0,att_offset),"1"),IF(ev_split="Equal Split",ev_cost/MAX(1,COUNTA(Roster!$A$5:$A$204)),ev_cost/MAX(1,attendees))),"N/A"))</f>
        <v/>
      </c>
    </row>
    <row r="189" ht="19.5" customHeight="1">
      <c r="A189" s="50"/>
      <c r="B189" s="53"/>
      <c r="C189" s="53"/>
      <c r="D189" s="53"/>
      <c r="E189" s="53"/>
      <c r="F189" s="55"/>
      <c r="G189" s="53"/>
      <c r="H189" s="53"/>
      <c r="I189" s="53"/>
      <c r="J189" s="44" t="str">
        <f t="array" ref="J189">IF(G189="","",IFERROR(LET(ev_cost,INDEX(Events!$G$5:$G$506,MATCH(G189,Events!$A$5:$A$506,0)),ev_split,INDEX(Events!$I$5:$I$506,MATCH(G189,Events!$A$5:$A$506,0)),att_offset,MATCH(G189,Attendance!$B$3:$AY$3,0),attendees,COUNTIF(INDEX(Attendance!$B$7:$AY$206,0,att_offset),"1"),IF(ev_split="Equal Split",ev_cost/MAX(1,COUNTA(Roster!$A$5:$A$204)),ev_cost/MAX(1,attendees))),"N/A"))</f>
        <v/>
      </c>
    </row>
    <row r="190" ht="19.5" customHeight="1">
      <c r="A190" s="46"/>
      <c r="B190" s="49"/>
      <c r="C190" s="49"/>
      <c r="D190" s="49"/>
      <c r="E190" s="49"/>
      <c r="F190" s="54"/>
      <c r="G190" s="49"/>
      <c r="H190" s="49"/>
      <c r="I190" s="49"/>
      <c r="J190" s="44" t="str">
        <f t="array" ref="J190">IF(G190="","",IFERROR(LET(ev_cost,INDEX(Events!$G$5:$G$506,MATCH(G190,Events!$A$5:$A$506,0)),ev_split,INDEX(Events!$I$5:$I$506,MATCH(G190,Events!$A$5:$A$506,0)),att_offset,MATCH(G190,Attendance!$B$3:$AY$3,0),attendees,COUNTIF(INDEX(Attendance!$B$7:$AY$206,0,att_offset),"1"),IF(ev_split="Equal Split",ev_cost/MAX(1,COUNTA(Roster!$A$5:$A$204)),ev_cost/MAX(1,attendees))),"N/A"))</f>
        <v/>
      </c>
    </row>
    <row r="191" ht="19.5" customHeight="1">
      <c r="A191" s="50"/>
      <c r="B191" s="53"/>
      <c r="C191" s="53"/>
      <c r="D191" s="53"/>
      <c r="E191" s="53"/>
      <c r="F191" s="55"/>
      <c r="G191" s="53"/>
      <c r="H191" s="53"/>
      <c r="I191" s="53"/>
      <c r="J191" s="44" t="str">
        <f t="array" ref="J191">IF(G191="","",IFERROR(LET(ev_cost,INDEX(Events!$G$5:$G$506,MATCH(G191,Events!$A$5:$A$506,0)),ev_split,INDEX(Events!$I$5:$I$506,MATCH(G191,Events!$A$5:$A$506,0)),att_offset,MATCH(G191,Attendance!$B$3:$AY$3,0),attendees,COUNTIF(INDEX(Attendance!$B$7:$AY$206,0,att_offset),"1"),IF(ev_split="Equal Split",ev_cost/MAX(1,COUNTA(Roster!$A$5:$A$204)),ev_cost/MAX(1,attendees))),"N/A"))</f>
        <v/>
      </c>
    </row>
    <row r="192" ht="19.5" customHeight="1">
      <c r="A192" s="46"/>
      <c r="B192" s="49"/>
      <c r="C192" s="49"/>
      <c r="D192" s="49"/>
      <c r="E192" s="49"/>
      <c r="F192" s="54"/>
      <c r="G192" s="49"/>
      <c r="H192" s="49"/>
      <c r="I192" s="49"/>
      <c r="J192" s="44" t="str">
        <f t="array" ref="J192">IF(G192="","",IFERROR(LET(ev_cost,INDEX(Events!$G$5:$G$506,MATCH(G192,Events!$A$5:$A$506,0)),ev_split,INDEX(Events!$I$5:$I$506,MATCH(G192,Events!$A$5:$A$506,0)),att_offset,MATCH(G192,Attendance!$B$3:$AY$3,0),attendees,COUNTIF(INDEX(Attendance!$B$7:$AY$206,0,att_offset),"1"),IF(ev_split="Equal Split",ev_cost/MAX(1,COUNTA(Roster!$A$5:$A$204)),ev_cost/MAX(1,attendees))),"N/A"))</f>
        <v/>
      </c>
    </row>
    <row r="193" ht="19.5" customHeight="1">
      <c r="A193" s="50"/>
      <c r="B193" s="53"/>
      <c r="C193" s="53"/>
      <c r="D193" s="53"/>
      <c r="E193" s="53"/>
      <c r="F193" s="55"/>
      <c r="G193" s="53"/>
      <c r="H193" s="53"/>
      <c r="I193" s="53"/>
      <c r="J193" s="44" t="str">
        <f t="array" ref="J193">IF(G193="","",IFERROR(LET(ev_cost,INDEX(Events!$G$5:$G$506,MATCH(G193,Events!$A$5:$A$506,0)),ev_split,INDEX(Events!$I$5:$I$506,MATCH(G193,Events!$A$5:$A$506,0)),att_offset,MATCH(G193,Attendance!$B$3:$AY$3,0),attendees,COUNTIF(INDEX(Attendance!$B$7:$AY$206,0,att_offset),"1"),IF(ev_split="Equal Split",ev_cost/MAX(1,COUNTA(Roster!$A$5:$A$204)),ev_cost/MAX(1,attendees))),"N/A"))</f>
        <v/>
      </c>
    </row>
    <row r="194" ht="19.5" customHeight="1">
      <c r="A194" s="46"/>
      <c r="B194" s="49"/>
      <c r="C194" s="49"/>
      <c r="D194" s="49"/>
      <c r="E194" s="49"/>
      <c r="F194" s="54"/>
      <c r="G194" s="49"/>
      <c r="H194" s="49"/>
      <c r="I194" s="49"/>
      <c r="J194" s="44" t="str">
        <f t="array" ref="J194">IF(G194="","",IFERROR(LET(ev_cost,INDEX(Events!$G$5:$G$506,MATCH(G194,Events!$A$5:$A$506,0)),ev_split,INDEX(Events!$I$5:$I$506,MATCH(G194,Events!$A$5:$A$506,0)),att_offset,MATCH(G194,Attendance!$B$3:$AY$3,0),attendees,COUNTIF(INDEX(Attendance!$B$7:$AY$206,0,att_offset),"1"),IF(ev_split="Equal Split",ev_cost/MAX(1,COUNTA(Roster!$A$5:$A$204)),ev_cost/MAX(1,attendees))),"N/A"))</f>
        <v/>
      </c>
    </row>
    <row r="195" ht="19.5" customHeight="1">
      <c r="A195" s="50"/>
      <c r="B195" s="53"/>
      <c r="C195" s="53"/>
      <c r="D195" s="53"/>
      <c r="E195" s="53"/>
      <c r="F195" s="55"/>
      <c r="G195" s="53"/>
      <c r="H195" s="53"/>
      <c r="I195" s="53"/>
      <c r="J195" s="44" t="str">
        <f t="array" ref="J195">IF(G195="","",IFERROR(LET(ev_cost,INDEX(Events!$G$5:$G$506,MATCH(G195,Events!$A$5:$A$506,0)),ev_split,INDEX(Events!$I$5:$I$506,MATCH(G195,Events!$A$5:$A$506,0)),att_offset,MATCH(G195,Attendance!$B$3:$AY$3,0),attendees,COUNTIF(INDEX(Attendance!$B$7:$AY$206,0,att_offset),"1"),IF(ev_split="Equal Split",ev_cost/MAX(1,COUNTA(Roster!$A$5:$A$204)),ev_cost/MAX(1,attendees))),"N/A"))</f>
        <v/>
      </c>
    </row>
    <row r="196" ht="19.5" customHeight="1">
      <c r="A196" s="46"/>
      <c r="B196" s="49"/>
      <c r="C196" s="49"/>
      <c r="D196" s="49"/>
      <c r="E196" s="49"/>
      <c r="F196" s="54"/>
      <c r="G196" s="49"/>
      <c r="H196" s="49"/>
      <c r="I196" s="49"/>
      <c r="J196" s="44" t="str">
        <f t="array" ref="J196">IF(G196="","",IFERROR(LET(ev_cost,INDEX(Events!$G$5:$G$506,MATCH(G196,Events!$A$5:$A$506,0)),ev_split,INDEX(Events!$I$5:$I$506,MATCH(G196,Events!$A$5:$A$506,0)),att_offset,MATCH(G196,Attendance!$B$3:$AY$3,0),attendees,COUNTIF(INDEX(Attendance!$B$7:$AY$206,0,att_offset),"1"),IF(ev_split="Equal Split",ev_cost/MAX(1,COUNTA(Roster!$A$5:$A$204)),ev_cost/MAX(1,attendees))),"N/A"))</f>
        <v/>
      </c>
    </row>
    <row r="197" ht="19.5" customHeight="1">
      <c r="A197" s="50"/>
      <c r="B197" s="53"/>
      <c r="C197" s="53"/>
      <c r="D197" s="53"/>
      <c r="E197" s="53"/>
      <c r="F197" s="55"/>
      <c r="G197" s="53"/>
      <c r="H197" s="53"/>
      <c r="I197" s="53"/>
      <c r="J197" s="44" t="str">
        <f t="array" ref="J197">IF(G197="","",IFERROR(LET(ev_cost,INDEX(Events!$G$5:$G$506,MATCH(G197,Events!$A$5:$A$506,0)),ev_split,INDEX(Events!$I$5:$I$506,MATCH(G197,Events!$A$5:$A$506,0)),att_offset,MATCH(G197,Attendance!$B$3:$AY$3,0),attendees,COUNTIF(INDEX(Attendance!$B$7:$AY$206,0,att_offset),"1"),IF(ev_split="Equal Split",ev_cost/MAX(1,COUNTA(Roster!$A$5:$A$204)),ev_cost/MAX(1,attendees))),"N/A"))</f>
        <v/>
      </c>
    </row>
    <row r="198" ht="19.5" customHeight="1">
      <c r="A198" s="46"/>
      <c r="B198" s="49"/>
      <c r="C198" s="49"/>
      <c r="D198" s="49"/>
      <c r="E198" s="49"/>
      <c r="F198" s="54"/>
      <c r="G198" s="49"/>
      <c r="H198" s="49"/>
      <c r="I198" s="49"/>
      <c r="J198" s="44" t="str">
        <f t="array" ref="J198">IF(G198="","",IFERROR(LET(ev_cost,INDEX(Events!$G$5:$G$506,MATCH(G198,Events!$A$5:$A$506,0)),ev_split,INDEX(Events!$I$5:$I$506,MATCH(G198,Events!$A$5:$A$506,0)),att_offset,MATCH(G198,Attendance!$B$3:$AY$3,0),attendees,COUNTIF(INDEX(Attendance!$B$7:$AY$206,0,att_offset),"1"),IF(ev_split="Equal Split",ev_cost/MAX(1,COUNTA(Roster!$A$5:$A$204)),ev_cost/MAX(1,attendees))),"N/A"))</f>
        <v/>
      </c>
    </row>
    <row r="199" ht="19.5" customHeight="1">
      <c r="A199" s="50"/>
      <c r="B199" s="53"/>
      <c r="C199" s="53"/>
      <c r="D199" s="53"/>
      <c r="E199" s="53"/>
      <c r="F199" s="55"/>
      <c r="G199" s="53"/>
      <c r="H199" s="53"/>
      <c r="I199" s="53"/>
      <c r="J199" s="44" t="str">
        <f t="array" ref="J199">IF(G199="","",IFERROR(LET(ev_cost,INDEX(Events!$G$5:$G$506,MATCH(G199,Events!$A$5:$A$506,0)),ev_split,INDEX(Events!$I$5:$I$506,MATCH(G199,Events!$A$5:$A$506,0)),att_offset,MATCH(G199,Attendance!$B$3:$AY$3,0),attendees,COUNTIF(INDEX(Attendance!$B$7:$AY$206,0,att_offset),"1"),IF(ev_split="Equal Split",ev_cost/MAX(1,COUNTA(Roster!$A$5:$A$204)),ev_cost/MAX(1,attendees))),"N/A"))</f>
        <v/>
      </c>
    </row>
    <row r="200" ht="19.5" customHeight="1">
      <c r="A200" s="46"/>
      <c r="B200" s="49"/>
      <c r="C200" s="49"/>
      <c r="D200" s="49"/>
      <c r="E200" s="49"/>
      <c r="F200" s="54"/>
      <c r="G200" s="49"/>
      <c r="H200" s="49"/>
      <c r="I200" s="49"/>
      <c r="J200" s="44" t="str">
        <f t="array" ref="J200">IF(G200="","",IFERROR(LET(ev_cost,INDEX(Events!$G$5:$G$506,MATCH(G200,Events!$A$5:$A$506,0)),ev_split,INDEX(Events!$I$5:$I$506,MATCH(G200,Events!$A$5:$A$506,0)),att_offset,MATCH(G200,Attendance!$B$3:$AY$3,0),attendees,COUNTIF(INDEX(Attendance!$B$7:$AY$206,0,att_offset),"1"),IF(ev_split="Equal Split",ev_cost/MAX(1,COUNTA(Roster!$A$5:$A$204)),ev_cost/MAX(1,attendees))),"N/A"))</f>
        <v/>
      </c>
    </row>
    <row r="201" ht="19.5" customHeight="1">
      <c r="A201" s="50"/>
      <c r="B201" s="53"/>
      <c r="C201" s="53"/>
      <c r="D201" s="53"/>
      <c r="E201" s="53"/>
      <c r="F201" s="55"/>
      <c r="G201" s="53"/>
      <c r="H201" s="53"/>
      <c r="I201" s="53"/>
      <c r="J201" s="44" t="str">
        <f t="array" ref="J201">IF(G201="","",IFERROR(LET(ev_cost,INDEX(Events!$G$5:$G$506,MATCH(G201,Events!$A$5:$A$506,0)),ev_split,INDEX(Events!$I$5:$I$506,MATCH(G201,Events!$A$5:$A$506,0)),att_offset,MATCH(G201,Attendance!$B$3:$AY$3,0),attendees,COUNTIF(INDEX(Attendance!$B$7:$AY$206,0,att_offset),"1"),IF(ev_split="Equal Split",ev_cost/MAX(1,COUNTA(Roster!$A$5:$A$204)),ev_cost/MAX(1,attendees))),"N/A"))</f>
        <v/>
      </c>
    </row>
    <row r="202" ht="19.5" customHeight="1">
      <c r="A202" s="46"/>
      <c r="B202" s="49"/>
      <c r="C202" s="49"/>
      <c r="D202" s="49"/>
      <c r="E202" s="49"/>
      <c r="F202" s="54"/>
      <c r="G202" s="49"/>
      <c r="H202" s="49"/>
      <c r="I202" s="49"/>
      <c r="J202" s="44" t="str">
        <f t="array" ref="J202">IF(G202="","",IFERROR(LET(ev_cost,INDEX(Events!$G$5:$G$506,MATCH(G202,Events!$A$5:$A$506,0)),ev_split,INDEX(Events!$I$5:$I$506,MATCH(G202,Events!$A$5:$A$506,0)),att_offset,MATCH(G202,Attendance!$B$3:$AY$3,0),attendees,COUNTIF(INDEX(Attendance!$B$7:$AY$206,0,att_offset),"1"),IF(ev_split="Equal Split",ev_cost/MAX(1,COUNTA(Roster!$A$5:$A$204)),ev_cost/MAX(1,attendees))),"N/A"))</f>
        <v/>
      </c>
    </row>
    <row r="203" ht="19.5" customHeight="1">
      <c r="A203" s="50"/>
      <c r="B203" s="53"/>
      <c r="C203" s="53"/>
      <c r="D203" s="53"/>
      <c r="E203" s="53"/>
      <c r="F203" s="55"/>
      <c r="G203" s="53"/>
      <c r="H203" s="53"/>
      <c r="I203" s="53"/>
      <c r="J203" s="44" t="str">
        <f t="array" ref="J203">IF(G203="","",IFERROR(LET(ev_cost,INDEX(Events!$G$5:$G$506,MATCH(G203,Events!$A$5:$A$506,0)),ev_split,INDEX(Events!$I$5:$I$506,MATCH(G203,Events!$A$5:$A$506,0)),att_offset,MATCH(G203,Attendance!$B$3:$AY$3,0),attendees,COUNTIF(INDEX(Attendance!$B$7:$AY$206,0,att_offset),"1"),IF(ev_split="Equal Split",ev_cost/MAX(1,COUNTA(Roster!$A$5:$A$204)),ev_cost/MAX(1,attendees))),"N/A"))</f>
        <v/>
      </c>
    </row>
    <row r="204" ht="19.5" customHeight="1">
      <c r="A204" s="46"/>
      <c r="B204" s="49"/>
      <c r="C204" s="49"/>
      <c r="D204" s="49"/>
      <c r="E204" s="49"/>
      <c r="F204" s="54"/>
      <c r="G204" s="49"/>
      <c r="H204" s="49"/>
      <c r="I204" s="49"/>
      <c r="J204" s="44" t="str">
        <f t="array" ref="J204">IF(G204="","",IFERROR(LET(ev_cost,INDEX(Events!$G$5:$G$506,MATCH(G204,Events!$A$5:$A$506,0)),ev_split,INDEX(Events!$I$5:$I$506,MATCH(G204,Events!$A$5:$A$506,0)),att_offset,MATCH(G204,Attendance!$B$3:$AY$3,0),attendees,COUNTIF(INDEX(Attendance!$B$7:$AY$206,0,att_offset),"1"),IF(ev_split="Equal Split",ev_cost/MAX(1,COUNTA(Roster!$A$5:$A$204)),ev_cost/MAX(1,attendees))),"N/A"))</f>
        <v/>
      </c>
    </row>
    <row r="205" ht="19.5" customHeight="1">
      <c r="A205" s="50"/>
      <c r="B205" s="53"/>
      <c r="C205" s="53"/>
      <c r="D205" s="53"/>
      <c r="E205" s="53"/>
      <c r="F205" s="55"/>
      <c r="G205" s="53"/>
      <c r="H205" s="53"/>
      <c r="I205" s="53"/>
      <c r="J205" s="44" t="str">
        <f t="array" ref="J205">IF(G205="","",IFERROR(LET(ev_cost,INDEX(Events!$G$5:$G$506,MATCH(G205,Events!$A$5:$A$506,0)),ev_split,INDEX(Events!$I$5:$I$506,MATCH(G205,Events!$A$5:$A$506,0)),att_offset,MATCH(G205,Attendance!$B$3:$AY$3,0),attendees,COUNTIF(INDEX(Attendance!$B$7:$AY$206,0,att_offset),"1"),IF(ev_split="Equal Split",ev_cost/MAX(1,COUNTA(Roster!$A$5:$A$204)),ev_cost/MAX(1,attendees))),"N/A"))</f>
        <v/>
      </c>
    </row>
    <row r="206" ht="19.5" customHeight="1">
      <c r="A206" s="46"/>
      <c r="B206" s="49"/>
      <c r="C206" s="49"/>
      <c r="D206" s="49"/>
      <c r="E206" s="49"/>
      <c r="F206" s="54"/>
      <c r="G206" s="49"/>
      <c r="H206" s="49"/>
      <c r="I206" s="49"/>
      <c r="J206" s="44" t="str">
        <f t="array" ref="J206">IF(G206="","",IFERROR(LET(ev_cost,INDEX(Events!$G$5:$G$506,MATCH(G206,Events!$A$5:$A$506,0)),ev_split,INDEX(Events!$I$5:$I$506,MATCH(G206,Events!$A$5:$A$506,0)),att_offset,MATCH(G206,Attendance!$B$3:$AY$3,0),attendees,COUNTIF(INDEX(Attendance!$B$7:$AY$206,0,att_offset),"1"),IF(ev_split="Equal Split",ev_cost/MAX(1,COUNTA(Roster!$A$5:$A$204)),ev_cost/MAX(1,attendees))),"N/A"))</f>
        <v/>
      </c>
    </row>
    <row r="207" ht="19.5" customHeight="1">
      <c r="A207" s="50"/>
      <c r="B207" s="53"/>
      <c r="C207" s="53"/>
      <c r="D207" s="53"/>
      <c r="E207" s="53"/>
      <c r="F207" s="55"/>
      <c r="G207" s="53"/>
      <c r="H207" s="53"/>
      <c r="I207" s="53"/>
      <c r="J207" s="44" t="str">
        <f t="array" ref="J207">IF(G207="","",IFERROR(LET(ev_cost,INDEX(Events!$G$5:$G$506,MATCH(G207,Events!$A$5:$A$506,0)),ev_split,INDEX(Events!$I$5:$I$506,MATCH(G207,Events!$A$5:$A$506,0)),att_offset,MATCH(G207,Attendance!$B$3:$AY$3,0),attendees,COUNTIF(INDEX(Attendance!$B$7:$AY$206,0,att_offset),"1"),IF(ev_split="Equal Split",ev_cost/MAX(1,COUNTA(Roster!$A$5:$A$204)),ev_cost/MAX(1,attendees))),"N/A"))</f>
        <v/>
      </c>
    </row>
    <row r="208" ht="19.5" customHeight="1">
      <c r="A208" s="46"/>
      <c r="B208" s="49"/>
      <c r="C208" s="49"/>
      <c r="D208" s="49"/>
      <c r="E208" s="49"/>
      <c r="F208" s="54"/>
      <c r="G208" s="49"/>
      <c r="H208" s="49"/>
      <c r="I208" s="49"/>
      <c r="J208" s="44" t="str">
        <f t="array" ref="J208">IF(G208="","",IFERROR(LET(ev_cost,INDEX(Events!$G$5:$G$506,MATCH(G208,Events!$A$5:$A$506,0)),ev_split,INDEX(Events!$I$5:$I$506,MATCH(G208,Events!$A$5:$A$506,0)),att_offset,MATCH(G208,Attendance!$B$3:$AY$3,0),attendees,COUNTIF(INDEX(Attendance!$B$7:$AY$206,0,att_offset),"1"),IF(ev_split="Equal Split",ev_cost/MAX(1,COUNTA(Roster!$A$5:$A$204)),ev_cost/MAX(1,attendees))),"N/A"))</f>
        <v/>
      </c>
    </row>
    <row r="209" ht="19.5" customHeight="1">
      <c r="A209" s="50"/>
      <c r="B209" s="53"/>
      <c r="C209" s="53"/>
      <c r="D209" s="53"/>
      <c r="E209" s="53"/>
      <c r="F209" s="55"/>
      <c r="G209" s="53"/>
      <c r="H209" s="53"/>
      <c r="I209" s="53"/>
      <c r="J209" s="44" t="str">
        <f t="array" ref="J209">IF(G209="","",IFERROR(LET(ev_cost,INDEX(Events!$G$5:$G$506,MATCH(G209,Events!$A$5:$A$506,0)),ev_split,INDEX(Events!$I$5:$I$506,MATCH(G209,Events!$A$5:$A$506,0)),att_offset,MATCH(G209,Attendance!$B$3:$AY$3,0),attendees,COUNTIF(INDEX(Attendance!$B$7:$AY$206,0,att_offset),"1"),IF(ev_split="Equal Split",ev_cost/MAX(1,COUNTA(Roster!$A$5:$A$204)),ev_cost/MAX(1,attendees))),"N/A"))</f>
        <v/>
      </c>
    </row>
    <row r="210" ht="19.5" customHeight="1">
      <c r="A210" s="46"/>
      <c r="B210" s="49"/>
      <c r="C210" s="49"/>
      <c r="D210" s="49"/>
      <c r="E210" s="49"/>
      <c r="F210" s="54"/>
      <c r="G210" s="49"/>
      <c r="H210" s="49"/>
      <c r="I210" s="49"/>
      <c r="J210" s="44" t="str">
        <f t="array" ref="J210">IF(G210="","",IFERROR(LET(ev_cost,INDEX(Events!$G$5:$G$506,MATCH(G210,Events!$A$5:$A$506,0)),ev_split,INDEX(Events!$I$5:$I$506,MATCH(G210,Events!$A$5:$A$506,0)),att_offset,MATCH(G210,Attendance!$B$3:$AY$3,0),attendees,COUNTIF(INDEX(Attendance!$B$7:$AY$206,0,att_offset),"1"),IF(ev_split="Equal Split",ev_cost/MAX(1,COUNTA(Roster!$A$5:$A$204)),ev_cost/MAX(1,attendees))),"N/A"))</f>
        <v/>
      </c>
    </row>
    <row r="211" ht="19.5" customHeight="1">
      <c r="A211" s="50"/>
      <c r="B211" s="53"/>
      <c r="C211" s="53"/>
      <c r="D211" s="53"/>
      <c r="E211" s="53"/>
      <c r="F211" s="55"/>
      <c r="G211" s="53"/>
      <c r="H211" s="53"/>
      <c r="I211" s="53"/>
      <c r="J211" s="44" t="str">
        <f t="array" ref="J211">IF(G211="","",IFERROR(LET(ev_cost,INDEX(Events!$G$5:$G$506,MATCH(G211,Events!$A$5:$A$506,0)),ev_split,INDEX(Events!$I$5:$I$506,MATCH(G211,Events!$A$5:$A$506,0)),att_offset,MATCH(G211,Attendance!$B$3:$AY$3,0),attendees,COUNTIF(INDEX(Attendance!$B$7:$AY$206,0,att_offset),"1"),IF(ev_split="Equal Split",ev_cost/MAX(1,COUNTA(Roster!$A$5:$A$204)),ev_cost/MAX(1,attendees))),"N/A"))</f>
        <v/>
      </c>
    </row>
    <row r="212" ht="19.5" customHeight="1">
      <c r="A212" s="46"/>
      <c r="B212" s="49"/>
      <c r="C212" s="49"/>
      <c r="D212" s="49"/>
      <c r="E212" s="49"/>
      <c r="F212" s="54"/>
      <c r="G212" s="49"/>
      <c r="H212" s="49"/>
      <c r="I212" s="49"/>
      <c r="J212" s="44" t="str">
        <f t="array" ref="J212">IF(G212="","",IFERROR(LET(ev_cost,INDEX(Events!$G$5:$G$506,MATCH(G212,Events!$A$5:$A$506,0)),ev_split,INDEX(Events!$I$5:$I$506,MATCH(G212,Events!$A$5:$A$506,0)),att_offset,MATCH(G212,Attendance!$B$3:$AY$3,0),attendees,COUNTIF(INDEX(Attendance!$B$7:$AY$206,0,att_offset),"1"),IF(ev_split="Equal Split",ev_cost/MAX(1,COUNTA(Roster!$A$5:$A$204)),ev_cost/MAX(1,attendees))),"N/A"))</f>
        <v/>
      </c>
    </row>
    <row r="213" ht="19.5" customHeight="1">
      <c r="A213" s="50"/>
      <c r="B213" s="53"/>
      <c r="C213" s="53"/>
      <c r="D213" s="53"/>
      <c r="E213" s="53"/>
      <c r="F213" s="55"/>
      <c r="G213" s="53"/>
      <c r="H213" s="53"/>
      <c r="I213" s="53"/>
      <c r="J213" s="44" t="str">
        <f t="array" ref="J213">IF(G213="","",IFERROR(LET(ev_cost,INDEX(Events!$G$5:$G$506,MATCH(G213,Events!$A$5:$A$506,0)),ev_split,INDEX(Events!$I$5:$I$506,MATCH(G213,Events!$A$5:$A$506,0)),att_offset,MATCH(G213,Attendance!$B$3:$AY$3,0),attendees,COUNTIF(INDEX(Attendance!$B$7:$AY$206,0,att_offset),"1"),IF(ev_split="Equal Split",ev_cost/MAX(1,COUNTA(Roster!$A$5:$A$204)),ev_cost/MAX(1,attendees))),"N/A"))</f>
        <v/>
      </c>
    </row>
    <row r="214" ht="19.5" customHeight="1">
      <c r="A214" s="46"/>
      <c r="B214" s="49"/>
      <c r="C214" s="49"/>
      <c r="D214" s="49"/>
      <c r="E214" s="49"/>
      <c r="F214" s="54"/>
      <c r="G214" s="49"/>
      <c r="H214" s="49"/>
      <c r="I214" s="49"/>
      <c r="J214" s="44" t="str">
        <f t="array" ref="J214">IF(G214="","",IFERROR(LET(ev_cost,INDEX(Events!$G$5:$G$506,MATCH(G214,Events!$A$5:$A$506,0)),ev_split,INDEX(Events!$I$5:$I$506,MATCH(G214,Events!$A$5:$A$506,0)),att_offset,MATCH(G214,Attendance!$B$3:$AY$3,0),attendees,COUNTIF(INDEX(Attendance!$B$7:$AY$206,0,att_offset),"1"),IF(ev_split="Equal Split",ev_cost/MAX(1,COUNTA(Roster!$A$5:$A$204)),ev_cost/MAX(1,attendees))),"N/A"))</f>
        <v/>
      </c>
    </row>
    <row r="215" ht="19.5" customHeight="1">
      <c r="A215" s="50"/>
      <c r="B215" s="53"/>
      <c r="C215" s="53"/>
      <c r="D215" s="53"/>
      <c r="E215" s="53"/>
      <c r="F215" s="55"/>
      <c r="G215" s="53"/>
      <c r="H215" s="53"/>
      <c r="I215" s="53"/>
      <c r="J215" s="44" t="str">
        <f t="array" ref="J215">IF(G215="","",IFERROR(LET(ev_cost,INDEX(Events!$G$5:$G$506,MATCH(G215,Events!$A$5:$A$506,0)),ev_split,INDEX(Events!$I$5:$I$506,MATCH(G215,Events!$A$5:$A$506,0)),att_offset,MATCH(G215,Attendance!$B$3:$AY$3,0),attendees,COUNTIF(INDEX(Attendance!$B$7:$AY$206,0,att_offset),"1"),IF(ev_split="Equal Split",ev_cost/MAX(1,COUNTA(Roster!$A$5:$A$204)),ev_cost/MAX(1,attendees))),"N/A"))</f>
        <v/>
      </c>
    </row>
    <row r="216" ht="19.5" customHeight="1">
      <c r="A216" s="46"/>
      <c r="B216" s="49"/>
      <c r="C216" s="49"/>
      <c r="D216" s="49"/>
      <c r="E216" s="49"/>
      <c r="F216" s="54"/>
      <c r="G216" s="49"/>
      <c r="H216" s="49"/>
      <c r="I216" s="49"/>
      <c r="J216" s="44" t="str">
        <f t="array" ref="J216">IF(G216="","",IFERROR(LET(ev_cost,INDEX(Events!$G$5:$G$506,MATCH(G216,Events!$A$5:$A$506,0)),ev_split,INDEX(Events!$I$5:$I$506,MATCH(G216,Events!$A$5:$A$506,0)),att_offset,MATCH(G216,Attendance!$B$3:$AY$3,0),attendees,COUNTIF(INDEX(Attendance!$B$7:$AY$206,0,att_offset),"1"),IF(ev_split="Equal Split",ev_cost/MAX(1,COUNTA(Roster!$A$5:$A$204)),ev_cost/MAX(1,attendees))),"N/A"))</f>
        <v/>
      </c>
    </row>
    <row r="217" ht="19.5" customHeight="1">
      <c r="A217" s="50"/>
      <c r="B217" s="53"/>
      <c r="C217" s="53"/>
      <c r="D217" s="53"/>
      <c r="E217" s="53"/>
      <c r="F217" s="55"/>
      <c r="G217" s="53"/>
      <c r="H217" s="53"/>
      <c r="I217" s="53"/>
      <c r="J217" s="44" t="str">
        <f t="array" ref="J217">IF(G217="","",IFERROR(LET(ev_cost,INDEX(Events!$G$5:$G$506,MATCH(G217,Events!$A$5:$A$506,0)),ev_split,INDEX(Events!$I$5:$I$506,MATCH(G217,Events!$A$5:$A$506,0)),att_offset,MATCH(G217,Attendance!$B$3:$AY$3,0),attendees,COUNTIF(INDEX(Attendance!$B$7:$AY$206,0,att_offset),"1"),IF(ev_split="Equal Split",ev_cost/MAX(1,COUNTA(Roster!$A$5:$A$204)),ev_cost/MAX(1,attendees))),"N/A"))</f>
        <v/>
      </c>
    </row>
    <row r="218" ht="19.5" customHeight="1">
      <c r="A218" s="46"/>
      <c r="B218" s="49"/>
      <c r="C218" s="49"/>
      <c r="D218" s="49"/>
      <c r="E218" s="49"/>
      <c r="F218" s="54"/>
      <c r="G218" s="49"/>
      <c r="H218" s="49"/>
      <c r="I218" s="49"/>
      <c r="J218" s="44" t="str">
        <f t="array" ref="J218">IF(G218="","",IFERROR(LET(ev_cost,INDEX(Events!$G$5:$G$506,MATCH(G218,Events!$A$5:$A$506,0)),ev_split,INDEX(Events!$I$5:$I$506,MATCH(G218,Events!$A$5:$A$506,0)),att_offset,MATCH(G218,Attendance!$B$3:$AY$3,0),attendees,COUNTIF(INDEX(Attendance!$B$7:$AY$206,0,att_offset),"1"),IF(ev_split="Equal Split",ev_cost/MAX(1,COUNTA(Roster!$A$5:$A$204)),ev_cost/MAX(1,attendees))),"N/A"))</f>
        <v/>
      </c>
    </row>
    <row r="219" ht="19.5" customHeight="1">
      <c r="A219" s="50"/>
      <c r="B219" s="53"/>
      <c r="C219" s="53"/>
      <c r="D219" s="53"/>
      <c r="E219" s="53"/>
      <c r="F219" s="55"/>
      <c r="G219" s="53"/>
      <c r="H219" s="53"/>
      <c r="I219" s="53"/>
      <c r="J219" s="44" t="str">
        <f t="array" ref="J219">IF(G219="","",IFERROR(LET(ev_cost,INDEX(Events!$G$5:$G$506,MATCH(G219,Events!$A$5:$A$506,0)),ev_split,INDEX(Events!$I$5:$I$506,MATCH(G219,Events!$A$5:$A$506,0)),att_offset,MATCH(G219,Attendance!$B$3:$AY$3,0),attendees,COUNTIF(INDEX(Attendance!$B$7:$AY$206,0,att_offset),"1"),IF(ev_split="Equal Split",ev_cost/MAX(1,COUNTA(Roster!$A$5:$A$204)),ev_cost/MAX(1,attendees))),"N/A"))</f>
        <v/>
      </c>
    </row>
    <row r="220" ht="19.5" customHeight="1">
      <c r="A220" s="46"/>
      <c r="B220" s="49"/>
      <c r="C220" s="49"/>
      <c r="D220" s="49"/>
      <c r="E220" s="49"/>
      <c r="F220" s="54"/>
      <c r="G220" s="49"/>
      <c r="H220" s="49"/>
      <c r="I220" s="49"/>
      <c r="J220" s="44" t="str">
        <f t="array" ref="J220">IF(G220="","",IFERROR(LET(ev_cost,INDEX(Events!$G$5:$G$506,MATCH(G220,Events!$A$5:$A$506,0)),ev_split,INDEX(Events!$I$5:$I$506,MATCH(G220,Events!$A$5:$A$506,0)),att_offset,MATCH(G220,Attendance!$B$3:$AY$3,0),attendees,COUNTIF(INDEX(Attendance!$B$7:$AY$206,0,att_offset),"1"),IF(ev_split="Equal Split",ev_cost/MAX(1,COUNTA(Roster!$A$5:$A$204)),ev_cost/MAX(1,attendees))),"N/A"))</f>
        <v/>
      </c>
    </row>
    <row r="221" ht="19.5" customHeight="1">
      <c r="A221" s="50"/>
      <c r="B221" s="53"/>
      <c r="C221" s="53"/>
      <c r="D221" s="53"/>
      <c r="E221" s="53"/>
      <c r="F221" s="55"/>
      <c r="G221" s="53"/>
      <c r="H221" s="53"/>
      <c r="I221" s="53"/>
      <c r="J221" s="44" t="str">
        <f t="array" ref="J221">IF(G221="","",IFERROR(LET(ev_cost,INDEX(Events!$G$5:$G$506,MATCH(G221,Events!$A$5:$A$506,0)),ev_split,INDEX(Events!$I$5:$I$506,MATCH(G221,Events!$A$5:$A$506,0)),att_offset,MATCH(G221,Attendance!$B$3:$AY$3,0),attendees,COUNTIF(INDEX(Attendance!$B$7:$AY$206,0,att_offset),"1"),IF(ev_split="Equal Split",ev_cost/MAX(1,COUNTA(Roster!$A$5:$A$204)),ev_cost/MAX(1,attendees))),"N/A"))</f>
        <v/>
      </c>
    </row>
    <row r="222" ht="19.5" customHeight="1">
      <c r="A222" s="46"/>
      <c r="B222" s="49"/>
      <c r="C222" s="49"/>
      <c r="D222" s="49"/>
      <c r="E222" s="49"/>
      <c r="F222" s="54"/>
      <c r="G222" s="49"/>
      <c r="H222" s="49"/>
      <c r="I222" s="49"/>
      <c r="J222" s="44" t="str">
        <f t="array" ref="J222">IF(G222="","",IFERROR(LET(ev_cost,INDEX(Events!$G$5:$G$506,MATCH(G222,Events!$A$5:$A$506,0)),ev_split,INDEX(Events!$I$5:$I$506,MATCH(G222,Events!$A$5:$A$506,0)),att_offset,MATCH(G222,Attendance!$B$3:$AY$3,0),attendees,COUNTIF(INDEX(Attendance!$B$7:$AY$206,0,att_offset),"1"),IF(ev_split="Equal Split",ev_cost/MAX(1,COUNTA(Roster!$A$5:$A$204)),ev_cost/MAX(1,attendees))),"N/A"))</f>
        <v/>
      </c>
    </row>
    <row r="223" ht="19.5" customHeight="1">
      <c r="A223" s="50"/>
      <c r="B223" s="53"/>
      <c r="C223" s="53"/>
      <c r="D223" s="53"/>
      <c r="E223" s="53"/>
      <c r="F223" s="55"/>
      <c r="G223" s="53"/>
      <c r="H223" s="53"/>
      <c r="I223" s="53"/>
      <c r="J223" s="44" t="str">
        <f t="array" ref="J223">IF(G223="","",IFERROR(LET(ev_cost,INDEX(Events!$G$5:$G$506,MATCH(G223,Events!$A$5:$A$506,0)),ev_split,INDEX(Events!$I$5:$I$506,MATCH(G223,Events!$A$5:$A$506,0)),att_offset,MATCH(G223,Attendance!$B$3:$AY$3,0),attendees,COUNTIF(INDEX(Attendance!$B$7:$AY$206,0,att_offset),"1"),IF(ev_split="Equal Split",ev_cost/MAX(1,COUNTA(Roster!$A$5:$A$204)),ev_cost/MAX(1,attendees))),"N/A"))</f>
        <v/>
      </c>
    </row>
    <row r="224" ht="19.5" customHeight="1">
      <c r="A224" s="46"/>
      <c r="B224" s="49"/>
      <c r="C224" s="49"/>
      <c r="D224" s="49"/>
      <c r="E224" s="49"/>
      <c r="F224" s="54"/>
      <c r="G224" s="49"/>
      <c r="H224" s="49"/>
      <c r="I224" s="49"/>
      <c r="J224" s="44" t="str">
        <f t="array" ref="J224">IF(G224="","",IFERROR(LET(ev_cost,INDEX(Events!$G$5:$G$506,MATCH(G224,Events!$A$5:$A$506,0)),ev_split,INDEX(Events!$I$5:$I$506,MATCH(G224,Events!$A$5:$A$506,0)),att_offset,MATCH(G224,Attendance!$B$3:$AY$3,0),attendees,COUNTIF(INDEX(Attendance!$B$7:$AY$206,0,att_offset),"1"),IF(ev_split="Equal Split",ev_cost/MAX(1,COUNTA(Roster!$A$5:$A$204)),ev_cost/MAX(1,attendees))),"N/A"))</f>
        <v/>
      </c>
    </row>
    <row r="225" ht="19.5" customHeight="1">
      <c r="A225" s="50"/>
      <c r="B225" s="53"/>
      <c r="C225" s="53"/>
      <c r="D225" s="53"/>
      <c r="E225" s="53"/>
      <c r="F225" s="55"/>
      <c r="G225" s="53"/>
      <c r="H225" s="53"/>
      <c r="I225" s="53"/>
      <c r="J225" s="44" t="str">
        <f t="array" ref="J225">IF(G225="","",IFERROR(LET(ev_cost,INDEX(Events!$G$5:$G$506,MATCH(G225,Events!$A$5:$A$506,0)),ev_split,INDEX(Events!$I$5:$I$506,MATCH(G225,Events!$A$5:$A$506,0)),att_offset,MATCH(G225,Attendance!$B$3:$AY$3,0),attendees,COUNTIF(INDEX(Attendance!$B$7:$AY$206,0,att_offset),"1"),IF(ev_split="Equal Split",ev_cost/MAX(1,COUNTA(Roster!$A$5:$A$204)),ev_cost/MAX(1,attendees))),"N/A"))</f>
        <v/>
      </c>
    </row>
    <row r="226" ht="19.5" customHeight="1">
      <c r="A226" s="46"/>
      <c r="B226" s="49"/>
      <c r="C226" s="49"/>
      <c r="D226" s="49"/>
      <c r="E226" s="49"/>
      <c r="F226" s="54"/>
      <c r="G226" s="49"/>
      <c r="H226" s="49"/>
      <c r="I226" s="49"/>
      <c r="J226" s="44" t="str">
        <f t="array" ref="J226">IF(G226="","",IFERROR(LET(ev_cost,INDEX(Events!$G$5:$G$506,MATCH(G226,Events!$A$5:$A$506,0)),ev_split,INDEX(Events!$I$5:$I$506,MATCH(G226,Events!$A$5:$A$506,0)),att_offset,MATCH(G226,Attendance!$B$3:$AY$3,0),attendees,COUNTIF(INDEX(Attendance!$B$7:$AY$206,0,att_offset),"1"),IF(ev_split="Equal Split",ev_cost/MAX(1,COUNTA(Roster!$A$5:$A$204)),ev_cost/MAX(1,attendees))),"N/A"))</f>
        <v/>
      </c>
    </row>
    <row r="227" ht="19.5" customHeight="1">
      <c r="A227" s="50"/>
      <c r="B227" s="53"/>
      <c r="C227" s="53"/>
      <c r="D227" s="53"/>
      <c r="E227" s="53"/>
      <c r="F227" s="55"/>
      <c r="G227" s="53"/>
      <c r="H227" s="53"/>
      <c r="I227" s="53"/>
      <c r="J227" s="44" t="str">
        <f t="array" ref="J227">IF(G227="","",IFERROR(LET(ev_cost,INDEX(Events!$G$5:$G$506,MATCH(G227,Events!$A$5:$A$506,0)),ev_split,INDEX(Events!$I$5:$I$506,MATCH(G227,Events!$A$5:$A$506,0)),att_offset,MATCH(G227,Attendance!$B$3:$AY$3,0),attendees,COUNTIF(INDEX(Attendance!$B$7:$AY$206,0,att_offset),"1"),IF(ev_split="Equal Split",ev_cost/MAX(1,COUNTA(Roster!$A$5:$A$204)),ev_cost/MAX(1,attendees))),"N/A"))</f>
        <v/>
      </c>
    </row>
    <row r="228" ht="19.5" customHeight="1">
      <c r="A228" s="46"/>
      <c r="B228" s="49"/>
      <c r="C228" s="49"/>
      <c r="D228" s="49"/>
      <c r="E228" s="49"/>
      <c r="F228" s="54"/>
      <c r="G228" s="49"/>
      <c r="H228" s="49"/>
      <c r="I228" s="49"/>
      <c r="J228" s="44" t="str">
        <f t="array" ref="J228">IF(G228="","",IFERROR(LET(ev_cost,INDEX(Events!$G$5:$G$506,MATCH(G228,Events!$A$5:$A$506,0)),ev_split,INDEX(Events!$I$5:$I$506,MATCH(G228,Events!$A$5:$A$506,0)),att_offset,MATCH(G228,Attendance!$B$3:$AY$3,0),attendees,COUNTIF(INDEX(Attendance!$B$7:$AY$206,0,att_offset),"1"),IF(ev_split="Equal Split",ev_cost/MAX(1,COUNTA(Roster!$A$5:$A$204)),ev_cost/MAX(1,attendees))),"N/A"))</f>
        <v/>
      </c>
    </row>
    <row r="229" ht="19.5" customHeight="1">
      <c r="A229" s="50"/>
      <c r="B229" s="53"/>
      <c r="C229" s="53"/>
      <c r="D229" s="53"/>
      <c r="E229" s="53"/>
      <c r="F229" s="55"/>
      <c r="G229" s="53"/>
      <c r="H229" s="53"/>
      <c r="I229" s="53"/>
      <c r="J229" s="44" t="str">
        <f t="array" ref="J229">IF(G229="","",IFERROR(LET(ev_cost,INDEX(Events!$G$5:$G$506,MATCH(G229,Events!$A$5:$A$506,0)),ev_split,INDEX(Events!$I$5:$I$506,MATCH(G229,Events!$A$5:$A$506,0)),att_offset,MATCH(G229,Attendance!$B$3:$AY$3,0),attendees,COUNTIF(INDEX(Attendance!$B$7:$AY$206,0,att_offset),"1"),IF(ev_split="Equal Split",ev_cost/MAX(1,COUNTA(Roster!$A$5:$A$204)),ev_cost/MAX(1,attendees))),"N/A"))</f>
        <v/>
      </c>
    </row>
    <row r="230" ht="19.5" customHeight="1">
      <c r="A230" s="46"/>
      <c r="B230" s="49"/>
      <c r="C230" s="49"/>
      <c r="D230" s="49"/>
      <c r="E230" s="49"/>
      <c r="F230" s="54"/>
      <c r="G230" s="49"/>
      <c r="H230" s="49"/>
      <c r="I230" s="49"/>
      <c r="J230" s="44" t="str">
        <f t="array" ref="J230">IF(G230="","",IFERROR(LET(ev_cost,INDEX(Events!$G$5:$G$506,MATCH(G230,Events!$A$5:$A$506,0)),ev_split,INDEX(Events!$I$5:$I$506,MATCH(G230,Events!$A$5:$A$506,0)),att_offset,MATCH(G230,Attendance!$B$3:$AY$3,0),attendees,COUNTIF(INDEX(Attendance!$B$7:$AY$206,0,att_offset),"1"),IF(ev_split="Equal Split",ev_cost/MAX(1,COUNTA(Roster!$A$5:$A$204)),ev_cost/MAX(1,attendees))),"N/A"))</f>
        <v/>
      </c>
    </row>
    <row r="231" ht="19.5" customHeight="1">
      <c r="A231" s="50"/>
      <c r="B231" s="53"/>
      <c r="C231" s="53"/>
      <c r="D231" s="53"/>
      <c r="E231" s="53"/>
      <c r="F231" s="55"/>
      <c r="G231" s="53"/>
      <c r="H231" s="53"/>
      <c r="I231" s="53"/>
      <c r="J231" s="44" t="str">
        <f t="array" ref="J231">IF(G231="","",IFERROR(LET(ev_cost,INDEX(Events!$G$5:$G$506,MATCH(G231,Events!$A$5:$A$506,0)),ev_split,INDEX(Events!$I$5:$I$506,MATCH(G231,Events!$A$5:$A$506,0)),att_offset,MATCH(G231,Attendance!$B$3:$AY$3,0),attendees,COUNTIF(INDEX(Attendance!$B$7:$AY$206,0,att_offset),"1"),IF(ev_split="Equal Split",ev_cost/MAX(1,COUNTA(Roster!$A$5:$A$204)),ev_cost/MAX(1,attendees))),"N/A"))</f>
        <v/>
      </c>
    </row>
    <row r="232" ht="19.5" customHeight="1">
      <c r="A232" s="46"/>
      <c r="B232" s="49"/>
      <c r="C232" s="49"/>
      <c r="D232" s="49"/>
      <c r="E232" s="49"/>
      <c r="F232" s="54"/>
      <c r="G232" s="49"/>
      <c r="H232" s="49"/>
      <c r="I232" s="49"/>
      <c r="J232" s="44" t="str">
        <f t="array" ref="J232">IF(G232="","",IFERROR(LET(ev_cost,INDEX(Events!$G$5:$G$506,MATCH(G232,Events!$A$5:$A$506,0)),ev_split,INDEX(Events!$I$5:$I$506,MATCH(G232,Events!$A$5:$A$506,0)),att_offset,MATCH(G232,Attendance!$B$3:$AY$3,0),attendees,COUNTIF(INDEX(Attendance!$B$7:$AY$206,0,att_offset),"1"),IF(ev_split="Equal Split",ev_cost/MAX(1,COUNTA(Roster!$A$5:$A$204)),ev_cost/MAX(1,attendees))),"N/A"))</f>
        <v/>
      </c>
    </row>
    <row r="233" ht="19.5" customHeight="1">
      <c r="A233" s="50"/>
      <c r="B233" s="53"/>
      <c r="C233" s="53"/>
      <c r="D233" s="53"/>
      <c r="E233" s="53"/>
      <c r="F233" s="55"/>
      <c r="G233" s="53"/>
      <c r="H233" s="53"/>
      <c r="I233" s="53"/>
      <c r="J233" s="44" t="str">
        <f t="array" ref="J233">IF(G233="","",IFERROR(LET(ev_cost,INDEX(Events!$G$5:$G$506,MATCH(G233,Events!$A$5:$A$506,0)),ev_split,INDEX(Events!$I$5:$I$506,MATCH(G233,Events!$A$5:$A$506,0)),att_offset,MATCH(G233,Attendance!$B$3:$AY$3,0),attendees,COUNTIF(INDEX(Attendance!$B$7:$AY$206,0,att_offset),"1"),IF(ev_split="Equal Split",ev_cost/MAX(1,COUNTA(Roster!$A$5:$A$204)),ev_cost/MAX(1,attendees))),"N/A"))</f>
        <v/>
      </c>
    </row>
    <row r="234" ht="19.5" customHeight="1">
      <c r="A234" s="46"/>
      <c r="B234" s="49"/>
      <c r="C234" s="49"/>
      <c r="D234" s="49"/>
      <c r="E234" s="49"/>
      <c r="F234" s="54"/>
      <c r="G234" s="49"/>
      <c r="H234" s="49"/>
      <c r="I234" s="49"/>
      <c r="J234" s="44" t="str">
        <f t="array" ref="J234">IF(G234="","",IFERROR(LET(ev_cost,INDEX(Events!$G$5:$G$506,MATCH(G234,Events!$A$5:$A$506,0)),ev_split,INDEX(Events!$I$5:$I$506,MATCH(G234,Events!$A$5:$A$506,0)),att_offset,MATCH(G234,Attendance!$B$3:$AY$3,0),attendees,COUNTIF(INDEX(Attendance!$B$7:$AY$206,0,att_offset),"1"),IF(ev_split="Equal Split",ev_cost/MAX(1,COUNTA(Roster!$A$5:$A$204)),ev_cost/MAX(1,attendees))),"N/A"))</f>
        <v/>
      </c>
    </row>
    <row r="235" ht="19.5" customHeight="1">
      <c r="A235" s="50"/>
      <c r="B235" s="53"/>
      <c r="C235" s="53"/>
      <c r="D235" s="53"/>
      <c r="E235" s="53"/>
      <c r="F235" s="55"/>
      <c r="G235" s="53"/>
      <c r="H235" s="53"/>
      <c r="I235" s="53"/>
      <c r="J235" s="44" t="str">
        <f t="array" ref="J235">IF(G235="","",IFERROR(LET(ev_cost,INDEX(Events!$G$5:$G$506,MATCH(G235,Events!$A$5:$A$506,0)),ev_split,INDEX(Events!$I$5:$I$506,MATCH(G235,Events!$A$5:$A$506,0)),att_offset,MATCH(G235,Attendance!$B$3:$AY$3,0),attendees,COUNTIF(INDEX(Attendance!$B$7:$AY$206,0,att_offset),"1"),IF(ev_split="Equal Split",ev_cost/MAX(1,COUNTA(Roster!$A$5:$A$204)),ev_cost/MAX(1,attendees))),"N/A"))</f>
        <v/>
      </c>
    </row>
    <row r="236" ht="19.5" customHeight="1">
      <c r="A236" s="46"/>
      <c r="B236" s="49"/>
      <c r="C236" s="49"/>
      <c r="D236" s="49"/>
      <c r="E236" s="49"/>
      <c r="F236" s="54"/>
      <c r="G236" s="49"/>
      <c r="H236" s="49"/>
      <c r="I236" s="49"/>
      <c r="J236" s="44" t="str">
        <f t="array" ref="J236">IF(G236="","",IFERROR(LET(ev_cost,INDEX(Events!$G$5:$G$506,MATCH(G236,Events!$A$5:$A$506,0)),ev_split,INDEX(Events!$I$5:$I$506,MATCH(G236,Events!$A$5:$A$506,0)),att_offset,MATCH(G236,Attendance!$B$3:$AY$3,0),attendees,COUNTIF(INDEX(Attendance!$B$7:$AY$206,0,att_offset),"1"),IF(ev_split="Equal Split",ev_cost/MAX(1,COUNTA(Roster!$A$5:$A$204)),ev_cost/MAX(1,attendees))),"N/A"))</f>
        <v/>
      </c>
    </row>
    <row r="237" ht="19.5" customHeight="1">
      <c r="A237" s="50"/>
      <c r="B237" s="53"/>
      <c r="C237" s="53"/>
      <c r="D237" s="53"/>
      <c r="E237" s="53"/>
      <c r="F237" s="55"/>
      <c r="G237" s="53"/>
      <c r="H237" s="53"/>
      <c r="I237" s="53"/>
      <c r="J237" s="44" t="str">
        <f t="array" ref="J237">IF(G237="","",IFERROR(LET(ev_cost,INDEX(Events!$G$5:$G$506,MATCH(G237,Events!$A$5:$A$506,0)),ev_split,INDEX(Events!$I$5:$I$506,MATCH(G237,Events!$A$5:$A$506,0)),att_offset,MATCH(G237,Attendance!$B$3:$AY$3,0),attendees,COUNTIF(INDEX(Attendance!$B$7:$AY$206,0,att_offset),"1"),IF(ev_split="Equal Split",ev_cost/MAX(1,COUNTA(Roster!$A$5:$A$204)),ev_cost/MAX(1,attendees))),"N/A"))</f>
        <v/>
      </c>
    </row>
    <row r="238" ht="19.5" customHeight="1">
      <c r="A238" s="46"/>
      <c r="B238" s="49"/>
      <c r="C238" s="49"/>
      <c r="D238" s="49"/>
      <c r="E238" s="49"/>
      <c r="F238" s="54"/>
      <c r="G238" s="49"/>
      <c r="H238" s="49"/>
      <c r="I238" s="49"/>
      <c r="J238" s="44" t="str">
        <f t="array" ref="J238">IF(G238="","",IFERROR(LET(ev_cost,INDEX(Events!$G$5:$G$506,MATCH(G238,Events!$A$5:$A$506,0)),ev_split,INDEX(Events!$I$5:$I$506,MATCH(G238,Events!$A$5:$A$506,0)),att_offset,MATCH(G238,Attendance!$B$3:$AY$3,0),attendees,COUNTIF(INDEX(Attendance!$B$7:$AY$206,0,att_offset),"1"),IF(ev_split="Equal Split",ev_cost/MAX(1,COUNTA(Roster!$A$5:$A$204)),ev_cost/MAX(1,attendees))),"N/A"))</f>
        <v/>
      </c>
    </row>
    <row r="239" ht="19.5" customHeight="1">
      <c r="A239" s="50"/>
      <c r="B239" s="53"/>
      <c r="C239" s="53"/>
      <c r="D239" s="53"/>
      <c r="E239" s="53"/>
      <c r="F239" s="55"/>
      <c r="G239" s="53"/>
      <c r="H239" s="53"/>
      <c r="I239" s="53"/>
      <c r="J239" s="44" t="str">
        <f t="array" ref="J239">IF(G239="","",IFERROR(LET(ev_cost,INDEX(Events!$G$5:$G$506,MATCH(G239,Events!$A$5:$A$506,0)),ev_split,INDEX(Events!$I$5:$I$506,MATCH(G239,Events!$A$5:$A$506,0)),att_offset,MATCH(G239,Attendance!$B$3:$AY$3,0),attendees,COUNTIF(INDEX(Attendance!$B$7:$AY$206,0,att_offset),"1"),IF(ev_split="Equal Split",ev_cost/MAX(1,COUNTA(Roster!$A$5:$A$204)),ev_cost/MAX(1,attendees))),"N/A"))</f>
        <v/>
      </c>
    </row>
    <row r="240" ht="19.5" customHeight="1">
      <c r="A240" s="46"/>
      <c r="B240" s="49"/>
      <c r="C240" s="49"/>
      <c r="D240" s="49"/>
      <c r="E240" s="49"/>
      <c r="F240" s="54"/>
      <c r="G240" s="49"/>
      <c r="H240" s="49"/>
      <c r="I240" s="49"/>
      <c r="J240" s="44" t="str">
        <f t="array" ref="J240">IF(G240="","",IFERROR(LET(ev_cost,INDEX(Events!$G$5:$G$506,MATCH(G240,Events!$A$5:$A$506,0)),ev_split,INDEX(Events!$I$5:$I$506,MATCH(G240,Events!$A$5:$A$506,0)),att_offset,MATCH(G240,Attendance!$B$3:$AY$3,0),attendees,COUNTIF(INDEX(Attendance!$B$7:$AY$206,0,att_offset),"1"),IF(ev_split="Equal Split",ev_cost/MAX(1,COUNTA(Roster!$A$5:$A$204)),ev_cost/MAX(1,attendees))),"N/A"))</f>
        <v/>
      </c>
    </row>
    <row r="241" ht="19.5" customHeight="1">
      <c r="A241" s="50"/>
      <c r="B241" s="53"/>
      <c r="C241" s="53"/>
      <c r="D241" s="53"/>
      <c r="E241" s="53"/>
      <c r="F241" s="55"/>
      <c r="G241" s="53"/>
      <c r="H241" s="53"/>
      <c r="I241" s="53"/>
      <c r="J241" s="44" t="str">
        <f t="array" ref="J241">IF(G241="","",IFERROR(LET(ev_cost,INDEX(Events!$G$5:$G$506,MATCH(G241,Events!$A$5:$A$506,0)),ev_split,INDEX(Events!$I$5:$I$506,MATCH(G241,Events!$A$5:$A$506,0)),att_offset,MATCH(G241,Attendance!$B$3:$AY$3,0),attendees,COUNTIF(INDEX(Attendance!$B$7:$AY$206,0,att_offset),"1"),IF(ev_split="Equal Split",ev_cost/MAX(1,COUNTA(Roster!$A$5:$A$204)),ev_cost/MAX(1,attendees))),"N/A"))</f>
        <v/>
      </c>
    </row>
    <row r="242" ht="19.5" customHeight="1">
      <c r="A242" s="46"/>
      <c r="B242" s="49"/>
      <c r="C242" s="49"/>
      <c r="D242" s="49"/>
      <c r="E242" s="49"/>
      <c r="F242" s="54"/>
      <c r="G242" s="49"/>
      <c r="H242" s="49"/>
      <c r="I242" s="49"/>
      <c r="J242" s="44" t="str">
        <f t="array" ref="J242">IF(G242="","",IFERROR(LET(ev_cost,INDEX(Events!$G$5:$G$506,MATCH(G242,Events!$A$5:$A$506,0)),ev_split,INDEX(Events!$I$5:$I$506,MATCH(G242,Events!$A$5:$A$506,0)),att_offset,MATCH(G242,Attendance!$B$3:$AY$3,0),attendees,COUNTIF(INDEX(Attendance!$B$7:$AY$206,0,att_offset),"1"),IF(ev_split="Equal Split",ev_cost/MAX(1,COUNTA(Roster!$A$5:$A$204)),ev_cost/MAX(1,attendees))),"N/A"))</f>
        <v/>
      </c>
    </row>
    <row r="243" ht="19.5" customHeight="1">
      <c r="A243" s="50"/>
      <c r="B243" s="53"/>
      <c r="C243" s="53"/>
      <c r="D243" s="53"/>
      <c r="E243" s="53"/>
      <c r="F243" s="55"/>
      <c r="G243" s="53"/>
      <c r="H243" s="53"/>
      <c r="I243" s="53"/>
      <c r="J243" s="44" t="str">
        <f t="array" ref="J243">IF(G243="","",IFERROR(LET(ev_cost,INDEX(Events!$G$5:$G$506,MATCH(G243,Events!$A$5:$A$506,0)),ev_split,INDEX(Events!$I$5:$I$506,MATCH(G243,Events!$A$5:$A$506,0)),att_offset,MATCH(G243,Attendance!$B$3:$AY$3,0),attendees,COUNTIF(INDEX(Attendance!$B$7:$AY$206,0,att_offset),"1"),IF(ev_split="Equal Split",ev_cost/MAX(1,COUNTA(Roster!$A$5:$A$204)),ev_cost/MAX(1,attendees))),"N/A"))</f>
        <v/>
      </c>
    </row>
    <row r="244" ht="19.5" customHeight="1">
      <c r="A244" s="46"/>
      <c r="B244" s="49"/>
      <c r="C244" s="49"/>
      <c r="D244" s="49"/>
      <c r="E244" s="49"/>
      <c r="F244" s="54"/>
      <c r="G244" s="49"/>
      <c r="H244" s="49"/>
      <c r="I244" s="49"/>
      <c r="J244" s="44" t="str">
        <f t="array" ref="J244">IF(G244="","",IFERROR(LET(ev_cost,INDEX(Events!$G$5:$G$506,MATCH(G244,Events!$A$5:$A$506,0)),ev_split,INDEX(Events!$I$5:$I$506,MATCH(G244,Events!$A$5:$A$506,0)),att_offset,MATCH(G244,Attendance!$B$3:$AY$3,0),attendees,COUNTIF(INDEX(Attendance!$B$7:$AY$206,0,att_offset),"1"),IF(ev_split="Equal Split",ev_cost/MAX(1,COUNTA(Roster!$A$5:$A$204)),ev_cost/MAX(1,attendees))),"N/A"))</f>
        <v/>
      </c>
    </row>
    <row r="245" ht="19.5" customHeight="1">
      <c r="A245" s="50"/>
      <c r="B245" s="53"/>
      <c r="C245" s="53"/>
      <c r="D245" s="53"/>
      <c r="E245" s="53"/>
      <c r="F245" s="55"/>
      <c r="G245" s="53"/>
      <c r="H245" s="53"/>
      <c r="I245" s="53"/>
      <c r="J245" s="44" t="str">
        <f t="array" ref="J245">IF(G245="","",IFERROR(LET(ev_cost,INDEX(Events!$G$5:$G$506,MATCH(G245,Events!$A$5:$A$506,0)),ev_split,INDEX(Events!$I$5:$I$506,MATCH(G245,Events!$A$5:$A$506,0)),att_offset,MATCH(G245,Attendance!$B$3:$AY$3,0),attendees,COUNTIF(INDEX(Attendance!$B$7:$AY$206,0,att_offset),"1"),IF(ev_split="Equal Split",ev_cost/MAX(1,COUNTA(Roster!$A$5:$A$204)),ev_cost/MAX(1,attendees))),"N/A"))</f>
        <v/>
      </c>
    </row>
    <row r="246" ht="19.5" customHeight="1">
      <c r="A246" s="46"/>
      <c r="B246" s="49"/>
      <c r="C246" s="49"/>
      <c r="D246" s="49"/>
      <c r="E246" s="49"/>
      <c r="F246" s="54"/>
      <c r="G246" s="49"/>
      <c r="H246" s="49"/>
      <c r="I246" s="49"/>
      <c r="J246" s="44" t="str">
        <f t="array" ref="J246">IF(G246="","",IFERROR(LET(ev_cost,INDEX(Events!$G$5:$G$506,MATCH(G246,Events!$A$5:$A$506,0)),ev_split,INDEX(Events!$I$5:$I$506,MATCH(G246,Events!$A$5:$A$506,0)),att_offset,MATCH(G246,Attendance!$B$3:$AY$3,0),attendees,COUNTIF(INDEX(Attendance!$B$7:$AY$206,0,att_offset),"1"),IF(ev_split="Equal Split",ev_cost/MAX(1,COUNTA(Roster!$A$5:$A$204)),ev_cost/MAX(1,attendees))),"N/A"))</f>
        <v/>
      </c>
    </row>
    <row r="247" ht="19.5" customHeight="1">
      <c r="A247" s="50"/>
      <c r="B247" s="53"/>
      <c r="C247" s="53"/>
      <c r="D247" s="53"/>
      <c r="E247" s="53"/>
      <c r="F247" s="55"/>
      <c r="G247" s="53"/>
      <c r="H247" s="53"/>
      <c r="I247" s="53"/>
      <c r="J247" s="44" t="str">
        <f t="array" ref="J247">IF(G247="","",IFERROR(LET(ev_cost,INDEX(Events!$G$5:$G$506,MATCH(G247,Events!$A$5:$A$506,0)),ev_split,INDEX(Events!$I$5:$I$506,MATCH(G247,Events!$A$5:$A$506,0)),att_offset,MATCH(G247,Attendance!$B$3:$AY$3,0),attendees,COUNTIF(INDEX(Attendance!$B$7:$AY$206,0,att_offset),"1"),IF(ev_split="Equal Split",ev_cost/MAX(1,COUNTA(Roster!$A$5:$A$204)),ev_cost/MAX(1,attendees))),"N/A"))</f>
        <v/>
      </c>
    </row>
    <row r="248" ht="19.5" customHeight="1">
      <c r="A248" s="46"/>
      <c r="B248" s="49"/>
      <c r="C248" s="49"/>
      <c r="D248" s="49"/>
      <c r="E248" s="49"/>
      <c r="F248" s="54"/>
      <c r="G248" s="49"/>
      <c r="H248" s="49"/>
      <c r="I248" s="49"/>
      <c r="J248" s="44" t="str">
        <f t="array" ref="J248">IF(G248="","",IFERROR(LET(ev_cost,INDEX(Events!$G$5:$G$506,MATCH(G248,Events!$A$5:$A$506,0)),ev_split,INDEX(Events!$I$5:$I$506,MATCH(G248,Events!$A$5:$A$506,0)),att_offset,MATCH(G248,Attendance!$B$3:$AY$3,0),attendees,COUNTIF(INDEX(Attendance!$B$7:$AY$206,0,att_offset),"1"),IF(ev_split="Equal Split",ev_cost/MAX(1,COUNTA(Roster!$A$5:$A$204)),ev_cost/MAX(1,attendees))),"N/A"))</f>
        <v/>
      </c>
    </row>
    <row r="249" ht="19.5" customHeight="1">
      <c r="A249" s="50"/>
      <c r="B249" s="53"/>
      <c r="C249" s="53"/>
      <c r="D249" s="53"/>
      <c r="E249" s="53"/>
      <c r="F249" s="55"/>
      <c r="G249" s="53"/>
      <c r="H249" s="53"/>
      <c r="I249" s="53"/>
      <c r="J249" s="44" t="str">
        <f t="array" ref="J249">IF(G249="","",IFERROR(LET(ev_cost,INDEX(Events!$G$5:$G$506,MATCH(G249,Events!$A$5:$A$506,0)),ev_split,INDEX(Events!$I$5:$I$506,MATCH(G249,Events!$A$5:$A$506,0)),att_offset,MATCH(G249,Attendance!$B$3:$AY$3,0),attendees,COUNTIF(INDEX(Attendance!$B$7:$AY$206,0,att_offset),"1"),IF(ev_split="Equal Split",ev_cost/MAX(1,COUNTA(Roster!$A$5:$A$204)),ev_cost/MAX(1,attendees))),"N/A"))</f>
        <v/>
      </c>
    </row>
    <row r="250" ht="19.5" customHeight="1">
      <c r="A250" s="46"/>
      <c r="B250" s="49"/>
      <c r="C250" s="49"/>
      <c r="D250" s="49"/>
      <c r="E250" s="49"/>
      <c r="F250" s="54"/>
      <c r="G250" s="49"/>
      <c r="H250" s="49"/>
      <c r="I250" s="49"/>
      <c r="J250" s="44" t="str">
        <f t="array" ref="J250">IF(G250="","",IFERROR(LET(ev_cost,INDEX(Events!$G$5:$G$506,MATCH(G250,Events!$A$5:$A$506,0)),ev_split,INDEX(Events!$I$5:$I$506,MATCH(G250,Events!$A$5:$A$506,0)),att_offset,MATCH(G250,Attendance!$B$3:$AY$3,0),attendees,COUNTIF(INDEX(Attendance!$B$7:$AY$206,0,att_offset),"1"),IF(ev_split="Equal Split",ev_cost/MAX(1,COUNTA(Roster!$A$5:$A$204)),ev_cost/MAX(1,attendees))),"N/A"))</f>
        <v/>
      </c>
    </row>
    <row r="251" ht="19.5" customHeight="1">
      <c r="A251" s="50"/>
      <c r="B251" s="53"/>
      <c r="C251" s="53"/>
      <c r="D251" s="53"/>
      <c r="E251" s="53"/>
      <c r="F251" s="55"/>
      <c r="G251" s="53"/>
      <c r="H251" s="53"/>
      <c r="I251" s="53"/>
      <c r="J251" s="44" t="str">
        <f t="array" ref="J251">IF(G251="","",IFERROR(LET(ev_cost,INDEX(Events!$G$5:$G$506,MATCH(G251,Events!$A$5:$A$506,0)),ev_split,INDEX(Events!$I$5:$I$506,MATCH(G251,Events!$A$5:$A$506,0)),att_offset,MATCH(G251,Attendance!$B$3:$AY$3,0),attendees,COUNTIF(INDEX(Attendance!$B$7:$AY$206,0,att_offset),"1"),IF(ev_split="Equal Split",ev_cost/MAX(1,COUNTA(Roster!$A$5:$A$204)),ev_cost/MAX(1,attendees))),"N/A"))</f>
        <v/>
      </c>
    </row>
    <row r="252" ht="19.5" customHeight="1">
      <c r="A252" s="46"/>
      <c r="B252" s="49"/>
      <c r="C252" s="49"/>
      <c r="D252" s="49"/>
      <c r="E252" s="49"/>
      <c r="F252" s="54"/>
      <c r="G252" s="49"/>
      <c r="H252" s="49"/>
      <c r="I252" s="49"/>
      <c r="J252" s="44" t="str">
        <f t="array" ref="J252">IF(G252="","",IFERROR(LET(ev_cost,INDEX(Events!$G$5:$G$506,MATCH(G252,Events!$A$5:$A$506,0)),ev_split,INDEX(Events!$I$5:$I$506,MATCH(G252,Events!$A$5:$A$506,0)),att_offset,MATCH(G252,Attendance!$B$3:$AY$3,0),attendees,COUNTIF(INDEX(Attendance!$B$7:$AY$206,0,att_offset),"1"),IF(ev_split="Equal Split",ev_cost/MAX(1,COUNTA(Roster!$A$5:$A$204)),ev_cost/MAX(1,attendees))),"N/A"))</f>
        <v/>
      </c>
    </row>
    <row r="253" ht="19.5" customHeight="1">
      <c r="A253" s="50"/>
      <c r="B253" s="53"/>
      <c r="C253" s="53"/>
      <c r="D253" s="53"/>
      <c r="E253" s="53"/>
      <c r="F253" s="55"/>
      <c r="G253" s="53"/>
      <c r="H253" s="53"/>
      <c r="I253" s="53"/>
      <c r="J253" s="44" t="str">
        <f t="array" ref="J253">IF(G253="","",IFERROR(LET(ev_cost,INDEX(Events!$G$5:$G$506,MATCH(G253,Events!$A$5:$A$506,0)),ev_split,INDEX(Events!$I$5:$I$506,MATCH(G253,Events!$A$5:$A$506,0)),att_offset,MATCH(G253,Attendance!$B$3:$AY$3,0),attendees,COUNTIF(INDEX(Attendance!$B$7:$AY$206,0,att_offset),"1"),IF(ev_split="Equal Split",ev_cost/MAX(1,COUNTA(Roster!$A$5:$A$204)),ev_cost/MAX(1,attendees))),"N/A"))</f>
        <v/>
      </c>
    </row>
    <row r="254" ht="19.5" customHeight="1">
      <c r="A254" s="46"/>
      <c r="B254" s="49"/>
      <c r="C254" s="49"/>
      <c r="D254" s="49"/>
      <c r="E254" s="49"/>
      <c r="F254" s="54"/>
      <c r="G254" s="49"/>
      <c r="H254" s="49"/>
      <c r="I254" s="49"/>
      <c r="J254" s="44" t="str">
        <f t="array" ref="J254">IF(G254="","",IFERROR(LET(ev_cost,INDEX(Events!$G$5:$G$506,MATCH(G254,Events!$A$5:$A$506,0)),ev_split,INDEX(Events!$I$5:$I$506,MATCH(G254,Events!$A$5:$A$506,0)),att_offset,MATCH(G254,Attendance!$B$3:$AY$3,0),attendees,COUNTIF(INDEX(Attendance!$B$7:$AY$206,0,att_offset),"1"),IF(ev_split="Equal Split",ev_cost/MAX(1,COUNTA(Roster!$A$5:$A$204)),ev_cost/MAX(1,attendees))),"N/A"))</f>
        <v/>
      </c>
    </row>
    <row r="255" ht="19.5" customHeight="1">
      <c r="A255" s="50"/>
      <c r="B255" s="53"/>
      <c r="C255" s="53"/>
      <c r="D255" s="53"/>
      <c r="E255" s="53"/>
      <c r="F255" s="55"/>
      <c r="G255" s="53"/>
      <c r="H255" s="53"/>
      <c r="I255" s="53"/>
      <c r="J255" s="44" t="str">
        <f t="array" ref="J255">IF(G255="","",IFERROR(LET(ev_cost,INDEX(Events!$G$5:$G$506,MATCH(G255,Events!$A$5:$A$506,0)),ev_split,INDEX(Events!$I$5:$I$506,MATCH(G255,Events!$A$5:$A$506,0)),att_offset,MATCH(G255,Attendance!$B$3:$AY$3,0),attendees,COUNTIF(INDEX(Attendance!$B$7:$AY$206,0,att_offset),"1"),IF(ev_split="Equal Split",ev_cost/MAX(1,COUNTA(Roster!$A$5:$A$204)),ev_cost/MAX(1,attendees))),"N/A"))</f>
        <v/>
      </c>
    </row>
    <row r="256" ht="19.5" customHeight="1">
      <c r="A256" s="46"/>
      <c r="B256" s="49"/>
      <c r="C256" s="49"/>
      <c r="D256" s="49"/>
      <c r="E256" s="49"/>
      <c r="F256" s="54"/>
      <c r="G256" s="49"/>
      <c r="H256" s="49"/>
      <c r="I256" s="49"/>
      <c r="J256" s="44" t="str">
        <f t="array" ref="J256">IF(G256="","",IFERROR(LET(ev_cost,INDEX(Events!$G$5:$G$506,MATCH(G256,Events!$A$5:$A$506,0)),ev_split,INDEX(Events!$I$5:$I$506,MATCH(G256,Events!$A$5:$A$506,0)),att_offset,MATCH(G256,Attendance!$B$3:$AY$3,0),attendees,COUNTIF(INDEX(Attendance!$B$7:$AY$206,0,att_offset),"1"),IF(ev_split="Equal Split",ev_cost/MAX(1,COUNTA(Roster!$A$5:$A$204)),ev_cost/MAX(1,attendees))),"N/A"))</f>
        <v/>
      </c>
    </row>
    <row r="257" ht="19.5" customHeight="1">
      <c r="A257" s="50"/>
      <c r="B257" s="53"/>
      <c r="C257" s="53"/>
      <c r="D257" s="53"/>
      <c r="E257" s="53"/>
      <c r="F257" s="55"/>
      <c r="G257" s="53"/>
      <c r="H257" s="53"/>
      <c r="I257" s="53"/>
      <c r="J257" s="44" t="str">
        <f t="array" ref="J257">IF(G257="","",IFERROR(LET(ev_cost,INDEX(Events!$G$5:$G$506,MATCH(G257,Events!$A$5:$A$506,0)),ev_split,INDEX(Events!$I$5:$I$506,MATCH(G257,Events!$A$5:$A$506,0)),att_offset,MATCH(G257,Attendance!$B$3:$AY$3,0),attendees,COUNTIF(INDEX(Attendance!$B$7:$AY$206,0,att_offset),"1"),IF(ev_split="Equal Split",ev_cost/MAX(1,COUNTA(Roster!$A$5:$A$204)),ev_cost/MAX(1,attendees))),"N/A"))</f>
        <v/>
      </c>
    </row>
    <row r="258" ht="19.5" customHeight="1">
      <c r="A258" s="46"/>
      <c r="B258" s="49"/>
      <c r="C258" s="49"/>
      <c r="D258" s="49"/>
      <c r="E258" s="49"/>
      <c r="F258" s="54"/>
      <c r="G258" s="49"/>
      <c r="H258" s="49"/>
      <c r="I258" s="49"/>
      <c r="J258" s="44" t="str">
        <f t="array" ref="J258">IF(G258="","",IFERROR(LET(ev_cost,INDEX(Events!$G$5:$G$506,MATCH(G258,Events!$A$5:$A$506,0)),ev_split,INDEX(Events!$I$5:$I$506,MATCH(G258,Events!$A$5:$A$506,0)),att_offset,MATCH(G258,Attendance!$B$3:$AY$3,0),attendees,COUNTIF(INDEX(Attendance!$B$7:$AY$206,0,att_offset),"1"),IF(ev_split="Equal Split",ev_cost/MAX(1,COUNTA(Roster!$A$5:$A$204)),ev_cost/MAX(1,attendees))),"N/A"))</f>
        <v/>
      </c>
    </row>
    <row r="259" ht="19.5" customHeight="1">
      <c r="A259" s="50"/>
      <c r="B259" s="53"/>
      <c r="C259" s="53"/>
      <c r="D259" s="53"/>
      <c r="E259" s="53"/>
      <c r="F259" s="55"/>
      <c r="G259" s="53"/>
      <c r="H259" s="53"/>
      <c r="I259" s="53"/>
      <c r="J259" s="44" t="str">
        <f t="array" ref="J259">IF(G259="","",IFERROR(LET(ev_cost,INDEX(Events!$G$5:$G$506,MATCH(G259,Events!$A$5:$A$506,0)),ev_split,INDEX(Events!$I$5:$I$506,MATCH(G259,Events!$A$5:$A$506,0)),att_offset,MATCH(G259,Attendance!$B$3:$AY$3,0),attendees,COUNTIF(INDEX(Attendance!$B$7:$AY$206,0,att_offset),"1"),IF(ev_split="Equal Split",ev_cost/MAX(1,COUNTA(Roster!$A$5:$A$204)),ev_cost/MAX(1,attendees))),"N/A"))</f>
        <v/>
      </c>
    </row>
    <row r="260" ht="19.5" customHeight="1">
      <c r="A260" s="46"/>
      <c r="B260" s="49"/>
      <c r="C260" s="49"/>
      <c r="D260" s="49"/>
      <c r="E260" s="49"/>
      <c r="F260" s="54"/>
      <c r="G260" s="49"/>
      <c r="H260" s="49"/>
      <c r="I260" s="49"/>
      <c r="J260" s="44" t="str">
        <f t="array" ref="J260">IF(G260="","",IFERROR(LET(ev_cost,INDEX(Events!$G$5:$G$506,MATCH(G260,Events!$A$5:$A$506,0)),ev_split,INDEX(Events!$I$5:$I$506,MATCH(G260,Events!$A$5:$A$506,0)),att_offset,MATCH(G260,Attendance!$B$3:$AY$3,0),attendees,COUNTIF(INDEX(Attendance!$B$7:$AY$206,0,att_offset),"1"),IF(ev_split="Equal Split",ev_cost/MAX(1,COUNTA(Roster!$A$5:$A$204)),ev_cost/MAX(1,attendees))),"N/A"))</f>
        <v/>
      </c>
    </row>
    <row r="261" ht="19.5" customHeight="1">
      <c r="A261" s="50"/>
      <c r="B261" s="53"/>
      <c r="C261" s="53"/>
      <c r="D261" s="53"/>
      <c r="E261" s="53"/>
      <c r="F261" s="55"/>
      <c r="G261" s="53"/>
      <c r="H261" s="53"/>
      <c r="I261" s="53"/>
      <c r="J261" s="44" t="str">
        <f t="array" ref="J261">IF(G261="","",IFERROR(LET(ev_cost,INDEX(Events!$G$5:$G$506,MATCH(G261,Events!$A$5:$A$506,0)),ev_split,INDEX(Events!$I$5:$I$506,MATCH(G261,Events!$A$5:$A$506,0)),att_offset,MATCH(G261,Attendance!$B$3:$AY$3,0),attendees,COUNTIF(INDEX(Attendance!$B$7:$AY$206,0,att_offset),"1"),IF(ev_split="Equal Split",ev_cost/MAX(1,COUNTA(Roster!$A$5:$A$204)),ev_cost/MAX(1,attendees))),"N/A"))</f>
        <v/>
      </c>
    </row>
    <row r="262" ht="19.5" customHeight="1">
      <c r="A262" s="46"/>
      <c r="B262" s="49"/>
      <c r="C262" s="49"/>
      <c r="D262" s="49"/>
      <c r="E262" s="49"/>
      <c r="F262" s="54"/>
      <c r="G262" s="49"/>
      <c r="H262" s="49"/>
      <c r="I262" s="49"/>
      <c r="J262" s="44" t="str">
        <f t="array" ref="J262">IF(G262="","",IFERROR(LET(ev_cost,INDEX(Events!$G$5:$G$506,MATCH(G262,Events!$A$5:$A$506,0)),ev_split,INDEX(Events!$I$5:$I$506,MATCH(G262,Events!$A$5:$A$506,0)),att_offset,MATCH(G262,Attendance!$B$3:$AY$3,0),attendees,COUNTIF(INDEX(Attendance!$B$7:$AY$206,0,att_offset),"1"),IF(ev_split="Equal Split",ev_cost/MAX(1,COUNTA(Roster!$A$5:$A$204)),ev_cost/MAX(1,attendees))),"N/A"))</f>
        <v/>
      </c>
    </row>
    <row r="263" ht="19.5" customHeight="1">
      <c r="A263" s="50"/>
      <c r="B263" s="53"/>
      <c r="C263" s="53"/>
      <c r="D263" s="53"/>
      <c r="E263" s="53"/>
      <c r="F263" s="55"/>
      <c r="G263" s="53"/>
      <c r="H263" s="53"/>
      <c r="I263" s="53"/>
      <c r="J263" s="44" t="str">
        <f t="array" ref="J263">IF(G263="","",IFERROR(LET(ev_cost,INDEX(Events!$G$5:$G$506,MATCH(G263,Events!$A$5:$A$506,0)),ev_split,INDEX(Events!$I$5:$I$506,MATCH(G263,Events!$A$5:$A$506,0)),att_offset,MATCH(G263,Attendance!$B$3:$AY$3,0),attendees,COUNTIF(INDEX(Attendance!$B$7:$AY$206,0,att_offset),"1"),IF(ev_split="Equal Split",ev_cost/MAX(1,COUNTA(Roster!$A$5:$A$204)),ev_cost/MAX(1,attendees))),"N/A"))</f>
        <v/>
      </c>
    </row>
    <row r="264" ht="19.5" customHeight="1">
      <c r="A264" s="46"/>
      <c r="B264" s="49"/>
      <c r="C264" s="49"/>
      <c r="D264" s="49"/>
      <c r="E264" s="49"/>
      <c r="F264" s="54"/>
      <c r="G264" s="49"/>
      <c r="H264" s="49"/>
      <c r="I264" s="49"/>
      <c r="J264" s="44" t="str">
        <f t="array" ref="J264">IF(G264="","",IFERROR(LET(ev_cost,INDEX(Events!$G$5:$G$506,MATCH(G264,Events!$A$5:$A$506,0)),ev_split,INDEX(Events!$I$5:$I$506,MATCH(G264,Events!$A$5:$A$506,0)),att_offset,MATCH(G264,Attendance!$B$3:$AY$3,0),attendees,COUNTIF(INDEX(Attendance!$B$7:$AY$206,0,att_offset),"1"),IF(ev_split="Equal Split",ev_cost/MAX(1,COUNTA(Roster!$A$5:$A$204)),ev_cost/MAX(1,attendees))),"N/A"))</f>
        <v/>
      </c>
    </row>
    <row r="265" ht="19.5" customHeight="1">
      <c r="A265" s="50"/>
      <c r="B265" s="53"/>
      <c r="C265" s="53"/>
      <c r="D265" s="53"/>
      <c r="E265" s="53"/>
      <c r="F265" s="55"/>
      <c r="G265" s="53"/>
      <c r="H265" s="53"/>
      <c r="I265" s="53"/>
      <c r="J265" s="44" t="str">
        <f t="array" ref="J265">IF(G265="","",IFERROR(LET(ev_cost,INDEX(Events!$G$5:$G$506,MATCH(G265,Events!$A$5:$A$506,0)),ev_split,INDEX(Events!$I$5:$I$506,MATCH(G265,Events!$A$5:$A$506,0)),att_offset,MATCH(G265,Attendance!$B$3:$AY$3,0),attendees,COUNTIF(INDEX(Attendance!$B$7:$AY$206,0,att_offset),"1"),IF(ev_split="Equal Split",ev_cost/MAX(1,COUNTA(Roster!$A$5:$A$204)),ev_cost/MAX(1,attendees))),"N/A"))</f>
        <v/>
      </c>
    </row>
    <row r="266" ht="19.5" customHeight="1">
      <c r="A266" s="46"/>
      <c r="B266" s="49"/>
      <c r="C266" s="49"/>
      <c r="D266" s="49"/>
      <c r="E266" s="49"/>
      <c r="F266" s="54"/>
      <c r="G266" s="49"/>
      <c r="H266" s="49"/>
      <c r="I266" s="49"/>
      <c r="J266" s="44" t="str">
        <f t="array" ref="J266">IF(G266="","",IFERROR(LET(ev_cost,INDEX(Events!$G$5:$G$506,MATCH(G266,Events!$A$5:$A$506,0)),ev_split,INDEX(Events!$I$5:$I$506,MATCH(G266,Events!$A$5:$A$506,0)),att_offset,MATCH(G266,Attendance!$B$3:$AY$3,0),attendees,COUNTIF(INDEX(Attendance!$B$7:$AY$206,0,att_offset),"1"),IF(ev_split="Equal Split",ev_cost/MAX(1,COUNTA(Roster!$A$5:$A$204)),ev_cost/MAX(1,attendees))),"N/A"))</f>
        <v/>
      </c>
    </row>
    <row r="267" ht="19.5" customHeight="1">
      <c r="A267" s="50"/>
      <c r="B267" s="53"/>
      <c r="C267" s="53"/>
      <c r="D267" s="53"/>
      <c r="E267" s="53"/>
      <c r="F267" s="55"/>
      <c r="G267" s="53"/>
      <c r="H267" s="53"/>
      <c r="I267" s="53"/>
      <c r="J267" s="44" t="str">
        <f t="array" ref="J267">IF(G267="","",IFERROR(LET(ev_cost,INDEX(Events!$G$5:$G$506,MATCH(G267,Events!$A$5:$A$506,0)),ev_split,INDEX(Events!$I$5:$I$506,MATCH(G267,Events!$A$5:$A$506,0)),att_offset,MATCH(G267,Attendance!$B$3:$AY$3,0),attendees,COUNTIF(INDEX(Attendance!$B$7:$AY$206,0,att_offset),"1"),IF(ev_split="Equal Split",ev_cost/MAX(1,COUNTA(Roster!$A$5:$A$204)),ev_cost/MAX(1,attendees))),"N/A"))</f>
        <v/>
      </c>
    </row>
    <row r="268" ht="19.5" customHeight="1">
      <c r="A268" s="46"/>
      <c r="B268" s="49"/>
      <c r="C268" s="49"/>
      <c r="D268" s="49"/>
      <c r="E268" s="49"/>
      <c r="F268" s="54"/>
      <c r="G268" s="49"/>
      <c r="H268" s="49"/>
      <c r="I268" s="49"/>
      <c r="J268" s="44" t="str">
        <f t="array" ref="J268">IF(G268="","",IFERROR(LET(ev_cost,INDEX(Events!$G$5:$G$506,MATCH(G268,Events!$A$5:$A$506,0)),ev_split,INDEX(Events!$I$5:$I$506,MATCH(G268,Events!$A$5:$A$506,0)),att_offset,MATCH(G268,Attendance!$B$3:$AY$3,0),attendees,COUNTIF(INDEX(Attendance!$B$7:$AY$206,0,att_offset),"1"),IF(ev_split="Equal Split",ev_cost/MAX(1,COUNTA(Roster!$A$5:$A$204)),ev_cost/MAX(1,attendees))),"N/A"))</f>
        <v/>
      </c>
    </row>
    <row r="269" ht="19.5" customHeight="1">
      <c r="A269" s="50"/>
      <c r="B269" s="53"/>
      <c r="C269" s="53"/>
      <c r="D269" s="53"/>
      <c r="E269" s="53"/>
      <c r="F269" s="55"/>
      <c r="G269" s="53"/>
      <c r="H269" s="53"/>
      <c r="I269" s="53"/>
      <c r="J269" s="44" t="str">
        <f t="array" ref="J269">IF(G269="","",IFERROR(LET(ev_cost,INDEX(Events!$G$5:$G$506,MATCH(G269,Events!$A$5:$A$506,0)),ev_split,INDEX(Events!$I$5:$I$506,MATCH(G269,Events!$A$5:$A$506,0)),att_offset,MATCH(G269,Attendance!$B$3:$AY$3,0),attendees,COUNTIF(INDEX(Attendance!$B$7:$AY$206,0,att_offset),"1"),IF(ev_split="Equal Split",ev_cost/MAX(1,COUNTA(Roster!$A$5:$A$204)),ev_cost/MAX(1,attendees))),"N/A"))</f>
        <v/>
      </c>
    </row>
    <row r="270" ht="19.5" customHeight="1">
      <c r="A270" s="46"/>
      <c r="B270" s="49"/>
      <c r="C270" s="49"/>
      <c r="D270" s="49"/>
      <c r="E270" s="49"/>
      <c r="F270" s="54"/>
      <c r="G270" s="49"/>
      <c r="H270" s="49"/>
      <c r="I270" s="49"/>
      <c r="J270" s="44" t="str">
        <f t="array" ref="J270">IF(G270="","",IFERROR(LET(ev_cost,INDEX(Events!$G$5:$G$506,MATCH(G270,Events!$A$5:$A$506,0)),ev_split,INDEX(Events!$I$5:$I$506,MATCH(G270,Events!$A$5:$A$506,0)),att_offset,MATCH(G270,Attendance!$B$3:$AY$3,0),attendees,COUNTIF(INDEX(Attendance!$B$7:$AY$206,0,att_offset),"1"),IF(ev_split="Equal Split",ev_cost/MAX(1,COUNTA(Roster!$A$5:$A$204)),ev_cost/MAX(1,attendees))),"N/A"))</f>
        <v/>
      </c>
    </row>
    <row r="271" ht="19.5" customHeight="1">
      <c r="A271" s="50"/>
      <c r="B271" s="53"/>
      <c r="C271" s="53"/>
      <c r="D271" s="53"/>
      <c r="E271" s="53"/>
      <c r="F271" s="55"/>
      <c r="G271" s="53"/>
      <c r="H271" s="53"/>
      <c r="I271" s="53"/>
      <c r="J271" s="44" t="str">
        <f t="array" ref="J271">IF(G271="","",IFERROR(LET(ev_cost,INDEX(Events!$G$5:$G$506,MATCH(G271,Events!$A$5:$A$506,0)),ev_split,INDEX(Events!$I$5:$I$506,MATCH(G271,Events!$A$5:$A$506,0)),att_offset,MATCH(G271,Attendance!$B$3:$AY$3,0),attendees,COUNTIF(INDEX(Attendance!$B$7:$AY$206,0,att_offset),"1"),IF(ev_split="Equal Split",ev_cost/MAX(1,COUNTA(Roster!$A$5:$A$204)),ev_cost/MAX(1,attendees))),"N/A"))</f>
        <v/>
      </c>
    </row>
    <row r="272" ht="19.5" customHeight="1">
      <c r="A272" s="46"/>
      <c r="B272" s="49"/>
      <c r="C272" s="49"/>
      <c r="D272" s="49"/>
      <c r="E272" s="49"/>
      <c r="F272" s="54"/>
      <c r="G272" s="49"/>
      <c r="H272" s="49"/>
      <c r="I272" s="49"/>
      <c r="J272" s="44" t="str">
        <f t="array" ref="J272">IF(G272="","",IFERROR(LET(ev_cost,INDEX(Events!$G$5:$G$506,MATCH(G272,Events!$A$5:$A$506,0)),ev_split,INDEX(Events!$I$5:$I$506,MATCH(G272,Events!$A$5:$A$506,0)),att_offset,MATCH(G272,Attendance!$B$3:$AY$3,0),attendees,COUNTIF(INDEX(Attendance!$B$7:$AY$206,0,att_offset),"1"),IF(ev_split="Equal Split",ev_cost/MAX(1,COUNTA(Roster!$A$5:$A$204)),ev_cost/MAX(1,attendees))),"N/A"))</f>
        <v/>
      </c>
    </row>
    <row r="273" ht="19.5" customHeight="1">
      <c r="A273" s="50"/>
      <c r="B273" s="53"/>
      <c r="C273" s="53"/>
      <c r="D273" s="53"/>
      <c r="E273" s="53"/>
      <c r="F273" s="55"/>
      <c r="G273" s="53"/>
      <c r="H273" s="53"/>
      <c r="I273" s="53"/>
      <c r="J273" s="44" t="str">
        <f t="array" ref="J273">IF(G273="","",IFERROR(LET(ev_cost,INDEX(Events!$G$5:$G$506,MATCH(G273,Events!$A$5:$A$506,0)),ev_split,INDEX(Events!$I$5:$I$506,MATCH(G273,Events!$A$5:$A$506,0)),att_offset,MATCH(G273,Attendance!$B$3:$AY$3,0),attendees,COUNTIF(INDEX(Attendance!$B$7:$AY$206,0,att_offset),"1"),IF(ev_split="Equal Split",ev_cost/MAX(1,COUNTA(Roster!$A$5:$A$204)),ev_cost/MAX(1,attendees))),"N/A"))</f>
        <v/>
      </c>
    </row>
    <row r="274" ht="19.5" customHeight="1">
      <c r="A274" s="46"/>
      <c r="B274" s="49"/>
      <c r="C274" s="49"/>
      <c r="D274" s="49"/>
      <c r="E274" s="49"/>
      <c r="F274" s="54"/>
      <c r="G274" s="49"/>
      <c r="H274" s="49"/>
      <c r="I274" s="49"/>
      <c r="J274" s="44" t="str">
        <f t="array" ref="J274">IF(G274="","",IFERROR(LET(ev_cost,INDEX(Events!$G$5:$G$506,MATCH(G274,Events!$A$5:$A$506,0)),ev_split,INDEX(Events!$I$5:$I$506,MATCH(G274,Events!$A$5:$A$506,0)),att_offset,MATCH(G274,Attendance!$B$3:$AY$3,0),attendees,COUNTIF(INDEX(Attendance!$B$7:$AY$206,0,att_offset),"1"),IF(ev_split="Equal Split",ev_cost/MAX(1,COUNTA(Roster!$A$5:$A$204)),ev_cost/MAX(1,attendees))),"N/A"))</f>
        <v/>
      </c>
    </row>
    <row r="275" ht="19.5" customHeight="1">
      <c r="A275" s="50"/>
      <c r="B275" s="53"/>
      <c r="C275" s="53"/>
      <c r="D275" s="53"/>
      <c r="E275" s="53"/>
      <c r="F275" s="55"/>
      <c r="G275" s="53"/>
      <c r="H275" s="53"/>
      <c r="I275" s="53"/>
      <c r="J275" s="44" t="str">
        <f t="array" ref="J275">IF(G275="","",IFERROR(LET(ev_cost,INDEX(Events!$G$5:$G$506,MATCH(G275,Events!$A$5:$A$506,0)),ev_split,INDEX(Events!$I$5:$I$506,MATCH(G275,Events!$A$5:$A$506,0)),att_offset,MATCH(G275,Attendance!$B$3:$AY$3,0),attendees,COUNTIF(INDEX(Attendance!$B$7:$AY$206,0,att_offset),"1"),IF(ev_split="Equal Split",ev_cost/MAX(1,COUNTA(Roster!$A$5:$A$204)),ev_cost/MAX(1,attendees))),"N/A"))</f>
        <v/>
      </c>
    </row>
    <row r="276" ht="19.5" customHeight="1">
      <c r="A276" s="46"/>
      <c r="B276" s="49"/>
      <c r="C276" s="49"/>
      <c r="D276" s="49"/>
      <c r="E276" s="49"/>
      <c r="F276" s="54"/>
      <c r="G276" s="49"/>
      <c r="H276" s="49"/>
      <c r="I276" s="49"/>
      <c r="J276" s="44" t="str">
        <f t="array" ref="J276">IF(G276="","",IFERROR(LET(ev_cost,INDEX(Events!$G$5:$G$506,MATCH(G276,Events!$A$5:$A$506,0)),ev_split,INDEX(Events!$I$5:$I$506,MATCH(G276,Events!$A$5:$A$506,0)),att_offset,MATCH(G276,Attendance!$B$3:$AY$3,0),attendees,COUNTIF(INDEX(Attendance!$B$7:$AY$206,0,att_offset),"1"),IF(ev_split="Equal Split",ev_cost/MAX(1,COUNTA(Roster!$A$5:$A$204)),ev_cost/MAX(1,attendees))),"N/A"))</f>
        <v/>
      </c>
    </row>
    <row r="277" ht="19.5" customHeight="1">
      <c r="A277" s="50"/>
      <c r="B277" s="53"/>
      <c r="C277" s="53"/>
      <c r="D277" s="53"/>
      <c r="E277" s="53"/>
      <c r="F277" s="55"/>
      <c r="G277" s="53"/>
      <c r="H277" s="53"/>
      <c r="I277" s="53"/>
      <c r="J277" s="44" t="str">
        <f t="array" ref="J277">IF(G277="","",IFERROR(LET(ev_cost,INDEX(Events!$G$5:$G$506,MATCH(G277,Events!$A$5:$A$506,0)),ev_split,INDEX(Events!$I$5:$I$506,MATCH(G277,Events!$A$5:$A$506,0)),att_offset,MATCH(G277,Attendance!$B$3:$AY$3,0),attendees,COUNTIF(INDEX(Attendance!$B$7:$AY$206,0,att_offset),"1"),IF(ev_split="Equal Split",ev_cost/MAX(1,COUNTA(Roster!$A$5:$A$204)),ev_cost/MAX(1,attendees))),"N/A"))</f>
        <v/>
      </c>
    </row>
    <row r="278" ht="19.5" customHeight="1">
      <c r="A278" s="46"/>
      <c r="B278" s="49"/>
      <c r="C278" s="49"/>
      <c r="D278" s="49"/>
      <c r="E278" s="49"/>
      <c r="F278" s="54"/>
      <c r="G278" s="49"/>
      <c r="H278" s="49"/>
      <c r="I278" s="49"/>
      <c r="J278" s="44" t="str">
        <f t="array" ref="J278">IF(G278="","",IFERROR(LET(ev_cost,INDEX(Events!$G$5:$G$506,MATCH(G278,Events!$A$5:$A$506,0)),ev_split,INDEX(Events!$I$5:$I$506,MATCH(G278,Events!$A$5:$A$506,0)),att_offset,MATCH(G278,Attendance!$B$3:$AY$3,0),attendees,COUNTIF(INDEX(Attendance!$B$7:$AY$206,0,att_offset),"1"),IF(ev_split="Equal Split",ev_cost/MAX(1,COUNTA(Roster!$A$5:$A$204)),ev_cost/MAX(1,attendees))),"N/A"))</f>
        <v/>
      </c>
    </row>
    <row r="279" ht="19.5" customHeight="1">
      <c r="A279" s="50"/>
      <c r="B279" s="53"/>
      <c r="C279" s="53"/>
      <c r="D279" s="53"/>
      <c r="E279" s="53"/>
      <c r="F279" s="55"/>
      <c r="G279" s="53"/>
      <c r="H279" s="53"/>
      <c r="I279" s="53"/>
      <c r="J279" s="44" t="str">
        <f t="array" ref="J279">IF(G279="","",IFERROR(LET(ev_cost,INDEX(Events!$G$5:$G$506,MATCH(G279,Events!$A$5:$A$506,0)),ev_split,INDEX(Events!$I$5:$I$506,MATCH(G279,Events!$A$5:$A$506,0)),att_offset,MATCH(G279,Attendance!$B$3:$AY$3,0),attendees,COUNTIF(INDEX(Attendance!$B$7:$AY$206,0,att_offset),"1"),IF(ev_split="Equal Split",ev_cost/MAX(1,COUNTA(Roster!$A$5:$A$204)),ev_cost/MAX(1,attendees))),"N/A"))</f>
        <v/>
      </c>
    </row>
    <row r="280" ht="19.5" customHeight="1">
      <c r="A280" s="46"/>
      <c r="B280" s="49"/>
      <c r="C280" s="49"/>
      <c r="D280" s="49"/>
      <c r="E280" s="49"/>
      <c r="F280" s="54"/>
      <c r="G280" s="49"/>
      <c r="H280" s="49"/>
      <c r="I280" s="49"/>
      <c r="J280" s="44" t="str">
        <f t="array" ref="J280">IF(G280="","",IFERROR(LET(ev_cost,INDEX(Events!$G$5:$G$506,MATCH(G280,Events!$A$5:$A$506,0)),ev_split,INDEX(Events!$I$5:$I$506,MATCH(G280,Events!$A$5:$A$506,0)),att_offset,MATCH(G280,Attendance!$B$3:$AY$3,0),attendees,COUNTIF(INDEX(Attendance!$B$7:$AY$206,0,att_offset),"1"),IF(ev_split="Equal Split",ev_cost/MAX(1,COUNTA(Roster!$A$5:$A$204)),ev_cost/MAX(1,attendees))),"N/A"))</f>
        <v/>
      </c>
    </row>
    <row r="281" ht="19.5" customHeight="1">
      <c r="A281" s="50"/>
      <c r="B281" s="53"/>
      <c r="C281" s="53"/>
      <c r="D281" s="53"/>
      <c r="E281" s="53"/>
      <c r="F281" s="55"/>
      <c r="G281" s="53"/>
      <c r="H281" s="53"/>
      <c r="I281" s="53"/>
      <c r="J281" s="44" t="str">
        <f t="array" ref="J281">IF(G281="","",IFERROR(LET(ev_cost,INDEX(Events!$G$5:$G$506,MATCH(G281,Events!$A$5:$A$506,0)),ev_split,INDEX(Events!$I$5:$I$506,MATCH(G281,Events!$A$5:$A$506,0)),att_offset,MATCH(G281,Attendance!$B$3:$AY$3,0),attendees,COUNTIF(INDEX(Attendance!$B$7:$AY$206,0,att_offset),"1"),IF(ev_split="Equal Split",ev_cost/MAX(1,COUNTA(Roster!$A$5:$A$204)),ev_cost/MAX(1,attendees))),"N/A"))</f>
        <v/>
      </c>
    </row>
    <row r="282" ht="19.5" customHeight="1">
      <c r="A282" s="46"/>
      <c r="B282" s="49"/>
      <c r="C282" s="49"/>
      <c r="D282" s="49"/>
      <c r="E282" s="49"/>
      <c r="F282" s="54"/>
      <c r="G282" s="49"/>
      <c r="H282" s="49"/>
      <c r="I282" s="49"/>
      <c r="J282" s="44" t="str">
        <f t="array" ref="J282">IF(G282="","",IFERROR(LET(ev_cost,INDEX(Events!$G$5:$G$506,MATCH(G282,Events!$A$5:$A$506,0)),ev_split,INDEX(Events!$I$5:$I$506,MATCH(G282,Events!$A$5:$A$506,0)),att_offset,MATCH(G282,Attendance!$B$3:$AY$3,0),attendees,COUNTIF(INDEX(Attendance!$B$7:$AY$206,0,att_offset),"1"),IF(ev_split="Equal Split",ev_cost/MAX(1,COUNTA(Roster!$A$5:$A$204)),ev_cost/MAX(1,attendees))),"N/A"))</f>
        <v/>
      </c>
    </row>
    <row r="283" ht="19.5" customHeight="1">
      <c r="A283" s="50"/>
      <c r="B283" s="53"/>
      <c r="C283" s="53"/>
      <c r="D283" s="53"/>
      <c r="E283" s="53"/>
      <c r="F283" s="55"/>
      <c r="G283" s="53"/>
      <c r="H283" s="53"/>
      <c r="I283" s="53"/>
      <c r="J283" s="44" t="str">
        <f t="array" ref="J283">IF(G283="","",IFERROR(LET(ev_cost,INDEX(Events!$G$5:$G$506,MATCH(G283,Events!$A$5:$A$506,0)),ev_split,INDEX(Events!$I$5:$I$506,MATCH(G283,Events!$A$5:$A$506,0)),att_offset,MATCH(G283,Attendance!$B$3:$AY$3,0),attendees,COUNTIF(INDEX(Attendance!$B$7:$AY$206,0,att_offset),"1"),IF(ev_split="Equal Split",ev_cost/MAX(1,COUNTA(Roster!$A$5:$A$204)),ev_cost/MAX(1,attendees))),"N/A"))</f>
        <v/>
      </c>
    </row>
    <row r="284" ht="19.5" customHeight="1">
      <c r="A284" s="46"/>
      <c r="B284" s="49"/>
      <c r="C284" s="49"/>
      <c r="D284" s="49"/>
      <c r="E284" s="49"/>
      <c r="F284" s="54"/>
      <c r="G284" s="49"/>
      <c r="H284" s="49"/>
      <c r="I284" s="49"/>
      <c r="J284" s="44" t="str">
        <f t="array" ref="J284">IF(G284="","",IFERROR(LET(ev_cost,INDEX(Events!$G$5:$G$506,MATCH(G284,Events!$A$5:$A$506,0)),ev_split,INDEX(Events!$I$5:$I$506,MATCH(G284,Events!$A$5:$A$506,0)),att_offset,MATCH(G284,Attendance!$B$3:$AY$3,0),attendees,COUNTIF(INDEX(Attendance!$B$7:$AY$206,0,att_offset),"1"),IF(ev_split="Equal Split",ev_cost/MAX(1,COUNTA(Roster!$A$5:$A$204)),ev_cost/MAX(1,attendees))),"N/A"))</f>
        <v/>
      </c>
    </row>
    <row r="285" ht="19.5" customHeight="1">
      <c r="A285" s="50"/>
      <c r="B285" s="53"/>
      <c r="C285" s="53"/>
      <c r="D285" s="53"/>
      <c r="E285" s="53"/>
      <c r="F285" s="55"/>
      <c r="G285" s="53"/>
      <c r="H285" s="53"/>
      <c r="I285" s="53"/>
      <c r="J285" s="44" t="str">
        <f t="array" ref="J285">IF(G285="","",IFERROR(LET(ev_cost,INDEX(Events!$G$5:$G$506,MATCH(G285,Events!$A$5:$A$506,0)),ev_split,INDEX(Events!$I$5:$I$506,MATCH(G285,Events!$A$5:$A$506,0)),att_offset,MATCH(G285,Attendance!$B$3:$AY$3,0),attendees,COUNTIF(INDEX(Attendance!$B$7:$AY$206,0,att_offset),"1"),IF(ev_split="Equal Split",ev_cost/MAX(1,COUNTA(Roster!$A$5:$A$204)),ev_cost/MAX(1,attendees))),"N/A"))</f>
        <v/>
      </c>
    </row>
    <row r="286" ht="19.5" customHeight="1">
      <c r="A286" s="46"/>
      <c r="B286" s="49"/>
      <c r="C286" s="49"/>
      <c r="D286" s="49"/>
      <c r="E286" s="49"/>
      <c r="F286" s="54"/>
      <c r="G286" s="49"/>
      <c r="H286" s="49"/>
      <c r="I286" s="49"/>
      <c r="J286" s="44" t="str">
        <f t="array" ref="J286">IF(G286="","",IFERROR(LET(ev_cost,INDEX(Events!$G$5:$G$506,MATCH(G286,Events!$A$5:$A$506,0)),ev_split,INDEX(Events!$I$5:$I$506,MATCH(G286,Events!$A$5:$A$506,0)),att_offset,MATCH(G286,Attendance!$B$3:$AY$3,0),attendees,COUNTIF(INDEX(Attendance!$B$7:$AY$206,0,att_offset),"1"),IF(ev_split="Equal Split",ev_cost/MAX(1,COUNTA(Roster!$A$5:$A$204)),ev_cost/MAX(1,attendees))),"N/A"))</f>
        <v/>
      </c>
    </row>
    <row r="287" ht="19.5" customHeight="1">
      <c r="A287" s="50"/>
      <c r="B287" s="53"/>
      <c r="C287" s="53"/>
      <c r="D287" s="53"/>
      <c r="E287" s="53"/>
      <c r="F287" s="55"/>
      <c r="G287" s="53"/>
      <c r="H287" s="53"/>
      <c r="I287" s="53"/>
      <c r="J287" s="44" t="str">
        <f t="array" ref="J287">IF(G287="","",IFERROR(LET(ev_cost,INDEX(Events!$G$5:$G$506,MATCH(G287,Events!$A$5:$A$506,0)),ev_split,INDEX(Events!$I$5:$I$506,MATCH(G287,Events!$A$5:$A$506,0)),att_offset,MATCH(G287,Attendance!$B$3:$AY$3,0),attendees,COUNTIF(INDEX(Attendance!$B$7:$AY$206,0,att_offset),"1"),IF(ev_split="Equal Split",ev_cost/MAX(1,COUNTA(Roster!$A$5:$A$204)),ev_cost/MAX(1,attendees))),"N/A"))</f>
        <v/>
      </c>
    </row>
    <row r="288" ht="19.5" customHeight="1">
      <c r="A288" s="46"/>
      <c r="B288" s="49"/>
      <c r="C288" s="49"/>
      <c r="D288" s="49"/>
      <c r="E288" s="49"/>
      <c r="F288" s="54"/>
      <c r="G288" s="49"/>
      <c r="H288" s="49"/>
      <c r="I288" s="49"/>
      <c r="J288" s="44" t="str">
        <f t="array" ref="J288">IF(G288="","",IFERROR(LET(ev_cost,INDEX(Events!$G$5:$G$506,MATCH(G288,Events!$A$5:$A$506,0)),ev_split,INDEX(Events!$I$5:$I$506,MATCH(G288,Events!$A$5:$A$506,0)),att_offset,MATCH(G288,Attendance!$B$3:$AY$3,0),attendees,COUNTIF(INDEX(Attendance!$B$7:$AY$206,0,att_offset),"1"),IF(ev_split="Equal Split",ev_cost/MAX(1,COUNTA(Roster!$A$5:$A$204)),ev_cost/MAX(1,attendees))),"N/A"))</f>
        <v/>
      </c>
    </row>
    <row r="289" ht="19.5" customHeight="1">
      <c r="A289" s="50"/>
      <c r="B289" s="53"/>
      <c r="C289" s="53"/>
      <c r="D289" s="53"/>
      <c r="E289" s="53"/>
      <c r="F289" s="55"/>
      <c r="G289" s="53"/>
      <c r="H289" s="53"/>
      <c r="I289" s="53"/>
      <c r="J289" s="44" t="str">
        <f t="array" ref="J289">IF(G289="","",IFERROR(LET(ev_cost,INDEX(Events!$G$5:$G$506,MATCH(G289,Events!$A$5:$A$506,0)),ev_split,INDEX(Events!$I$5:$I$506,MATCH(G289,Events!$A$5:$A$506,0)),att_offset,MATCH(G289,Attendance!$B$3:$AY$3,0),attendees,COUNTIF(INDEX(Attendance!$B$7:$AY$206,0,att_offset),"1"),IF(ev_split="Equal Split",ev_cost/MAX(1,COUNTA(Roster!$A$5:$A$204)),ev_cost/MAX(1,attendees))),"N/A"))</f>
        <v/>
      </c>
    </row>
    <row r="290" ht="19.5" customHeight="1">
      <c r="A290" s="46"/>
      <c r="B290" s="49"/>
      <c r="C290" s="49"/>
      <c r="D290" s="49"/>
      <c r="E290" s="49"/>
      <c r="F290" s="54"/>
      <c r="G290" s="49"/>
      <c r="H290" s="49"/>
      <c r="I290" s="49"/>
      <c r="J290" s="44" t="str">
        <f t="array" ref="J290">IF(G290="","",IFERROR(LET(ev_cost,INDEX(Events!$G$5:$G$506,MATCH(G290,Events!$A$5:$A$506,0)),ev_split,INDEX(Events!$I$5:$I$506,MATCH(G290,Events!$A$5:$A$506,0)),att_offset,MATCH(G290,Attendance!$B$3:$AY$3,0),attendees,COUNTIF(INDEX(Attendance!$B$7:$AY$206,0,att_offset),"1"),IF(ev_split="Equal Split",ev_cost/MAX(1,COUNTA(Roster!$A$5:$A$204)),ev_cost/MAX(1,attendees))),"N/A"))</f>
        <v/>
      </c>
    </row>
    <row r="291" ht="19.5" customHeight="1">
      <c r="A291" s="50"/>
      <c r="B291" s="53"/>
      <c r="C291" s="53"/>
      <c r="D291" s="53"/>
      <c r="E291" s="53"/>
      <c r="F291" s="55"/>
      <c r="G291" s="53"/>
      <c r="H291" s="53"/>
      <c r="I291" s="53"/>
      <c r="J291" s="44" t="str">
        <f t="array" ref="J291">IF(G291="","",IFERROR(LET(ev_cost,INDEX(Events!$G$5:$G$506,MATCH(G291,Events!$A$5:$A$506,0)),ev_split,INDEX(Events!$I$5:$I$506,MATCH(G291,Events!$A$5:$A$506,0)),att_offset,MATCH(G291,Attendance!$B$3:$AY$3,0),attendees,COUNTIF(INDEX(Attendance!$B$7:$AY$206,0,att_offset),"1"),IF(ev_split="Equal Split",ev_cost/MAX(1,COUNTA(Roster!$A$5:$A$204)),ev_cost/MAX(1,attendees))),"N/A"))</f>
        <v/>
      </c>
    </row>
    <row r="292" ht="19.5" customHeight="1">
      <c r="A292" s="46"/>
      <c r="B292" s="49"/>
      <c r="C292" s="49"/>
      <c r="D292" s="49"/>
      <c r="E292" s="49"/>
      <c r="F292" s="54"/>
      <c r="G292" s="49"/>
      <c r="H292" s="49"/>
      <c r="I292" s="49"/>
      <c r="J292" s="44" t="str">
        <f t="array" ref="J292">IF(G292="","",IFERROR(LET(ev_cost,INDEX(Events!$G$5:$G$506,MATCH(G292,Events!$A$5:$A$506,0)),ev_split,INDEX(Events!$I$5:$I$506,MATCH(G292,Events!$A$5:$A$506,0)),att_offset,MATCH(G292,Attendance!$B$3:$AY$3,0),attendees,COUNTIF(INDEX(Attendance!$B$7:$AY$206,0,att_offset),"1"),IF(ev_split="Equal Split",ev_cost/MAX(1,COUNTA(Roster!$A$5:$A$204)),ev_cost/MAX(1,attendees))),"N/A"))</f>
        <v/>
      </c>
    </row>
    <row r="293" ht="19.5" customHeight="1">
      <c r="A293" s="50"/>
      <c r="B293" s="53"/>
      <c r="C293" s="53"/>
      <c r="D293" s="53"/>
      <c r="E293" s="53"/>
      <c r="F293" s="55"/>
      <c r="G293" s="53"/>
      <c r="H293" s="53"/>
      <c r="I293" s="53"/>
      <c r="J293" s="44" t="str">
        <f t="array" ref="J293">IF(G293="","",IFERROR(LET(ev_cost,INDEX(Events!$G$5:$G$506,MATCH(G293,Events!$A$5:$A$506,0)),ev_split,INDEX(Events!$I$5:$I$506,MATCH(G293,Events!$A$5:$A$506,0)),att_offset,MATCH(G293,Attendance!$B$3:$AY$3,0),attendees,COUNTIF(INDEX(Attendance!$B$7:$AY$206,0,att_offset),"1"),IF(ev_split="Equal Split",ev_cost/MAX(1,COUNTA(Roster!$A$5:$A$204)),ev_cost/MAX(1,attendees))),"N/A"))</f>
        <v/>
      </c>
    </row>
    <row r="294" ht="19.5" customHeight="1">
      <c r="A294" s="46"/>
      <c r="B294" s="49"/>
      <c r="C294" s="49"/>
      <c r="D294" s="49"/>
      <c r="E294" s="49"/>
      <c r="F294" s="54"/>
      <c r="G294" s="49"/>
      <c r="H294" s="49"/>
      <c r="I294" s="49"/>
      <c r="J294" s="44" t="str">
        <f t="array" ref="J294">IF(G294="","",IFERROR(LET(ev_cost,INDEX(Events!$G$5:$G$506,MATCH(G294,Events!$A$5:$A$506,0)),ev_split,INDEX(Events!$I$5:$I$506,MATCH(G294,Events!$A$5:$A$506,0)),att_offset,MATCH(G294,Attendance!$B$3:$AY$3,0),attendees,COUNTIF(INDEX(Attendance!$B$7:$AY$206,0,att_offset),"1"),IF(ev_split="Equal Split",ev_cost/MAX(1,COUNTA(Roster!$A$5:$A$204)),ev_cost/MAX(1,attendees))),"N/A"))</f>
        <v/>
      </c>
    </row>
    <row r="295" ht="19.5" customHeight="1">
      <c r="A295" s="50"/>
      <c r="B295" s="53"/>
      <c r="C295" s="53"/>
      <c r="D295" s="53"/>
      <c r="E295" s="53"/>
      <c r="F295" s="55"/>
      <c r="G295" s="53"/>
      <c r="H295" s="53"/>
      <c r="I295" s="53"/>
      <c r="J295" s="44" t="str">
        <f t="array" ref="J295">IF(G295="","",IFERROR(LET(ev_cost,INDEX(Events!$G$5:$G$506,MATCH(G295,Events!$A$5:$A$506,0)),ev_split,INDEX(Events!$I$5:$I$506,MATCH(G295,Events!$A$5:$A$506,0)),att_offset,MATCH(G295,Attendance!$B$3:$AY$3,0),attendees,COUNTIF(INDEX(Attendance!$B$7:$AY$206,0,att_offset),"1"),IF(ev_split="Equal Split",ev_cost/MAX(1,COUNTA(Roster!$A$5:$A$204)),ev_cost/MAX(1,attendees))),"N/A"))</f>
        <v/>
      </c>
    </row>
    <row r="296" ht="19.5" customHeight="1">
      <c r="A296" s="46"/>
      <c r="B296" s="49"/>
      <c r="C296" s="49"/>
      <c r="D296" s="49"/>
      <c r="E296" s="49"/>
      <c r="F296" s="54"/>
      <c r="G296" s="49"/>
      <c r="H296" s="49"/>
      <c r="I296" s="49"/>
      <c r="J296" s="44" t="str">
        <f t="array" ref="J296">IF(G296="","",IFERROR(LET(ev_cost,INDEX(Events!$G$5:$G$506,MATCH(G296,Events!$A$5:$A$506,0)),ev_split,INDEX(Events!$I$5:$I$506,MATCH(G296,Events!$A$5:$A$506,0)),att_offset,MATCH(G296,Attendance!$B$3:$AY$3,0),attendees,COUNTIF(INDEX(Attendance!$B$7:$AY$206,0,att_offset),"1"),IF(ev_split="Equal Split",ev_cost/MAX(1,COUNTA(Roster!$A$5:$A$204)),ev_cost/MAX(1,attendees))),"N/A"))</f>
        <v/>
      </c>
    </row>
    <row r="297" ht="19.5" customHeight="1">
      <c r="A297" s="50"/>
      <c r="B297" s="53"/>
      <c r="C297" s="53"/>
      <c r="D297" s="53"/>
      <c r="E297" s="53"/>
      <c r="F297" s="55"/>
      <c r="G297" s="53"/>
      <c r="H297" s="53"/>
      <c r="I297" s="53"/>
      <c r="J297" s="44" t="str">
        <f t="array" ref="J297">IF(G297="","",IFERROR(LET(ev_cost,INDEX(Events!$G$5:$G$506,MATCH(G297,Events!$A$5:$A$506,0)),ev_split,INDEX(Events!$I$5:$I$506,MATCH(G297,Events!$A$5:$A$506,0)),att_offset,MATCH(G297,Attendance!$B$3:$AY$3,0),attendees,COUNTIF(INDEX(Attendance!$B$7:$AY$206,0,att_offset),"1"),IF(ev_split="Equal Split",ev_cost/MAX(1,COUNTA(Roster!$A$5:$A$204)),ev_cost/MAX(1,attendees))),"N/A"))</f>
        <v/>
      </c>
    </row>
    <row r="298" ht="19.5" customHeight="1">
      <c r="A298" s="46"/>
      <c r="B298" s="49"/>
      <c r="C298" s="49"/>
      <c r="D298" s="49"/>
      <c r="E298" s="49"/>
      <c r="F298" s="54"/>
      <c r="G298" s="49"/>
      <c r="H298" s="49"/>
      <c r="I298" s="49"/>
      <c r="J298" s="44" t="str">
        <f t="array" ref="J298">IF(G298="","",IFERROR(LET(ev_cost,INDEX(Events!$G$5:$G$506,MATCH(G298,Events!$A$5:$A$506,0)),ev_split,INDEX(Events!$I$5:$I$506,MATCH(G298,Events!$A$5:$A$506,0)),att_offset,MATCH(G298,Attendance!$B$3:$AY$3,0),attendees,COUNTIF(INDEX(Attendance!$B$7:$AY$206,0,att_offset),"1"),IF(ev_split="Equal Split",ev_cost/MAX(1,COUNTA(Roster!$A$5:$A$204)),ev_cost/MAX(1,attendees))),"N/A"))</f>
        <v/>
      </c>
    </row>
    <row r="299" ht="19.5" customHeight="1">
      <c r="A299" s="50"/>
      <c r="B299" s="53"/>
      <c r="C299" s="53"/>
      <c r="D299" s="53"/>
      <c r="E299" s="53"/>
      <c r="F299" s="55"/>
      <c r="G299" s="53"/>
      <c r="H299" s="53"/>
      <c r="I299" s="53"/>
      <c r="J299" s="44" t="str">
        <f t="array" ref="J299">IF(G299="","",IFERROR(LET(ev_cost,INDEX(Events!$G$5:$G$506,MATCH(G299,Events!$A$5:$A$506,0)),ev_split,INDEX(Events!$I$5:$I$506,MATCH(G299,Events!$A$5:$A$506,0)),att_offset,MATCH(G299,Attendance!$B$3:$AY$3,0),attendees,COUNTIF(INDEX(Attendance!$B$7:$AY$206,0,att_offset),"1"),IF(ev_split="Equal Split",ev_cost/MAX(1,COUNTA(Roster!$A$5:$A$204)),ev_cost/MAX(1,attendees))),"N/A"))</f>
        <v/>
      </c>
    </row>
    <row r="300" ht="19.5" customHeight="1">
      <c r="A300" s="46"/>
      <c r="B300" s="49"/>
      <c r="C300" s="49"/>
      <c r="D300" s="49"/>
      <c r="E300" s="49"/>
      <c r="F300" s="54"/>
      <c r="G300" s="49"/>
      <c r="H300" s="49"/>
      <c r="I300" s="49"/>
      <c r="J300" s="44" t="str">
        <f t="array" ref="J300">IF(G300="","",IFERROR(LET(ev_cost,INDEX(Events!$G$5:$G$506,MATCH(G300,Events!$A$5:$A$506,0)),ev_split,INDEX(Events!$I$5:$I$506,MATCH(G300,Events!$A$5:$A$506,0)),att_offset,MATCH(G300,Attendance!$B$3:$AY$3,0),attendees,COUNTIF(INDEX(Attendance!$B$7:$AY$206,0,att_offset),"1"),IF(ev_split="Equal Split",ev_cost/MAX(1,COUNTA(Roster!$A$5:$A$204)),ev_cost/MAX(1,attendees))),"N/A"))</f>
        <v/>
      </c>
    </row>
    <row r="301" ht="19.5" customHeight="1">
      <c r="A301" s="50"/>
      <c r="B301" s="53"/>
      <c r="C301" s="53"/>
      <c r="D301" s="53"/>
      <c r="E301" s="53"/>
      <c r="F301" s="55"/>
      <c r="G301" s="53"/>
      <c r="H301" s="53"/>
      <c r="I301" s="53"/>
      <c r="J301" s="44" t="str">
        <f t="array" ref="J301">IF(G301="","",IFERROR(LET(ev_cost,INDEX(Events!$G$5:$G$506,MATCH(G301,Events!$A$5:$A$506,0)),ev_split,INDEX(Events!$I$5:$I$506,MATCH(G301,Events!$A$5:$A$506,0)),att_offset,MATCH(G301,Attendance!$B$3:$AY$3,0),attendees,COUNTIF(INDEX(Attendance!$B$7:$AY$206,0,att_offset),"1"),IF(ev_split="Equal Split",ev_cost/MAX(1,COUNTA(Roster!$A$5:$A$204)),ev_cost/MAX(1,attendees))),"N/A"))</f>
        <v/>
      </c>
    </row>
    <row r="302" ht="19.5" customHeight="1">
      <c r="A302" s="46"/>
      <c r="B302" s="49"/>
      <c r="C302" s="49"/>
      <c r="D302" s="49"/>
      <c r="E302" s="49"/>
      <c r="F302" s="54"/>
      <c r="G302" s="49"/>
      <c r="H302" s="49"/>
      <c r="I302" s="49"/>
      <c r="J302" s="44" t="str">
        <f t="array" ref="J302">IF(G302="","",IFERROR(LET(ev_cost,INDEX(Events!$G$5:$G$506,MATCH(G302,Events!$A$5:$A$506,0)),ev_split,INDEX(Events!$I$5:$I$506,MATCH(G302,Events!$A$5:$A$506,0)),att_offset,MATCH(G302,Attendance!$B$3:$AY$3,0),attendees,COUNTIF(INDEX(Attendance!$B$7:$AY$206,0,att_offset),"1"),IF(ev_split="Equal Split",ev_cost/MAX(1,COUNTA(Roster!$A$5:$A$204)),ev_cost/MAX(1,attendees))),"N/A"))</f>
        <v/>
      </c>
    </row>
    <row r="303" ht="19.5" customHeight="1">
      <c r="A303" s="50"/>
      <c r="B303" s="53"/>
      <c r="C303" s="53"/>
      <c r="D303" s="53"/>
      <c r="E303" s="53"/>
      <c r="F303" s="55"/>
      <c r="G303" s="53"/>
      <c r="H303" s="53"/>
      <c r="I303" s="53"/>
      <c r="J303" s="44" t="str">
        <f t="array" ref="J303">IF(G303="","",IFERROR(LET(ev_cost,INDEX(Events!$G$5:$G$506,MATCH(G303,Events!$A$5:$A$506,0)),ev_split,INDEX(Events!$I$5:$I$506,MATCH(G303,Events!$A$5:$A$506,0)),att_offset,MATCH(G303,Attendance!$B$3:$AY$3,0),attendees,COUNTIF(INDEX(Attendance!$B$7:$AY$206,0,att_offset),"1"),IF(ev_split="Equal Split",ev_cost/MAX(1,COUNTA(Roster!$A$5:$A$204)),ev_cost/MAX(1,attendees))),"N/A"))</f>
        <v/>
      </c>
    </row>
    <row r="304" ht="19.5" customHeight="1">
      <c r="A304" s="46"/>
      <c r="B304" s="49"/>
      <c r="C304" s="49"/>
      <c r="D304" s="49"/>
      <c r="E304" s="49"/>
      <c r="F304" s="54"/>
      <c r="G304" s="49"/>
      <c r="H304" s="49"/>
      <c r="I304" s="49"/>
      <c r="J304" s="44" t="str">
        <f t="array" ref="J304">IF(G304="","",IFERROR(LET(ev_cost,INDEX(Events!$G$5:$G$506,MATCH(G304,Events!$A$5:$A$506,0)),ev_split,INDEX(Events!$I$5:$I$506,MATCH(G304,Events!$A$5:$A$506,0)),att_offset,MATCH(G304,Attendance!$B$3:$AY$3,0),attendees,COUNTIF(INDEX(Attendance!$B$7:$AY$206,0,att_offset),"1"),IF(ev_split="Equal Split",ev_cost/MAX(1,COUNTA(Roster!$A$5:$A$204)),ev_cost/MAX(1,attendees))),"N/A"))</f>
        <v/>
      </c>
    </row>
    <row r="305" ht="19.5" customHeight="1">
      <c r="A305" s="50"/>
      <c r="B305" s="53"/>
      <c r="C305" s="53"/>
      <c r="D305" s="53"/>
      <c r="E305" s="53"/>
      <c r="F305" s="55"/>
      <c r="G305" s="53"/>
      <c r="H305" s="53"/>
      <c r="I305" s="53"/>
      <c r="J305" s="44" t="str">
        <f t="array" ref="J305">IF(G305="","",IFERROR(LET(ev_cost,INDEX(Events!$G$5:$G$506,MATCH(G305,Events!$A$5:$A$506,0)),ev_split,INDEX(Events!$I$5:$I$506,MATCH(G305,Events!$A$5:$A$506,0)),att_offset,MATCH(G305,Attendance!$B$3:$AY$3,0),attendees,COUNTIF(INDEX(Attendance!$B$7:$AY$206,0,att_offset),"1"),IF(ev_split="Equal Split",ev_cost/MAX(1,COUNTA(Roster!$A$5:$A$204)),ev_cost/MAX(1,attendees))),"N/A"))</f>
        <v/>
      </c>
    </row>
    <row r="306" ht="19.5" customHeight="1">
      <c r="A306" s="46"/>
      <c r="B306" s="49"/>
      <c r="C306" s="49"/>
      <c r="D306" s="49"/>
      <c r="E306" s="49"/>
      <c r="F306" s="54"/>
      <c r="G306" s="49"/>
      <c r="H306" s="49"/>
      <c r="I306" s="49"/>
      <c r="J306" s="44" t="str">
        <f t="array" ref="J306">IF(G306="","",IFERROR(LET(ev_cost,INDEX(Events!$G$5:$G$506,MATCH(G306,Events!$A$5:$A$506,0)),ev_split,INDEX(Events!$I$5:$I$506,MATCH(G306,Events!$A$5:$A$506,0)),att_offset,MATCH(G306,Attendance!$B$3:$AY$3,0),attendees,COUNTIF(INDEX(Attendance!$B$7:$AY$206,0,att_offset),"1"),IF(ev_split="Equal Split",ev_cost/MAX(1,COUNTA(Roster!$A$5:$A$204)),ev_cost/MAX(1,attendees))),"N/A"))</f>
        <v/>
      </c>
    </row>
    <row r="307" ht="19.5" customHeight="1">
      <c r="A307" s="50"/>
      <c r="B307" s="53"/>
      <c r="C307" s="53"/>
      <c r="D307" s="53"/>
      <c r="E307" s="53"/>
      <c r="F307" s="55"/>
      <c r="G307" s="53"/>
      <c r="H307" s="53"/>
      <c r="I307" s="53"/>
      <c r="J307" s="44" t="str">
        <f t="array" ref="J307">IF(G307="","",IFERROR(LET(ev_cost,INDEX(Events!$G$5:$G$506,MATCH(G307,Events!$A$5:$A$506,0)),ev_split,INDEX(Events!$I$5:$I$506,MATCH(G307,Events!$A$5:$A$506,0)),att_offset,MATCH(G307,Attendance!$B$3:$AY$3,0),attendees,COUNTIF(INDEX(Attendance!$B$7:$AY$206,0,att_offset),"1"),IF(ev_split="Equal Split",ev_cost/MAX(1,COUNTA(Roster!$A$5:$A$204)),ev_cost/MAX(1,attendees))),"N/A"))</f>
        <v/>
      </c>
    </row>
    <row r="308" ht="19.5" customHeight="1">
      <c r="A308" s="46"/>
      <c r="B308" s="49"/>
      <c r="C308" s="49"/>
      <c r="D308" s="49"/>
      <c r="E308" s="49"/>
      <c r="F308" s="54"/>
      <c r="G308" s="49"/>
      <c r="H308" s="49"/>
      <c r="I308" s="49"/>
      <c r="J308" s="44" t="str">
        <f t="array" ref="J308">IF(G308="","",IFERROR(LET(ev_cost,INDEX(Events!$G$5:$G$506,MATCH(G308,Events!$A$5:$A$506,0)),ev_split,INDEX(Events!$I$5:$I$506,MATCH(G308,Events!$A$5:$A$506,0)),att_offset,MATCH(G308,Attendance!$B$3:$AY$3,0),attendees,COUNTIF(INDEX(Attendance!$B$7:$AY$206,0,att_offset),"1"),IF(ev_split="Equal Split",ev_cost/MAX(1,COUNTA(Roster!$A$5:$A$204)),ev_cost/MAX(1,attendees))),"N/A"))</f>
        <v/>
      </c>
    </row>
    <row r="309" ht="19.5" customHeight="1">
      <c r="A309" s="50"/>
      <c r="B309" s="53"/>
      <c r="C309" s="53"/>
      <c r="D309" s="53"/>
      <c r="E309" s="53"/>
      <c r="F309" s="55"/>
      <c r="G309" s="53"/>
      <c r="H309" s="53"/>
      <c r="I309" s="53"/>
      <c r="J309" s="44" t="str">
        <f t="array" ref="J309">IF(G309="","",IFERROR(LET(ev_cost,INDEX(Events!$G$5:$G$506,MATCH(G309,Events!$A$5:$A$506,0)),ev_split,INDEX(Events!$I$5:$I$506,MATCH(G309,Events!$A$5:$A$506,0)),att_offset,MATCH(G309,Attendance!$B$3:$AY$3,0),attendees,COUNTIF(INDEX(Attendance!$B$7:$AY$206,0,att_offset),"1"),IF(ev_split="Equal Split",ev_cost/MAX(1,COUNTA(Roster!$A$5:$A$204)),ev_cost/MAX(1,attendees))),"N/A"))</f>
        <v/>
      </c>
    </row>
    <row r="310" ht="19.5" customHeight="1">
      <c r="A310" s="46"/>
      <c r="B310" s="49"/>
      <c r="C310" s="49"/>
      <c r="D310" s="49"/>
      <c r="E310" s="49"/>
      <c r="F310" s="54"/>
      <c r="G310" s="49"/>
      <c r="H310" s="49"/>
      <c r="I310" s="49"/>
      <c r="J310" s="44" t="str">
        <f t="array" ref="J310">IF(G310="","",IFERROR(LET(ev_cost,INDEX(Events!$G$5:$G$506,MATCH(G310,Events!$A$5:$A$506,0)),ev_split,INDEX(Events!$I$5:$I$506,MATCH(G310,Events!$A$5:$A$506,0)),att_offset,MATCH(G310,Attendance!$B$3:$AY$3,0),attendees,COUNTIF(INDEX(Attendance!$B$7:$AY$206,0,att_offset),"1"),IF(ev_split="Equal Split",ev_cost/MAX(1,COUNTA(Roster!$A$5:$A$204)),ev_cost/MAX(1,attendees))),"N/A"))</f>
        <v/>
      </c>
    </row>
    <row r="311" ht="19.5" customHeight="1">
      <c r="A311" s="50"/>
      <c r="B311" s="53"/>
      <c r="C311" s="53"/>
      <c r="D311" s="53"/>
      <c r="E311" s="53"/>
      <c r="F311" s="55"/>
      <c r="G311" s="53"/>
      <c r="H311" s="53"/>
      <c r="I311" s="53"/>
      <c r="J311" s="44" t="str">
        <f t="array" ref="J311">IF(G311="","",IFERROR(LET(ev_cost,INDEX(Events!$G$5:$G$506,MATCH(G311,Events!$A$5:$A$506,0)),ev_split,INDEX(Events!$I$5:$I$506,MATCH(G311,Events!$A$5:$A$506,0)),att_offset,MATCH(G311,Attendance!$B$3:$AY$3,0),attendees,COUNTIF(INDEX(Attendance!$B$7:$AY$206,0,att_offset),"1"),IF(ev_split="Equal Split",ev_cost/MAX(1,COUNTA(Roster!$A$5:$A$204)),ev_cost/MAX(1,attendees))),"N/A"))</f>
        <v/>
      </c>
    </row>
    <row r="312" ht="19.5" customHeight="1">
      <c r="A312" s="46"/>
      <c r="B312" s="49"/>
      <c r="C312" s="49"/>
      <c r="D312" s="49"/>
      <c r="E312" s="49"/>
      <c r="F312" s="54"/>
      <c r="G312" s="49"/>
      <c r="H312" s="49"/>
      <c r="I312" s="49"/>
      <c r="J312" s="44" t="str">
        <f t="array" ref="J312">IF(G312="","",IFERROR(LET(ev_cost,INDEX(Events!$G$5:$G$506,MATCH(G312,Events!$A$5:$A$506,0)),ev_split,INDEX(Events!$I$5:$I$506,MATCH(G312,Events!$A$5:$A$506,0)),att_offset,MATCH(G312,Attendance!$B$3:$AY$3,0),attendees,COUNTIF(INDEX(Attendance!$B$7:$AY$206,0,att_offset),"1"),IF(ev_split="Equal Split",ev_cost/MAX(1,COUNTA(Roster!$A$5:$A$204)),ev_cost/MAX(1,attendees))),"N/A"))</f>
        <v/>
      </c>
    </row>
    <row r="313" ht="19.5" customHeight="1">
      <c r="A313" s="50"/>
      <c r="B313" s="53"/>
      <c r="C313" s="53"/>
      <c r="D313" s="53"/>
      <c r="E313" s="53"/>
      <c r="F313" s="55"/>
      <c r="G313" s="53"/>
      <c r="H313" s="53"/>
      <c r="I313" s="53"/>
      <c r="J313" s="44" t="str">
        <f t="array" ref="J313">IF(G313="","",IFERROR(LET(ev_cost,INDEX(Events!$G$5:$G$506,MATCH(G313,Events!$A$5:$A$506,0)),ev_split,INDEX(Events!$I$5:$I$506,MATCH(G313,Events!$A$5:$A$506,0)),att_offset,MATCH(G313,Attendance!$B$3:$AY$3,0),attendees,COUNTIF(INDEX(Attendance!$B$7:$AY$206,0,att_offset),"1"),IF(ev_split="Equal Split",ev_cost/MAX(1,COUNTA(Roster!$A$5:$A$204)),ev_cost/MAX(1,attendees))),"N/A"))</f>
        <v/>
      </c>
    </row>
    <row r="314" ht="19.5" customHeight="1">
      <c r="A314" s="46"/>
      <c r="B314" s="49"/>
      <c r="C314" s="49"/>
      <c r="D314" s="49"/>
      <c r="E314" s="49"/>
      <c r="F314" s="54"/>
      <c r="G314" s="49"/>
      <c r="H314" s="49"/>
      <c r="I314" s="49"/>
      <c r="J314" s="44" t="str">
        <f t="array" ref="J314">IF(G314="","",IFERROR(LET(ev_cost,INDEX(Events!$G$5:$G$506,MATCH(G314,Events!$A$5:$A$506,0)),ev_split,INDEX(Events!$I$5:$I$506,MATCH(G314,Events!$A$5:$A$506,0)),att_offset,MATCH(G314,Attendance!$B$3:$AY$3,0),attendees,COUNTIF(INDEX(Attendance!$B$7:$AY$206,0,att_offset),"1"),IF(ev_split="Equal Split",ev_cost/MAX(1,COUNTA(Roster!$A$5:$A$204)),ev_cost/MAX(1,attendees))),"N/A"))</f>
        <v/>
      </c>
    </row>
    <row r="315" ht="19.5" customHeight="1">
      <c r="A315" s="50"/>
      <c r="B315" s="53"/>
      <c r="C315" s="53"/>
      <c r="D315" s="53"/>
      <c r="E315" s="53"/>
      <c r="F315" s="55"/>
      <c r="G315" s="53"/>
      <c r="H315" s="53"/>
      <c r="I315" s="53"/>
      <c r="J315" s="44" t="str">
        <f t="array" ref="J315">IF(G315="","",IFERROR(LET(ev_cost,INDEX(Events!$G$5:$G$506,MATCH(G315,Events!$A$5:$A$506,0)),ev_split,INDEX(Events!$I$5:$I$506,MATCH(G315,Events!$A$5:$A$506,0)),att_offset,MATCH(G315,Attendance!$B$3:$AY$3,0),attendees,COUNTIF(INDEX(Attendance!$B$7:$AY$206,0,att_offset),"1"),IF(ev_split="Equal Split",ev_cost/MAX(1,COUNTA(Roster!$A$5:$A$204)),ev_cost/MAX(1,attendees))),"N/A"))</f>
        <v/>
      </c>
    </row>
    <row r="316" ht="19.5" customHeight="1">
      <c r="A316" s="46"/>
      <c r="B316" s="49"/>
      <c r="C316" s="49"/>
      <c r="D316" s="49"/>
      <c r="E316" s="49"/>
      <c r="F316" s="54"/>
      <c r="G316" s="49"/>
      <c r="H316" s="49"/>
      <c r="I316" s="49"/>
      <c r="J316" s="44" t="str">
        <f t="array" ref="J316">IF(G316="","",IFERROR(LET(ev_cost,INDEX(Events!$G$5:$G$506,MATCH(G316,Events!$A$5:$A$506,0)),ev_split,INDEX(Events!$I$5:$I$506,MATCH(G316,Events!$A$5:$A$506,0)),att_offset,MATCH(G316,Attendance!$B$3:$AY$3,0),attendees,COUNTIF(INDEX(Attendance!$B$7:$AY$206,0,att_offset),"1"),IF(ev_split="Equal Split",ev_cost/MAX(1,COUNTA(Roster!$A$5:$A$204)),ev_cost/MAX(1,attendees))),"N/A"))</f>
        <v/>
      </c>
    </row>
    <row r="317" ht="19.5" customHeight="1">
      <c r="A317" s="50"/>
      <c r="B317" s="53"/>
      <c r="C317" s="53"/>
      <c r="D317" s="53"/>
      <c r="E317" s="53"/>
      <c r="F317" s="55"/>
      <c r="G317" s="53"/>
      <c r="H317" s="53"/>
      <c r="I317" s="53"/>
      <c r="J317" s="44" t="str">
        <f t="array" ref="J317">IF(G317="","",IFERROR(LET(ev_cost,INDEX(Events!$G$5:$G$506,MATCH(G317,Events!$A$5:$A$506,0)),ev_split,INDEX(Events!$I$5:$I$506,MATCH(G317,Events!$A$5:$A$506,0)),att_offset,MATCH(G317,Attendance!$B$3:$AY$3,0),attendees,COUNTIF(INDEX(Attendance!$B$7:$AY$206,0,att_offset),"1"),IF(ev_split="Equal Split",ev_cost/MAX(1,COUNTA(Roster!$A$5:$A$204)),ev_cost/MAX(1,attendees))),"N/A"))</f>
        <v/>
      </c>
    </row>
    <row r="318" ht="19.5" customHeight="1">
      <c r="A318" s="46"/>
      <c r="B318" s="49"/>
      <c r="C318" s="49"/>
      <c r="D318" s="49"/>
      <c r="E318" s="49"/>
      <c r="F318" s="54"/>
      <c r="G318" s="49"/>
      <c r="H318" s="49"/>
      <c r="I318" s="49"/>
      <c r="J318" s="44" t="str">
        <f t="array" ref="J318">IF(G318="","",IFERROR(LET(ev_cost,INDEX(Events!$G$5:$G$506,MATCH(G318,Events!$A$5:$A$506,0)),ev_split,INDEX(Events!$I$5:$I$506,MATCH(G318,Events!$A$5:$A$506,0)),att_offset,MATCH(G318,Attendance!$B$3:$AY$3,0),attendees,COUNTIF(INDEX(Attendance!$B$7:$AY$206,0,att_offset),"1"),IF(ev_split="Equal Split",ev_cost/MAX(1,COUNTA(Roster!$A$5:$A$204)),ev_cost/MAX(1,attendees))),"N/A"))</f>
        <v/>
      </c>
    </row>
    <row r="319" ht="19.5" customHeight="1">
      <c r="A319" s="50"/>
      <c r="B319" s="53"/>
      <c r="C319" s="53"/>
      <c r="D319" s="53"/>
      <c r="E319" s="53"/>
      <c r="F319" s="55"/>
      <c r="G319" s="53"/>
      <c r="H319" s="53"/>
      <c r="I319" s="53"/>
      <c r="J319" s="44" t="str">
        <f t="array" ref="J319">IF(G319="","",IFERROR(LET(ev_cost,INDEX(Events!$G$5:$G$506,MATCH(G319,Events!$A$5:$A$506,0)),ev_split,INDEX(Events!$I$5:$I$506,MATCH(G319,Events!$A$5:$A$506,0)),att_offset,MATCH(G319,Attendance!$B$3:$AY$3,0),attendees,COUNTIF(INDEX(Attendance!$B$7:$AY$206,0,att_offset),"1"),IF(ev_split="Equal Split",ev_cost/MAX(1,COUNTA(Roster!$A$5:$A$204)),ev_cost/MAX(1,attendees))),"N/A"))</f>
        <v/>
      </c>
    </row>
    <row r="320" ht="19.5" customHeight="1">
      <c r="A320" s="46"/>
      <c r="B320" s="49"/>
      <c r="C320" s="49"/>
      <c r="D320" s="49"/>
      <c r="E320" s="49"/>
      <c r="F320" s="54"/>
      <c r="G320" s="49"/>
      <c r="H320" s="49"/>
      <c r="I320" s="49"/>
      <c r="J320" s="44" t="str">
        <f t="array" ref="J320">IF(G320="","",IFERROR(LET(ev_cost,INDEX(Events!$G$5:$G$506,MATCH(G320,Events!$A$5:$A$506,0)),ev_split,INDEX(Events!$I$5:$I$506,MATCH(G320,Events!$A$5:$A$506,0)),att_offset,MATCH(G320,Attendance!$B$3:$AY$3,0),attendees,COUNTIF(INDEX(Attendance!$B$7:$AY$206,0,att_offset),"1"),IF(ev_split="Equal Split",ev_cost/MAX(1,COUNTA(Roster!$A$5:$A$204)),ev_cost/MAX(1,attendees))),"N/A"))</f>
        <v/>
      </c>
    </row>
    <row r="321" ht="19.5" customHeight="1">
      <c r="A321" s="50"/>
      <c r="B321" s="53"/>
      <c r="C321" s="53"/>
      <c r="D321" s="53"/>
      <c r="E321" s="53"/>
      <c r="F321" s="55"/>
      <c r="G321" s="53"/>
      <c r="H321" s="53"/>
      <c r="I321" s="53"/>
      <c r="J321" s="44" t="str">
        <f t="array" ref="J321">IF(G321="","",IFERROR(LET(ev_cost,INDEX(Events!$G$5:$G$506,MATCH(G321,Events!$A$5:$A$506,0)),ev_split,INDEX(Events!$I$5:$I$506,MATCH(G321,Events!$A$5:$A$506,0)),att_offset,MATCH(G321,Attendance!$B$3:$AY$3,0),attendees,COUNTIF(INDEX(Attendance!$B$7:$AY$206,0,att_offset),"1"),IF(ev_split="Equal Split",ev_cost/MAX(1,COUNTA(Roster!$A$5:$A$204)),ev_cost/MAX(1,attendees))),"N/A"))</f>
        <v/>
      </c>
    </row>
    <row r="322" ht="19.5" customHeight="1">
      <c r="A322" s="46"/>
      <c r="B322" s="49"/>
      <c r="C322" s="49"/>
      <c r="D322" s="49"/>
      <c r="E322" s="49"/>
      <c r="F322" s="54"/>
      <c r="G322" s="49"/>
      <c r="H322" s="49"/>
      <c r="I322" s="49"/>
      <c r="J322" s="44" t="str">
        <f t="array" ref="J322">IF(G322="","",IFERROR(LET(ev_cost,INDEX(Events!$G$5:$G$506,MATCH(G322,Events!$A$5:$A$506,0)),ev_split,INDEX(Events!$I$5:$I$506,MATCH(G322,Events!$A$5:$A$506,0)),att_offset,MATCH(G322,Attendance!$B$3:$AY$3,0),attendees,COUNTIF(INDEX(Attendance!$B$7:$AY$206,0,att_offset),"1"),IF(ev_split="Equal Split",ev_cost/MAX(1,COUNTA(Roster!$A$5:$A$204)),ev_cost/MAX(1,attendees))),"N/A"))</f>
        <v/>
      </c>
    </row>
    <row r="323" ht="19.5" customHeight="1">
      <c r="A323" s="50"/>
      <c r="B323" s="53"/>
      <c r="C323" s="53"/>
      <c r="D323" s="53"/>
      <c r="E323" s="53"/>
      <c r="F323" s="55"/>
      <c r="G323" s="53"/>
      <c r="H323" s="53"/>
      <c r="I323" s="53"/>
      <c r="J323" s="44" t="str">
        <f t="array" ref="J323">IF(G323="","",IFERROR(LET(ev_cost,INDEX(Events!$G$5:$G$506,MATCH(G323,Events!$A$5:$A$506,0)),ev_split,INDEX(Events!$I$5:$I$506,MATCH(G323,Events!$A$5:$A$506,0)),att_offset,MATCH(G323,Attendance!$B$3:$AY$3,0),attendees,COUNTIF(INDEX(Attendance!$B$7:$AY$206,0,att_offset),"1"),IF(ev_split="Equal Split",ev_cost/MAX(1,COUNTA(Roster!$A$5:$A$204)),ev_cost/MAX(1,attendees))),"N/A"))</f>
        <v/>
      </c>
    </row>
    <row r="324" ht="19.5" customHeight="1">
      <c r="A324" s="46"/>
      <c r="B324" s="49"/>
      <c r="C324" s="49"/>
      <c r="D324" s="49"/>
      <c r="E324" s="49"/>
      <c r="F324" s="54"/>
      <c r="G324" s="49"/>
      <c r="H324" s="49"/>
      <c r="I324" s="49"/>
      <c r="J324" s="44" t="str">
        <f t="array" ref="J324">IF(G324="","",IFERROR(LET(ev_cost,INDEX(Events!$G$5:$G$506,MATCH(G324,Events!$A$5:$A$506,0)),ev_split,INDEX(Events!$I$5:$I$506,MATCH(G324,Events!$A$5:$A$506,0)),att_offset,MATCH(G324,Attendance!$B$3:$AY$3,0),attendees,COUNTIF(INDEX(Attendance!$B$7:$AY$206,0,att_offset),"1"),IF(ev_split="Equal Split",ev_cost/MAX(1,COUNTA(Roster!$A$5:$A$204)),ev_cost/MAX(1,attendees))),"N/A"))</f>
        <v/>
      </c>
    </row>
    <row r="325" ht="19.5" customHeight="1">
      <c r="A325" s="50"/>
      <c r="B325" s="53"/>
      <c r="C325" s="53"/>
      <c r="D325" s="53"/>
      <c r="E325" s="53"/>
      <c r="F325" s="55"/>
      <c r="G325" s="53"/>
      <c r="H325" s="53"/>
      <c r="I325" s="53"/>
      <c r="J325" s="44" t="str">
        <f t="array" ref="J325">IF(G325="","",IFERROR(LET(ev_cost,INDEX(Events!$G$5:$G$506,MATCH(G325,Events!$A$5:$A$506,0)),ev_split,INDEX(Events!$I$5:$I$506,MATCH(G325,Events!$A$5:$A$506,0)),att_offset,MATCH(G325,Attendance!$B$3:$AY$3,0),attendees,COUNTIF(INDEX(Attendance!$B$7:$AY$206,0,att_offset),"1"),IF(ev_split="Equal Split",ev_cost/MAX(1,COUNTA(Roster!$A$5:$A$204)),ev_cost/MAX(1,attendees))),"N/A"))</f>
        <v/>
      </c>
    </row>
    <row r="326" ht="19.5" customHeight="1">
      <c r="A326" s="46"/>
      <c r="B326" s="49"/>
      <c r="C326" s="49"/>
      <c r="D326" s="49"/>
      <c r="E326" s="49"/>
      <c r="F326" s="54"/>
      <c r="G326" s="49"/>
      <c r="H326" s="49"/>
      <c r="I326" s="49"/>
      <c r="J326" s="44" t="str">
        <f t="array" ref="J326">IF(G326="","",IFERROR(LET(ev_cost,INDEX(Events!$G$5:$G$506,MATCH(G326,Events!$A$5:$A$506,0)),ev_split,INDEX(Events!$I$5:$I$506,MATCH(G326,Events!$A$5:$A$506,0)),att_offset,MATCH(G326,Attendance!$B$3:$AY$3,0),attendees,COUNTIF(INDEX(Attendance!$B$7:$AY$206,0,att_offset),"1"),IF(ev_split="Equal Split",ev_cost/MAX(1,COUNTA(Roster!$A$5:$A$204)),ev_cost/MAX(1,attendees))),"N/A"))</f>
        <v/>
      </c>
    </row>
    <row r="327" ht="19.5" customHeight="1">
      <c r="A327" s="50"/>
      <c r="B327" s="53"/>
      <c r="C327" s="53"/>
      <c r="D327" s="53"/>
      <c r="E327" s="53"/>
      <c r="F327" s="55"/>
      <c r="G327" s="53"/>
      <c r="H327" s="53"/>
      <c r="I327" s="53"/>
      <c r="J327" s="44" t="str">
        <f t="array" ref="J327">IF(G327="","",IFERROR(LET(ev_cost,INDEX(Events!$G$5:$G$506,MATCH(G327,Events!$A$5:$A$506,0)),ev_split,INDEX(Events!$I$5:$I$506,MATCH(G327,Events!$A$5:$A$506,0)),att_offset,MATCH(G327,Attendance!$B$3:$AY$3,0),attendees,COUNTIF(INDEX(Attendance!$B$7:$AY$206,0,att_offset),"1"),IF(ev_split="Equal Split",ev_cost/MAX(1,COUNTA(Roster!$A$5:$A$204)),ev_cost/MAX(1,attendees))),"N/A"))</f>
        <v/>
      </c>
    </row>
    <row r="328" ht="19.5" customHeight="1">
      <c r="A328" s="46"/>
      <c r="B328" s="49"/>
      <c r="C328" s="49"/>
      <c r="D328" s="49"/>
      <c r="E328" s="49"/>
      <c r="F328" s="54"/>
      <c r="G328" s="49"/>
      <c r="H328" s="49"/>
      <c r="I328" s="49"/>
      <c r="J328" s="44" t="str">
        <f t="array" ref="J328">IF(G328="","",IFERROR(LET(ev_cost,INDEX(Events!$G$5:$G$506,MATCH(G328,Events!$A$5:$A$506,0)),ev_split,INDEX(Events!$I$5:$I$506,MATCH(G328,Events!$A$5:$A$506,0)),att_offset,MATCH(G328,Attendance!$B$3:$AY$3,0),attendees,COUNTIF(INDEX(Attendance!$B$7:$AY$206,0,att_offset),"1"),IF(ev_split="Equal Split",ev_cost/MAX(1,COUNTA(Roster!$A$5:$A$204)),ev_cost/MAX(1,attendees))),"N/A"))</f>
        <v/>
      </c>
    </row>
    <row r="329" ht="19.5" customHeight="1">
      <c r="A329" s="50"/>
      <c r="B329" s="53"/>
      <c r="C329" s="53"/>
      <c r="D329" s="53"/>
      <c r="E329" s="53"/>
      <c r="F329" s="55"/>
      <c r="G329" s="53"/>
      <c r="H329" s="53"/>
      <c r="I329" s="53"/>
      <c r="J329" s="44" t="str">
        <f t="array" ref="J329">IF(G329="","",IFERROR(LET(ev_cost,INDEX(Events!$G$5:$G$506,MATCH(G329,Events!$A$5:$A$506,0)),ev_split,INDEX(Events!$I$5:$I$506,MATCH(G329,Events!$A$5:$A$506,0)),att_offset,MATCH(G329,Attendance!$B$3:$AY$3,0),attendees,COUNTIF(INDEX(Attendance!$B$7:$AY$206,0,att_offset),"1"),IF(ev_split="Equal Split",ev_cost/MAX(1,COUNTA(Roster!$A$5:$A$204)),ev_cost/MAX(1,attendees))),"N/A"))</f>
        <v/>
      </c>
    </row>
    <row r="330" ht="19.5" customHeight="1">
      <c r="A330" s="46"/>
      <c r="B330" s="49"/>
      <c r="C330" s="49"/>
      <c r="D330" s="49"/>
      <c r="E330" s="49"/>
      <c r="F330" s="54"/>
      <c r="G330" s="49"/>
      <c r="H330" s="49"/>
      <c r="I330" s="49"/>
      <c r="J330" s="44" t="str">
        <f t="array" ref="J330">IF(G330="","",IFERROR(LET(ev_cost,INDEX(Events!$G$5:$G$506,MATCH(G330,Events!$A$5:$A$506,0)),ev_split,INDEX(Events!$I$5:$I$506,MATCH(G330,Events!$A$5:$A$506,0)),att_offset,MATCH(G330,Attendance!$B$3:$AY$3,0),attendees,COUNTIF(INDEX(Attendance!$B$7:$AY$206,0,att_offset),"1"),IF(ev_split="Equal Split",ev_cost/MAX(1,COUNTA(Roster!$A$5:$A$204)),ev_cost/MAX(1,attendees))),"N/A"))</f>
        <v/>
      </c>
    </row>
    <row r="331" ht="19.5" customHeight="1">
      <c r="A331" s="50"/>
      <c r="B331" s="53"/>
      <c r="C331" s="53"/>
      <c r="D331" s="53"/>
      <c r="E331" s="53"/>
      <c r="F331" s="55"/>
      <c r="G331" s="53"/>
      <c r="H331" s="53"/>
      <c r="I331" s="53"/>
      <c r="J331" s="44" t="str">
        <f t="array" ref="J331">IF(G331="","",IFERROR(LET(ev_cost,INDEX(Events!$G$5:$G$506,MATCH(G331,Events!$A$5:$A$506,0)),ev_split,INDEX(Events!$I$5:$I$506,MATCH(G331,Events!$A$5:$A$506,0)),att_offset,MATCH(G331,Attendance!$B$3:$AY$3,0),attendees,COUNTIF(INDEX(Attendance!$B$7:$AY$206,0,att_offset),"1"),IF(ev_split="Equal Split",ev_cost/MAX(1,COUNTA(Roster!$A$5:$A$204)),ev_cost/MAX(1,attendees))),"N/A"))</f>
        <v/>
      </c>
    </row>
    <row r="332" ht="19.5" customHeight="1">
      <c r="A332" s="46"/>
      <c r="B332" s="49"/>
      <c r="C332" s="49"/>
      <c r="D332" s="49"/>
      <c r="E332" s="49"/>
      <c r="F332" s="54"/>
      <c r="G332" s="49"/>
      <c r="H332" s="49"/>
      <c r="I332" s="49"/>
      <c r="J332" s="44" t="str">
        <f t="array" ref="J332">IF(G332="","",IFERROR(LET(ev_cost,INDEX(Events!$G$5:$G$506,MATCH(G332,Events!$A$5:$A$506,0)),ev_split,INDEX(Events!$I$5:$I$506,MATCH(G332,Events!$A$5:$A$506,0)),att_offset,MATCH(G332,Attendance!$B$3:$AY$3,0),attendees,COUNTIF(INDEX(Attendance!$B$7:$AY$206,0,att_offset),"1"),IF(ev_split="Equal Split",ev_cost/MAX(1,COUNTA(Roster!$A$5:$A$204)),ev_cost/MAX(1,attendees))),"N/A"))</f>
        <v/>
      </c>
    </row>
    <row r="333" ht="19.5" customHeight="1">
      <c r="A333" s="50"/>
      <c r="B333" s="53"/>
      <c r="C333" s="53"/>
      <c r="D333" s="53"/>
      <c r="E333" s="53"/>
      <c r="F333" s="55"/>
      <c r="G333" s="53"/>
      <c r="H333" s="53"/>
      <c r="I333" s="53"/>
      <c r="J333" s="44" t="str">
        <f t="array" ref="J333">IF(G333="","",IFERROR(LET(ev_cost,INDEX(Events!$G$5:$G$506,MATCH(G333,Events!$A$5:$A$506,0)),ev_split,INDEX(Events!$I$5:$I$506,MATCH(G333,Events!$A$5:$A$506,0)),att_offset,MATCH(G333,Attendance!$B$3:$AY$3,0),attendees,COUNTIF(INDEX(Attendance!$B$7:$AY$206,0,att_offset),"1"),IF(ev_split="Equal Split",ev_cost/MAX(1,COUNTA(Roster!$A$5:$A$204)),ev_cost/MAX(1,attendees))),"N/A"))</f>
        <v/>
      </c>
    </row>
    <row r="334" ht="19.5" customHeight="1">
      <c r="A334" s="46"/>
      <c r="B334" s="49"/>
      <c r="C334" s="49"/>
      <c r="D334" s="49"/>
      <c r="E334" s="49"/>
      <c r="F334" s="54"/>
      <c r="G334" s="49"/>
      <c r="H334" s="49"/>
      <c r="I334" s="49"/>
      <c r="J334" s="44" t="str">
        <f t="array" ref="J334">IF(G334="","",IFERROR(LET(ev_cost,INDEX(Events!$G$5:$G$506,MATCH(G334,Events!$A$5:$A$506,0)),ev_split,INDEX(Events!$I$5:$I$506,MATCH(G334,Events!$A$5:$A$506,0)),att_offset,MATCH(G334,Attendance!$B$3:$AY$3,0),attendees,COUNTIF(INDEX(Attendance!$B$7:$AY$206,0,att_offset),"1"),IF(ev_split="Equal Split",ev_cost/MAX(1,COUNTA(Roster!$A$5:$A$204)),ev_cost/MAX(1,attendees))),"N/A"))</f>
        <v/>
      </c>
    </row>
    <row r="335" ht="19.5" customHeight="1">
      <c r="A335" s="50"/>
      <c r="B335" s="53"/>
      <c r="C335" s="53"/>
      <c r="D335" s="53"/>
      <c r="E335" s="53"/>
      <c r="F335" s="55"/>
      <c r="G335" s="53"/>
      <c r="H335" s="53"/>
      <c r="I335" s="53"/>
      <c r="J335" s="44" t="str">
        <f t="array" ref="J335">IF(G335="","",IFERROR(LET(ev_cost,INDEX(Events!$G$5:$G$506,MATCH(G335,Events!$A$5:$A$506,0)),ev_split,INDEX(Events!$I$5:$I$506,MATCH(G335,Events!$A$5:$A$506,0)),att_offset,MATCH(G335,Attendance!$B$3:$AY$3,0),attendees,COUNTIF(INDEX(Attendance!$B$7:$AY$206,0,att_offset),"1"),IF(ev_split="Equal Split",ev_cost/MAX(1,COUNTA(Roster!$A$5:$A$204)),ev_cost/MAX(1,attendees))),"N/A"))</f>
        <v/>
      </c>
    </row>
    <row r="336" ht="19.5" customHeight="1">
      <c r="A336" s="46"/>
      <c r="B336" s="49"/>
      <c r="C336" s="49"/>
      <c r="D336" s="49"/>
      <c r="E336" s="49"/>
      <c r="F336" s="54"/>
      <c r="G336" s="49"/>
      <c r="H336" s="49"/>
      <c r="I336" s="49"/>
      <c r="J336" s="44" t="str">
        <f t="array" ref="J336">IF(G336="","",IFERROR(LET(ev_cost,INDEX(Events!$G$5:$G$506,MATCH(G336,Events!$A$5:$A$506,0)),ev_split,INDEX(Events!$I$5:$I$506,MATCH(G336,Events!$A$5:$A$506,0)),att_offset,MATCH(G336,Attendance!$B$3:$AY$3,0),attendees,COUNTIF(INDEX(Attendance!$B$7:$AY$206,0,att_offset),"1"),IF(ev_split="Equal Split",ev_cost/MAX(1,COUNTA(Roster!$A$5:$A$204)),ev_cost/MAX(1,attendees))),"N/A"))</f>
        <v/>
      </c>
    </row>
    <row r="337" ht="19.5" customHeight="1">
      <c r="A337" s="50"/>
      <c r="B337" s="53"/>
      <c r="C337" s="53"/>
      <c r="D337" s="53"/>
      <c r="E337" s="53"/>
      <c r="F337" s="55"/>
      <c r="G337" s="53"/>
      <c r="H337" s="53"/>
      <c r="I337" s="53"/>
      <c r="J337" s="44" t="str">
        <f t="array" ref="J337">IF(G337="","",IFERROR(LET(ev_cost,INDEX(Events!$G$5:$G$506,MATCH(G337,Events!$A$5:$A$506,0)),ev_split,INDEX(Events!$I$5:$I$506,MATCH(G337,Events!$A$5:$A$506,0)),att_offset,MATCH(G337,Attendance!$B$3:$AY$3,0),attendees,COUNTIF(INDEX(Attendance!$B$7:$AY$206,0,att_offset),"1"),IF(ev_split="Equal Split",ev_cost/MAX(1,COUNTA(Roster!$A$5:$A$204)),ev_cost/MAX(1,attendees))),"N/A"))</f>
        <v/>
      </c>
    </row>
    <row r="338" ht="19.5" customHeight="1">
      <c r="A338" s="46"/>
      <c r="B338" s="49"/>
      <c r="C338" s="49"/>
      <c r="D338" s="49"/>
      <c r="E338" s="49"/>
      <c r="F338" s="54"/>
      <c r="G338" s="49"/>
      <c r="H338" s="49"/>
      <c r="I338" s="49"/>
      <c r="J338" s="44" t="str">
        <f t="array" ref="J338">IF(G338="","",IFERROR(LET(ev_cost,INDEX(Events!$G$5:$G$506,MATCH(G338,Events!$A$5:$A$506,0)),ev_split,INDEX(Events!$I$5:$I$506,MATCH(G338,Events!$A$5:$A$506,0)),att_offset,MATCH(G338,Attendance!$B$3:$AY$3,0),attendees,COUNTIF(INDEX(Attendance!$B$7:$AY$206,0,att_offset),"1"),IF(ev_split="Equal Split",ev_cost/MAX(1,COUNTA(Roster!$A$5:$A$204)),ev_cost/MAX(1,attendees))),"N/A"))</f>
        <v/>
      </c>
    </row>
    <row r="339" ht="19.5" customHeight="1">
      <c r="A339" s="50"/>
      <c r="B339" s="53"/>
      <c r="C339" s="53"/>
      <c r="D339" s="53"/>
      <c r="E339" s="53"/>
      <c r="F339" s="55"/>
      <c r="G339" s="53"/>
      <c r="H339" s="53"/>
      <c r="I339" s="53"/>
      <c r="J339" s="44" t="str">
        <f t="array" ref="J339">IF(G339="","",IFERROR(LET(ev_cost,INDEX(Events!$G$5:$G$506,MATCH(G339,Events!$A$5:$A$506,0)),ev_split,INDEX(Events!$I$5:$I$506,MATCH(G339,Events!$A$5:$A$506,0)),att_offset,MATCH(G339,Attendance!$B$3:$AY$3,0),attendees,COUNTIF(INDEX(Attendance!$B$7:$AY$206,0,att_offset),"1"),IF(ev_split="Equal Split",ev_cost/MAX(1,COUNTA(Roster!$A$5:$A$204)),ev_cost/MAX(1,attendees))),"N/A"))</f>
        <v/>
      </c>
    </row>
    <row r="340" ht="19.5" customHeight="1">
      <c r="A340" s="46"/>
      <c r="B340" s="49"/>
      <c r="C340" s="49"/>
      <c r="D340" s="49"/>
      <c r="E340" s="49"/>
      <c r="F340" s="54"/>
      <c r="G340" s="49"/>
      <c r="H340" s="49"/>
      <c r="I340" s="49"/>
      <c r="J340" s="44" t="str">
        <f t="array" ref="J340">IF(G340="","",IFERROR(LET(ev_cost,INDEX(Events!$G$5:$G$506,MATCH(G340,Events!$A$5:$A$506,0)),ev_split,INDEX(Events!$I$5:$I$506,MATCH(G340,Events!$A$5:$A$506,0)),att_offset,MATCH(G340,Attendance!$B$3:$AY$3,0),attendees,COUNTIF(INDEX(Attendance!$B$7:$AY$206,0,att_offset),"1"),IF(ev_split="Equal Split",ev_cost/MAX(1,COUNTA(Roster!$A$5:$A$204)),ev_cost/MAX(1,attendees))),"N/A"))</f>
        <v/>
      </c>
    </row>
    <row r="341" ht="19.5" customHeight="1">
      <c r="A341" s="50"/>
      <c r="B341" s="53"/>
      <c r="C341" s="53"/>
      <c r="D341" s="53"/>
      <c r="E341" s="53"/>
      <c r="F341" s="55"/>
      <c r="G341" s="53"/>
      <c r="H341" s="53"/>
      <c r="I341" s="53"/>
      <c r="J341" s="44" t="str">
        <f t="array" ref="J341">IF(G341="","",IFERROR(LET(ev_cost,INDEX(Events!$G$5:$G$506,MATCH(G341,Events!$A$5:$A$506,0)),ev_split,INDEX(Events!$I$5:$I$506,MATCH(G341,Events!$A$5:$A$506,0)),att_offset,MATCH(G341,Attendance!$B$3:$AY$3,0),attendees,COUNTIF(INDEX(Attendance!$B$7:$AY$206,0,att_offset),"1"),IF(ev_split="Equal Split",ev_cost/MAX(1,COUNTA(Roster!$A$5:$A$204)),ev_cost/MAX(1,attendees))),"N/A"))</f>
        <v/>
      </c>
    </row>
    <row r="342" ht="19.5" customHeight="1">
      <c r="A342" s="46"/>
      <c r="B342" s="49"/>
      <c r="C342" s="49"/>
      <c r="D342" s="49"/>
      <c r="E342" s="49"/>
      <c r="F342" s="54"/>
      <c r="G342" s="49"/>
      <c r="H342" s="49"/>
      <c r="I342" s="49"/>
      <c r="J342" s="44" t="str">
        <f t="array" ref="J342">IF(G342="","",IFERROR(LET(ev_cost,INDEX(Events!$G$5:$G$506,MATCH(G342,Events!$A$5:$A$506,0)),ev_split,INDEX(Events!$I$5:$I$506,MATCH(G342,Events!$A$5:$A$506,0)),att_offset,MATCH(G342,Attendance!$B$3:$AY$3,0),attendees,COUNTIF(INDEX(Attendance!$B$7:$AY$206,0,att_offset),"1"),IF(ev_split="Equal Split",ev_cost/MAX(1,COUNTA(Roster!$A$5:$A$204)),ev_cost/MAX(1,attendees))),"N/A"))</f>
        <v/>
      </c>
    </row>
    <row r="343" ht="19.5" customHeight="1">
      <c r="A343" s="50"/>
      <c r="B343" s="53"/>
      <c r="C343" s="53"/>
      <c r="D343" s="53"/>
      <c r="E343" s="53"/>
      <c r="F343" s="55"/>
      <c r="G343" s="53"/>
      <c r="H343" s="53"/>
      <c r="I343" s="53"/>
      <c r="J343" s="44" t="str">
        <f t="array" ref="J343">IF(G343="","",IFERROR(LET(ev_cost,INDEX(Events!$G$5:$G$506,MATCH(G343,Events!$A$5:$A$506,0)),ev_split,INDEX(Events!$I$5:$I$506,MATCH(G343,Events!$A$5:$A$506,0)),att_offset,MATCH(G343,Attendance!$B$3:$AY$3,0),attendees,COUNTIF(INDEX(Attendance!$B$7:$AY$206,0,att_offset),"1"),IF(ev_split="Equal Split",ev_cost/MAX(1,COUNTA(Roster!$A$5:$A$204)),ev_cost/MAX(1,attendees))),"N/A"))</f>
        <v/>
      </c>
    </row>
    <row r="344" ht="19.5" customHeight="1">
      <c r="A344" s="46"/>
      <c r="B344" s="49"/>
      <c r="C344" s="49"/>
      <c r="D344" s="49"/>
      <c r="E344" s="49"/>
      <c r="F344" s="54"/>
      <c r="G344" s="49"/>
      <c r="H344" s="49"/>
      <c r="I344" s="49"/>
      <c r="J344" s="44" t="str">
        <f t="array" ref="J344">IF(G344="","",IFERROR(LET(ev_cost,INDEX(Events!$G$5:$G$506,MATCH(G344,Events!$A$5:$A$506,0)),ev_split,INDEX(Events!$I$5:$I$506,MATCH(G344,Events!$A$5:$A$506,0)),att_offset,MATCH(G344,Attendance!$B$3:$AY$3,0),attendees,COUNTIF(INDEX(Attendance!$B$7:$AY$206,0,att_offset),"1"),IF(ev_split="Equal Split",ev_cost/MAX(1,COUNTA(Roster!$A$5:$A$204)),ev_cost/MAX(1,attendees))),"N/A"))</f>
        <v/>
      </c>
    </row>
    <row r="345" ht="19.5" customHeight="1">
      <c r="A345" s="50"/>
      <c r="B345" s="53"/>
      <c r="C345" s="53"/>
      <c r="D345" s="53"/>
      <c r="E345" s="53"/>
      <c r="F345" s="55"/>
      <c r="G345" s="53"/>
      <c r="H345" s="53"/>
      <c r="I345" s="53"/>
      <c r="J345" s="44" t="str">
        <f t="array" ref="J345">IF(G345="","",IFERROR(LET(ev_cost,INDEX(Events!$G$5:$G$506,MATCH(G345,Events!$A$5:$A$506,0)),ev_split,INDEX(Events!$I$5:$I$506,MATCH(G345,Events!$A$5:$A$506,0)),att_offset,MATCH(G345,Attendance!$B$3:$AY$3,0),attendees,COUNTIF(INDEX(Attendance!$B$7:$AY$206,0,att_offset),"1"),IF(ev_split="Equal Split",ev_cost/MAX(1,COUNTA(Roster!$A$5:$A$204)),ev_cost/MAX(1,attendees))),"N/A"))</f>
        <v/>
      </c>
    </row>
    <row r="346" ht="19.5" customHeight="1">
      <c r="A346" s="46"/>
      <c r="B346" s="49"/>
      <c r="C346" s="49"/>
      <c r="D346" s="49"/>
      <c r="E346" s="49"/>
      <c r="F346" s="54"/>
      <c r="G346" s="49"/>
      <c r="H346" s="49"/>
      <c r="I346" s="49"/>
      <c r="J346" s="44" t="str">
        <f t="array" ref="J346">IF(G346="","",IFERROR(LET(ev_cost,INDEX(Events!$G$5:$G$506,MATCH(G346,Events!$A$5:$A$506,0)),ev_split,INDEX(Events!$I$5:$I$506,MATCH(G346,Events!$A$5:$A$506,0)),att_offset,MATCH(G346,Attendance!$B$3:$AY$3,0),attendees,COUNTIF(INDEX(Attendance!$B$7:$AY$206,0,att_offset),"1"),IF(ev_split="Equal Split",ev_cost/MAX(1,COUNTA(Roster!$A$5:$A$204)),ev_cost/MAX(1,attendees))),"N/A"))</f>
        <v/>
      </c>
    </row>
    <row r="347" ht="19.5" customHeight="1">
      <c r="A347" s="50"/>
      <c r="B347" s="53"/>
      <c r="C347" s="53"/>
      <c r="D347" s="53"/>
      <c r="E347" s="53"/>
      <c r="F347" s="55"/>
      <c r="G347" s="53"/>
      <c r="H347" s="53"/>
      <c r="I347" s="53"/>
      <c r="J347" s="44" t="str">
        <f t="array" ref="J347">IF(G347="","",IFERROR(LET(ev_cost,INDEX(Events!$G$5:$G$506,MATCH(G347,Events!$A$5:$A$506,0)),ev_split,INDEX(Events!$I$5:$I$506,MATCH(G347,Events!$A$5:$A$506,0)),att_offset,MATCH(G347,Attendance!$B$3:$AY$3,0),attendees,COUNTIF(INDEX(Attendance!$B$7:$AY$206,0,att_offset),"1"),IF(ev_split="Equal Split",ev_cost/MAX(1,COUNTA(Roster!$A$5:$A$204)),ev_cost/MAX(1,attendees))),"N/A"))</f>
        <v/>
      </c>
    </row>
    <row r="348" ht="19.5" customHeight="1">
      <c r="A348" s="46"/>
      <c r="B348" s="49"/>
      <c r="C348" s="49"/>
      <c r="D348" s="49"/>
      <c r="E348" s="49"/>
      <c r="F348" s="54"/>
      <c r="G348" s="49"/>
      <c r="H348" s="49"/>
      <c r="I348" s="49"/>
      <c r="J348" s="44" t="str">
        <f t="array" ref="J348">IF(G348="","",IFERROR(LET(ev_cost,INDEX(Events!$G$5:$G$506,MATCH(G348,Events!$A$5:$A$506,0)),ev_split,INDEX(Events!$I$5:$I$506,MATCH(G348,Events!$A$5:$A$506,0)),att_offset,MATCH(G348,Attendance!$B$3:$AY$3,0),attendees,COUNTIF(INDEX(Attendance!$B$7:$AY$206,0,att_offset),"1"),IF(ev_split="Equal Split",ev_cost/MAX(1,COUNTA(Roster!$A$5:$A$204)),ev_cost/MAX(1,attendees))),"N/A"))</f>
        <v/>
      </c>
    </row>
    <row r="349" ht="19.5" customHeight="1">
      <c r="A349" s="50"/>
      <c r="B349" s="53"/>
      <c r="C349" s="53"/>
      <c r="D349" s="53"/>
      <c r="E349" s="53"/>
      <c r="F349" s="55"/>
      <c r="G349" s="53"/>
      <c r="H349" s="53"/>
      <c r="I349" s="53"/>
      <c r="J349" s="44" t="str">
        <f t="array" ref="J349">IF(G349="","",IFERROR(LET(ev_cost,INDEX(Events!$G$5:$G$506,MATCH(G349,Events!$A$5:$A$506,0)),ev_split,INDEX(Events!$I$5:$I$506,MATCH(G349,Events!$A$5:$A$506,0)),att_offset,MATCH(G349,Attendance!$B$3:$AY$3,0),attendees,COUNTIF(INDEX(Attendance!$B$7:$AY$206,0,att_offset),"1"),IF(ev_split="Equal Split",ev_cost/MAX(1,COUNTA(Roster!$A$5:$A$204)),ev_cost/MAX(1,attendees))),"N/A"))</f>
        <v/>
      </c>
    </row>
    <row r="350" ht="19.5" customHeight="1">
      <c r="A350" s="46"/>
      <c r="B350" s="49"/>
      <c r="C350" s="49"/>
      <c r="D350" s="49"/>
      <c r="E350" s="49"/>
      <c r="F350" s="54"/>
      <c r="G350" s="49"/>
      <c r="H350" s="49"/>
      <c r="I350" s="49"/>
      <c r="J350" s="44" t="str">
        <f t="array" ref="J350">IF(G350="","",IFERROR(LET(ev_cost,INDEX(Events!$G$5:$G$506,MATCH(G350,Events!$A$5:$A$506,0)),ev_split,INDEX(Events!$I$5:$I$506,MATCH(G350,Events!$A$5:$A$506,0)),att_offset,MATCH(G350,Attendance!$B$3:$AY$3,0),attendees,COUNTIF(INDEX(Attendance!$B$7:$AY$206,0,att_offset),"1"),IF(ev_split="Equal Split",ev_cost/MAX(1,COUNTA(Roster!$A$5:$A$204)),ev_cost/MAX(1,attendees))),"N/A"))</f>
        <v/>
      </c>
    </row>
    <row r="351" ht="19.5" customHeight="1">
      <c r="A351" s="50"/>
      <c r="B351" s="53"/>
      <c r="C351" s="53"/>
      <c r="D351" s="53"/>
      <c r="E351" s="53"/>
      <c r="F351" s="55"/>
      <c r="G351" s="53"/>
      <c r="H351" s="53"/>
      <c r="I351" s="53"/>
      <c r="J351" s="44" t="str">
        <f t="array" ref="J351">IF(G351="","",IFERROR(LET(ev_cost,INDEX(Events!$G$5:$G$506,MATCH(G351,Events!$A$5:$A$506,0)),ev_split,INDEX(Events!$I$5:$I$506,MATCH(G351,Events!$A$5:$A$506,0)),att_offset,MATCH(G351,Attendance!$B$3:$AY$3,0),attendees,COUNTIF(INDEX(Attendance!$B$7:$AY$206,0,att_offset),"1"),IF(ev_split="Equal Split",ev_cost/MAX(1,COUNTA(Roster!$A$5:$A$204)),ev_cost/MAX(1,attendees))),"N/A"))</f>
        <v/>
      </c>
    </row>
    <row r="352" ht="19.5" customHeight="1">
      <c r="A352" s="46"/>
      <c r="B352" s="49"/>
      <c r="C352" s="49"/>
      <c r="D352" s="49"/>
      <c r="E352" s="49"/>
      <c r="F352" s="54"/>
      <c r="G352" s="49"/>
      <c r="H352" s="49"/>
      <c r="I352" s="49"/>
      <c r="J352" s="44" t="str">
        <f t="array" ref="J352">IF(G352="","",IFERROR(LET(ev_cost,INDEX(Events!$G$5:$G$506,MATCH(G352,Events!$A$5:$A$506,0)),ev_split,INDEX(Events!$I$5:$I$506,MATCH(G352,Events!$A$5:$A$506,0)),att_offset,MATCH(G352,Attendance!$B$3:$AY$3,0),attendees,COUNTIF(INDEX(Attendance!$B$7:$AY$206,0,att_offset),"1"),IF(ev_split="Equal Split",ev_cost/MAX(1,COUNTA(Roster!$A$5:$A$204)),ev_cost/MAX(1,attendees))),"N/A"))</f>
        <v/>
      </c>
    </row>
    <row r="353" ht="19.5" customHeight="1">
      <c r="A353" s="50"/>
      <c r="B353" s="53"/>
      <c r="C353" s="53"/>
      <c r="D353" s="53"/>
      <c r="E353" s="53"/>
      <c r="F353" s="55"/>
      <c r="G353" s="53"/>
      <c r="H353" s="53"/>
      <c r="I353" s="53"/>
      <c r="J353" s="44" t="str">
        <f t="array" ref="J353">IF(G353="","",IFERROR(LET(ev_cost,INDEX(Events!$G$5:$G$506,MATCH(G353,Events!$A$5:$A$506,0)),ev_split,INDEX(Events!$I$5:$I$506,MATCH(G353,Events!$A$5:$A$506,0)),att_offset,MATCH(G353,Attendance!$B$3:$AY$3,0),attendees,COUNTIF(INDEX(Attendance!$B$7:$AY$206,0,att_offset),"1"),IF(ev_split="Equal Split",ev_cost/MAX(1,COUNTA(Roster!$A$5:$A$204)),ev_cost/MAX(1,attendees))),"N/A"))</f>
        <v/>
      </c>
    </row>
    <row r="354" ht="19.5" customHeight="1">
      <c r="A354" s="46"/>
      <c r="B354" s="49"/>
      <c r="C354" s="49"/>
      <c r="D354" s="49"/>
      <c r="E354" s="49"/>
      <c r="F354" s="54"/>
      <c r="G354" s="49"/>
      <c r="H354" s="49"/>
      <c r="I354" s="49"/>
      <c r="J354" s="44" t="str">
        <f t="array" ref="J354">IF(G354="","",IFERROR(LET(ev_cost,INDEX(Events!$G$5:$G$506,MATCH(G354,Events!$A$5:$A$506,0)),ev_split,INDEX(Events!$I$5:$I$506,MATCH(G354,Events!$A$5:$A$506,0)),att_offset,MATCH(G354,Attendance!$B$3:$AY$3,0),attendees,COUNTIF(INDEX(Attendance!$B$7:$AY$206,0,att_offset),"1"),IF(ev_split="Equal Split",ev_cost/MAX(1,COUNTA(Roster!$A$5:$A$204)),ev_cost/MAX(1,attendees))),"N/A"))</f>
        <v/>
      </c>
    </row>
    <row r="355" ht="19.5" customHeight="1">
      <c r="A355" s="50"/>
      <c r="B355" s="53"/>
      <c r="C355" s="53"/>
      <c r="D355" s="53"/>
      <c r="E355" s="53"/>
      <c r="F355" s="55"/>
      <c r="G355" s="53"/>
      <c r="H355" s="53"/>
      <c r="I355" s="53"/>
      <c r="J355" s="44" t="str">
        <f t="array" ref="J355">IF(G355="","",IFERROR(LET(ev_cost,INDEX(Events!$G$5:$G$506,MATCH(G355,Events!$A$5:$A$506,0)),ev_split,INDEX(Events!$I$5:$I$506,MATCH(G355,Events!$A$5:$A$506,0)),att_offset,MATCH(G355,Attendance!$B$3:$AY$3,0),attendees,COUNTIF(INDEX(Attendance!$B$7:$AY$206,0,att_offset),"1"),IF(ev_split="Equal Split",ev_cost/MAX(1,COUNTA(Roster!$A$5:$A$204)),ev_cost/MAX(1,attendees))),"N/A"))</f>
        <v/>
      </c>
    </row>
    <row r="356" ht="19.5" customHeight="1">
      <c r="A356" s="46"/>
      <c r="B356" s="49"/>
      <c r="C356" s="49"/>
      <c r="D356" s="49"/>
      <c r="E356" s="49"/>
      <c r="F356" s="54"/>
      <c r="G356" s="49"/>
      <c r="H356" s="49"/>
      <c r="I356" s="49"/>
      <c r="J356" s="44" t="str">
        <f t="array" ref="J356">IF(G356="","",IFERROR(LET(ev_cost,INDEX(Events!$G$5:$G$506,MATCH(G356,Events!$A$5:$A$506,0)),ev_split,INDEX(Events!$I$5:$I$506,MATCH(G356,Events!$A$5:$A$506,0)),att_offset,MATCH(G356,Attendance!$B$3:$AY$3,0),attendees,COUNTIF(INDEX(Attendance!$B$7:$AY$206,0,att_offset),"1"),IF(ev_split="Equal Split",ev_cost/MAX(1,COUNTA(Roster!$A$5:$A$204)),ev_cost/MAX(1,attendees))),"N/A"))</f>
        <v/>
      </c>
    </row>
    <row r="357" ht="19.5" customHeight="1">
      <c r="A357" s="50"/>
      <c r="B357" s="53"/>
      <c r="C357" s="53"/>
      <c r="D357" s="53"/>
      <c r="E357" s="53"/>
      <c r="F357" s="55"/>
      <c r="G357" s="53"/>
      <c r="H357" s="53"/>
      <c r="I357" s="53"/>
      <c r="J357" s="44" t="str">
        <f t="array" ref="J357">IF(G357="","",IFERROR(LET(ev_cost,INDEX(Events!$G$5:$G$506,MATCH(G357,Events!$A$5:$A$506,0)),ev_split,INDEX(Events!$I$5:$I$506,MATCH(G357,Events!$A$5:$A$506,0)),att_offset,MATCH(G357,Attendance!$B$3:$AY$3,0),attendees,COUNTIF(INDEX(Attendance!$B$7:$AY$206,0,att_offset),"1"),IF(ev_split="Equal Split",ev_cost/MAX(1,COUNTA(Roster!$A$5:$A$204)),ev_cost/MAX(1,attendees))),"N/A"))</f>
        <v/>
      </c>
    </row>
    <row r="358" ht="19.5" customHeight="1">
      <c r="A358" s="46"/>
      <c r="B358" s="49"/>
      <c r="C358" s="49"/>
      <c r="D358" s="49"/>
      <c r="E358" s="49"/>
      <c r="F358" s="54"/>
      <c r="G358" s="49"/>
      <c r="H358" s="49"/>
      <c r="I358" s="49"/>
      <c r="J358" s="44" t="str">
        <f t="array" ref="J358">IF(G358="","",IFERROR(LET(ev_cost,INDEX(Events!$G$5:$G$506,MATCH(G358,Events!$A$5:$A$506,0)),ev_split,INDEX(Events!$I$5:$I$506,MATCH(G358,Events!$A$5:$A$506,0)),att_offset,MATCH(G358,Attendance!$B$3:$AY$3,0),attendees,COUNTIF(INDEX(Attendance!$B$7:$AY$206,0,att_offset),"1"),IF(ev_split="Equal Split",ev_cost/MAX(1,COUNTA(Roster!$A$5:$A$204)),ev_cost/MAX(1,attendees))),"N/A"))</f>
        <v/>
      </c>
    </row>
    <row r="359" ht="19.5" customHeight="1">
      <c r="A359" s="50"/>
      <c r="B359" s="53"/>
      <c r="C359" s="53"/>
      <c r="D359" s="53"/>
      <c r="E359" s="53"/>
      <c r="F359" s="55"/>
      <c r="G359" s="53"/>
      <c r="H359" s="53"/>
      <c r="I359" s="53"/>
      <c r="J359" s="44" t="str">
        <f t="array" ref="J359">IF(G359="","",IFERROR(LET(ev_cost,INDEX(Events!$G$5:$G$506,MATCH(G359,Events!$A$5:$A$506,0)),ev_split,INDEX(Events!$I$5:$I$506,MATCH(G359,Events!$A$5:$A$506,0)),att_offset,MATCH(G359,Attendance!$B$3:$AY$3,0),attendees,COUNTIF(INDEX(Attendance!$B$7:$AY$206,0,att_offset),"1"),IF(ev_split="Equal Split",ev_cost/MAX(1,COUNTA(Roster!$A$5:$A$204)),ev_cost/MAX(1,attendees))),"N/A"))</f>
        <v/>
      </c>
    </row>
    <row r="360" ht="19.5" customHeight="1">
      <c r="A360" s="46"/>
      <c r="B360" s="49"/>
      <c r="C360" s="49"/>
      <c r="D360" s="49"/>
      <c r="E360" s="49"/>
      <c r="F360" s="54"/>
      <c r="G360" s="49"/>
      <c r="H360" s="49"/>
      <c r="I360" s="49"/>
      <c r="J360" s="44" t="str">
        <f t="array" ref="J360">IF(G360="","",IFERROR(LET(ev_cost,INDEX(Events!$G$5:$G$506,MATCH(G360,Events!$A$5:$A$506,0)),ev_split,INDEX(Events!$I$5:$I$506,MATCH(G360,Events!$A$5:$A$506,0)),att_offset,MATCH(G360,Attendance!$B$3:$AY$3,0),attendees,COUNTIF(INDEX(Attendance!$B$7:$AY$206,0,att_offset),"1"),IF(ev_split="Equal Split",ev_cost/MAX(1,COUNTA(Roster!$A$5:$A$204)),ev_cost/MAX(1,attendees))),"N/A"))</f>
        <v/>
      </c>
    </row>
    <row r="361" ht="19.5" customHeight="1">
      <c r="A361" s="50"/>
      <c r="B361" s="53"/>
      <c r="C361" s="53"/>
      <c r="D361" s="53"/>
      <c r="E361" s="53"/>
      <c r="F361" s="55"/>
      <c r="G361" s="53"/>
      <c r="H361" s="53"/>
      <c r="I361" s="53"/>
      <c r="J361" s="44" t="str">
        <f t="array" ref="J361">IF(G361="","",IFERROR(LET(ev_cost,INDEX(Events!$G$5:$G$506,MATCH(G361,Events!$A$5:$A$506,0)),ev_split,INDEX(Events!$I$5:$I$506,MATCH(G361,Events!$A$5:$A$506,0)),att_offset,MATCH(G361,Attendance!$B$3:$AY$3,0),attendees,COUNTIF(INDEX(Attendance!$B$7:$AY$206,0,att_offset),"1"),IF(ev_split="Equal Split",ev_cost/MAX(1,COUNTA(Roster!$A$5:$A$204)),ev_cost/MAX(1,attendees))),"N/A"))</f>
        <v/>
      </c>
    </row>
    <row r="362" ht="19.5" customHeight="1">
      <c r="A362" s="46"/>
      <c r="B362" s="49"/>
      <c r="C362" s="49"/>
      <c r="D362" s="49"/>
      <c r="E362" s="49"/>
      <c r="F362" s="54"/>
      <c r="G362" s="49"/>
      <c r="H362" s="49"/>
      <c r="I362" s="49"/>
      <c r="J362" s="44" t="str">
        <f t="array" ref="J362">IF(G362="","",IFERROR(LET(ev_cost,INDEX(Events!$G$5:$G$506,MATCH(G362,Events!$A$5:$A$506,0)),ev_split,INDEX(Events!$I$5:$I$506,MATCH(G362,Events!$A$5:$A$506,0)),att_offset,MATCH(G362,Attendance!$B$3:$AY$3,0),attendees,COUNTIF(INDEX(Attendance!$B$7:$AY$206,0,att_offset),"1"),IF(ev_split="Equal Split",ev_cost/MAX(1,COUNTA(Roster!$A$5:$A$204)),ev_cost/MAX(1,attendees))),"N/A"))</f>
        <v/>
      </c>
    </row>
    <row r="363" ht="19.5" customHeight="1">
      <c r="A363" s="50"/>
      <c r="B363" s="53"/>
      <c r="C363" s="53"/>
      <c r="D363" s="53"/>
      <c r="E363" s="53"/>
      <c r="F363" s="55"/>
      <c r="G363" s="53"/>
      <c r="H363" s="53"/>
      <c r="I363" s="53"/>
      <c r="J363" s="44" t="str">
        <f t="array" ref="J363">IF(G363="","",IFERROR(LET(ev_cost,INDEX(Events!$G$5:$G$506,MATCH(G363,Events!$A$5:$A$506,0)),ev_split,INDEX(Events!$I$5:$I$506,MATCH(G363,Events!$A$5:$A$506,0)),att_offset,MATCH(G363,Attendance!$B$3:$AY$3,0),attendees,COUNTIF(INDEX(Attendance!$B$7:$AY$206,0,att_offset),"1"),IF(ev_split="Equal Split",ev_cost/MAX(1,COUNTA(Roster!$A$5:$A$204)),ev_cost/MAX(1,attendees))),"N/A"))</f>
        <v/>
      </c>
    </row>
    <row r="364" ht="19.5" customHeight="1">
      <c r="A364" s="46"/>
      <c r="B364" s="49"/>
      <c r="C364" s="49"/>
      <c r="D364" s="49"/>
      <c r="E364" s="49"/>
      <c r="F364" s="54"/>
      <c r="G364" s="49"/>
      <c r="H364" s="49"/>
      <c r="I364" s="49"/>
      <c r="J364" s="44" t="str">
        <f t="array" ref="J364">IF(G364="","",IFERROR(LET(ev_cost,INDEX(Events!$G$5:$G$506,MATCH(G364,Events!$A$5:$A$506,0)),ev_split,INDEX(Events!$I$5:$I$506,MATCH(G364,Events!$A$5:$A$506,0)),att_offset,MATCH(G364,Attendance!$B$3:$AY$3,0),attendees,COUNTIF(INDEX(Attendance!$B$7:$AY$206,0,att_offset),"1"),IF(ev_split="Equal Split",ev_cost/MAX(1,COUNTA(Roster!$A$5:$A$204)),ev_cost/MAX(1,attendees))),"N/A"))</f>
        <v/>
      </c>
    </row>
    <row r="365" ht="19.5" customHeight="1">
      <c r="A365" s="50"/>
      <c r="B365" s="53"/>
      <c r="C365" s="53"/>
      <c r="D365" s="53"/>
      <c r="E365" s="53"/>
      <c r="F365" s="55"/>
      <c r="G365" s="53"/>
      <c r="H365" s="53"/>
      <c r="I365" s="53"/>
      <c r="J365" s="44" t="str">
        <f t="array" ref="J365">IF(G365="","",IFERROR(LET(ev_cost,INDEX(Events!$G$5:$G$506,MATCH(G365,Events!$A$5:$A$506,0)),ev_split,INDEX(Events!$I$5:$I$506,MATCH(G365,Events!$A$5:$A$506,0)),att_offset,MATCH(G365,Attendance!$B$3:$AY$3,0),attendees,COUNTIF(INDEX(Attendance!$B$7:$AY$206,0,att_offset),"1"),IF(ev_split="Equal Split",ev_cost/MAX(1,COUNTA(Roster!$A$5:$A$204)),ev_cost/MAX(1,attendees))),"N/A"))</f>
        <v/>
      </c>
    </row>
    <row r="366" ht="19.5" customHeight="1">
      <c r="A366" s="46"/>
      <c r="B366" s="49"/>
      <c r="C366" s="49"/>
      <c r="D366" s="49"/>
      <c r="E366" s="49"/>
      <c r="F366" s="54"/>
      <c r="G366" s="49"/>
      <c r="H366" s="49"/>
      <c r="I366" s="49"/>
      <c r="J366" s="44" t="str">
        <f t="array" ref="J366">IF(G366="","",IFERROR(LET(ev_cost,INDEX(Events!$G$5:$G$506,MATCH(G366,Events!$A$5:$A$506,0)),ev_split,INDEX(Events!$I$5:$I$506,MATCH(G366,Events!$A$5:$A$506,0)),att_offset,MATCH(G366,Attendance!$B$3:$AY$3,0),attendees,COUNTIF(INDEX(Attendance!$B$7:$AY$206,0,att_offset),"1"),IF(ev_split="Equal Split",ev_cost/MAX(1,COUNTA(Roster!$A$5:$A$204)),ev_cost/MAX(1,attendees))),"N/A"))</f>
        <v/>
      </c>
    </row>
    <row r="367" ht="19.5" customHeight="1">
      <c r="A367" s="50"/>
      <c r="B367" s="53"/>
      <c r="C367" s="53"/>
      <c r="D367" s="53"/>
      <c r="E367" s="53"/>
      <c r="F367" s="55"/>
      <c r="G367" s="53"/>
      <c r="H367" s="53"/>
      <c r="I367" s="53"/>
      <c r="J367" s="44" t="str">
        <f t="array" ref="J367">IF(G367="","",IFERROR(LET(ev_cost,INDEX(Events!$G$5:$G$506,MATCH(G367,Events!$A$5:$A$506,0)),ev_split,INDEX(Events!$I$5:$I$506,MATCH(G367,Events!$A$5:$A$506,0)),att_offset,MATCH(G367,Attendance!$B$3:$AY$3,0),attendees,COUNTIF(INDEX(Attendance!$B$7:$AY$206,0,att_offset),"1"),IF(ev_split="Equal Split",ev_cost/MAX(1,COUNTA(Roster!$A$5:$A$204)),ev_cost/MAX(1,attendees))),"N/A"))</f>
        <v/>
      </c>
    </row>
    <row r="368" ht="19.5" customHeight="1">
      <c r="A368" s="46"/>
      <c r="B368" s="49"/>
      <c r="C368" s="49"/>
      <c r="D368" s="49"/>
      <c r="E368" s="49"/>
      <c r="F368" s="54"/>
      <c r="G368" s="49"/>
      <c r="H368" s="49"/>
      <c r="I368" s="49"/>
      <c r="J368" s="44" t="str">
        <f t="array" ref="J368">IF(G368="","",IFERROR(LET(ev_cost,INDEX(Events!$G$5:$G$506,MATCH(G368,Events!$A$5:$A$506,0)),ev_split,INDEX(Events!$I$5:$I$506,MATCH(G368,Events!$A$5:$A$506,0)),att_offset,MATCH(G368,Attendance!$B$3:$AY$3,0),attendees,COUNTIF(INDEX(Attendance!$B$7:$AY$206,0,att_offset),"1"),IF(ev_split="Equal Split",ev_cost/MAX(1,COUNTA(Roster!$A$5:$A$204)),ev_cost/MAX(1,attendees))),"N/A"))</f>
        <v/>
      </c>
    </row>
    <row r="369" ht="19.5" customHeight="1">
      <c r="A369" s="50"/>
      <c r="B369" s="53"/>
      <c r="C369" s="53"/>
      <c r="D369" s="53"/>
      <c r="E369" s="53"/>
      <c r="F369" s="55"/>
      <c r="G369" s="53"/>
      <c r="H369" s="53"/>
      <c r="I369" s="53"/>
      <c r="J369" s="44" t="str">
        <f t="array" ref="J369">IF(G369="","",IFERROR(LET(ev_cost,INDEX(Events!$G$5:$G$506,MATCH(G369,Events!$A$5:$A$506,0)),ev_split,INDEX(Events!$I$5:$I$506,MATCH(G369,Events!$A$5:$A$506,0)),att_offset,MATCH(G369,Attendance!$B$3:$AY$3,0),attendees,COUNTIF(INDEX(Attendance!$B$7:$AY$206,0,att_offset),"1"),IF(ev_split="Equal Split",ev_cost/MAX(1,COUNTA(Roster!$A$5:$A$204)),ev_cost/MAX(1,attendees))),"N/A"))</f>
        <v/>
      </c>
    </row>
    <row r="370" ht="19.5" customHeight="1">
      <c r="A370" s="46"/>
      <c r="B370" s="49"/>
      <c r="C370" s="49"/>
      <c r="D370" s="49"/>
      <c r="E370" s="49"/>
      <c r="F370" s="54"/>
      <c r="G370" s="49"/>
      <c r="H370" s="49"/>
      <c r="I370" s="49"/>
      <c r="J370" s="44" t="str">
        <f t="array" ref="J370">IF(G370="","",IFERROR(LET(ev_cost,INDEX(Events!$G$5:$G$506,MATCH(G370,Events!$A$5:$A$506,0)),ev_split,INDEX(Events!$I$5:$I$506,MATCH(G370,Events!$A$5:$A$506,0)),att_offset,MATCH(G370,Attendance!$B$3:$AY$3,0),attendees,COUNTIF(INDEX(Attendance!$B$7:$AY$206,0,att_offset),"1"),IF(ev_split="Equal Split",ev_cost/MAX(1,COUNTA(Roster!$A$5:$A$204)),ev_cost/MAX(1,attendees))),"N/A"))</f>
        <v/>
      </c>
    </row>
    <row r="371" ht="19.5" customHeight="1">
      <c r="A371" s="50"/>
      <c r="B371" s="53"/>
      <c r="C371" s="53"/>
      <c r="D371" s="53"/>
      <c r="E371" s="53"/>
      <c r="F371" s="55"/>
      <c r="G371" s="53"/>
      <c r="H371" s="53"/>
      <c r="I371" s="53"/>
      <c r="J371" s="44" t="str">
        <f t="array" ref="J371">IF(G371="","",IFERROR(LET(ev_cost,INDEX(Events!$G$5:$G$506,MATCH(G371,Events!$A$5:$A$506,0)),ev_split,INDEX(Events!$I$5:$I$506,MATCH(G371,Events!$A$5:$A$506,0)),att_offset,MATCH(G371,Attendance!$B$3:$AY$3,0),attendees,COUNTIF(INDEX(Attendance!$B$7:$AY$206,0,att_offset),"1"),IF(ev_split="Equal Split",ev_cost/MAX(1,COUNTA(Roster!$A$5:$A$204)),ev_cost/MAX(1,attendees))),"N/A"))</f>
        <v/>
      </c>
    </row>
    <row r="372" ht="19.5" customHeight="1">
      <c r="A372" s="46"/>
      <c r="B372" s="49"/>
      <c r="C372" s="49"/>
      <c r="D372" s="49"/>
      <c r="E372" s="49"/>
      <c r="F372" s="54"/>
      <c r="G372" s="49"/>
      <c r="H372" s="49"/>
      <c r="I372" s="49"/>
      <c r="J372" s="44" t="str">
        <f t="array" ref="J372">IF(G372="","",IFERROR(LET(ev_cost,INDEX(Events!$G$5:$G$506,MATCH(G372,Events!$A$5:$A$506,0)),ev_split,INDEX(Events!$I$5:$I$506,MATCH(G372,Events!$A$5:$A$506,0)),att_offset,MATCH(G372,Attendance!$B$3:$AY$3,0),attendees,COUNTIF(INDEX(Attendance!$B$7:$AY$206,0,att_offset),"1"),IF(ev_split="Equal Split",ev_cost/MAX(1,COUNTA(Roster!$A$5:$A$204)),ev_cost/MAX(1,attendees))),"N/A"))</f>
        <v/>
      </c>
    </row>
    <row r="373" ht="19.5" customHeight="1">
      <c r="A373" s="50"/>
      <c r="B373" s="53"/>
      <c r="C373" s="53"/>
      <c r="D373" s="53"/>
      <c r="E373" s="53"/>
      <c r="F373" s="55"/>
      <c r="G373" s="53"/>
      <c r="H373" s="53"/>
      <c r="I373" s="53"/>
      <c r="J373" s="44" t="str">
        <f t="array" ref="J373">IF(G373="","",IFERROR(LET(ev_cost,INDEX(Events!$G$5:$G$506,MATCH(G373,Events!$A$5:$A$506,0)),ev_split,INDEX(Events!$I$5:$I$506,MATCH(G373,Events!$A$5:$A$506,0)),att_offset,MATCH(G373,Attendance!$B$3:$AY$3,0),attendees,COUNTIF(INDEX(Attendance!$B$7:$AY$206,0,att_offset),"1"),IF(ev_split="Equal Split",ev_cost/MAX(1,COUNTA(Roster!$A$5:$A$204)),ev_cost/MAX(1,attendees))),"N/A"))</f>
        <v/>
      </c>
    </row>
    <row r="374" ht="19.5" customHeight="1">
      <c r="A374" s="46"/>
      <c r="B374" s="49"/>
      <c r="C374" s="49"/>
      <c r="D374" s="49"/>
      <c r="E374" s="49"/>
      <c r="F374" s="54"/>
      <c r="G374" s="49"/>
      <c r="H374" s="49"/>
      <c r="I374" s="49"/>
      <c r="J374" s="44" t="str">
        <f t="array" ref="J374">IF(G374="","",IFERROR(LET(ev_cost,INDEX(Events!$G$5:$G$506,MATCH(G374,Events!$A$5:$A$506,0)),ev_split,INDEX(Events!$I$5:$I$506,MATCH(G374,Events!$A$5:$A$506,0)),att_offset,MATCH(G374,Attendance!$B$3:$AY$3,0),attendees,COUNTIF(INDEX(Attendance!$B$7:$AY$206,0,att_offset),"1"),IF(ev_split="Equal Split",ev_cost/MAX(1,COUNTA(Roster!$A$5:$A$204)),ev_cost/MAX(1,attendees))),"N/A"))</f>
        <v/>
      </c>
    </row>
    <row r="375" ht="19.5" customHeight="1">
      <c r="A375" s="50"/>
      <c r="B375" s="53"/>
      <c r="C375" s="53"/>
      <c r="D375" s="53"/>
      <c r="E375" s="53"/>
      <c r="F375" s="55"/>
      <c r="G375" s="53"/>
      <c r="H375" s="53"/>
      <c r="I375" s="53"/>
      <c r="J375" s="44" t="str">
        <f t="array" ref="J375">IF(G375="","",IFERROR(LET(ev_cost,INDEX(Events!$G$5:$G$506,MATCH(G375,Events!$A$5:$A$506,0)),ev_split,INDEX(Events!$I$5:$I$506,MATCH(G375,Events!$A$5:$A$506,0)),att_offset,MATCH(G375,Attendance!$B$3:$AY$3,0),attendees,COUNTIF(INDEX(Attendance!$B$7:$AY$206,0,att_offset),"1"),IF(ev_split="Equal Split",ev_cost/MAX(1,COUNTA(Roster!$A$5:$A$204)),ev_cost/MAX(1,attendees))),"N/A"))</f>
        <v/>
      </c>
    </row>
    <row r="376" ht="19.5" customHeight="1">
      <c r="A376" s="46"/>
      <c r="B376" s="49"/>
      <c r="C376" s="49"/>
      <c r="D376" s="49"/>
      <c r="E376" s="49"/>
      <c r="F376" s="54"/>
      <c r="G376" s="49"/>
      <c r="H376" s="49"/>
      <c r="I376" s="49"/>
      <c r="J376" s="44" t="str">
        <f t="array" ref="J376">IF(G376="","",IFERROR(LET(ev_cost,INDEX(Events!$G$5:$G$506,MATCH(G376,Events!$A$5:$A$506,0)),ev_split,INDEX(Events!$I$5:$I$506,MATCH(G376,Events!$A$5:$A$506,0)),att_offset,MATCH(G376,Attendance!$B$3:$AY$3,0),attendees,COUNTIF(INDEX(Attendance!$B$7:$AY$206,0,att_offset),"1"),IF(ev_split="Equal Split",ev_cost/MAX(1,COUNTA(Roster!$A$5:$A$204)),ev_cost/MAX(1,attendees))),"N/A"))</f>
        <v/>
      </c>
    </row>
    <row r="377" ht="19.5" customHeight="1">
      <c r="A377" s="50"/>
      <c r="B377" s="53"/>
      <c r="C377" s="53"/>
      <c r="D377" s="53"/>
      <c r="E377" s="53"/>
      <c r="F377" s="55"/>
      <c r="G377" s="53"/>
      <c r="H377" s="53"/>
      <c r="I377" s="53"/>
      <c r="J377" s="44" t="str">
        <f t="array" ref="J377">IF(G377="","",IFERROR(LET(ev_cost,INDEX(Events!$G$5:$G$506,MATCH(G377,Events!$A$5:$A$506,0)),ev_split,INDEX(Events!$I$5:$I$506,MATCH(G377,Events!$A$5:$A$506,0)),att_offset,MATCH(G377,Attendance!$B$3:$AY$3,0),attendees,COUNTIF(INDEX(Attendance!$B$7:$AY$206,0,att_offset),"1"),IF(ev_split="Equal Split",ev_cost/MAX(1,COUNTA(Roster!$A$5:$A$204)),ev_cost/MAX(1,attendees))),"N/A"))</f>
        <v/>
      </c>
    </row>
    <row r="378" ht="19.5" customHeight="1">
      <c r="A378" s="46"/>
      <c r="B378" s="49"/>
      <c r="C378" s="49"/>
      <c r="D378" s="49"/>
      <c r="E378" s="49"/>
      <c r="F378" s="54"/>
      <c r="G378" s="49"/>
      <c r="H378" s="49"/>
      <c r="I378" s="49"/>
      <c r="J378" s="44" t="str">
        <f t="array" ref="J378">IF(G378="","",IFERROR(LET(ev_cost,INDEX(Events!$G$5:$G$506,MATCH(G378,Events!$A$5:$A$506,0)),ev_split,INDEX(Events!$I$5:$I$506,MATCH(G378,Events!$A$5:$A$506,0)),att_offset,MATCH(G378,Attendance!$B$3:$AY$3,0),attendees,COUNTIF(INDEX(Attendance!$B$7:$AY$206,0,att_offset),"1"),IF(ev_split="Equal Split",ev_cost/MAX(1,COUNTA(Roster!$A$5:$A$204)),ev_cost/MAX(1,attendees))),"N/A"))</f>
        <v/>
      </c>
    </row>
    <row r="379" ht="19.5" customHeight="1">
      <c r="A379" s="50"/>
      <c r="B379" s="53"/>
      <c r="C379" s="53"/>
      <c r="D379" s="53"/>
      <c r="E379" s="53"/>
      <c r="F379" s="55"/>
      <c r="G379" s="53"/>
      <c r="H379" s="53"/>
      <c r="I379" s="53"/>
      <c r="J379" s="44" t="str">
        <f t="array" ref="J379">IF(G379="","",IFERROR(LET(ev_cost,INDEX(Events!$G$5:$G$506,MATCH(G379,Events!$A$5:$A$506,0)),ev_split,INDEX(Events!$I$5:$I$506,MATCH(G379,Events!$A$5:$A$506,0)),att_offset,MATCH(G379,Attendance!$B$3:$AY$3,0),attendees,COUNTIF(INDEX(Attendance!$B$7:$AY$206,0,att_offset),"1"),IF(ev_split="Equal Split",ev_cost/MAX(1,COUNTA(Roster!$A$5:$A$204)),ev_cost/MAX(1,attendees))),"N/A"))</f>
        <v/>
      </c>
    </row>
    <row r="380" ht="19.5" customHeight="1">
      <c r="A380" s="46"/>
      <c r="B380" s="49"/>
      <c r="C380" s="49"/>
      <c r="D380" s="49"/>
      <c r="E380" s="49"/>
      <c r="F380" s="54"/>
      <c r="G380" s="49"/>
      <c r="H380" s="49"/>
      <c r="I380" s="49"/>
      <c r="J380" s="44" t="str">
        <f t="array" ref="J380">IF(G380="","",IFERROR(LET(ev_cost,INDEX(Events!$G$5:$G$506,MATCH(G380,Events!$A$5:$A$506,0)),ev_split,INDEX(Events!$I$5:$I$506,MATCH(G380,Events!$A$5:$A$506,0)),att_offset,MATCH(G380,Attendance!$B$3:$AY$3,0),attendees,COUNTIF(INDEX(Attendance!$B$7:$AY$206,0,att_offset),"1"),IF(ev_split="Equal Split",ev_cost/MAX(1,COUNTA(Roster!$A$5:$A$204)),ev_cost/MAX(1,attendees))),"N/A"))</f>
        <v/>
      </c>
    </row>
    <row r="381" ht="19.5" customHeight="1">
      <c r="A381" s="50"/>
      <c r="B381" s="53"/>
      <c r="C381" s="53"/>
      <c r="D381" s="53"/>
      <c r="E381" s="53"/>
      <c r="F381" s="55"/>
      <c r="G381" s="53"/>
      <c r="H381" s="53"/>
      <c r="I381" s="53"/>
      <c r="J381" s="44" t="str">
        <f t="array" ref="J381">IF(G381="","",IFERROR(LET(ev_cost,INDEX(Events!$G$5:$G$506,MATCH(G381,Events!$A$5:$A$506,0)),ev_split,INDEX(Events!$I$5:$I$506,MATCH(G381,Events!$A$5:$A$506,0)),att_offset,MATCH(G381,Attendance!$B$3:$AY$3,0),attendees,COUNTIF(INDEX(Attendance!$B$7:$AY$206,0,att_offset),"1"),IF(ev_split="Equal Split",ev_cost/MAX(1,COUNTA(Roster!$A$5:$A$204)),ev_cost/MAX(1,attendees))),"N/A"))</f>
        <v/>
      </c>
    </row>
    <row r="382" ht="19.5" customHeight="1">
      <c r="A382" s="46"/>
      <c r="B382" s="49"/>
      <c r="C382" s="49"/>
      <c r="D382" s="49"/>
      <c r="E382" s="49"/>
      <c r="F382" s="54"/>
      <c r="G382" s="49"/>
      <c r="H382" s="49"/>
      <c r="I382" s="49"/>
      <c r="J382" s="44" t="str">
        <f t="array" ref="J382">IF(G382="","",IFERROR(LET(ev_cost,INDEX(Events!$G$5:$G$506,MATCH(G382,Events!$A$5:$A$506,0)),ev_split,INDEX(Events!$I$5:$I$506,MATCH(G382,Events!$A$5:$A$506,0)),att_offset,MATCH(G382,Attendance!$B$3:$AY$3,0),attendees,COUNTIF(INDEX(Attendance!$B$7:$AY$206,0,att_offset),"1"),IF(ev_split="Equal Split",ev_cost/MAX(1,COUNTA(Roster!$A$5:$A$204)),ev_cost/MAX(1,attendees))),"N/A"))</f>
        <v/>
      </c>
    </row>
    <row r="383" ht="19.5" customHeight="1">
      <c r="A383" s="50"/>
      <c r="B383" s="53"/>
      <c r="C383" s="53"/>
      <c r="D383" s="53"/>
      <c r="E383" s="53"/>
      <c r="F383" s="55"/>
      <c r="G383" s="53"/>
      <c r="H383" s="53"/>
      <c r="I383" s="53"/>
      <c r="J383" s="44" t="str">
        <f t="array" ref="J383">IF(G383="","",IFERROR(LET(ev_cost,INDEX(Events!$G$5:$G$506,MATCH(G383,Events!$A$5:$A$506,0)),ev_split,INDEX(Events!$I$5:$I$506,MATCH(G383,Events!$A$5:$A$506,0)),att_offset,MATCH(G383,Attendance!$B$3:$AY$3,0),attendees,COUNTIF(INDEX(Attendance!$B$7:$AY$206,0,att_offset),"1"),IF(ev_split="Equal Split",ev_cost/MAX(1,COUNTA(Roster!$A$5:$A$204)),ev_cost/MAX(1,attendees))),"N/A"))</f>
        <v/>
      </c>
    </row>
    <row r="384" ht="19.5" customHeight="1">
      <c r="A384" s="46"/>
      <c r="B384" s="49"/>
      <c r="C384" s="49"/>
      <c r="D384" s="49"/>
      <c r="E384" s="49"/>
      <c r="F384" s="54"/>
      <c r="G384" s="49"/>
      <c r="H384" s="49"/>
      <c r="I384" s="49"/>
      <c r="J384" s="44" t="str">
        <f t="array" ref="J384">IF(G384="","",IFERROR(LET(ev_cost,INDEX(Events!$G$5:$G$506,MATCH(G384,Events!$A$5:$A$506,0)),ev_split,INDEX(Events!$I$5:$I$506,MATCH(G384,Events!$A$5:$A$506,0)),att_offset,MATCH(G384,Attendance!$B$3:$AY$3,0),attendees,COUNTIF(INDEX(Attendance!$B$7:$AY$206,0,att_offset),"1"),IF(ev_split="Equal Split",ev_cost/MAX(1,COUNTA(Roster!$A$5:$A$204)),ev_cost/MAX(1,attendees))),"N/A"))</f>
        <v/>
      </c>
    </row>
    <row r="385" ht="19.5" customHeight="1">
      <c r="A385" s="50"/>
      <c r="B385" s="53"/>
      <c r="C385" s="53"/>
      <c r="D385" s="53"/>
      <c r="E385" s="53"/>
      <c r="F385" s="55"/>
      <c r="G385" s="53"/>
      <c r="H385" s="53"/>
      <c r="I385" s="53"/>
      <c r="J385" s="44" t="str">
        <f t="array" ref="J385">IF(G385="","",IFERROR(LET(ev_cost,INDEX(Events!$G$5:$G$506,MATCH(G385,Events!$A$5:$A$506,0)),ev_split,INDEX(Events!$I$5:$I$506,MATCH(G385,Events!$A$5:$A$506,0)),att_offset,MATCH(G385,Attendance!$B$3:$AY$3,0),attendees,COUNTIF(INDEX(Attendance!$B$7:$AY$206,0,att_offset),"1"),IF(ev_split="Equal Split",ev_cost/MAX(1,COUNTA(Roster!$A$5:$A$204)),ev_cost/MAX(1,attendees))),"N/A"))</f>
        <v/>
      </c>
    </row>
    <row r="386" ht="19.5" customHeight="1">
      <c r="A386" s="46"/>
      <c r="B386" s="49"/>
      <c r="C386" s="49"/>
      <c r="D386" s="49"/>
      <c r="E386" s="49"/>
      <c r="F386" s="54"/>
      <c r="G386" s="49"/>
      <c r="H386" s="49"/>
      <c r="I386" s="49"/>
      <c r="J386" s="44" t="str">
        <f t="array" ref="J386">IF(G386="","",IFERROR(LET(ev_cost,INDEX(Events!$G$5:$G$506,MATCH(G386,Events!$A$5:$A$506,0)),ev_split,INDEX(Events!$I$5:$I$506,MATCH(G386,Events!$A$5:$A$506,0)),att_offset,MATCH(G386,Attendance!$B$3:$AY$3,0),attendees,COUNTIF(INDEX(Attendance!$B$7:$AY$206,0,att_offset),"1"),IF(ev_split="Equal Split",ev_cost/MAX(1,COUNTA(Roster!$A$5:$A$204)),ev_cost/MAX(1,attendees))),"N/A"))</f>
        <v/>
      </c>
    </row>
    <row r="387" ht="19.5" customHeight="1">
      <c r="A387" s="50"/>
      <c r="B387" s="53"/>
      <c r="C387" s="53"/>
      <c r="D387" s="53"/>
      <c r="E387" s="53"/>
      <c r="F387" s="55"/>
      <c r="G387" s="53"/>
      <c r="H387" s="53"/>
      <c r="I387" s="53"/>
      <c r="J387" s="44" t="str">
        <f t="array" ref="J387">IF(G387="","",IFERROR(LET(ev_cost,INDEX(Events!$G$5:$G$506,MATCH(G387,Events!$A$5:$A$506,0)),ev_split,INDEX(Events!$I$5:$I$506,MATCH(G387,Events!$A$5:$A$506,0)),att_offset,MATCH(G387,Attendance!$B$3:$AY$3,0),attendees,COUNTIF(INDEX(Attendance!$B$7:$AY$206,0,att_offset),"1"),IF(ev_split="Equal Split",ev_cost/MAX(1,COUNTA(Roster!$A$5:$A$204)),ev_cost/MAX(1,attendees))),"N/A"))</f>
        <v/>
      </c>
    </row>
    <row r="388" ht="19.5" customHeight="1">
      <c r="A388" s="46"/>
      <c r="B388" s="49"/>
      <c r="C388" s="49"/>
      <c r="D388" s="49"/>
      <c r="E388" s="49"/>
      <c r="F388" s="54"/>
      <c r="G388" s="49"/>
      <c r="H388" s="49"/>
      <c r="I388" s="49"/>
      <c r="J388" s="44" t="str">
        <f t="array" ref="J388">IF(G388="","",IFERROR(LET(ev_cost,INDEX(Events!$G$5:$G$506,MATCH(G388,Events!$A$5:$A$506,0)),ev_split,INDEX(Events!$I$5:$I$506,MATCH(G388,Events!$A$5:$A$506,0)),att_offset,MATCH(G388,Attendance!$B$3:$AY$3,0),attendees,COUNTIF(INDEX(Attendance!$B$7:$AY$206,0,att_offset),"1"),IF(ev_split="Equal Split",ev_cost/MAX(1,COUNTA(Roster!$A$5:$A$204)),ev_cost/MAX(1,attendees))),"N/A"))</f>
        <v/>
      </c>
    </row>
    <row r="389" ht="19.5" customHeight="1">
      <c r="A389" s="50"/>
      <c r="B389" s="53"/>
      <c r="C389" s="53"/>
      <c r="D389" s="53"/>
      <c r="E389" s="53"/>
      <c r="F389" s="55"/>
      <c r="G389" s="53"/>
      <c r="H389" s="53"/>
      <c r="I389" s="53"/>
      <c r="J389" s="44" t="str">
        <f t="array" ref="J389">IF(G389="","",IFERROR(LET(ev_cost,INDEX(Events!$G$5:$G$506,MATCH(G389,Events!$A$5:$A$506,0)),ev_split,INDEX(Events!$I$5:$I$506,MATCH(G389,Events!$A$5:$A$506,0)),att_offset,MATCH(G389,Attendance!$B$3:$AY$3,0),attendees,COUNTIF(INDEX(Attendance!$B$7:$AY$206,0,att_offset),"1"),IF(ev_split="Equal Split",ev_cost/MAX(1,COUNTA(Roster!$A$5:$A$204)),ev_cost/MAX(1,attendees))),"N/A"))</f>
        <v/>
      </c>
    </row>
    <row r="390" ht="19.5" customHeight="1">
      <c r="A390" s="46"/>
      <c r="B390" s="49"/>
      <c r="C390" s="49"/>
      <c r="D390" s="49"/>
      <c r="E390" s="49"/>
      <c r="F390" s="54"/>
      <c r="G390" s="49"/>
      <c r="H390" s="49"/>
      <c r="I390" s="49"/>
      <c r="J390" s="44" t="str">
        <f t="array" ref="J390">IF(G390="","",IFERROR(LET(ev_cost,INDEX(Events!$G$5:$G$506,MATCH(G390,Events!$A$5:$A$506,0)),ev_split,INDEX(Events!$I$5:$I$506,MATCH(G390,Events!$A$5:$A$506,0)),att_offset,MATCH(G390,Attendance!$B$3:$AY$3,0),attendees,COUNTIF(INDEX(Attendance!$B$7:$AY$206,0,att_offset),"1"),IF(ev_split="Equal Split",ev_cost/MAX(1,COUNTA(Roster!$A$5:$A$204)),ev_cost/MAX(1,attendees))),"N/A"))</f>
        <v/>
      </c>
    </row>
    <row r="391" ht="19.5" customHeight="1">
      <c r="A391" s="50"/>
      <c r="B391" s="53"/>
      <c r="C391" s="53"/>
      <c r="D391" s="53"/>
      <c r="E391" s="53"/>
      <c r="F391" s="55"/>
      <c r="G391" s="53"/>
      <c r="H391" s="53"/>
      <c r="I391" s="53"/>
      <c r="J391" s="44" t="str">
        <f t="array" ref="J391">IF(G391="","",IFERROR(LET(ev_cost,INDEX(Events!$G$5:$G$506,MATCH(G391,Events!$A$5:$A$506,0)),ev_split,INDEX(Events!$I$5:$I$506,MATCH(G391,Events!$A$5:$A$506,0)),att_offset,MATCH(G391,Attendance!$B$3:$AY$3,0),attendees,COUNTIF(INDEX(Attendance!$B$7:$AY$206,0,att_offset),"1"),IF(ev_split="Equal Split",ev_cost/MAX(1,COUNTA(Roster!$A$5:$A$204)),ev_cost/MAX(1,attendees))),"N/A"))</f>
        <v/>
      </c>
    </row>
    <row r="392" ht="19.5" customHeight="1">
      <c r="A392" s="46"/>
      <c r="B392" s="49"/>
      <c r="C392" s="49"/>
      <c r="D392" s="49"/>
      <c r="E392" s="49"/>
      <c r="F392" s="54"/>
      <c r="G392" s="49"/>
      <c r="H392" s="49"/>
      <c r="I392" s="49"/>
      <c r="J392" s="44" t="str">
        <f t="array" ref="J392">IF(G392="","",IFERROR(LET(ev_cost,INDEX(Events!$G$5:$G$506,MATCH(G392,Events!$A$5:$A$506,0)),ev_split,INDEX(Events!$I$5:$I$506,MATCH(G392,Events!$A$5:$A$506,0)),att_offset,MATCH(G392,Attendance!$B$3:$AY$3,0),attendees,COUNTIF(INDEX(Attendance!$B$7:$AY$206,0,att_offset),"1"),IF(ev_split="Equal Split",ev_cost/MAX(1,COUNTA(Roster!$A$5:$A$204)),ev_cost/MAX(1,attendees))),"N/A"))</f>
        <v/>
      </c>
    </row>
    <row r="393" ht="19.5" customHeight="1">
      <c r="A393" s="50"/>
      <c r="B393" s="53"/>
      <c r="C393" s="53"/>
      <c r="D393" s="53"/>
      <c r="E393" s="53"/>
      <c r="F393" s="55"/>
      <c r="G393" s="53"/>
      <c r="H393" s="53"/>
      <c r="I393" s="53"/>
      <c r="J393" s="44" t="str">
        <f t="array" ref="J393">IF(G393="","",IFERROR(LET(ev_cost,INDEX(Events!$G$5:$G$506,MATCH(G393,Events!$A$5:$A$506,0)),ev_split,INDEX(Events!$I$5:$I$506,MATCH(G393,Events!$A$5:$A$506,0)),att_offset,MATCH(G393,Attendance!$B$3:$AY$3,0),attendees,COUNTIF(INDEX(Attendance!$B$7:$AY$206,0,att_offset),"1"),IF(ev_split="Equal Split",ev_cost/MAX(1,COUNTA(Roster!$A$5:$A$204)),ev_cost/MAX(1,attendees))),"N/A"))</f>
        <v/>
      </c>
    </row>
    <row r="394" ht="19.5" customHeight="1">
      <c r="A394" s="46"/>
      <c r="B394" s="49"/>
      <c r="C394" s="49"/>
      <c r="D394" s="49"/>
      <c r="E394" s="49"/>
      <c r="F394" s="54"/>
      <c r="G394" s="49"/>
      <c r="H394" s="49"/>
      <c r="I394" s="49"/>
      <c r="J394" s="44" t="str">
        <f t="array" ref="J394">IF(G394="","",IFERROR(LET(ev_cost,INDEX(Events!$G$5:$G$506,MATCH(G394,Events!$A$5:$A$506,0)),ev_split,INDEX(Events!$I$5:$I$506,MATCH(G394,Events!$A$5:$A$506,0)),att_offset,MATCH(G394,Attendance!$B$3:$AY$3,0),attendees,COUNTIF(INDEX(Attendance!$B$7:$AY$206,0,att_offset),"1"),IF(ev_split="Equal Split",ev_cost/MAX(1,COUNTA(Roster!$A$5:$A$204)),ev_cost/MAX(1,attendees))),"N/A"))</f>
        <v/>
      </c>
    </row>
    <row r="395" ht="19.5" customHeight="1">
      <c r="A395" s="50"/>
      <c r="B395" s="53"/>
      <c r="C395" s="53"/>
      <c r="D395" s="53"/>
      <c r="E395" s="53"/>
      <c r="F395" s="55"/>
      <c r="G395" s="53"/>
      <c r="H395" s="53"/>
      <c r="I395" s="53"/>
      <c r="J395" s="44" t="str">
        <f t="array" ref="J395">IF(G395="","",IFERROR(LET(ev_cost,INDEX(Events!$G$5:$G$506,MATCH(G395,Events!$A$5:$A$506,0)),ev_split,INDEX(Events!$I$5:$I$506,MATCH(G395,Events!$A$5:$A$506,0)),att_offset,MATCH(G395,Attendance!$B$3:$AY$3,0),attendees,COUNTIF(INDEX(Attendance!$B$7:$AY$206,0,att_offset),"1"),IF(ev_split="Equal Split",ev_cost/MAX(1,COUNTA(Roster!$A$5:$A$204)),ev_cost/MAX(1,attendees))),"N/A"))</f>
        <v/>
      </c>
    </row>
    <row r="396" ht="19.5" customHeight="1">
      <c r="A396" s="46"/>
      <c r="B396" s="49"/>
      <c r="C396" s="49"/>
      <c r="D396" s="49"/>
      <c r="E396" s="49"/>
      <c r="F396" s="54"/>
      <c r="G396" s="49"/>
      <c r="H396" s="49"/>
      <c r="I396" s="49"/>
      <c r="J396" s="44" t="str">
        <f t="array" ref="J396">IF(G396="","",IFERROR(LET(ev_cost,INDEX(Events!$G$5:$G$506,MATCH(G396,Events!$A$5:$A$506,0)),ev_split,INDEX(Events!$I$5:$I$506,MATCH(G396,Events!$A$5:$A$506,0)),att_offset,MATCH(G396,Attendance!$B$3:$AY$3,0),attendees,COUNTIF(INDEX(Attendance!$B$7:$AY$206,0,att_offset),"1"),IF(ev_split="Equal Split",ev_cost/MAX(1,COUNTA(Roster!$A$5:$A$204)),ev_cost/MAX(1,attendees))),"N/A"))</f>
        <v/>
      </c>
    </row>
    <row r="397" ht="19.5" customHeight="1">
      <c r="A397" s="50"/>
      <c r="B397" s="53"/>
      <c r="C397" s="53"/>
      <c r="D397" s="53"/>
      <c r="E397" s="53"/>
      <c r="F397" s="55"/>
      <c r="G397" s="53"/>
      <c r="H397" s="53"/>
      <c r="I397" s="53"/>
      <c r="J397" s="44" t="str">
        <f t="array" ref="J397">IF(G397="","",IFERROR(LET(ev_cost,INDEX(Events!$G$5:$G$506,MATCH(G397,Events!$A$5:$A$506,0)),ev_split,INDEX(Events!$I$5:$I$506,MATCH(G397,Events!$A$5:$A$506,0)),att_offset,MATCH(G397,Attendance!$B$3:$AY$3,0),attendees,COUNTIF(INDEX(Attendance!$B$7:$AY$206,0,att_offset),"1"),IF(ev_split="Equal Split",ev_cost/MAX(1,COUNTA(Roster!$A$5:$A$204)),ev_cost/MAX(1,attendees))),"N/A"))</f>
        <v/>
      </c>
    </row>
    <row r="398" ht="19.5" customHeight="1">
      <c r="A398" s="46"/>
      <c r="B398" s="49"/>
      <c r="C398" s="49"/>
      <c r="D398" s="49"/>
      <c r="E398" s="49"/>
      <c r="F398" s="54"/>
      <c r="G398" s="49"/>
      <c r="H398" s="49"/>
      <c r="I398" s="49"/>
      <c r="J398" s="44" t="str">
        <f t="array" ref="J398">IF(G398="","",IFERROR(LET(ev_cost,INDEX(Events!$G$5:$G$506,MATCH(G398,Events!$A$5:$A$506,0)),ev_split,INDEX(Events!$I$5:$I$506,MATCH(G398,Events!$A$5:$A$506,0)),att_offset,MATCH(G398,Attendance!$B$3:$AY$3,0),attendees,COUNTIF(INDEX(Attendance!$B$7:$AY$206,0,att_offset),"1"),IF(ev_split="Equal Split",ev_cost/MAX(1,COUNTA(Roster!$A$5:$A$204)),ev_cost/MAX(1,attendees))),"N/A"))</f>
        <v/>
      </c>
    </row>
    <row r="399" ht="19.5" customHeight="1">
      <c r="A399" s="50"/>
      <c r="B399" s="53"/>
      <c r="C399" s="53"/>
      <c r="D399" s="53"/>
      <c r="E399" s="53"/>
      <c r="F399" s="55"/>
      <c r="G399" s="53"/>
      <c r="H399" s="53"/>
      <c r="I399" s="53"/>
      <c r="J399" s="44" t="str">
        <f t="array" ref="J399">IF(G399="","",IFERROR(LET(ev_cost,INDEX(Events!$G$5:$G$506,MATCH(G399,Events!$A$5:$A$506,0)),ev_split,INDEX(Events!$I$5:$I$506,MATCH(G399,Events!$A$5:$A$506,0)),att_offset,MATCH(G399,Attendance!$B$3:$AY$3,0),attendees,COUNTIF(INDEX(Attendance!$B$7:$AY$206,0,att_offset),"1"),IF(ev_split="Equal Split",ev_cost/MAX(1,COUNTA(Roster!$A$5:$A$204)),ev_cost/MAX(1,attendees))),"N/A"))</f>
        <v/>
      </c>
    </row>
    <row r="400" ht="19.5" customHeight="1">
      <c r="A400" s="46"/>
      <c r="B400" s="49"/>
      <c r="C400" s="49"/>
      <c r="D400" s="49"/>
      <c r="E400" s="49"/>
      <c r="F400" s="54"/>
      <c r="G400" s="49"/>
      <c r="H400" s="49"/>
      <c r="I400" s="49"/>
      <c r="J400" s="44" t="str">
        <f t="array" ref="J400">IF(G400="","",IFERROR(LET(ev_cost,INDEX(Events!$G$5:$G$506,MATCH(G400,Events!$A$5:$A$506,0)),ev_split,INDEX(Events!$I$5:$I$506,MATCH(G400,Events!$A$5:$A$506,0)),att_offset,MATCH(G400,Attendance!$B$3:$AY$3,0),attendees,COUNTIF(INDEX(Attendance!$B$7:$AY$206,0,att_offset),"1"),IF(ev_split="Equal Split",ev_cost/MAX(1,COUNTA(Roster!$A$5:$A$204)),ev_cost/MAX(1,attendees))),"N/A"))</f>
        <v/>
      </c>
    </row>
    <row r="401" ht="19.5" customHeight="1">
      <c r="A401" s="50"/>
      <c r="B401" s="53"/>
      <c r="C401" s="53"/>
      <c r="D401" s="53"/>
      <c r="E401" s="53"/>
      <c r="F401" s="55"/>
      <c r="G401" s="53"/>
      <c r="H401" s="53"/>
      <c r="I401" s="53"/>
      <c r="J401" s="44" t="str">
        <f t="array" ref="J401">IF(G401="","",IFERROR(LET(ev_cost,INDEX(Events!$G$5:$G$506,MATCH(G401,Events!$A$5:$A$506,0)),ev_split,INDEX(Events!$I$5:$I$506,MATCH(G401,Events!$A$5:$A$506,0)),att_offset,MATCH(G401,Attendance!$B$3:$AY$3,0),attendees,COUNTIF(INDEX(Attendance!$B$7:$AY$206,0,att_offset),"1"),IF(ev_split="Equal Split",ev_cost/MAX(1,COUNTA(Roster!$A$5:$A$204)),ev_cost/MAX(1,attendees))),"N/A"))</f>
        <v/>
      </c>
    </row>
    <row r="402" ht="19.5" customHeight="1">
      <c r="A402" s="46"/>
      <c r="B402" s="49"/>
      <c r="C402" s="49"/>
      <c r="D402" s="49"/>
      <c r="E402" s="49"/>
      <c r="F402" s="54"/>
      <c r="G402" s="49"/>
      <c r="H402" s="49"/>
      <c r="I402" s="49"/>
      <c r="J402" s="44" t="str">
        <f t="array" ref="J402">IF(G402="","",IFERROR(LET(ev_cost,INDEX(Events!$G$5:$G$506,MATCH(G402,Events!$A$5:$A$506,0)),ev_split,INDEX(Events!$I$5:$I$506,MATCH(G402,Events!$A$5:$A$506,0)),att_offset,MATCH(G402,Attendance!$B$3:$AY$3,0),attendees,COUNTIF(INDEX(Attendance!$B$7:$AY$206,0,att_offset),"1"),IF(ev_split="Equal Split",ev_cost/MAX(1,COUNTA(Roster!$A$5:$A$204)),ev_cost/MAX(1,attendees))),"N/A"))</f>
        <v/>
      </c>
    </row>
    <row r="403" ht="19.5" customHeight="1">
      <c r="A403" s="50"/>
      <c r="B403" s="53"/>
      <c r="C403" s="53"/>
      <c r="D403" s="53"/>
      <c r="E403" s="53"/>
      <c r="F403" s="55"/>
      <c r="G403" s="53"/>
      <c r="H403" s="53"/>
      <c r="I403" s="53"/>
      <c r="J403" s="44" t="str">
        <f t="array" ref="J403">IF(G403="","",IFERROR(LET(ev_cost,INDEX(Events!$G$5:$G$506,MATCH(G403,Events!$A$5:$A$506,0)),ev_split,INDEX(Events!$I$5:$I$506,MATCH(G403,Events!$A$5:$A$506,0)),att_offset,MATCH(G403,Attendance!$B$3:$AY$3,0),attendees,COUNTIF(INDEX(Attendance!$B$7:$AY$206,0,att_offset),"1"),IF(ev_split="Equal Split",ev_cost/MAX(1,COUNTA(Roster!$A$5:$A$204)),ev_cost/MAX(1,attendees))),"N/A"))</f>
        <v/>
      </c>
    </row>
    <row r="404" ht="19.5" customHeight="1">
      <c r="A404" s="46"/>
      <c r="B404" s="49"/>
      <c r="C404" s="49"/>
      <c r="D404" s="49"/>
      <c r="E404" s="49"/>
      <c r="F404" s="54"/>
      <c r="G404" s="49"/>
      <c r="H404" s="49"/>
      <c r="I404" s="49"/>
      <c r="J404" s="44" t="str">
        <f t="array" ref="J404">IF(G404="","",IFERROR(LET(ev_cost,INDEX(Events!$G$5:$G$506,MATCH(G404,Events!$A$5:$A$506,0)),ev_split,INDEX(Events!$I$5:$I$506,MATCH(G404,Events!$A$5:$A$506,0)),att_offset,MATCH(G404,Attendance!$B$3:$AY$3,0),attendees,COUNTIF(INDEX(Attendance!$B$7:$AY$206,0,att_offset),"1"),IF(ev_split="Equal Split",ev_cost/MAX(1,COUNTA(Roster!$A$5:$A$204)),ev_cost/MAX(1,attendees))),"N/A"))</f>
        <v/>
      </c>
    </row>
    <row r="405" ht="19.5" customHeight="1">
      <c r="A405" s="50"/>
      <c r="B405" s="53"/>
      <c r="C405" s="53"/>
      <c r="D405" s="53"/>
      <c r="E405" s="53"/>
      <c r="F405" s="55"/>
      <c r="G405" s="53"/>
      <c r="H405" s="53"/>
      <c r="I405" s="53"/>
      <c r="J405" s="44" t="str">
        <f t="array" ref="J405">IF(G405="","",IFERROR(LET(ev_cost,INDEX(Events!$G$5:$G$506,MATCH(G405,Events!$A$5:$A$506,0)),ev_split,INDEX(Events!$I$5:$I$506,MATCH(G405,Events!$A$5:$A$506,0)),att_offset,MATCH(G405,Attendance!$B$3:$AY$3,0),attendees,COUNTIF(INDEX(Attendance!$B$7:$AY$206,0,att_offset),"1"),IF(ev_split="Equal Split",ev_cost/MAX(1,COUNTA(Roster!$A$5:$A$204)),ev_cost/MAX(1,attendees))),"N/A"))</f>
        <v/>
      </c>
    </row>
    <row r="406" ht="19.5" customHeight="1">
      <c r="A406" s="46"/>
      <c r="B406" s="49"/>
      <c r="C406" s="49"/>
      <c r="D406" s="49"/>
      <c r="E406" s="49"/>
      <c r="F406" s="54"/>
      <c r="G406" s="49"/>
      <c r="H406" s="49"/>
      <c r="I406" s="49"/>
      <c r="J406" s="44" t="str">
        <f t="array" ref="J406">IF(G406="","",IFERROR(LET(ev_cost,INDEX(Events!$G$5:$G$506,MATCH(G406,Events!$A$5:$A$506,0)),ev_split,INDEX(Events!$I$5:$I$506,MATCH(G406,Events!$A$5:$A$506,0)),att_offset,MATCH(G406,Attendance!$B$3:$AY$3,0),attendees,COUNTIF(INDEX(Attendance!$B$7:$AY$206,0,att_offset),"1"),IF(ev_split="Equal Split",ev_cost/MAX(1,COUNTA(Roster!$A$5:$A$204)),ev_cost/MAX(1,attendees))),"N/A"))</f>
        <v/>
      </c>
    </row>
    <row r="407" ht="19.5" customHeight="1">
      <c r="A407" s="50"/>
      <c r="B407" s="53"/>
      <c r="C407" s="53"/>
      <c r="D407" s="53"/>
      <c r="E407" s="53"/>
      <c r="F407" s="55"/>
      <c r="G407" s="53"/>
      <c r="H407" s="53"/>
      <c r="I407" s="53"/>
      <c r="J407" s="44" t="str">
        <f t="array" ref="J407">IF(G407="","",IFERROR(LET(ev_cost,INDEX(Events!$G$5:$G$506,MATCH(G407,Events!$A$5:$A$506,0)),ev_split,INDEX(Events!$I$5:$I$506,MATCH(G407,Events!$A$5:$A$506,0)),att_offset,MATCH(G407,Attendance!$B$3:$AY$3,0),attendees,COUNTIF(INDEX(Attendance!$B$7:$AY$206,0,att_offset),"1"),IF(ev_split="Equal Split",ev_cost/MAX(1,COUNTA(Roster!$A$5:$A$204)),ev_cost/MAX(1,attendees))),"N/A"))</f>
        <v/>
      </c>
    </row>
    <row r="408" ht="19.5" customHeight="1">
      <c r="A408" s="46"/>
      <c r="B408" s="49"/>
      <c r="C408" s="49"/>
      <c r="D408" s="49"/>
      <c r="E408" s="49"/>
      <c r="F408" s="54"/>
      <c r="G408" s="49"/>
      <c r="H408" s="49"/>
      <c r="I408" s="49"/>
      <c r="J408" s="44" t="str">
        <f t="array" ref="J408">IF(G408="","",IFERROR(LET(ev_cost,INDEX(Events!$G$5:$G$506,MATCH(G408,Events!$A$5:$A$506,0)),ev_split,INDEX(Events!$I$5:$I$506,MATCH(G408,Events!$A$5:$A$506,0)),att_offset,MATCH(G408,Attendance!$B$3:$AY$3,0),attendees,COUNTIF(INDEX(Attendance!$B$7:$AY$206,0,att_offset),"1"),IF(ev_split="Equal Split",ev_cost/MAX(1,COUNTA(Roster!$A$5:$A$204)),ev_cost/MAX(1,attendees))),"N/A"))</f>
        <v/>
      </c>
    </row>
    <row r="409" ht="19.5" customHeight="1">
      <c r="A409" s="50"/>
      <c r="B409" s="53"/>
      <c r="C409" s="53"/>
      <c r="D409" s="53"/>
      <c r="E409" s="53"/>
      <c r="F409" s="55"/>
      <c r="G409" s="53"/>
      <c r="H409" s="53"/>
      <c r="I409" s="53"/>
      <c r="J409" s="44" t="str">
        <f t="array" ref="J409">IF(G409="","",IFERROR(LET(ev_cost,INDEX(Events!$G$5:$G$506,MATCH(G409,Events!$A$5:$A$506,0)),ev_split,INDEX(Events!$I$5:$I$506,MATCH(G409,Events!$A$5:$A$506,0)),att_offset,MATCH(G409,Attendance!$B$3:$AY$3,0),attendees,COUNTIF(INDEX(Attendance!$B$7:$AY$206,0,att_offset),"1"),IF(ev_split="Equal Split",ev_cost/MAX(1,COUNTA(Roster!$A$5:$A$204)),ev_cost/MAX(1,attendees))),"N/A"))</f>
        <v/>
      </c>
    </row>
    <row r="410" ht="19.5" customHeight="1">
      <c r="A410" s="46"/>
      <c r="B410" s="49"/>
      <c r="C410" s="49"/>
      <c r="D410" s="49"/>
      <c r="E410" s="49"/>
      <c r="F410" s="54"/>
      <c r="G410" s="49"/>
      <c r="H410" s="49"/>
      <c r="I410" s="49"/>
      <c r="J410" s="44" t="str">
        <f t="array" ref="J410">IF(G410="","",IFERROR(LET(ev_cost,INDEX(Events!$G$5:$G$506,MATCH(G410,Events!$A$5:$A$506,0)),ev_split,INDEX(Events!$I$5:$I$506,MATCH(G410,Events!$A$5:$A$506,0)),att_offset,MATCH(G410,Attendance!$B$3:$AY$3,0),attendees,COUNTIF(INDEX(Attendance!$B$7:$AY$206,0,att_offset),"1"),IF(ev_split="Equal Split",ev_cost/MAX(1,COUNTA(Roster!$A$5:$A$204)),ev_cost/MAX(1,attendees))),"N/A"))</f>
        <v/>
      </c>
    </row>
    <row r="411" ht="19.5" customHeight="1">
      <c r="A411" s="50"/>
      <c r="B411" s="53"/>
      <c r="C411" s="53"/>
      <c r="D411" s="53"/>
      <c r="E411" s="53"/>
      <c r="F411" s="55"/>
      <c r="G411" s="53"/>
      <c r="H411" s="53"/>
      <c r="I411" s="53"/>
      <c r="J411" s="44" t="str">
        <f t="array" ref="J411">IF(G411="","",IFERROR(LET(ev_cost,INDEX(Events!$G$5:$G$506,MATCH(G411,Events!$A$5:$A$506,0)),ev_split,INDEX(Events!$I$5:$I$506,MATCH(G411,Events!$A$5:$A$506,0)),att_offset,MATCH(G411,Attendance!$B$3:$AY$3,0),attendees,COUNTIF(INDEX(Attendance!$B$7:$AY$206,0,att_offset),"1"),IF(ev_split="Equal Split",ev_cost/MAX(1,COUNTA(Roster!$A$5:$A$204)),ev_cost/MAX(1,attendees))),"N/A"))</f>
        <v/>
      </c>
    </row>
    <row r="412" ht="19.5" customHeight="1">
      <c r="A412" s="46"/>
      <c r="B412" s="49"/>
      <c r="C412" s="49"/>
      <c r="D412" s="49"/>
      <c r="E412" s="49"/>
      <c r="F412" s="54"/>
      <c r="G412" s="49"/>
      <c r="H412" s="49"/>
      <c r="I412" s="49"/>
      <c r="J412" s="44" t="str">
        <f t="array" ref="J412">IF(G412="","",IFERROR(LET(ev_cost,INDEX(Events!$G$5:$G$506,MATCH(G412,Events!$A$5:$A$506,0)),ev_split,INDEX(Events!$I$5:$I$506,MATCH(G412,Events!$A$5:$A$506,0)),att_offset,MATCH(G412,Attendance!$B$3:$AY$3,0),attendees,COUNTIF(INDEX(Attendance!$B$7:$AY$206,0,att_offset),"1"),IF(ev_split="Equal Split",ev_cost/MAX(1,COUNTA(Roster!$A$5:$A$204)),ev_cost/MAX(1,attendees))),"N/A"))</f>
        <v/>
      </c>
    </row>
    <row r="413" ht="19.5" customHeight="1">
      <c r="A413" s="50"/>
      <c r="B413" s="53"/>
      <c r="C413" s="53"/>
      <c r="D413" s="53"/>
      <c r="E413" s="53"/>
      <c r="F413" s="55"/>
      <c r="G413" s="53"/>
      <c r="H413" s="53"/>
      <c r="I413" s="53"/>
      <c r="J413" s="44" t="str">
        <f t="array" ref="J413">IF(G413="","",IFERROR(LET(ev_cost,INDEX(Events!$G$5:$G$506,MATCH(G413,Events!$A$5:$A$506,0)),ev_split,INDEX(Events!$I$5:$I$506,MATCH(G413,Events!$A$5:$A$506,0)),att_offset,MATCH(G413,Attendance!$B$3:$AY$3,0),attendees,COUNTIF(INDEX(Attendance!$B$7:$AY$206,0,att_offset),"1"),IF(ev_split="Equal Split",ev_cost/MAX(1,COUNTA(Roster!$A$5:$A$204)),ev_cost/MAX(1,attendees))),"N/A"))</f>
        <v/>
      </c>
    </row>
    <row r="414" ht="19.5" customHeight="1">
      <c r="A414" s="46"/>
      <c r="B414" s="49"/>
      <c r="C414" s="49"/>
      <c r="D414" s="49"/>
      <c r="E414" s="49"/>
      <c r="F414" s="54"/>
      <c r="G414" s="49"/>
      <c r="H414" s="49"/>
      <c r="I414" s="49"/>
      <c r="J414" s="44" t="str">
        <f t="array" ref="J414">IF(G414="","",IFERROR(LET(ev_cost,INDEX(Events!$G$5:$G$506,MATCH(G414,Events!$A$5:$A$506,0)),ev_split,INDEX(Events!$I$5:$I$506,MATCH(G414,Events!$A$5:$A$506,0)),att_offset,MATCH(G414,Attendance!$B$3:$AY$3,0),attendees,COUNTIF(INDEX(Attendance!$B$7:$AY$206,0,att_offset),"1"),IF(ev_split="Equal Split",ev_cost/MAX(1,COUNTA(Roster!$A$5:$A$204)),ev_cost/MAX(1,attendees))),"N/A"))</f>
        <v/>
      </c>
    </row>
    <row r="415" ht="19.5" customHeight="1">
      <c r="A415" s="50"/>
      <c r="B415" s="53"/>
      <c r="C415" s="53"/>
      <c r="D415" s="53"/>
      <c r="E415" s="53"/>
      <c r="F415" s="55"/>
      <c r="G415" s="53"/>
      <c r="H415" s="53"/>
      <c r="I415" s="53"/>
      <c r="J415" s="44" t="str">
        <f t="array" ref="J415">IF(G415="","",IFERROR(LET(ev_cost,INDEX(Events!$G$5:$G$506,MATCH(G415,Events!$A$5:$A$506,0)),ev_split,INDEX(Events!$I$5:$I$506,MATCH(G415,Events!$A$5:$A$506,0)),att_offset,MATCH(G415,Attendance!$B$3:$AY$3,0),attendees,COUNTIF(INDEX(Attendance!$B$7:$AY$206,0,att_offset),"1"),IF(ev_split="Equal Split",ev_cost/MAX(1,COUNTA(Roster!$A$5:$A$204)),ev_cost/MAX(1,attendees))),"N/A"))</f>
        <v/>
      </c>
    </row>
    <row r="416" ht="19.5" customHeight="1">
      <c r="A416" s="46"/>
      <c r="B416" s="49"/>
      <c r="C416" s="49"/>
      <c r="D416" s="49"/>
      <c r="E416" s="49"/>
      <c r="F416" s="54"/>
      <c r="G416" s="49"/>
      <c r="H416" s="49"/>
      <c r="I416" s="49"/>
      <c r="J416" s="44" t="str">
        <f t="array" ref="J416">IF(G416="","",IFERROR(LET(ev_cost,INDEX(Events!$G$5:$G$506,MATCH(G416,Events!$A$5:$A$506,0)),ev_split,INDEX(Events!$I$5:$I$506,MATCH(G416,Events!$A$5:$A$506,0)),att_offset,MATCH(G416,Attendance!$B$3:$AY$3,0),attendees,COUNTIF(INDEX(Attendance!$B$7:$AY$206,0,att_offset),"1"),IF(ev_split="Equal Split",ev_cost/MAX(1,COUNTA(Roster!$A$5:$A$204)),ev_cost/MAX(1,attendees))),"N/A"))</f>
        <v/>
      </c>
    </row>
    <row r="417" ht="19.5" customHeight="1">
      <c r="A417" s="50"/>
      <c r="B417" s="53"/>
      <c r="C417" s="53"/>
      <c r="D417" s="53"/>
      <c r="E417" s="53"/>
      <c r="F417" s="55"/>
      <c r="G417" s="53"/>
      <c r="H417" s="53"/>
      <c r="I417" s="53"/>
      <c r="J417" s="44" t="str">
        <f t="array" ref="J417">IF(G417="","",IFERROR(LET(ev_cost,INDEX(Events!$G$5:$G$506,MATCH(G417,Events!$A$5:$A$506,0)),ev_split,INDEX(Events!$I$5:$I$506,MATCH(G417,Events!$A$5:$A$506,0)),att_offset,MATCH(G417,Attendance!$B$3:$AY$3,0),attendees,COUNTIF(INDEX(Attendance!$B$7:$AY$206,0,att_offset),"1"),IF(ev_split="Equal Split",ev_cost/MAX(1,COUNTA(Roster!$A$5:$A$204)),ev_cost/MAX(1,attendees))),"N/A"))</f>
        <v/>
      </c>
    </row>
    <row r="418" ht="19.5" customHeight="1">
      <c r="A418" s="46"/>
      <c r="B418" s="49"/>
      <c r="C418" s="49"/>
      <c r="D418" s="49"/>
      <c r="E418" s="49"/>
      <c r="F418" s="54"/>
      <c r="G418" s="49"/>
      <c r="H418" s="49"/>
      <c r="I418" s="49"/>
      <c r="J418" s="44" t="str">
        <f t="array" ref="J418">IF(G418="","",IFERROR(LET(ev_cost,INDEX(Events!$G$5:$G$506,MATCH(G418,Events!$A$5:$A$506,0)),ev_split,INDEX(Events!$I$5:$I$506,MATCH(G418,Events!$A$5:$A$506,0)),att_offset,MATCH(G418,Attendance!$B$3:$AY$3,0),attendees,COUNTIF(INDEX(Attendance!$B$7:$AY$206,0,att_offset),"1"),IF(ev_split="Equal Split",ev_cost/MAX(1,COUNTA(Roster!$A$5:$A$204)),ev_cost/MAX(1,attendees))),"N/A"))</f>
        <v/>
      </c>
    </row>
    <row r="419" ht="19.5" customHeight="1">
      <c r="A419" s="50"/>
      <c r="B419" s="53"/>
      <c r="C419" s="53"/>
      <c r="D419" s="53"/>
      <c r="E419" s="53"/>
      <c r="F419" s="55"/>
      <c r="G419" s="53"/>
      <c r="H419" s="53"/>
      <c r="I419" s="53"/>
      <c r="J419" s="44" t="str">
        <f t="array" ref="J419">IF(G419="","",IFERROR(LET(ev_cost,INDEX(Events!$G$5:$G$506,MATCH(G419,Events!$A$5:$A$506,0)),ev_split,INDEX(Events!$I$5:$I$506,MATCH(G419,Events!$A$5:$A$506,0)),att_offset,MATCH(G419,Attendance!$B$3:$AY$3,0),attendees,COUNTIF(INDEX(Attendance!$B$7:$AY$206,0,att_offset),"1"),IF(ev_split="Equal Split",ev_cost/MAX(1,COUNTA(Roster!$A$5:$A$204)),ev_cost/MAX(1,attendees))),"N/A"))</f>
        <v/>
      </c>
    </row>
    <row r="420" ht="19.5" customHeight="1">
      <c r="A420" s="46"/>
      <c r="B420" s="49"/>
      <c r="C420" s="49"/>
      <c r="D420" s="49"/>
      <c r="E420" s="49"/>
      <c r="F420" s="54"/>
      <c r="G420" s="49"/>
      <c r="H420" s="49"/>
      <c r="I420" s="49"/>
      <c r="J420" s="44" t="str">
        <f t="array" ref="J420">IF(G420="","",IFERROR(LET(ev_cost,INDEX(Events!$G$5:$G$506,MATCH(G420,Events!$A$5:$A$506,0)),ev_split,INDEX(Events!$I$5:$I$506,MATCH(G420,Events!$A$5:$A$506,0)),att_offset,MATCH(G420,Attendance!$B$3:$AY$3,0),attendees,COUNTIF(INDEX(Attendance!$B$7:$AY$206,0,att_offset),"1"),IF(ev_split="Equal Split",ev_cost/MAX(1,COUNTA(Roster!$A$5:$A$204)),ev_cost/MAX(1,attendees))),"N/A"))</f>
        <v/>
      </c>
    </row>
    <row r="421" ht="19.5" customHeight="1">
      <c r="A421" s="50"/>
      <c r="B421" s="53"/>
      <c r="C421" s="53"/>
      <c r="D421" s="53"/>
      <c r="E421" s="53"/>
      <c r="F421" s="55"/>
      <c r="G421" s="53"/>
      <c r="H421" s="53"/>
      <c r="I421" s="53"/>
      <c r="J421" s="44" t="str">
        <f t="array" ref="J421">IF(G421="","",IFERROR(LET(ev_cost,INDEX(Events!$G$5:$G$506,MATCH(G421,Events!$A$5:$A$506,0)),ev_split,INDEX(Events!$I$5:$I$506,MATCH(G421,Events!$A$5:$A$506,0)),att_offset,MATCH(G421,Attendance!$B$3:$AY$3,0),attendees,COUNTIF(INDEX(Attendance!$B$7:$AY$206,0,att_offset),"1"),IF(ev_split="Equal Split",ev_cost/MAX(1,COUNTA(Roster!$A$5:$A$204)),ev_cost/MAX(1,attendees))),"N/A"))</f>
        <v/>
      </c>
    </row>
    <row r="422" ht="19.5" customHeight="1">
      <c r="A422" s="46"/>
      <c r="B422" s="49"/>
      <c r="C422" s="49"/>
      <c r="D422" s="49"/>
      <c r="E422" s="49"/>
      <c r="F422" s="54"/>
      <c r="G422" s="49"/>
      <c r="H422" s="49"/>
      <c r="I422" s="49"/>
      <c r="J422" s="44" t="str">
        <f t="array" ref="J422">IF(G422="","",IFERROR(LET(ev_cost,INDEX(Events!$G$5:$G$506,MATCH(G422,Events!$A$5:$A$506,0)),ev_split,INDEX(Events!$I$5:$I$506,MATCH(G422,Events!$A$5:$A$506,0)),att_offset,MATCH(G422,Attendance!$B$3:$AY$3,0),attendees,COUNTIF(INDEX(Attendance!$B$7:$AY$206,0,att_offset),"1"),IF(ev_split="Equal Split",ev_cost/MAX(1,COUNTA(Roster!$A$5:$A$204)),ev_cost/MAX(1,attendees))),"N/A"))</f>
        <v/>
      </c>
    </row>
    <row r="423" ht="19.5" customHeight="1">
      <c r="A423" s="50"/>
      <c r="B423" s="53"/>
      <c r="C423" s="53"/>
      <c r="D423" s="53"/>
      <c r="E423" s="53"/>
      <c r="F423" s="55"/>
      <c r="G423" s="53"/>
      <c r="H423" s="53"/>
      <c r="I423" s="53"/>
      <c r="J423" s="44" t="str">
        <f t="array" ref="J423">IF(G423="","",IFERROR(LET(ev_cost,INDEX(Events!$G$5:$G$506,MATCH(G423,Events!$A$5:$A$506,0)),ev_split,INDEX(Events!$I$5:$I$506,MATCH(G423,Events!$A$5:$A$506,0)),att_offset,MATCH(G423,Attendance!$B$3:$AY$3,0),attendees,COUNTIF(INDEX(Attendance!$B$7:$AY$206,0,att_offset),"1"),IF(ev_split="Equal Split",ev_cost/MAX(1,COUNTA(Roster!$A$5:$A$204)),ev_cost/MAX(1,attendees))),"N/A"))</f>
        <v/>
      </c>
    </row>
    <row r="424" ht="19.5" customHeight="1">
      <c r="A424" s="46"/>
      <c r="B424" s="49"/>
      <c r="C424" s="49"/>
      <c r="D424" s="49"/>
      <c r="E424" s="49"/>
      <c r="F424" s="54"/>
      <c r="G424" s="49"/>
      <c r="H424" s="49"/>
      <c r="I424" s="49"/>
      <c r="J424" s="44" t="str">
        <f t="array" ref="J424">IF(G424="","",IFERROR(LET(ev_cost,INDEX(Events!$G$5:$G$506,MATCH(G424,Events!$A$5:$A$506,0)),ev_split,INDEX(Events!$I$5:$I$506,MATCH(G424,Events!$A$5:$A$506,0)),att_offset,MATCH(G424,Attendance!$B$3:$AY$3,0),attendees,COUNTIF(INDEX(Attendance!$B$7:$AY$206,0,att_offset),"1"),IF(ev_split="Equal Split",ev_cost/MAX(1,COUNTA(Roster!$A$5:$A$204)),ev_cost/MAX(1,attendees))),"N/A"))</f>
        <v/>
      </c>
    </row>
    <row r="425" ht="19.5" customHeight="1">
      <c r="A425" s="50"/>
      <c r="B425" s="53"/>
      <c r="C425" s="53"/>
      <c r="D425" s="53"/>
      <c r="E425" s="53"/>
      <c r="F425" s="55"/>
      <c r="G425" s="53"/>
      <c r="H425" s="53"/>
      <c r="I425" s="53"/>
      <c r="J425" s="44" t="str">
        <f t="array" ref="J425">IF(G425="","",IFERROR(LET(ev_cost,INDEX(Events!$G$5:$G$506,MATCH(G425,Events!$A$5:$A$506,0)),ev_split,INDEX(Events!$I$5:$I$506,MATCH(G425,Events!$A$5:$A$506,0)),att_offset,MATCH(G425,Attendance!$B$3:$AY$3,0),attendees,COUNTIF(INDEX(Attendance!$B$7:$AY$206,0,att_offset),"1"),IF(ev_split="Equal Split",ev_cost/MAX(1,COUNTA(Roster!$A$5:$A$204)),ev_cost/MAX(1,attendees))),"N/A"))</f>
        <v/>
      </c>
    </row>
    <row r="426" ht="19.5" customHeight="1">
      <c r="A426" s="46"/>
      <c r="B426" s="49"/>
      <c r="C426" s="49"/>
      <c r="D426" s="49"/>
      <c r="E426" s="49"/>
      <c r="F426" s="54"/>
      <c r="G426" s="49"/>
      <c r="H426" s="49"/>
      <c r="I426" s="49"/>
      <c r="J426" s="44" t="str">
        <f t="array" ref="J426">IF(G426="","",IFERROR(LET(ev_cost,INDEX(Events!$G$5:$G$506,MATCH(G426,Events!$A$5:$A$506,0)),ev_split,INDEX(Events!$I$5:$I$506,MATCH(G426,Events!$A$5:$A$506,0)),att_offset,MATCH(G426,Attendance!$B$3:$AY$3,0),attendees,COUNTIF(INDEX(Attendance!$B$7:$AY$206,0,att_offset),"1"),IF(ev_split="Equal Split",ev_cost/MAX(1,COUNTA(Roster!$A$5:$A$204)),ev_cost/MAX(1,attendees))),"N/A"))</f>
        <v/>
      </c>
    </row>
    <row r="427" ht="19.5" customHeight="1">
      <c r="A427" s="50"/>
      <c r="B427" s="53"/>
      <c r="C427" s="53"/>
      <c r="D427" s="53"/>
      <c r="E427" s="53"/>
      <c r="F427" s="55"/>
      <c r="G427" s="53"/>
      <c r="H427" s="53"/>
      <c r="I427" s="53"/>
      <c r="J427" s="44" t="str">
        <f t="array" ref="J427">IF(G427="","",IFERROR(LET(ev_cost,INDEX(Events!$G$5:$G$506,MATCH(G427,Events!$A$5:$A$506,0)),ev_split,INDEX(Events!$I$5:$I$506,MATCH(G427,Events!$A$5:$A$506,0)),att_offset,MATCH(G427,Attendance!$B$3:$AY$3,0),attendees,COUNTIF(INDEX(Attendance!$B$7:$AY$206,0,att_offset),"1"),IF(ev_split="Equal Split",ev_cost/MAX(1,COUNTA(Roster!$A$5:$A$204)),ev_cost/MAX(1,attendees))),"N/A"))</f>
        <v/>
      </c>
    </row>
    <row r="428" ht="19.5" customHeight="1">
      <c r="A428" s="46"/>
      <c r="B428" s="49"/>
      <c r="C428" s="49"/>
      <c r="D428" s="49"/>
      <c r="E428" s="49"/>
      <c r="F428" s="54"/>
      <c r="G428" s="49"/>
      <c r="H428" s="49"/>
      <c r="I428" s="49"/>
      <c r="J428" s="44" t="str">
        <f t="array" ref="J428">IF(G428="","",IFERROR(LET(ev_cost,INDEX(Events!$G$5:$G$506,MATCH(G428,Events!$A$5:$A$506,0)),ev_split,INDEX(Events!$I$5:$I$506,MATCH(G428,Events!$A$5:$A$506,0)),att_offset,MATCH(G428,Attendance!$B$3:$AY$3,0),attendees,COUNTIF(INDEX(Attendance!$B$7:$AY$206,0,att_offset),"1"),IF(ev_split="Equal Split",ev_cost/MAX(1,COUNTA(Roster!$A$5:$A$204)),ev_cost/MAX(1,attendees))),"N/A"))</f>
        <v/>
      </c>
    </row>
    <row r="429" ht="19.5" customHeight="1">
      <c r="A429" s="50"/>
      <c r="B429" s="53"/>
      <c r="C429" s="53"/>
      <c r="D429" s="53"/>
      <c r="E429" s="53"/>
      <c r="F429" s="55"/>
      <c r="G429" s="53"/>
      <c r="H429" s="53"/>
      <c r="I429" s="53"/>
      <c r="J429" s="44" t="str">
        <f t="array" ref="J429">IF(G429="","",IFERROR(LET(ev_cost,INDEX(Events!$G$5:$G$506,MATCH(G429,Events!$A$5:$A$506,0)),ev_split,INDEX(Events!$I$5:$I$506,MATCH(G429,Events!$A$5:$A$506,0)),att_offset,MATCH(G429,Attendance!$B$3:$AY$3,0),attendees,COUNTIF(INDEX(Attendance!$B$7:$AY$206,0,att_offset),"1"),IF(ev_split="Equal Split",ev_cost/MAX(1,COUNTA(Roster!$A$5:$A$204)),ev_cost/MAX(1,attendees))),"N/A"))</f>
        <v/>
      </c>
    </row>
    <row r="430" ht="19.5" customHeight="1">
      <c r="A430" s="46"/>
      <c r="B430" s="49"/>
      <c r="C430" s="49"/>
      <c r="D430" s="49"/>
      <c r="E430" s="49"/>
      <c r="F430" s="54"/>
      <c r="G430" s="49"/>
      <c r="H430" s="49"/>
      <c r="I430" s="49"/>
      <c r="J430" s="44" t="str">
        <f t="array" ref="J430">IF(G430="","",IFERROR(LET(ev_cost,INDEX(Events!$G$5:$G$506,MATCH(G430,Events!$A$5:$A$506,0)),ev_split,INDEX(Events!$I$5:$I$506,MATCH(G430,Events!$A$5:$A$506,0)),att_offset,MATCH(G430,Attendance!$B$3:$AY$3,0),attendees,COUNTIF(INDEX(Attendance!$B$7:$AY$206,0,att_offset),"1"),IF(ev_split="Equal Split",ev_cost/MAX(1,COUNTA(Roster!$A$5:$A$204)),ev_cost/MAX(1,attendees))),"N/A"))</f>
        <v/>
      </c>
    </row>
    <row r="431" ht="19.5" customHeight="1">
      <c r="A431" s="50"/>
      <c r="B431" s="53"/>
      <c r="C431" s="53"/>
      <c r="D431" s="53"/>
      <c r="E431" s="53"/>
      <c r="F431" s="55"/>
      <c r="G431" s="53"/>
      <c r="H431" s="53"/>
      <c r="I431" s="53"/>
      <c r="J431" s="44" t="str">
        <f t="array" ref="J431">IF(G431="","",IFERROR(LET(ev_cost,INDEX(Events!$G$5:$G$506,MATCH(G431,Events!$A$5:$A$506,0)),ev_split,INDEX(Events!$I$5:$I$506,MATCH(G431,Events!$A$5:$A$506,0)),att_offset,MATCH(G431,Attendance!$B$3:$AY$3,0),attendees,COUNTIF(INDEX(Attendance!$B$7:$AY$206,0,att_offset),"1"),IF(ev_split="Equal Split",ev_cost/MAX(1,COUNTA(Roster!$A$5:$A$204)),ev_cost/MAX(1,attendees))),"N/A"))</f>
        <v/>
      </c>
    </row>
    <row r="432" ht="19.5" customHeight="1">
      <c r="A432" s="46"/>
      <c r="B432" s="49"/>
      <c r="C432" s="49"/>
      <c r="D432" s="49"/>
      <c r="E432" s="49"/>
      <c r="F432" s="54"/>
      <c r="G432" s="49"/>
      <c r="H432" s="49"/>
      <c r="I432" s="49"/>
      <c r="J432" s="44" t="str">
        <f t="array" ref="J432">IF(G432="","",IFERROR(LET(ev_cost,INDEX(Events!$G$5:$G$506,MATCH(G432,Events!$A$5:$A$506,0)),ev_split,INDEX(Events!$I$5:$I$506,MATCH(G432,Events!$A$5:$A$506,0)),att_offset,MATCH(G432,Attendance!$B$3:$AY$3,0),attendees,COUNTIF(INDEX(Attendance!$B$7:$AY$206,0,att_offset),"1"),IF(ev_split="Equal Split",ev_cost/MAX(1,COUNTA(Roster!$A$5:$A$204)),ev_cost/MAX(1,attendees))),"N/A"))</f>
        <v/>
      </c>
    </row>
    <row r="433" ht="19.5" customHeight="1">
      <c r="A433" s="50"/>
      <c r="B433" s="53"/>
      <c r="C433" s="53"/>
      <c r="D433" s="53"/>
      <c r="E433" s="53"/>
      <c r="F433" s="55"/>
      <c r="G433" s="53"/>
      <c r="H433" s="53"/>
      <c r="I433" s="53"/>
      <c r="J433" s="44" t="str">
        <f t="array" ref="J433">IF(G433="","",IFERROR(LET(ev_cost,INDEX(Events!$G$5:$G$506,MATCH(G433,Events!$A$5:$A$506,0)),ev_split,INDEX(Events!$I$5:$I$506,MATCH(G433,Events!$A$5:$A$506,0)),att_offset,MATCH(G433,Attendance!$B$3:$AY$3,0),attendees,COUNTIF(INDEX(Attendance!$B$7:$AY$206,0,att_offset),"1"),IF(ev_split="Equal Split",ev_cost/MAX(1,COUNTA(Roster!$A$5:$A$204)),ev_cost/MAX(1,attendees))),"N/A"))</f>
        <v/>
      </c>
    </row>
    <row r="434" ht="19.5" customHeight="1">
      <c r="A434" s="46"/>
      <c r="B434" s="49"/>
      <c r="C434" s="49"/>
      <c r="D434" s="49"/>
      <c r="E434" s="49"/>
      <c r="F434" s="54"/>
      <c r="G434" s="49"/>
      <c r="H434" s="49"/>
      <c r="I434" s="49"/>
      <c r="J434" s="44" t="str">
        <f t="array" ref="J434">IF(G434="","",IFERROR(LET(ev_cost,INDEX(Events!$G$5:$G$506,MATCH(G434,Events!$A$5:$A$506,0)),ev_split,INDEX(Events!$I$5:$I$506,MATCH(G434,Events!$A$5:$A$506,0)),att_offset,MATCH(G434,Attendance!$B$3:$AY$3,0),attendees,COUNTIF(INDEX(Attendance!$B$7:$AY$206,0,att_offset),"1"),IF(ev_split="Equal Split",ev_cost/MAX(1,COUNTA(Roster!$A$5:$A$204)),ev_cost/MAX(1,attendees))),"N/A"))</f>
        <v/>
      </c>
    </row>
    <row r="435" ht="19.5" customHeight="1">
      <c r="A435" s="50"/>
      <c r="B435" s="53"/>
      <c r="C435" s="53"/>
      <c r="D435" s="53"/>
      <c r="E435" s="53"/>
      <c r="F435" s="55"/>
      <c r="G435" s="53"/>
      <c r="H435" s="53"/>
      <c r="I435" s="53"/>
      <c r="J435" s="44" t="str">
        <f t="array" ref="J435">IF(G435="","",IFERROR(LET(ev_cost,INDEX(Events!$G$5:$G$506,MATCH(G435,Events!$A$5:$A$506,0)),ev_split,INDEX(Events!$I$5:$I$506,MATCH(G435,Events!$A$5:$A$506,0)),att_offset,MATCH(G435,Attendance!$B$3:$AY$3,0),attendees,COUNTIF(INDEX(Attendance!$B$7:$AY$206,0,att_offset),"1"),IF(ev_split="Equal Split",ev_cost/MAX(1,COUNTA(Roster!$A$5:$A$204)),ev_cost/MAX(1,attendees))),"N/A"))</f>
        <v/>
      </c>
    </row>
    <row r="436" ht="19.5" customHeight="1">
      <c r="A436" s="46"/>
      <c r="B436" s="49"/>
      <c r="C436" s="49"/>
      <c r="D436" s="49"/>
      <c r="E436" s="49"/>
      <c r="F436" s="54"/>
      <c r="G436" s="49"/>
      <c r="H436" s="49"/>
      <c r="I436" s="49"/>
      <c r="J436" s="44" t="str">
        <f t="array" ref="J436">IF(G436="","",IFERROR(LET(ev_cost,INDEX(Events!$G$5:$G$506,MATCH(G436,Events!$A$5:$A$506,0)),ev_split,INDEX(Events!$I$5:$I$506,MATCH(G436,Events!$A$5:$A$506,0)),att_offset,MATCH(G436,Attendance!$B$3:$AY$3,0),attendees,COUNTIF(INDEX(Attendance!$B$7:$AY$206,0,att_offset),"1"),IF(ev_split="Equal Split",ev_cost/MAX(1,COUNTA(Roster!$A$5:$A$204)),ev_cost/MAX(1,attendees))),"N/A"))</f>
        <v/>
      </c>
    </row>
    <row r="437" ht="19.5" customHeight="1">
      <c r="A437" s="50"/>
      <c r="B437" s="53"/>
      <c r="C437" s="53"/>
      <c r="D437" s="53"/>
      <c r="E437" s="53"/>
      <c r="F437" s="55"/>
      <c r="G437" s="53"/>
      <c r="H437" s="53"/>
      <c r="I437" s="53"/>
      <c r="J437" s="44" t="str">
        <f t="array" ref="J437">IF(G437="","",IFERROR(LET(ev_cost,INDEX(Events!$G$5:$G$506,MATCH(G437,Events!$A$5:$A$506,0)),ev_split,INDEX(Events!$I$5:$I$506,MATCH(G437,Events!$A$5:$A$506,0)),att_offset,MATCH(G437,Attendance!$B$3:$AY$3,0),attendees,COUNTIF(INDEX(Attendance!$B$7:$AY$206,0,att_offset),"1"),IF(ev_split="Equal Split",ev_cost/MAX(1,COUNTA(Roster!$A$5:$A$204)),ev_cost/MAX(1,attendees))),"N/A"))</f>
        <v/>
      </c>
    </row>
    <row r="438" ht="19.5" customHeight="1">
      <c r="A438" s="46"/>
      <c r="B438" s="49"/>
      <c r="C438" s="49"/>
      <c r="D438" s="49"/>
      <c r="E438" s="49"/>
      <c r="F438" s="54"/>
      <c r="G438" s="49"/>
      <c r="H438" s="49"/>
      <c r="I438" s="49"/>
      <c r="J438" s="44" t="str">
        <f t="array" ref="J438">IF(G438="","",IFERROR(LET(ev_cost,INDEX(Events!$G$5:$G$506,MATCH(G438,Events!$A$5:$A$506,0)),ev_split,INDEX(Events!$I$5:$I$506,MATCH(G438,Events!$A$5:$A$506,0)),att_offset,MATCH(G438,Attendance!$B$3:$AY$3,0),attendees,COUNTIF(INDEX(Attendance!$B$7:$AY$206,0,att_offset),"1"),IF(ev_split="Equal Split",ev_cost/MAX(1,COUNTA(Roster!$A$5:$A$204)),ev_cost/MAX(1,attendees))),"N/A"))</f>
        <v/>
      </c>
    </row>
    <row r="439" ht="19.5" customHeight="1">
      <c r="A439" s="50"/>
      <c r="B439" s="53"/>
      <c r="C439" s="53"/>
      <c r="D439" s="53"/>
      <c r="E439" s="53"/>
      <c r="F439" s="55"/>
      <c r="G439" s="53"/>
      <c r="H439" s="53"/>
      <c r="I439" s="53"/>
      <c r="J439" s="44" t="str">
        <f t="array" ref="J439">IF(G439="","",IFERROR(LET(ev_cost,INDEX(Events!$G$5:$G$506,MATCH(G439,Events!$A$5:$A$506,0)),ev_split,INDEX(Events!$I$5:$I$506,MATCH(G439,Events!$A$5:$A$506,0)),att_offset,MATCH(G439,Attendance!$B$3:$AY$3,0),attendees,COUNTIF(INDEX(Attendance!$B$7:$AY$206,0,att_offset),"1"),IF(ev_split="Equal Split",ev_cost/MAX(1,COUNTA(Roster!$A$5:$A$204)),ev_cost/MAX(1,attendees))),"N/A"))</f>
        <v/>
      </c>
    </row>
    <row r="440" ht="19.5" customHeight="1">
      <c r="A440" s="46"/>
      <c r="B440" s="49"/>
      <c r="C440" s="49"/>
      <c r="D440" s="49"/>
      <c r="E440" s="49"/>
      <c r="F440" s="54"/>
      <c r="G440" s="49"/>
      <c r="H440" s="49"/>
      <c r="I440" s="49"/>
      <c r="J440" s="44" t="str">
        <f t="array" ref="J440">IF(G440="","",IFERROR(LET(ev_cost,INDEX(Events!$G$5:$G$506,MATCH(G440,Events!$A$5:$A$506,0)),ev_split,INDEX(Events!$I$5:$I$506,MATCH(G440,Events!$A$5:$A$506,0)),att_offset,MATCH(G440,Attendance!$B$3:$AY$3,0),attendees,COUNTIF(INDEX(Attendance!$B$7:$AY$206,0,att_offset),"1"),IF(ev_split="Equal Split",ev_cost/MAX(1,COUNTA(Roster!$A$5:$A$204)),ev_cost/MAX(1,attendees))),"N/A"))</f>
        <v/>
      </c>
    </row>
    <row r="441" ht="19.5" customHeight="1">
      <c r="A441" s="50"/>
      <c r="B441" s="53"/>
      <c r="C441" s="53"/>
      <c r="D441" s="53"/>
      <c r="E441" s="53"/>
      <c r="F441" s="55"/>
      <c r="G441" s="53"/>
      <c r="H441" s="53"/>
      <c r="I441" s="53"/>
      <c r="J441" s="44" t="str">
        <f t="array" ref="J441">IF(G441="","",IFERROR(LET(ev_cost,INDEX(Events!$G$5:$G$506,MATCH(G441,Events!$A$5:$A$506,0)),ev_split,INDEX(Events!$I$5:$I$506,MATCH(G441,Events!$A$5:$A$506,0)),att_offset,MATCH(G441,Attendance!$B$3:$AY$3,0),attendees,COUNTIF(INDEX(Attendance!$B$7:$AY$206,0,att_offset),"1"),IF(ev_split="Equal Split",ev_cost/MAX(1,COUNTA(Roster!$A$5:$A$204)),ev_cost/MAX(1,attendees))),"N/A"))</f>
        <v/>
      </c>
    </row>
    <row r="442" ht="19.5" customHeight="1">
      <c r="A442" s="46"/>
      <c r="B442" s="49"/>
      <c r="C442" s="49"/>
      <c r="D442" s="49"/>
      <c r="E442" s="49"/>
      <c r="F442" s="54"/>
      <c r="G442" s="49"/>
      <c r="H442" s="49"/>
      <c r="I442" s="49"/>
      <c r="J442" s="44" t="str">
        <f t="array" ref="J442">IF(G442="","",IFERROR(LET(ev_cost,INDEX(Events!$G$5:$G$506,MATCH(G442,Events!$A$5:$A$506,0)),ev_split,INDEX(Events!$I$5:$I$506,MATCH(G442,Events!$A$5:$A$506,0)),att_offset,MATCH(G442,Attendance!$B$3:$AY$3,0),attendees,COUNTIF(INDEX(Attendance!$B$7:$AY$206,0,att_offset),"1"),IF(ev_split="Equal Split",ev_cost/MAX(1,COUNTA(Roster!$A$5:$A$204)),ev_cost/MAX(1,attendees))),"N/A"))</f>
        <v/>
      </c>
    </row>
    <row r="443" ht="19.5" customHeight="1">
      <c r="A443" s="50"/>
      <c r="B443" s="53"/>
      <c r="C443" s="53"/>
      <c r="D443" s="53"/>
      <c r="E443" s="53"/>
      <c r="F443" s="55"/>
      <c r="G443" s="53"/>
      <c r="H443" s="53"/>
      <c r="I443" s="53"/>
      <c r="J443" s="44" t="str">
        <f t="array" ref="J443">IF(G443="","",IFERROR(LET(ev_cost,INDEX(Events!$G$5:$G$506,MATCH(G443,Events!$A$5:$A$506,0)),ev_split,INDEX(Events!$I$5:$I$506,MATCH(G443,Events!$A$5:$A$506,0)),att_offset,MATCH(G443,Attendance!$B$3:$AY$3,0),attendees,COUNTIF(INDEX(Attendance!$B$7:$AY$206,0,att_offset),"1"),IF(ev_split="Equal Split",ev_cost/MAX(1,COUNTA(Roster!$A$5:$A$204)),ev_cost/MAX(1,attendees))),"N/A"))</f>
        <v/>
      </c>
    </row>
    <row r="444" ht="19.5" customHeight="1">
      <c r="A444" s="46"/>
      <c r="B444" s="49"/>
      <c r="C444" s="49"/>
      <c r="D444" s="49"/>
      <c r="E444" s="49"/>
      <c r="F444" s="54"/>
      <c r="G444" s="49"/>
      <c r="H444" s="49"/>
      <c r="I444" s="49"/>
      <c r="J444" s="44" t="str">
        <f t="array" ref="J444">IF(G444="","",IFERROR(LET(ev_cost,INDEX(Events!$G$5:$G$506,MATCH(G444,Events!$A$5:$A$506,0)),ev_split,INDEX(Events!$I$5:$I$506,MATCH(G444,Events!$A$5:$A$506,0)),att_offset,MATCH(G444,Attendance!$B$3:$AY$3,0),attendees,COUNTIF(INDEX(Attendance!$B$7:$AY$206,0,att_offset),"1"),IF(ev_split="Equal Split",ev_cost/MAX(1,COUNTA(Roster!$A$5:$A$204)),ev_cost/MAX(1,attendees))),"N/A"))</f>
        <v/>
      </c>
    </row>
    <row r="445" ht="19.5" customHeight="1">
      <c r="A445" s="50"/>
      <c r="B445" s="53"/>
      <c r="C445" s="53"/>
      <c r="D445" s="53"/>
      <c r="E445" s="53"/>
      <c r="F445" s="55"/>
      <c r="G445" s="53"/>
      <c r="H445" s="53"/>
      <c r="I445" s="53"/>
      <c r="J445" s="44" t="str">
        <f t="array" ref="J445">IF(G445="","",IFERROR(LET(ev_cost,INDEX(Events!$G$5:$G$506,MATCH(G445,Events!$A$5:$A$506,0)),ev_split,INDEX(Events!$I$5:$I$506,MATCH(G445,Events!$A$5:$A$506,0)),att_offset,MATCH(G445,Attendance!$B$3:$AY$3,0),attendees,COUNTIF(INDEX(Attendance!$B$7:$AY$206,0,att_offset),"1"),IF(ev_split="Equal Split",ev_cost/MAX(1,COUNTA(Roster!$A$5:$A$204)),ev_cost/MAX(1,attendees))),"N/A"))</f>
        <v/>
      </c>
    </row>
    <row r="446" ht="19.5" customHeight="1">
      <c r="A446" s="46"/>
      <c r="B446" s="49"/>
      <c r="C446" s="49"/>
      <c r="D446" s="49"/>
      <c r="E446" s="49"/>
      <c r="F446" s="54"/>
      <c r="G446" s="49"/>
      <c r="H446" s="49"/>
      <c r="I446" s="49"/>
      <c r="J446" s="44" t="str">
        <f t="array" ref="J446">IF(G446="","",IFERROR(LET(ev_cost,INDEX(Events!$G$5:$G$506,MATCH(G446,Events!$A$5:$A$506,0)),ev_split,INDEX(Events!$I$5:$I$506,MATCH(G446,Events!$A$5:$A$506,0)),att_offset,MATCH(G446,Attendance!$B$3:$AY$3,0),attendees,COUNTIF(INDEX(Attendance!$B$7:$AY$206,0,att_offset),"1"),IF(ev_split="Equal Split",ev_cost/MAX(1,COUNTA(Roster!$A$5:$A$204)),ev_cost/MAX(1,attendees))),"N/A"))</f>
        <v/>
      </c>
    </row>
    <row r="447" ht="19.5" customHeight="1">
      <c r="A447" s="50"/>
      <c r="B447" s="53"/>
      <c r="C447" s="53"/>
      <c r="D447" s="53"/>
      <c r="E447" s="53"/>
      <c r="F447" s="55"/>
      <c r="G447" s="53"/>
      <c r="H447" s="53"/>
      <c r="I447" s="53"/>
      <c r="J447" s="44" t="str">
        <f t="array" ref="J447">IF(G447="","",IFERROR(LET(ev_cost,INDEX(Events!$G$5:$G$506,MATCH(G447,Events!$A$5:$A$506,0)),ev_split,INDEX(Events!$I$5:$I$506,MATCH(G447,Events!$A$5:$A$506,0)),att_offset,MATCH(G447,Attendance!$B$3:$AY$3,0),attendees,COUNTIF(INDEX(Attendance!$B$7:$AY$206,0,att_offset),"1"),IF(ev_split="Equal Split",ev_cost/MAX(1,COUNTA(Roster!$A$5:$A$204)),ev_cost/MAX(1,attendees))),"N/A"))</f>
        <v/>
      </c>
    </row>
    <row r="448" ht="19.5" customHeight="1">
      <c r="A448" s="46"/>
      <c r="B448" s="49"/>
      <c r="C448" s="49"/>
      <c r="D448" s="49"/>
      <c r="E448" s="49"/>
      <c r="F448" s="54"/>
      <c r="G448" s="49"/>
      <c r="H448" s="49"/>
      <c r="I448" s="49"/>
      <c r="J448" s="44" t="str">
        <f t="array" ref="J448">IF(G448="","",IFERROR(LET(ev_cost,INDEX(Events!$G$5:$G$506,MATCH(G448,Events!$A$5:$A$506,0)),ev_split,INDEX(Events!$I$5:$I$506,MATCH(G448,Events!$A$5:$A$506,0)),att_offset,MATCH(G448,Attendance!$B$3:$AY$3,0),attendees,COUNTIF(INDEX(Attendance!$B$7:$AY$206,0,att_offset),"1"),IF(ev_split="Equal Split",ev_cost/MAX(1,COUNTA(Roster!$A$5:$A$204)),ev_cost/MAX(1,attendees))),"N/A"))</f>
        <v/>
      </c>
    </row>
    <row r="449" ht="19.5" customHeight="1">
      <c r="A449" s="50"/>
      <c r="B449" s="53"/>
      <c r="C449" s="53"/>
      <c r="D449" s="53"/>
      <c r="E449" s="53"/>
      <c r="F449" s="55"/>
      <c r="G449" s="53"/>
      <c r="H449" s="53"/>
      <c r="I449" s="53"/>
      <c r="J449" s="44" t="str">
        <f t="array" ref="J449">IF(G449="","",IFERROR(LET(ev_cost,INDEX(Events!$G$5:$G$506,MATCH(G449,Events!$A$5:$A$506,0)),ev_split,INDEX(Events!$I$5:$I$506,MATCH(G449,Events!$A$5:$A$506,0)),att_offset,MATCH(G449,Attendance!$B$3:$AY$3,0),attendees,COUNTIF(INDEX(Attendance!$B$7:$AY$206,0,att_offset),"1"),IF(ev_split="Equal Split",ev_cost/MAX(1,COUNTA(Roster!$A$5:$A$204)),ev_cost/MAX(1,attendees))),"N/A"))</f>
        <v/>
      </c>
    </row>
    <row r="450" ht="19.5" customHeight="1">
      <c r="A450" s="46"/>
      <c r="B450" s="49"/>
      <c r="C450" s="49"/>
      <c r="D450" s="49"/>
      <c r="E450" s="49"/>
      <c r="F450" s="54"/>
      <c r="G450" s="49"/>
      <c r="H450" s="49"/>
      <c r="I450" s="49"/>
      <c r="J450" s="44" t="str">
        <f t="array" ref="J450">IF(G450="","",IFERROR(LET(ev_cost,INDEX(Events!$G$5:$G$506,MATCH(G450,Events!$A$5:$A$506,0)),ev_split,INDEX(Events!$I$5:$I$506,MATCH(G450,Events!$A$5:$A$506,0)),att_offset,MATCH(G450,Attendance!$B$3:$AY$3,0),attendees,COUNTIF(INDEX(Attendance!$B$7:$AY$206,0,att_offset),"1"),IF(ev_split="Equal Split",ev_cost/MAX(1,COUNTA(Roster!$A$5:$A$204)),ev_cost/MAX(1,attendees))),"N/A"))</f>
        <v/>
      </c>
    </row>
    <row r="451" ht="19.5" customHeight="1">
      <c r="A451" s="50"/>
      <c r="B451" s="53"/>
      <c r="C451" s="53"/>
      <c r="D451" s="53"/>
      <c r="E451" s="53"/>
      <c r="F451" s="55"/>
      <c r="G451" s="53"/>
      <c r="H451" s="53"/>
      <c r="I451" s="53"/>
      <c r="J451" s="44" t="str">
        <f t="array" ref="J451">IF(G451="","",IFERROR(LET(ev_cost,INDEX(Events!$G$5:$G$506,MATCH(G451,Events!$A$5:$A$506,0)),ev_split,INDEX(Events!$I$5:$I$506,MATCH(G451,Events!$A$5:$A$506,0)),att_offset,MATCH(G451,Attendance!$B$3:$AY$3,0),attendees,COUNTIF(INDEX(Attendance!$B$7:$AY$206,0,att_offset),"1"),IF(ev_split="Equal Split",ev_cost/MAX(1,COUNTA(Roster!$A$5:$A$204)),ev_cost/MAX(1,attendees))),"N/A"))</f>
        <v/>
      </c>
    </row>
    <row r="452" ht="19.5" customHeight="1">
      <c r="A452" s="46"/>
      <c r="B452" s="49"/>
      <c r="C452" s="49"/>
      <c r="D452" s="49"/>
      <c r="E452" s="49"/>
      <c r="F452" s="54"/>
      <c r="G452" s="49"/>
      <c r="H452" s="49"/>
      <c r="I452" s="49"/>
      <c r="J452" s="44" t="str">
        <f t="array" ref="J452">IF(G452="","",IFERROR(LET(ev_cost,INDEX(Events!$G$5:$G$506,MATCH(G452,Events!$A$5:$A$506,0)),ev_split,INDEX(Events!$I$5:$I$506,MATCH(G452,Events!$A$5:$A$506,0)),att_offset,MATCH(G452,Attendance!$B$3:$AY$3,0),attendees,COUNTIF(INDEX(Attendance!$B$7:$AY$206,0,att_offset),"1"),IF(ev_split="Equal Split",ev_cost/MAX(1,COUNTA(Roster!$A$5:$A$204)),ev_cost/MAX(1,attendees))),"N/A"))</f>
        <v/>
      </c>
    </row>
    <row r="453" ht="19.5" customHeight="1">
      <c r="A453" s="50"/>
      <c r="B453" s="53"/>
      <c r="C453" s="53"/>
      <c r="D453" s="53"/>
      <c r="E453" s="53"/>
      <c r="F453" s="55"/>
      <c r="G453" s="53"/>
      <c r="H453" s="53"/>
      <c r="I453" s="53"/>
      <c r="J453" s="44" t="str">
        <f t="array" ref="J453">IF(G453="","",IFERROR(LET(ev_cost,INDEX(Events!$G$5:$G$506,MATCH(G453,Events!$A$5:$A$506,0)),ev_split,INDEX(Events!$I$5:$I$506,MATCH(G453,Events!$A$5:$A$506,0)),att_offset,MATCH(G453,Attendance!$B$3:$AY$3,0),attendees,COUNTIF(INDEX(Attendance!$B$7:$AY$206,0,att_offset),"1"),IF(ev_split="Equal Split",ev_cost/MAX(1,COUNTA(Roster!$A$5:$A$204)),ev_cost/MAX(1,attendees))),"N/A"))</f>
        <v/>
      </c>
    </row>
    <row r="454" ht="19.5" customHeight="1">
      <c r="A454" s="46"/>
      <c r="B454" s="49"/>
      <c r="C454" s="49"/>
      <c r="D454" s="49"/>
      <c r="E454" s="49"/>
      <c r="F454" s="54"/>
      <c r="G454" s="49"/>
      <c r="H454" s="49"/>
      <c r="I454" s="49"/>
      <c r="J454" s="44" t="str">
        <f t="array" ref="J454">IF(G454="","",IFERROR(LET(ev_cost,INDEX(Events!$G$5:$G$506,MATCH(G454,Events!$A$5:$A$506,0)),ev_split,INDEX(Events!$I$5:$I$506,MATCH(G454,Events!$A$5:$A$506,0)),att_offset,MATCH(G454,Attendance!$B$3:$AY$3,0),attendees,COUNTIF(INDEX(Attendance!$B$7:$AY$206,0,att_offset),"1"),IF(ev_split="Equal Split",ev_cost/MAX(1,COUNTA(Roster!$A$5:$A$204)),ev_cost/MAX(1,attendees))),"N/A"))</f>
        <v/>
      </c>
    </row>
    <row r="455" ht="19.5" customHeight="1">
      <c r="A455" s="50"/>
      <c r="B455" s="53"/>
      <c r="C455" s="53"/>
      <c r="D455" s="53"/>
      <c r="E455" s="53"/>
      <c r="F455" s="55"/>
      <c r="G455" s="53"/>
      <c r="H455" s="53"/>
      <c r="I455" s="53"/>
      <c r="J455" s="44" t="str">
        <f t="array" ref="J455">IF(G455="","",IFERROR(LET(ev_cost,INDEX(Events!$G$5:$G$506,MATCH(G455,Events!$A$5:$A$506,0)),ev_split,INDEX(Events!$I$5:$I$506,MATCH(G455,Events!$A$5:$A$506,0)),att_offset,MATCH(G455,Attendance!$B$3:$AY$3,0),attendees,COUNTIF(INDEX(Attendance!$B$7:$AY$206,0,att_offset),"1"),IF(ev_split="Equal Split",ev_cost/MAX(1,COUNTA(Roster!$A$5:$A$204)),ev_cost/MAX(1,attendees))),"N/A"))</f>
        <v/>
      </c>
    </row>
    <row r="456" ht="19.5" customHeight="1">
      <c r="A456" s="46"/>
      <c r="B456" s="49"/>
      <c r="C456" s="49"/>
      <c r="D456" s="49"/>
      <c r="E456" s="49"/>
      <c r="F456" s="54"/>
      <c r="G456" s="49"/>
      <c r="H456" s="49"/>
      <c r="I456" s="49"/>
      <c r="J456" s="44" t="str">
        <f t="array" ref="J456">IF(G456="","",IFERROR(LET(ev_cost,INDEX(Events!$G$5:$G$506,MATCH(G456,Events!$A$5:$A$506,0)),ev_split,INDEX(Events!$I$5:$I$506,MATCH(G456,Events!$A$5:$A$506,0)),att_offset,MATCH(G456,Attendance!$B$3:$AY$3,0),attendees,COUNTIF(INDEX(Attendance!$B$7:$AY$206,0,att_offset),"1"),IF(ev_split="Equal Split",ev_cost/MAX(1,COUNTA(Roster!$A$5:$A$204)),ev_cost/MAX(1,attendees))),"N/A"))</f>
        <v/>
      </c>
    </row>
    <row r="457" ht="19.5" customHeight="1">
      <c r="A457" s="50"/>
      <c r="B457" s="53"/>
      <c r="C457" s="53"/>
      <c r="D457" s="53"/>
      <c r="E457" s="53"/>
      <c r="F457" s="55"/>
      <c r="G457" s="53"/>
      <c r="H457" s="53"/>
      <c r="I457" s="53"/>
      <c r="J457" s="44" t="str">
        <f t="array" ref="J457">IF(G457="","",IFERROR(LET(ev_cost,INDEX(Events!$G$5:$G$506,MATCH(G457,Events!$A$5:$A$506,0)),ev_split,INDEX(Events!$I$5:$I$506,MATCH(G457,Events!$A$5:$A$506,0)),att_offset,MATCH(G457,Attendance!$B$3:$AY$3,0),attendees,COUNTIF(INDEX(Attendance!$B$7:$AY$206,0,att_offset),"1"),IF(ev_split="Equal Split",ev_cost/MAX(1,COUNTA(Roster!$A$5:$A$204)),ev_cost/MAX(1,attendees))),"N/A"))</f>
        <v/>
      </c>
    </row>
    <row r="458" ht="19.5" customHeight="1">
      <c r="A458" s="46"/>
      <c r="B458" s="49"/>
      <c r="C458" s="49"/>
      <c r="D458" s="49"/>
      <c r="E458" s="49"/>
      <c r="F458" s="54"/>
      <c r="G458" s="49"/>
      <c r="H458" s="49"/>
      <c r="I458" s="49"/>
      <c r="J458" s="44" t="str">
        <f t="array" ref="J458">IF(G458="","",IFERROR(LET(ev_cost,INDEX(Events!$G$5:$G$506,MATCH(G458,Events!$A$5:$A$506,0)),ev_split,INDEX(Events!$I$5:$I$506,MATCH(G458,Events!$A$5:$A$506,0)),att_offset,MATCH(G458,Attendance!$B$3:$AY$3,0),attendees,COUNTIF(INDEX(Attendance!$B$7:$AY$206,0,att_offset),"1"),IF(ev_split="Equal Split",ev_cost/MAX(1,COUNTA(Roster!$A$5:$A$204)),ev_cost/MAX(1,attendees))),"N/A"))</f>
        <v/>
      </c>
    </row>
    <row r="459" ht="19.5" customHeight="1">
      <c r="A459" s="50"/>
      <c r="B459" s="53"/>
      <c r="C459" s="53"/>
      <c r="D459" s="53"/>
      <c r="E459" s="53"/>
      <c r="F459" s="55"/>
      <c r="G459" s="53"/>
      <c r="H459" s="53"/>
      <c r="I459" s="53"/>
      <c r="J459" s="44" t="str">
        <f t="array" ref="J459">IF(G459="","",IFERROR(LET(ev_cost,INDEX(Events!$G$5:$G$506,MATCH(G459,Events!$A$5:$A$506,0)),ev_split,INDEX(Events!$I$5:$I$506,MATCH(G459,Events!$A$5:$A$506,0)),att_offset,MATCH(G459,Attendance!$B$3:$AY$3,0),attendees,COUNTIF(INDEX(Attendance!$B$7:$AY$206,0,att_offset),"1"),IF(ev_split="Equal Split",ev_cost/MAX(1,COUNTA(Roster!$A$5:$A$204)),ev_cost/MAX(1,attendees))),"N/A"))</f>
        <v/>
      </c>
    </row>
    <row r="460" ht="19.5" customHeight="1">
      <c r="A460" s="46"/>
      <c r="B460" s="49"/>
      <c r="C460" s="49"/>
      <c r="D460" s="49"/>
      <c r="E460" s="49"/>
      <c r="F460" s="54"/>
      <c r="G460" s="49"/>
      <c r="H460" s="49"/>
      <c r="I460" s="49"/>
      <c r="J460" s="44" t="str">
        <f t="array" ref="J460">IF(G460="","",IFERROR(LET(ev_cost,INDEX(Events!$G$5:$G$506,MATCH(G460,Events!$A$5:$A$506,0)),ev_split,INDEX(Events!$I$5:$I$506,MATCH(G460,Events!$A$5:$A$506,0)),att_offset,MATCH(G460,Attendance!$B$3:$AY$3,0),attendees,COUNTIF(INDEX(Attendance!$B$7:$AY$206,0,att_offset),"1"),IF(ev_split="Equal Split",ev_cost/MAX(1,COUNTA(Roster!$A$5:$A$204)),ev_cost/MAX(1,attendees))),"N/A"))</f>
        <v/>
      </c>
    </row>
    <row r="461" ht="19.5" customHeight="1">
      <c r="A461" s="50"/>
      <c r="B461" s="53"/>
      <c r="C461" s="53"/>
      <c r="D461" s="53"/>
      <c r="E461" s="53"/>
      <c r="F461" s="55"/>
      <c r="G461" s="53"/>
      <c r="H461" s="53"/>
      <c r="I461" s="53"/>
      <c r="J461" s="44" t="str">
        <f t="array" ref="J461">IF(G461="","",IFERROR(LET(ev_cost,INDEX(Events!$G$5:$G$506,MATCH(G461,Events!$A$5:$A$506,0)),ev_split,INDEX(Events!$I$5:$I$506,MATCH(G461,Events!$A$5:$A$506,0)),att_offset,MATCH(G461,Attendance!$B$3:$AY$3,0),attendees,COUNTIF(INDEX(Attendance!$B$7:$AY$206,0,att_offset),"1"),IF(ev_split="Equal Split",ev_cost/MAX(1,COUNTA(Roster!$A$5:$A$204)),ev_cost/MAX(1,attendees))),"N/A"))</f>
        <v/>
      </c>
    </row>
    <row r="462" ht="19.5" customHeight="1">
      <c r="A462" s="46"/>
      <c r="B462" s="49"/>
      <c r="C462" s="49"/>
      <c r="D462" s="49"/>
      <c r="E462" s="49"/>
      <c r="F462" s="54"/>
      <c r="G462" s="49"/>
      <c r="H462" s="49"/>
      <c r="I462" s="49"/>
      <c r="J462" s="44" t="str">
        <f t="array" ref="J462">IF(G462="","",IFERROR(LET(ev_cost,INDEX(Events!$G$5:$G$506,MATCH(G462,Events!$A$5:$A$506,0)),ev_split,INDEX(Events!$I$5:$I$506,MATCH(G462,Events!$A$5:$A$506,0)),att_offset,MATCH(G462,Attendance!$B$3:$AY$3,0),attendees,COUNTIF(INDEX(Attendance!$B$7:$AY$206,0,att_offset),"1"),IF(ev_split="Equal Split",ev_cost/MAX(1,COUNTA(Roster!$A$5:$A$204)),ev_cost/MAX(1,attendees))),"N/A"))</f>
        <v/>
      </c>
    </row>
    <row r="463" ht="19.5" customHeight="1">
      <c r="A463" s="50"/>
      <c r="B463" s="53"/>
      <c r="C463" s="53"/>
      <c r="D463" s="53"/>
      <c r="E463" s="53"/>
      <c r="F463" s="55"/>
      <c r="G463" s="53"/>
      <c r="H463" s="53"/>
      <c r="I463" s="53"/>
      <c r="J463" s="44" t="str">
        <f t="array" ref="J463">IF(G463="","",IFERROR(LET(ev_cost,INDEX(Events!$G$5:$G$506,MATCH(G463,Events!$A$5:$A$506,0)),ev_split,INDEX(Events!$I$5:$I$506,MATCH(G463,Events!$A$5:$A$506,0)),att_offset,MATCH(G463,Attendance!$B$3:$AY$3,0),attendees,COUNTIF(INDEX(Attendance!$B$7:$AY$206,0,att_offset),"1"),IF(ev_split="Equal Split",ev_cost/MAX(1,COUNTA(Roster!$A$5:$A$204)),ev_cost/MAX(1,attendees))),"N/A"))</f>
        <v/>
      </c>
    </row>
    <row r="464" ht="19.5" customHeight="1">
      <c r="A464" s="46"/>
      <c r="B464" s="49"/>
      <c r="C464" s="49"/>
      <c r="D464" s="49"/>
      <c r="E464" s="49"/>
      <c r="F464" s="54"/>
      <c r="G464" s="49"/>
      <c r="H464" s="49"/>
      <c r="I464" s="49"/>
      <c r="J464" s="44" t="str">
        <f t="array" ref="J464">IF(G464="","",IFERROR(LET(ev_cost,INDEX(Events!$G$5:$G$506,MATCH(G464,Events!$A$5:$A$506,0)),ev_split,INDEX(Events!$I$5:$I$506,MATCH(G464,Events!$A$5:$A$506,0)),att_offset,MATCH(G464,Attendance!$B$3:$AY$3,0),attendees,COUNTIF(INDEX(Attendance!$B$7:$AY$206,0,att_offset),"1"),IF(ev_split="Equal Split",ev_cost/MAX(1,COUNTA(Roster!$A$5:$A$204)),ev_cost/MAX(1,attendees))),"N/A"))</f>
        <v/>
      </c>
    </row>
    <row r="465" ht="19.5" customHeight="1">
      <c r="A465" s="50"/>
      <c r="B465" s="53"/>
      <c r="C465" s="53"/>
      <c r="D465" s="53"/>
      <c r="E465" s="53"/>
      <c r="F465" s="55"/>
      <c r="G465" s="53"/>
      <c r="H465" s="53"/>
      <c r="I465" s="53"/>
      <c r="J465" s="44" t="str">
        <f t="array" ref="J465">IF(G465="","",IFERROR(LET(ev_cost,INDEX(Events!$G$5:$G$506,MATCH(G465,Events!$A$5:$A$506,0)),ev_split,INDEX(Events!$I$5:$I$506,MATCH(G465,Events!$A$5:$A$506,0)),att_offset,MATCH(G465,Attendance!$B$3:$AY$3,0),attendees,COUNTIF(INDEX(Attendance!$B$7:$AY$206,0,att_offset),"1"),IF(ev_split="Equal Split",ev_cost/MAX(1,COUNTA(Roster!$A$5:$A$204)),ev_cost/MAX(1,attendees))),"N/A"))</f>
        <v/>
      </c>
    </row>
    <row r="466" ht="19.5" customHeight="1">
      <c r="A466" s="46"/>
      <c r="B466" s="49"/>
      <c r="C466" s="49"/>
      <c r="D466" s="49"/>
      <c r="E466" s="49"/>
      <c r="F466" s="54"/>
      <c r="G466" s="49"/>
      <c r="H466" s="49"/>
      <c r="I466" s="49"/>
      <c r="J466" s="44" t="str">
        <f t="array" ref="J466">IF(G466="","",IFERROR(LET(ev_cost,INDEX(Events!$G$5:$G$506,MATCH(G466,Events!$A$5:$A$506,0)),ev_split,INDEX(Events!$I$5:$I$506,MATCH(G466,Events!$A$5:$A$506,0)),att_offset,MATCH(G466,Attendance!$B$3:$AY$3,0),attendees,COUNTIF(INDEX(Attendance!$B$7:$AY$206,0,att_offset),"1"),IF(ev_split="Equal Split",ev_cost/MAX(1,COUNTA(Roster!$A$5:$A$204)),ev_cost/MAX(1,attendees))),"N/A"))</f>
        <v/>
      </c>
    </row>
    <row r="467" ht="19.5" customHeight="1">
      <c r="A467" s="50"/>
      <c r="B467" s="53"/>
      <c r="C467" s="53"/>
      <c r="D467" s="53"/>
      <c r="E467" s="53"/>
      <c r="F467" s="55"/>
      <c r="G467" s="53"/>
      <c r="H467" s="53"/>
      <c r="I467" s="53"/>
      <c r="J467" s="44" t="str">
        <f t="array" ref="J467">IF(G467="","",IFERROR(LET(ev_cost,INDEX(Events!$G$5:$G$506,MATCH(G467,Events!$A$5:$A$506,0)),ev_split,INDEX(Events!$I$5:$I$506,MATCH(G467,Events!$A$5:$A$506,0)),att_offset,MATCH(G467,Attendance!$B$3:$AY$3,0),attendees,COUNTIF(INDEX(Attendance!$B$7:$AY$206,0,att_offset),"1"),IF(ev_split="Equal Split",ev_cost/MAX(1,COUNTA(Roster!$A$5:$A$204)),ev_cost/MAX(1,attendees))),"N/A"))</f>
        <v/>
      </c>
    </row>
    <row r="468" ht="19.5" customHeight="1">
      <c r="A468" s="46"/>
      <c r="B468" s="49"/>
      <c r="C468" s="49"/>
      <c r="D468" s="49"/>
      <c r="E468" s="49"/>
      <c r="F468" s="54"/>
      <c r="G468" s="49"/>
      <c r="H468" s="49"/>
      <c r="I468" s="49"/>
      <c r="J468" s="44" t="str">
        <f t="array" ref="J468">IF(G468="","",IFERROR(LET(ev_cost,INDEX(Events!$G$5:$G$506,MATCH(G468,Events!$A$5:$A$506,0)),ev_split,INDEX(Events!$I$5:$I$506,MATCH(G468,Events!$A$5:$A$506,0)),att_offset,MATCH(G468,Attendance!$B$3:$AY$3,0),attendees,COUNTIF(INDEX(Attendance!$B$7:$AY$206,0,att_offset),"1"),IF(ev_split="Equal Split",ev_cost/MAX(1,COUNTA(Roster!$A$5:$A$204)),ev_cost/MAX(1,attendees))),"N/A"))</f>
        <v/>
      </c>
    </row>
    <row r="469" ht="19.5" customHeight="1">
      <c r="A469" s="50"/>
      <c r="B469" s="53"/>
      <c r="C469" s="53"/>
      <c r="D469" s="53"/>
      <c r="E469" s="53"/>
      <c r="F469" s="55"/>
      <c r="G469" s="53"/>
      <c r="H469" s="53"/>
      <c r="I469" s="53"/>
      <c r="J469" s="44" t="str">
        <f t="array" ref="J469">IF(G469="","",IFERROR(LET(ev_cost,INDEX(Events!$G$5:$G$506,MATCH(G469,Events!$A$5:$A$506,0)),ev_split,INDEX(Events!$I$5:$I$506,MATCH(G469,Events!$A$5:$A$506,0)),att_offset,MATCH(G469,Attendance!$B$3:$AY$3,0),attendees,COUNTIF(INDEX(Attendance!$B$7:$AY$206,0,att_offset),"1"),IF(ev_split="Equal Split",ev_cost/MAX(1,COUNTA(Roster!$A$5:$A$204)),ev_cost/MAX(1,attendees))),"N/A"))</f>
        <v/>
      </c>
    </row>
    <row r="470" ht="19.5" customHeight="1">
      <c r="A470" s="46"/>
      <c r="B470" s="49"/>
      <c r="C470" s="49"/>
      <c r="D470" s="49"/>
      <c r="E470" s="49"/>
      <c r="F470" s="54"/>
      <c r="G470" s="49"/>
      <c r="H470" s="49"/>
      <c r="I470" s="49"/>
      <c r="J470" s="44" t="str">
        <f t="array" ref="J470">IF(G470="","",IFERROR(LET(ev_cost,INDEX(Events!$G$5:$G$506,MATCH(G470,Events!$A$5:$A$506,0)),ev_split,INDEX(Events!$I$5:$I$506,MATCH(G470,Events!$A$5:$A$506,0)),att_offset,MATCH(G470,Attendance!$B$3:$AY$3,0),attendees,COUNTIF(INDEX(Attendance!$B$7:$AY$206,0,att_offset),"1"),IF(ev_split="Equal Split",ev_cost/MAX(1,COUNTA(Roster!$A$5:$A$204)),ev_cost/MAX(1,attendees))),"N/A"))</f>
        <v/>
      </c>
    </row>
    <row r="471" ht="19.5" customHeight="1">
      <c r="A471" s="50"/>
      <c r="B471" s="53"/>
      <c r="C471" s="53"/>
      <c r="D471" s="53"/>
      <c r="E471" s="53"/>
      <c r="F471" s="55"/>
      <c r="G471" s="53"/>
      <c r="H471" s="53"/>
      <c r="I471" s="53"/>
      <c r="J471" s="44" t="str">
        <f t="array" ref="J471">IF(G471="","",IFERROR(LET(ev_cost,INDEX(Events!$G$5:$G$506,MATCH(G471,Events!$A$5:$A$506,0)),ev_split,INDEX(Events!$I$5:$I$506,MATCH(G471,Events!$A$5:$A$506,0)),att_offset,MATCH(G471,Attendance!$B$3:$AY$3,0),attendees,COUNTIF(INDEX(Attendance!$B$7:$AY$206,0,att_offset),"1"),IF(ev_split="Equal Split",ev_cost/MAX(1,COUNTA(Roster!$A$5:$A$204)),ev_cost/MAX(1,attendees))),"N/A"))</f>
        <v/>
      </c>
    </row>
    <row r="472" ht="19.5" customHeight="1">
      <c r="A472" s="46"/>
      <c r="B472" s="49"/>
      <c r="C472" s="49"/>
      <c r="D472" s="49"/>
      <c r="E472" s="49"/>
      <c r="F472" s="54"/>
      <c r="G472" s="49"/>
      <c r="H472" s="49"/>
      <c r="I472" s="49"/>
      <c r="J472" s="44" t="str">
        <f t="array" ref="J472">IF(G472="","",IFERROR(LET(ev_cost,INDEX(Events!$G$5:$G$506,MATCH(G472,Events!$A$5:$A$506,0)),ev_split,INDEX(Events!$I$5:$I$506,MATCH(G472,Events!$A$5:$A$506,0)),att_offset,MATCH(G472,Attendance!$B$3:$AY$3,0),attendees,COUNTIF(INDEX(Attendance!$B$7:$AY$206,0,att_offset),"1"),IF(ev_split="Equal Split",ev_cost/MAX(1,COUNTA(Roster!$A$5:$A$204)),ev_cost/MAX(1,attendees))),"N/A"))</f>
        <v/>
      </c>
    </row>
    <row r="473" ht="19.5" customHeight="1">
      <c r="A473" s="50"/>
      <c r="B473" s="53"/>
      <c r="C473" s="53"/>
      <c r="D473" s="53"/>
      <c r="E473" s="53"/>
      <c r="F473" s="55"/>
      <c r="G473" s="53"/>
      <c r="H473" s="53"/>
      <c r="I473" s="53"/>
      <c r="J473" s="44" t="str">
        <f t="array" ref="J473">IF(G473="","",IFERROR(LET(ev_cost,INDEX(Events!$G$5:$G$506,MATCH(G473,Events!$A$5:$A$506,0)),ev_split,INDEX(Events!$I$5:$I$506,MATCH(G473,Events!$A$5:$A$506,0)),att_offset,MATCH(G473,Attendance!$B$3:$AY$3,0),attendees,COUNTIF(INDEX(Attendance!$B$7:$AY$206,0,att_offset),"1"),IF(ev_split="Equal Split",ev_cost/MAX(1,COUNTA(Roster!$A$5:$A$204)),ev_cost/MAX(1,attendees))),"N/A"))</f>
        <v/>
      </c>
    </row>
    <row r="474" ht="19.5" customHeight="1">
      <c r="A474" s="46"/>
      <c r="B474" s="49"/>
      <c r="C474" s="49"/>
      <c r="D474" s="49"/>
      <c r="E474" s="49"/>
      <c r="F474" s="54"/>
      <c r="G474" s="49"/>
      <c r="H474" s="49"/>
      <c r="I474" s="49"/>
      <c r="J474" s="44" t="str">
        <f t="array" ref="J474">IF(G474="","",IFERROR(LET(ev_cost,INDEX(Events!$G$5:$G$506,MATCH(G474,Events!$A$5:$A$506,0)),ev_split,INDEX(Events!$I$5:$I$506,MATCH(G474,Events!$A$5:$A$506,0)),att_offset,MATCH(G474,Attendance!$B$3:$AY$3,0),attendees,COUNTIF(INDEX(Attendance!$B$7:$AY$206,0,att_offset),"1"),IF(ev_split="Equal Split",ev_cost/MAX(1,COUNTA(Roster!$A$5:$A$204)),ev_cost/MAX(1,attendees))),"N/A"))</f>
        <v/>
      </c>
    </row>
    <row r="475" ht="19.5" customHeight="1">
      <c r="A475" s="50"/>
      <c r="B475" s="53"/>
      <c r="C475" s="53"/>
      <c r="D475" s="53"/>
      <c r="E475" s="53"/>
      <c r="F475" s="55"/>
      <c r="G475" s="53"/>
      <c r="H475" s="53"/>
      <c r="I475" s="53"/>
      <c r="J475" s="44" t="str">
        <f t="array" ref="J475">IF(G475="","",IFERROR(LET(ev_cost,INDEX(Events!$G$5:$G$506,MATCH(G475,Events!$A$5:$A$506,0)),ev_split,INDEX(Events!$I$5:$I$506,MATCH(G475,Events!$A$5:$A$506,0)),att_offset,MATCH(G475,Attendance!$B$3:$AY$3,0),attendees,COUNTIF(INDEX(Attendance!$B$7:$AY$206,0,att_offset),"1"),IF(ev_split="Equal Split",ev_cost/MAX(1,COUNTA(Roster!$A$5:$A$204)),ev_cost/MAX(1,attendees))),"N/A"))</f>
        <v/>
      </c>
    </row>
    <row r="476" ht="19.5" customHeight="1">
      <c r="A476" s="46"/>
      <c r="B476" s="49"/>
      <c r="C476" s="49"/>
      <c r="D476" s="49"/>
      <c r="E476" s="49"/>
      <c r="F476" s="54"/>
      <c r="G476" s="49"/>
      <c r="H476" s="49"/>
      <c r="I476" s="49"/>
      <c r="J476" s="44" t="str">
        <f t="array" ref="J476">IF(G476="","",IFERROR(LET(ev_cost,INDEX(Events!$G$5:$G$506,MATCH(G476,Events!$A$5:$A$506,0)),ev_split,INDEX(Events!$I$5:$I$506,MATCH(G476,Events!$A$5:$A$506,0)),att_offset,MATCH(G476,Attendance!$B$3:$AY$3,0),attendees,COUNTIF(INDEX(Attendance!$B$7:$AY$206,0,att_offset),"1"),IF(ev_split="Equal Split",ev_cost/MAX(1,COUNTA(Roster!$A$5:$A$204)),ev_cost/MAX(1,attendees))),"N/A"))</f>
        <v/>
      </c>
    </row>
    <row r="477" ht="19.5" customHeight="1">
      <c r="A477" s="50"/>
      <c r="B477" s="53"/>
      <c r="C477" s="53"/>
      <c r="D477" s="53"/>
      <c r="E477" s="53"/>
      <c r="F477" s="55"/>
      <c r="G477" s="53"/>
      <c r="H477" s="53"/>
      <c r="I477" s="53"/>
      <c r="J477" s="44" t="str">
        <f t="array" ref="J477">IF(G477="","",IFERROR(LET(ev_cost,INDEX(Events!$G$5:$G$506,MATCH(G477,Events!$A$5:$A$506,0)),ev_split,INDEX(Events!$I$5:$I$506,MATCH(G477,Events!$A$5:$A$506,0)),att_offset,MATCH(G477,Attendance!$B$3:$AY$3,0),attendees,COUNTIF(INDEX(Attendance!$B$7:$AY$206,0,att_offset),"1"),IF(ev_split="Equal Split",ev_cost/MAX(1,COUNTA(Roster!$A$5:$A$204)),ev_cost/MAX(1,attendees))),"N/A"))</f>
        <v/>
      </c>
    </row>
    <row r="478" ht="19.5" customHeight="1">
      <c r="A478" s="46"/>
      <c r="B478" s="49"/>
      <c r="C478" s="49"/>
      <c r="D478" s="49"/>
      <c r="E478" s="49"/>
      <c r="F478" s="54"/>
      <c r="G478" s="49"/>
      <c r="H478" s="49"/>
      <c r="I478" s="49"/>
      <c r="J478" s="44" t="str">
        <f t="array" ref="J478">IF(G478="","",IFERROR(LET(ev_cost,INDEX(Events!$G$5:$G$506,MATCH(G478,Events!$A$5:$A$506,0)),ev_split,INDEX(Events!$I$5:$I$506,MATCH(G478,Events!$A$5:$A$506,0)),att_offset,MATCH(G478,Attendance!$B$3:$AY$3,0),attendees,COUNTIF(INDEX(Attendance!$B$7:$AY$206,0,att_offset),"1"),IF(ev_split="Equal Split",ev_cost/MAX(1,COUNTA(Roster!$A$5:$A$204)),ev_cost/MAX(1,attendees))),"N/A"))</f>
        <v/>
      </c>
    </row>
    <row r="479" ht="19.5" customHeight="1">
      <c r="A479" s="50"/>
      <c r="B479" s="53"/>
      <c r="C479" s="53"/>
      <c r="D479" s="53"/>
      <c r="E479" s="53"/>
      <c r="F479" s="55"/>
      <c r="G479" s="53"/>
      <c r="H479" s="53"/>
      <c r="I479" s="53"/>
      <c r="J479" s="44" t="str">
        <f t="array" ref="J479">IF(G479="","",IFERROR(LET(ev_cost,INDEX(Events!$G$5:$G$506,MATCH(G479,Events!$A$5:$A$506,0)),ev_split,INDEX(Events!$I$5:$I$506,MATCH(G479,Events!$A$5:$A$506,0)),att_offset,MATCH(G479,Attendance!$B$3:$AY$3,0),attendees,COUNTIF(INDEX(Attendance!$B$7:$AY$206,0,att_offset),"1"),IF(ev_split="Equal Split",ev_cost/MAX(1,COUNTA(Roster!$A$5:$A$204)),ev_cost/MAX(1,attendees))),"N/A"))</f>
        <v/>
      </c>
    </row>
    <row r="480" ht="19.5" customHeight="1">
      <c r="A480" s="46"/>
      <c r="B480" s="49"/>
      <c r="C480" s="49"/>
      <c r="D480" s="49"/>
      <c r="E480" s="49"/>
      <c r="F480" s="54"/>
      <c r="G480" s="49"/>
      <c r="H480" s="49"/>
      <c r="I480" s="49"/>
      <c r="J480" s="44" t="str">
        <f t="array" ref="J480">IF(G480="","",IFERROR(LET(ev_cost,INDEX(Events!$G$5:$G$506,MATCH(G480,Events!$A$5:$A$506,0)),ev_split,INDEX(Events!$I$5:$I$506,MATCH(G480,Events!$A$5:$A$506,0)),att_offset,MATCH(G480,Attendance!$B$3:$AY$3,0),attendees,COUNTIF(INDEX(Attendance!$B$7:$AY$206,0,att_offset),"1"),IF(ev_split="Equal Split",ev_cost/MAX(1,COUNTA(Roster!$A$5:$A$204)),ev_cost/MAX(1,attendees))),"N/A"))</f>
        <v/>
      </c>
    </row>
    <row r="481" ht="19.5" customHeight="1">
      <c r="A481" s="50"/>
      <c r="B481" s="53"/>
      <c r="C481" s="53"/>
      <c r="D481" s="53"/>
      <c r="E481" s="53"/>
      <c r="F481" s="55"/>
      <c r="G481" s="53"/>
      <c r="H481" s="53"/>
      <c r="I481" s="53"/>
      <c r="J481" s="44" t="str">
        <f t="array" ref="J481">IF(G481="","",IFERROR(LET(ev_cost,INDEX(Events!$G$5:$G$506,MATCH(G481,Events!$A$5:$A$506,0)),ev_split,INDEX(Events!$I$5:$I$506,MATCH(G481,Events!$A$5:$A$506,0)),att_offset,MATCH(G481,Attendance!$B$3:$AY$3,0),attendees,COUNTIF(INDEX(Attendance!$B$7:$AY$206,0,att_offset),"1"),IF(ev_split="Equal Split",ev_cost/MAX(1,COUNTA(Roster!$A$5:$A$204)),ev_cost/MAX(1,attendees))),"N/A"))</f>
        <v/>
      </c>
    </row>
    <row r="482" ht="19.5" customHeight="1">
      <c r="A482" s="46"/>
      <c r="B482" s="49"/>
      <c r="C482" s="49"/>
      <c r="D482" s="49"/>
      <c r="E482" s="49"/>
      <c r="F482" s="54"/>
      <c r="G482" s="49"/>
      <c r="H482" s="49"/>
      <c r="I482" s="49"/>
      <c r="J482" s="44" t="str">
        <f t="array" ref="J482">IF(G482="","",IFERROR(LET(ev_cost,INDEX(Events!$G$5:$G$506,MATCH(G482,Events!$A$5:$A$506,0)),ev_split,INDEX(Events!$I$5:$I$506,MATCH(G482,Events!$A$5:$A$506,0)),att_offset,MATCH(G482,Attendance!$B$3:$AY$3,0),attendees,COUNTIF(INDEX(Attendance!$B$7:$AY$206,0,att_offset),"1"),IF(ev_split="Equal Split",ev_cost/MAX(1,COUNTA(Roster!$A$5:$A$204)),ev_cost/MAX(1,attendees))),"N/A"))</f>
        <v/>
      </c>
    </row>
    <row r="483" ht="19.5" customHeight="1">
      <c r="A483" s="50"/>
      <c r="B483" s="53"/>
      <c r="C483" s="53"/>
      <c r="D483" s="53"/>
      <c r="E483" s="53"/>
      <c r="F483" s="55"/>
      <c r="G483" s="53"/>
      <c r="H483" s="53"/>
      <c r="I483" s="53"/>
      <c r="J483" s="44" t="str">
        <f t="array" ref="J483">IF(G483="","",IFERROR(LET(ev_cost,INDEX(Events!$G$5:$G$506,MATCH(G483,Events!$A$5:$A$506,0)),ev_split,INDEX(Events!$I$5:$I$506,MATCH(G483,Events!$A$5:$A$506,0)),att_offset,MATCH(G483,Attendance!$B$3:$AY$3,0),attendees,COUNTIF(INDEX(Attendance!$B$7:$AY$206,0,att_offset),"1"),IF(ev_split="Equal Split",ev_cost/MAX(1,COUNTA(Roster!$A$5:$A$204)),ev_cost/MAX(1,attendees))),"N/A"))</f>
        <v/>
      </c>
    </row>
    <row r="484" ht="19.5" customHeight="1">
      <c r="A484" s="46"/>
      <c r="B484" s="49"/>
      <c r="C484" s="49"/>
      <c r="D484" s="49"/>
      <c r="E484" s="49"/>
      <c r="F484" s="54"/>
      <c r="G484" s="49"/>
      <c r="H484" s="49"/>
      <c r="I484" s="49"/>
      <c r="J484" s="44" t="str">
        <f t="array" ref="J484">IF(G484="","",IFERROR(LET(ev_cost,INDEX(Events!$G$5:$G$506,MATCH(G484,Events!$A$5:$A$506,0)),ev_split,INDEX(Events!$I$5:$I$506,MATCH(G484,Events!$A$5:$A$506,0)),att_offset,MATCH(G484,Attendance!$B$3:$AY$3,0),attendees,COUNTIF(INDEX(Attendance!$B$7:$AY$206,0,att_offset),"1"),IF(ev_split="Equal Split",ev_cost/MAX(1,COUNTA(Roster!$A$5:$A$204)),ev_cost/MAX(1,attendees))),"N/A"))</f>
        <v/>
      </c>
    </row>
    <row r="485" ht="19.5" customHeight="1">
      <c r="A485" s="50"/>
      <c r="B485" s="53"/>
      <c r="C485" s="53"/>
      <c r="D485" s="53"/>
      <c r="E485" s="53"/>
      <c r="F485" s="55"/>
      <c r="G485" s="53"/>
      <c r="H485" s="53"/>
      <c r="I485" s="53"/>
      <c r="J485" s="44" t="str">
        <f t="array" ref="J485">IF(G485="","",IFERROR(LET(ev_cost,INDEX(Events!$G$5:$G$506,MATCH(G485,Events!$A$5:$A$506,0)),ev_split,INDEX(Events!$I$5:$I$506,MATCH(G485,Events!$A$5:$A$506,0)),att_offset,MATCH(G485,Attendance!$B$3:$AY$3,0),attendees,COUNTIF(INDEX(Attendance!$B$7:$AY$206,0,att_offset),"1"),IF(ev_split="Equal Split",ev_cost/MAX(1,COUNTA(Roster!$A$5:$A$204)),ev_cost/MAX(1,attendees))),"N/A"))</f>
        <v/>
      </c>
    </row>
    <row r="486" ht="19.5" customHeight="1">
      <c r="A486" s="46"/>
      <c r="B486" s="49"/>
      <c r="C486" s="49"/>
      <c r="D486" s="49"/>
      <c r="E486" s="49"/>
      <c r="F486" s="54"/>
      <c r="G486" s="49"/>
      <c r="H486" s="49"/>
      <c r="I486" s="49"/>
      <c r="J486" s="44" t="str">
        <f t="array" ref="J486">IF(G486="","",IFERROR(LET(ev_cost,INDEX(Events!$G$5:$G$506,MATCH(G486,Events!$A$5:$A$506,0)),ev_split,INDEX(Events!$I$5:$I$506,MATCH(G486,Events!$A$5:$A$506,0)),att_offset,MATCH(G486,Attendance!$B$3:$AY$3,0),attendees,COUNTIF(INDEX(Attendance!$B$7:$AY$206,0,att_offset),"1"),IF(ev_split="Equal Split",ev_cost/MAX(1,COUNTA(Roster!$A$5:$A$204)),ev_cost/MAX(1,attendees))),"N/A"))</f>
        <v/>
      </c>
    </row>
    <row r="487" ht="19.5" customHeight="1">
      <c r="A487" s="50"/>
      <c r="B487" s="53"/>
      <c r="C487" s="53"/>
      <c r="D487" s="53"/>
      <c r="E487" s="53"/>
      <c r="F487" s="55"/>
      <c r="G487" s="53"/>
      <c r="H487" s="53"/>
      <c r="I487" s="53"/>
      <c r="J487" s="44" t="str">
        <f t="array" ref="J487">IF(G487="","",IFERROR(LET(ev_cost,INDEX(Events!$G$5:$G$506,MATCH(G487,Events!$A$5:$A$506,0)),ev_split,INDEX(Events!$I$5:$I$506,MATCH(G487,Events!$A$5:$A$506,0)),att_offset,MATCH(G487,Attendance!$B$3:$AY$3,0),attendees,COUNTIF(INDEX(Attendance!$B$7:$AY$206,0,att_offset),"1"),IF(ev_split="Equal Split",ev_cost/MAX(1,COUNTA(Roster!$A$5:$A$204)),ev_cost/MAX(1,attendees))),"N/A"))</f>
        <v/>
      </c>
    </row>
    <row r="488" ht="19.5" customHeight="1">
      <c r="A488" s="46"/>
      <c r="B488" s="49"/>
      <c r="C488" s="49"/>
      <c r="D488" s="49"/>
      <c r="E488" s="49"/>
      <c r="F488" s="54"/>
      <c r="G488" s="49"/>
      <c r="H488" s="49"/>
      <c r="I488" s="49"/>
      <c r="J488" s="44" t="str">
        <f t="array" ref="J488">IF(G488="","",IFERROR(LET(ev_cost,INDEX(Events!$G$5:$G$506,MATCH(G488,Events!$A$5:$A$506,0)),ev_split,INDEX(Events!$I$5:$I$506,MATCH(G488,Events!$A$5:$A$506,0)),att_offset,MATCH(G488,Attendance!$B$3:$AY$3,0),attendees,COUNTIF(INDEX(Attendance!$B$7:$AY$206,0,att_offset),"1"),IF(ev_split="Equal Split",ev_cost/MAX(1,COUNTA(Roster!$A$5:$A$204)),ev_cost/MAX(1,attendees))),"N/A"))</f>
        <v/>
      </c>
    </row>
    <row r="489" ht="19.5" customHeight="1">
      <c r="A489" s="50"/>
      <c r="B489" s="53"/>
      <c r="C489" s="53"/>
      <c r="D489" s="53"/>
      <c r="E489" s="53"/>
      <c r="F489" s="55"/>
      <c r="G489" s="53"/>
      <c r="H489" s="53"/>
      <c r="I489" s="53"/>
      <c r="J489" s="44" t="str">
        <f t="array" ref="J489">IF(G489="","",IFERROR(LET(ev_cost,INDEX(Events!$G$5:$G$506,MATCH(G489,Events!$A$5:$A$506,0)),ev_split,INDEX(Events!$I$5:$I$506,MATCH(G489,Events!$A$5:$A$506,0)),att_offset,MATCH(G489,Attendance!$B$3:$AY$3,0),attendees,COUNTIF(INDEX(Attendance!$B$7:$AY$206,0,att_offset),"1"),IF(ev_split="Equal Split",ev_cost/MAX(1,COUNTA(Roster!$A$5:$A$204)),ev_cost/MAX(1,attendees))),"N/A"))</f>
        <v/>
      </c>
    </row>
    <row r="490" ht="19.5" customHeight="1">
      <c r="A490" s="46"/>
      <c r="B490" s="49"/>
      <c r="C490" s="49"/>
      <c r="D490" s="49"/>
      <c r="E490" s="49"/>
      <c r="F490" s="54"/>
      <c r="G490" s="49"/>
      <c r="H490" s="49"/>
      <c r="I490" s="49"/>
      <c r="J490" s="44" t="str">
        <f t="array" ref="J490">IF(G490="","",IFERROR(LET(ev_cost,INDEX(Events!$G$5:$G$506,MATCH(G490,Events!$A$5:$A$506,0)),ev_split,INDEX(Events!$I$5:$I$506,MATCH(G490,Events!$A$5:$A$506,0)),att_offset,MATCH(G490,Attendance!$B$3:$AY$3,0),attendees,COUNTIF(INDEX(Attendance!$B$7:$AY$206,0,att_offset),"1"),IF(ev_split="Equal Split",ev_cost/MAX(1,COUNTA(Roster!$A$5:$A$204)),ev_cost/MAX(1,attendees))),"N/A"))</f>
        <v/>
      </c>
    </row>
    <row r="491" ht="19.5" customHeight="1">
      <c r="A491" s="50"/>
      <c r="B491" s="53"/>
      <c r="C491" s="53"/>
      <c r="D491" s="53"/>
      <c r="E491" s="53"/>
      <c r="F491" s="55"/>
      <c r="G491" s="53"/>
      <c r="H491" s="53"/>
      <c r="I491" s="53"/>
      <c r="J491" s="44" t="str">
        <f t="array" ref="J491">IF(G491="","",IFERROR(LET(ev_cost,INDEX(Events!$G$5:$G$506,MATCH(G491,Events!$A$5:$A$506,0)),ev_split,INDEX(Events!$I$5:$I$506,MATCH(G491,Events!$A$5:$A$506,0)),att_offset,MATCH(G491,Attendance!$B$3:$AY$3,0),attendees,COUNTIF(INDEX(Attendance!$B$7:$AY$206,0,att_offset),"1"),IF(ev_split="Equal Split",ev_cost/MAX(1,COUNTA(Roster!$A$5:$A$204)),ev_cost/MAX(1,attendees))),"N/A"))</f>
        <v/>
      </c>
    </row>
    <row r="492" ht="19.5" customHeight="1">
      <c r="A492" s="46"/>
      <c r="B492" s="49"/>
      <c r="C492" s="49"/>
      <c r="D492" s="49"/>
      <c r="E492" s="49"/>
      <c r="F492" s="54"/>
      <c r="G492" s="49"/>
      <c r="H492" s="49"/>
      <c r="I492" s="49"/>
      <c r="J492" s="44" t="str">
        <f t="array" ref="J492">IF(G492="","",IFERROR(LET(ev_cost,INDEX(Events!$G$5:$G$506,MATCH(G492,Events!$A$5:$A$506,0)),ev_split,INDEX(Events!$I$5:$I$506,MATCH(G492,Events!$A$5:$A$506,0)),att_offset,MATCH(G492,Attendance!$B$3:$AY$3,0),attendees,COUNTIF(INDEX(Attendance!$B$7:$AY$206,0,att_offset),"1"),IF(ev_split="Equal Split",ev_cost/MAX(1,COUNTA(Roster!$A$5:$A$204)),ev_cost/MAX(1,attendees))),"N/A"))</f>
        <v/>
      </c>
    </row>
    <row r="493" ht="19.5" customHeight="1">
      <c r="A493" s="50"/>
      <c r="B493" s="53"/>
      <c r="C493" s="53"/>
      <c r="D493" s="53"/>
      <c r="E493" s="53"/>
      <c r="F493" s="55"/>
      <c r="G493" s="53"/>
      <c r="H493" s="53"/>
      <c r="I493" s="53"/>
      <c r="J493" s="44" t="str">
        <f t="array" ref="J493">IF(G493="","",IFERROR(LET(ev_cost,INDEX(Events!$G$5:$G$506,MATCH(G493,Events!$A$5:$A$506,0)),ev_split,INDEX(Events!$I$5:$I$506,MATCH(G493,Events!$A$5:$A$506,0)),att_offset,MATCH(G493,Attendance!$B$3:$AY$3,0),attendees,COUNTIF(INDEX(Attendance!$B$7:$AY$206,0,att_offset),"1"),IF(ev_split="Equal Split",ev_cost/MAX(1,COUNTA(Roster!$A$5:$A$204)),ev_cost/MAX(1,attendees))),"N/A"))</f>
        <v/>
      </c>
    </row>
    <row r="494" ht="19.5" customHeight="1">
      <c r="A494" s="46"/>
      <c r="B494" s="49"/>
      <c r="C494" s="49"/>
      <c r="D494" s="49"/>
      <c r="E494" s="49"/>
      <c r="F494" s="54"/>
      <c r="G494" s="49"/>
      <c r="H494" s="49"/>
      <c r="I494" s="49"/>
      <c r="J494" s="44" t="str">
        <f t="array" ref="J494">IF(G494="","",IFERROR(LET(ev_cost,INDEX(Events!$G$5:$G$506,MATCH(G494,Events!$A$5:$A$506,0)),ev_split,INDEX(Events!$I$5:$I$506,MATCH(G494,Events!$A$5:$A$506,0)),att_offset,MATCH(G494,Attendance!$B$3:$AY$3,0),attendees,COUNTIF(INDEX(Attendance!$B$7:$AY$206,0,att_offset),"1"),IF(ev_split="Equal Split",ev_cost/MAX(1,COUNTA(Roster!$A$5:$A$204)),ev_cost/MAX(1,attendees))),"N/A"))</f>
        <v/>
      </c>
    </row>
    <row r="495" ht="19.5" customHeight="1">
      <c r="A495" s="50"/>
      <c r="B495" s="53"/>
      <c r="C495" s="53"/>
      <c r="D495" s="53"/>
      <c r="E495" s="53"/>
      <c r="F495" s="55"/>
      <c r="G495" s="53"/>
      <c r="H495" s="53"/>
      <c r="I495" s="53"/>
      <c r="J495" s="44" t="str">
        <f t="array" ref="J495">IF(G495="","",IFERROR(LET(ev_cost,INDEX(Events!$G$5:$G$506,MATCH(G495,Events!$A$5:$A$506,0)),ev_split,INDEX(Events!$I$5:$I$506,MATCH(G495,Events!$A$5:$A$506,0)),att_offset,MATCH(G495,Attendance!$B$3:$AY$3,0),attendees,COUNTIF(INDEX(Attendance!$B$7:$AY$206,0,att_offset),"1"),IF(ev_split="Equal Split",ev_cost/MAX(1,COUNTA(Roster!$A$5:$A$204)),ev_cost/MAX(1,attendees))),"N/A"))</f>
        <v/>
      </c>
    </row>
    <row r="496" ht="19.5" customHeight="1">
      <c r="A496" s="46"/>
      <c r="B496" s="49"/>
      <c r="C496" s="49"/>
      <c r="D496" s="49"/>
      <c r="E496" s="49"/>
      <c r="F496" s="54"/>
      <c r="G496" s="49"/>
      <c r="H496" s="49"/>
      <c r="I496" s="49"/>
      <c r="J496" s="44" t="str">
        <f t="array" ref="J496">IF(G496="","",IFERROR(LET(ev_cost,INDEX(Events!$G$5:$G$506,MATCH(G496,Events!$A$5:$A$506,0)),ev_split,INDEX(Events!$I$5:$I$506,MATCH(G496,Events!$A$5:$A$506,0)),att_offset,MATCH(G496,Attendance!$B$3:$AY$3,0),attendees,COUNTIF(INDEX(Attendance!$B$7:$AY$206,0,att_offset),"1"),IF(ev_split="Equal Split",ev_cost/MAX(1,COUNTA(Roster!$A$5:$A$204)),ev_cost/MAX(1,attendees))),"N/A"))</f>
        <v/>
      </c>
    </row>
    <row r="497" ht="19.5" customHeight="1">
      <c r="A497" s="50"/>
      <c r="B497" s="53"/>
      <c r="C497" s="53"/>
      <c r="D497" s="53"/>
      <c r="E497" s="53"/>
      <c r="F497" s="55"/>
      <c r="G497" s="53"/>
      <c r="H497" s="53"/>
      <c r="I497" s="53"/>
      <c r="J497" s="44" t="str">
        <f t="array" ref="J497">IF(G497="","",IFERROR(LET(ev_cost,INDEX(Events!$G$5:$G$506,MATCH(G497,Events!$A$5:$A$506,0)),ev_split,INDEX(Events!$I$5:$I$506,MATCH(G497,Events!$A$5:$A$506,0)),att_offset,MATCH(G497,Attendance!$B$3:$AY$3,0),attendees,COUNTIF(INDEX(Attendance!$B$7:$AY$206,0,att_offset),"1"),IF(ev_split="Equal Split",ev_cost/MAX(1,COUNTA(Roster!$A$5:$A$204)),ev_cost/MAX(1,attendees))),"N/A"))</f>
        <v/>
      </c>
    </row>
    <row r="498" ht="19.5" customHeight="1">
      <c r="A498" s="46"/>
      <c r="B498" s="49"/>
      <c r="C498" s="49"/>
      <c r="D498" s="49"/>
      <c r="E498" s="49"/>
      <c r="F498" s="54"/>
      <c r="G498" s="49"/>
      <c r="H498" s="49"/>
      <c r="I498" s="49"/>
      <c r="J498" s="44" t="str">
        <f t="array" ref="J498">IF(G498="","",IFERROR(LET(ev_cost,INDEX(Events!$G$5:$G$506,MATCH(G498,Events!$A$5:$A$506,0)),ev_split,INDEX(Events!$I$5:$I$506,MATCH(G498,Events!$A$5:$A$506,0)),att_offset,MATCH(G498,Attendance!$B$3:$AY$3,0),attendees,COUNTIF(INDEX(Attendance!$B$7:$AY$206,0,att_offset),"1"),IF(ev_split="Equal Split",ev_cost/MAX(1,COUNTA(Roster!$A$5:$A$204)),ev_cost/MAX(1,attendees))),"N/A"))</f>
        <v/>
      </c>
    </row>
    <row r="499" ht="19.5" customHeight="1">
      <c r="A499" s="50"/>
      <c r="B499" s="53"/>
      <c r="C499" s="53"/>
      <c r="D499" s="53"/>
      <c r="E499" s="53"/>
      <c r="F499" s="55"/>
      <c r="G499" s="53"/>
      <c r="H499" s="53"/>
      <c r="I499" s="53"/>
      <c r="J499" s="44" t="str">
        <f t="array" ref="J499">IF(G499="","",IFERROR(LET(ev_cost,INDEX(Events!$G$5:$G$506,MATCH(G499,Events!$A$5:$A$506,0)),ev_split,INDEX(Events!$I$5:$I$506,MATCH(G499,Events!$A$5:$A$506,0)),att_offset,MATCH(G499,Attendance!$B$3:$AY$3,0),attendees,COUNTIF(INDEX(Attendance!$B$7:$AY$206,0,att_offset),"1"),IF(ev_split="Equal Split",ev_cost/MAX(1,COUNTA(Roster!$A$5:$A$204)),ev_cost/MAX(1,attendees))),"N/A"))</f>
        <v/>
      </c>
    </row>
    <row r="500" ht="19.5" customHeight="1">
      <c r="A500" s="46"/>
      <c r="B500" s="49"/>
      <c r="C500" s="49"/>
      <c r="D500" s="49"/>
      <c r="E500" s="49"/>
      <c r="F500" s="54"/>
      <c r="G500" s="49"/>
      <c r="H500" s="49"/>
      <c r="I500" s="49"/>
      <c r="J500" s="44" t="str">
        <f t="array" ref="J500">IF(G500="","",IFERROR(LET(ev_cost,INDEX(Events!$G$5:$G$506,MATCH(G500,Events!$A$5:$A$506,0)),ev_split,INDEX(Events!$I$5:$I$506,MATCH(G500,Events!$A$5:$A$506,0)),att_offset,MATCH(G500,Attendance!$B$3:$AY$3,0),attendees,COUNTIF(INDEX(Attendance!$B$7:$AY$206,0,att_offset),"1"),IF(ev_split="Equal Split",ev_cost/MAX(1,COUNTA(Roster!$A$5:$A$204)),ev_cost/MAX(1,attendees))),"N/A"))</f>
        <v/>
      </c>
    </row>
    <row r="501" ht="19.5" customHeight="1">
      <c r="A501" s="50"/>
      <c r="B501" s="53"/>
      <c r="C501" s="53"/>
      <c r="D501" s="53"/>
      <c r="E501" s="53"/>
      <c r="F501" s="55"/>
      <c r="G501" s="53"/>
      <c r="H501" s="53"/>
      <c r="I501" s="53"/>
      <c r="J501" s="44" t="str">
        <f t="array" ref="J501">IF(G501="","",IFERROR(LET(ev_cost,INDEX(Events!$G$5:$G$506,MATCH(G501,Events!$A$5:$A$506,0)),ev_split,INDEX(Events!$I$5:$I$506,MATCH(G501,Events!$A$5:$A$506,0)),att_offset,MATCH(G501,Attendance!$B$3:$AY$3,0),attendees,COUNTIF(INDEX(Attendance!$B$7:$AY$206,0,att_offset),"1"),IF(ev_split="Equal Split",ev_cost/MAX(1,COUNTA(Roster!$A$5:$A$204)),ev_cost/MAX(1,attendees))),"N/A"))</f>
        <v/>
      </c>
    </row>
    <row r="502" ht="19.5" customHeight="1">
      <c r="A502" s="46"/>
      <c r="B502" s="49"/>
      <c r="C502" s="49"/>
      <c r="D502" s="49"/>
      <c r="E502" s="49"/>
      <c r="F502" s="54"/>
      <c r="G502" s="49"/>
      <c r="H502" s="49"/>
      <c r="I502" s="49"/>
      <c r="J502" s="44" t="str">
        <f t="array" ref="J502">IF(G502="","",IFERROR(LET(ev_cost,INDEX(Events!$G$5:$G$506,MATCH(G502,Events!$A$5:$A$506,0)),ev_split,INDEX(Events!$I$5:$I$506,MATCH(G502,Events!$A$5:$A$506,0)),att_offset,MATCH(G502,Attendance!$B$3:$AY$3,0),attendees,COUNTIF(INDEX(Attendance!$B$7:$AY$206,0,att_offset),"1"),IF(ev_split="Equal Split",ev_cost/MAX(1,COUNTA(Roster!$A$5:$A$204)),ev_cost/MAX(1,attendees))),"N/A"))</f>
        <v/>
      </c>
    </row>
    <row r="503" ht="19.5" customHeight="1">
      <c r="A503" s="50"/>
      <c r="B503" s="53"/>
      <c r="C503" s="53"/>
      <c r="D503" s="53"/>
      <c r="E503" s="53"/>
      <c r="F503" s="55"/>
      <c r="G503" s="53"/>
      <c r="H503" s="53"/>
      <c r="I503" s="53"/>
      <c r="J503" s="44" t="str">
        <f t="array" ref="J503">IF(G503="","",IFERROR(LET(ev_cost,INDEX(Events!$G$5:$G$506,MATCH(G503,Events!$A$5:$A$506,0)),ev_split,INDEX(Events!$I$5:$I$506,MATCH(G503,Events!$A$5:$A$506,0)),att_offset,MATCH(G503,Attendance!$B$3:$AY$3,0),attendees,COUNTIF(INDEX(Attendance!$B$7:$AY$206,0,att_offset),"1"),IF(ev_split="Equal Split",ev_cost/MAX(1,COUNTA(Roster!$A$5:$A$204)),ev_cost/MAX(1,attendees))),"N/A"))</f>
        <v/>
      </c>
    </row>
    <row r="504" ht="19.5" customHeight="1">
      <c r="A504" s="46"/>
      <c r="B504" s="49"/>
      <c r="C504" s="49"/>
      <c r="D504" s="49"/>
      <c r="E504" s="49"/>
      <c r="F504" s="54"/>
      <c r="G504" s="49"/>
      <c r="H504" s="49"/>
      <c r="I504" s="49"/>
      <c r="J504" s="44" t="str">
        <f t="array" ref="J504">IF(G504="","",IFERROR(LET(ev_cost,INDEX(Events!$G$5:$G$506,MATCH(G504,Events!$A$5:$A$506,0)),ev_split,INDEX(Events!$I$5:$I$506,MATCH(G504,Events!$A$5:$A$506,0)),att_offset,MATCH(G504,Attendance!$B$3:$AY$3,0),attendees,COUNTIF(INDEX(Attendance!$B$7:$AY$206,0,att_offset),"1"),IF(ev_split="Equal Split",ev_cost/MAX(1,COUNTA(Roster!$A$5:$A$204)),ev_cost/MAX(1,attendees))),"N/A"))</f>
        <v/>
      </c>
    </row>
    <row r="505" ht="19.5" customHeight="1">
      <c r="A505" s="50"/>
      <c r="B505" s="53"/>
      <c r="C505" s="53"/>
      <c r="D505" s="53"/>
      <c r="E505" s="53"/>
      <c r="F505" s="55"/>
      <c r="G505" s="53"/>
      <c r="H505" s="53"/>
      <c r="I505" s="53"/>
      <c r="J505" s="44" t="str">
        <f t="array" ref="J505">IF(G505="","",IFERROR(LET(ev_cost,INDEX(Events!$G$5:$G$506,MATCH(G505,Events!$A$5:$A$506,0)),ev_split,INDEX(Events!$I$5:$I$506,MATCH(G505,Events!$A$5:$A$506,0)),att_offset,MATCH(G505,Attendance!$B$3:$AY$3,0),attendees,COUNTIF(INDEX(Attendance!$B$7:$AY$206,0,att_offset),"1"),IF(ev_split="Equal Split",ev_cost/MAX(1,COUNTA(Roster!$A$5:$A$204)),ev_cost/MAX(1,attendees))),"N/A"))</f>
        <v/>
      </c>
    </row>
    <row r="506" ht="19.5" customHeight="1">
      <c r="A506" s="46"/>
      <c r="B506" s="49"/>
      <c r="C506" s="49"/>
      <c r="D506" s="49"/>
      <c r="E506" s="49"/>
      <c r="F506" s="54"/>
      <c r="G506" s="49"/>
      <c r="H506" s="49"/>
      <c r="I506" s="49"/>
      <c r="J506" s="44" t="str">
        <f t="array" ref="J506">IF(G506="","",IFERROR(LET(ev_cost,INDEX(Events!$G$5:$G$506,MATCH(G506,Events!$A$5:$A$506,0)),ev_split,INDEX(Events!$I$5:$I$506,MATCH(G506,Events!$A$5:$A$506,0)),att_offset,MATCH(G506,Attendance!$B$3:$AY$3,0),attendees,COUNTIF(INDEX(Attendance!$B$7:$AY$206,0,att_offset),"1"),IF(ev_split="Equal Split",ev_cost/MAX(1,COUNTA(Roster!$A$5:$A$204)),ev_cost/MAX(1,attendees))),"N/A"))</f>
        <v/>
      </c>
    </row>
    <row r="507" ht="19.5" customHeight="1">
      <c r="A507" s="50"/>
      <c r="B507" s="53"/>
      <c r="C507" s="53"/>
      <c r="D507" s="53"/>
      <c r="E507" s="53"/>
      <c r="F507" s="55"/>
      <c r="G507" s="53"/>
      <c r="H507" s="53"/>
      <c r="I507" s="53"/>
      <c r="J507" s="44" t="str">
        <f t="array" ref="J507">IF(G507="","",IFERROR(LET(ev_cost,INDEX(Events!$G$5:$G$506,MATCH(G507,Events!$A$5:$A$506,0)),ev_split,INDEX(Events!$I$5:$I$506,MATCH(G507,Events!$A$5:$A$506,0)),att_offset,MATCH(G507,Attendance!$B$3:$AY$3,0),attendees,COUNTIF(INDEX(Attendance!$B$7:$AY$206,0,att_offset),"1"),IF(ev_split="Equal Split",ev_cost/MAX(1,COUNTA(Roster!$A$5:$A$204)),ev_cost/MAX(1,attendees))),"N/A"))</f>
        <v/>
      </c>
    </row>
    <row r="508" ht="19.5" customHeight="1">
      <c r="A508" s="46"/>
      <c r="B508" s="49"/>
      <c r="C508" s="49"/>
      <c r="D508" s="49"/>
      <c r="E508" s="49"/>
      <c r="F508" s="54"/>
      <c r="G508" s="49"/>
      <c r="H508" s="49"/>
      <c r="I508" s="49"/>
      <c r="J508" s="44" t="str">
        <f t="array" ref="J508">IF(G508="","",IFERROR(LET(ev_cost,INDEX(Events!$G$5:$G$506,MATCH(G508,Events!$A$5:$A$506,0)),ev_split,INDEX(Events!$I$5:$I$506,MATCH(G508,Events!$A$5:$A$506,0)),att_offset,MATCH(G508,Attendance!$B$3:$AY$3,0),attendees,COUNTIF(INDEX(Attendance!$B$7:$AY$206,0,att_offset),"1"),IF(ev_split="Equal Split",ev_cost/MAX(1,COUNTA(Roster!$A$5:$A$204)),ev_cost/MAX(1,attendees))),"N/A"))</f>
        <v/>
      </c>
    </row>
    <row r="509" ht="19.5" customHeight="1">
      <c r="A509" s="50"/>
      <c r="B509" s="53"/>
      <c r="C509" s="53"/>
      <c r="D509" s="53"/>
      <c r="E509" s="53"/>
      <c r="F509" s="55"/>
      <c r="G509" s="53"/>
      <c r="H509" s="53"/>
      <c r="I509" s="53"/>
      <c r="J509" s="44" t="str">
        <f t="array" ref="J509">IF(G509="","",IFERROR(LET(ev_cost,INDEX(Events!$G$5:$G$506,MATCH(G509,Events!$A$5:$A$506,0)),ev_split,INDEX(Events!$I$5:$I$506,MATCH(G509,Events!$A$5:$A$506,0)),att_offset,MATCH(G509,Attendance!$B$3:$AY$3,0),attendees,COUNTIF(INDEX(Attendance!$B$7:$AY$206,0,att_offset),"1"),IF(ev_split="Equal Split",ev_cost/MAX(1,COUNTA(Roster!$A$5:$A$204)),ev_cost/MAX(1,attendees))),"N/A"))</f>
        <v/>
      </c>
    </row>
    <row r="510" ht="19.5" customHeight="1">
      <c r="A510" s="46"/>
      <c r="B510" s="49"/>
      <c r="C510" s="49"/>
      <c r="D510" s="49"/>
      <c r="E510" s="49"/>
      <c r="F510" s="54"/>
      <c r="G510" s="49"/>
      <c r="H510" s="49"/>
      <c r="I510" s="49"/>
      <c r="J510" s="44" t="str">
        <f t="array" ref="J510">IF(G510="","",IFERROR(LET(ev_cost,INDEX(Events!$G$5:$G$506,MATCH(G510,Events!$A$5:$A$506,0)),ev_split,INDEX(Events!$I$5:$I$506,MATCH(G510,Events!$A$5:$A$506,0)),att_offset,MATCH(G510,Attendance!$B$3:$AY$3,0),attendees,COUNTIF(INDEX(Attendance!$B$7:$AY$206,0,att_offset),"1"),IF(ev_split="Equal Split",ev_cost/MAX(1,COUNTA(Roster!$A$5:$A$204)),ev_cost/MAX(1,attendees))),"N/A"))</f>
        <v/>
      </c>
    </row>
    <row r="511" ht="19.5" customHeight="1">
      <c r="A511" s="50"/>
      <c r="B511" s="53"/>
      <c r="C511" s="53"/>
      <c r="D511" s="53"/>
      <c r="E511" s="53"/>
      <c r="F511" s="55"/>
      <c r="G511" s="53"/>
      <c r="H511" s="53"/>
      <c r="I511" s="53"/>
      <c r="J511" s="44" t="str">
        <f t="array" ref="J511">IF(G511="","",IFERROR(LET(ev_cost,INDEX(Events!$G$5:$G$506,MATCH(G511,Events!$A$5:$A$506,0)),ev_split,INDEX(Events!$I$5:$I$506,MATCH(G511,Events!$A$5:$A$506,0)),att_offset,MATCH(G511,Attendance!$B$3:$AY$3,0),attendees,COUNTIF(INDEX(Attendance!$B$7:$AY$206,0,att_offset),"1"),IF(ev_split="Equal Split",ev_cost/MAX(1,COUNTA(Roster!$A$5:$A$204)),ev_cost/MAX(1,attendees))),"N/A"))</f>
        <v/>
      </c>
    </row>
    <row r="512" ht="19.5" customHeight="1">
      <c r="A512" s="46"/>
      <c r="B512" s="49"/>
      <c r="C512" s="49"/>
      <c r="D512" s="49"/>
      <c r="E512" s="49"/>
      <c r="F512" s="54"/>
      <c r="G512" s="49"/>
      <c r="H512" s="49"/>
      <c r="I512" s="49"/>
      <c r="J512" s="44" t="str">
        <f t="array" ref="J512">IF(G512="","",IFERROR(LET(ev_cost,INDEX(Events!$G$5:$G$506,MATCH(G512,Events!$A$5:$A$506,0)),ev_split,INDEX(Events!$I$5:$I$506,MATCH(G512,Events!$A$5:$A$506,0)),att_offset,MATCH(G512,Attendance!$B$3:$AY$3,0),attendees,COUNTIF(INDEX(Attendance!$B$7:$AY$206,0,att_offset),"1"),IF(ev_split="Equal Split",ev_cost/MAX(1,COUNTA(Roster!$A$5:$A$204)),ev_cost/MAX(1,attendees))),"N/A"))</f>
        <v/>
      </c>
    </row>
    <row r="513" ht="19.5" customHeight="1">
      <c r="A513" s="50"/>
      <c r="B513" s="53"/>
      <c r="C513" s="53"/>
      <c r="D513" s="53"/>
      <c r="E513" s="53"/>
      <c r="F513" s="55"/>
      <c r="G513" s="53"/>
      <c r="H513" s="53"/>
      <c r="I513" s="53"/>
      <c r="J513" s="44" t="str">
        <f t="array" ref="J513">IF(G513="","",IFERROR(LET(ev_cost,INDEX(Events!$G$5:$G$506,MATCH(G513,Events!$A$5:$A$506,0)),ev_split,INDEX(Events!$I$5:$I$506,MATCH(G513,Events!$A$5:$A$506,0)),att_offset,MATCH(G513,Attendance!$B$3:$AY$3,0),attendees,COUNTIF(INDEX(Attendance!$B$7:$AY$206,0,att_offset),"1"),IF(ev_split="Equal Split",ev_cost/MAX(1,COUNTA(Roster!$A$5:$A$204)),ev_cost/MAX(1,attendees))),"N/A"))</f>
        <v/>
      </c>
    </row>
    <row r="514" ht="19.5" customHeight="1">
      <c r="A514" s="46"/>
      <c r="B514" s="49"/>
      <c r="C514" s="49"/>
      <c r="D514" s="49"/>
      <c r="E514" s="49"/>
      <c r="F514" s="54"/>
      <c r="G514" s="49"/>
      <c r="H514" s="49"/>
      <c r="I514" s="49"/>
      <c r="J514" s="44" t="str">
        <f t="array" ref="J514">IF(G514="","",IFERROR(LET(ev_cost,INDEX(Events!$G$5:$G$506,MATCH(G514,Events!$A$5:$A$506,0)),ev_split,INDEX(Events!$I$5:$I$506,MATCH(G514,Events!$A$5:$A$506,0)),att_offset,MATCH(G514,Attendance!$B$3:$AY$3,0),attendees,COUNTIF(INDEX(Attendance!$B$7:$AY$206,0,att_offset),"1"),IF(ev_split="Equal Split",ev_cost/MAX(1,COUNTA(Roster!$A$5:$A$204)),ev_cost/MAX(1,attendees))),"N/A"))</f>
        <v/>
      </c>
    </row>
    <row r="515" ht="19.5" customHeight="1">
      <c r="A515" s="50"/>
      <c r="B515" s="53"/>
      <c r="C515" s="53"/>
      <c r="D515" s="53"/>
      <c r="E515" s="53"/>
      <c r="F515" s="55"/>
      <c r="G515" s="53"/>
      <c r="H515" s="53"/>
      <c r="I515" s="53"/>
      <c r="J515" s="44" t="str">
        <f t="array" ref="J515">IF(G515="","",IFERROR(LET(ev_cost,INDEX(Events!$G$5:$G$506,MATCH(G515,Events!$A$5:$A$506,0)),ev_split,INDEX(Events!$I$5:$I$506,MATCH(G515,Events!$A$5:$A$506,0)),att_offset,MATCH(G515,Attendance!$B$3:$AY$3,0),attendees,COUNTIF(INDEX(Attendance!$B$7:$AY$206,0,att_offset),"1"),IF(ev_split="Equal Split",ev_cost/MAX(1,COUNTA(Roster!$A$5:$A$204)),ev_cost/MAX(1,attendees))),"N/A"))</f>
        <v/>
      </c>
    </row>
    <row r="516" ht="19.5" customHeight="1">
      <c r="A516" s="46"/>
      <c r="B516" s="49"/>
      <c r="C516" s="49"/>
      <c r="D516" s="49"/>
      <c r="E516" s="49"/>
      <c r="F516" s="54"/>
      <c r="G516" s="49"/>
      <c r="H516" s="49"/>
      <c r="I516" s="49"/>
      <c r="J516" s="44" t="str">
        <f t="array" ref="J516">IF(G516="","",IFERROR(LET(ev_cost,INDEX(Events!$G$5:$G$506,MATCH(G516,Events!$A$5:$A$506,0)),ev_split,INDEX(Events!$I$5:$I$506,MATCH(G516,Events!$A$5:$A$506,0)),att_offset,MATCH(G516,Attendance!$B$3:$AY$3,0),attendees,COUNTIF(INDEX(Attendance!$B$7:$AY$206,0,att_offset),"1"),IF(ev_split="Equal Split",ev_cost/MAX(1,COUNTA(Roster!$A$5:$A$204)),ev_cost/MAX(1,attendees))),"N/A"))</f>
        <v/>
      </c>
    </row>
    <row r="517" ht="19.5" customHeight="1">
      <c r="A517" s="50"/>
      <c r="B517" s="53"/>
      <c r="C517" s="53"/>
      <c r="D517" s="53"/>
      <c r="E517" s="53"/>
      <c r="F517" s="55"/>
      <c r="G517" s="53"/>
      <c r="H517" s="53"/>
      <c r="I517" s="53"/>
      <c r="J517" s="44" t="str">
        <f t="array" ref="J517">IF(G517="","",IFERROR(LET(ev_cost,INDEX(Events!$G$5:$G$506,MATCH(G517,Events!$A$5:$A$506,0)),ev_split,INDEX(Events!$I$5:$I$506,MATCH(G517,Events!$A$5:$A$506,0)),att_offset,MATCH(G517,Attendance!$B$3:$AY$3,0),attendees,COUNTIF(INDEX(Attendance!$B$7:$AY$206,0,att_offset),"1"),IF(ev_split="Equal Split",ev_cost/MAX(1,COUNTA(Roster!$A$5:$A$204)),ev_cost/MAX(1,attendees))),"N/A"))</f>
        <v/>
      </c>
    </row>
    <row r="518" ht="19.5" customHeight="1">
      <c r="A518" s="46"/>
      <c r="B518" s="49"/>
      <c r="C518" s="49"/>
      <c r="D518" s="49"/>
      <c r="E518" s="49"/>
      <c r="F518" s="54"/>
      <c r="G518" s="49"/>
      <c r="H518" s="49"/>
      <c r="I518" s="49"/>
      <c r="J518" s="44" t="str">
        <f t="array" ref="J518">IF(G518="","",IFERROR(LET(ev_cost,INDEX(Events!$G$5:$G$506,MATCH(G518,Events!$A$5:$A$506,0)),ev_split,INDEX(Events!$I$5:$I$506,MATCH(G518,Events!$A$5:$A$506,0)),att_offset,MATCH(G518,Attendance!$B$3:$AY$3,0),attendees,COUNTIF(INDEX(Attendance!$B$7:$AY$206,0,att_offset),"1"),IF(ev_split="Equal Split",ev_cost/MAX(1,COUNTA(Roster!$A$5:$A$204)),ev_cost/MAX(1,attendees))),"N/A"))</f>
        <v/>
      </c>
    </row>
    <row r="519" ht="19.5" customHeight="1">
      <c r="A519" s="50"/>
      <c r="B519" s="53"/>
      <c r="C519" s="53"/>
      <c r="D519" s="53"/>
      <c r="E519" s="53"/>
      <c r="F519" s="55"/>
      <c r="G519" s="53"/>
      <c r="H519" s="53"/>
      <c r="I519" s="53"/>
      <c r="J519" s="44" t="str">
        <f t="array" ref="J519">IF(G519="","",IFERROR(LET(ev_cost,INDEX(Events!$G$5:$G$506,MATCH(G519,Events!$A$5:$A$506,0)),ev_split,INDEX(Events!$I$5:$I$506,MATCH(G519,Events!$A$5:$A$506,0)),att_offset,MATCH(G519,Attendance!$B$3:$AY$3,0),attendees,COUNTIF(INDEX(Attendance!$B$7:$AY$206,0,att_offset),"1"),IF(ev_split="Equal Split",ev_cost/MAX(1,COUNTA(Roster!$A$5:$A$204)),ev_cost/MAX(1,attendees))),"N/A"))</f>
        <v/>
      </c>
    </row>
    <row r="520" ht="19.5" customHeight="1">
      <c r="A520" s="46"/>
      <c r="B520" s="49"/>
      <c r="C520" s="49"/>
      <c r="D520" s="49"/>
      <c r="E520" s="49"/>
      <c r="F520" s="54"/>
      <c r="G520" s="49"/>
      <c r="H520" s="49"/>
      <c r="I520" s="49"/>
      <c r="J520" s="44" t="str">
        <f t="array" ref="J520">IF(G520="","",IFERROR(LET(ev_cost,INDEX(Events!$G$5:$G$506,MATCH(G520,Events!$A$5:$A$506,0)),ev_split,INDEX(Events!$I$5:$I$506,MATCH(G520,Events!$A$5:$A$506,0)),att_offset,MATCH(G520,Attendance!$B$3:$AY$3,0),attendees,COUNTIF(INDEX(Attendance!$B$7:$AY$206,0,att_offset),"1"),IF(ev_split="Equal Split",ev_cost/MAX(1,COUNTA(Roster!$A$5:$A$204)),ev_cost/MAX(1,attendees))),"N/A"))</f>
        <v/>
      </c>
    </row>
    <row r="521" ht="19.5" customHeight="1">
      <c r="A521" s="50"/>
      <c r="B521" s="53"/>
      <c r="C521" s="53"/>
      <c r="D521" s="53"/>
      <c r="E521" s="53"/>
      <c r="F521" s="55"/>
      <c r="G521" s="53"/>
      <c r="H521" s="53"/>
      <c r="I521" s="53"/>
      <c r="J521" s="44" t="str">
        <f t="array" ref="J521">IF(G521="","",IFERROR(LET(ev_cost,INDEX(Events!$G$5:$G$506,MATCH(G521,Events!$A$5:$A$506,0)),ev_split,INDEX(Events!$I$5:$I$506,MATCH(G521,Events!$A$5:$A$506,0)),att_offset,MATCH(G521,Attendance!$B$3:$AY$3,0),attendees,COUNTIF(INDEX(Attendance!$B$7:$AY$206,0,att_offset),"1"),IF(ev_split="Equal Split",ev_cost/MAX(1,COUNTA(Roster!$A$5:$A$204)),ev_cost/MAX(1,attendees))),"N/A"))</f>
        <v/>
      </c>
    </row>
    <row r="522" ht="19.5" customHeight="1">
      <c r="A522" s="46"/>
      <c r="B522" s="49"/>
      <c r="C522" s="49"/>
      <c r="D522" s="49"/>
      <c r="E522" s="49"/>
      <c r="F522" s="54"/>
      <c r="G522" s="49"/>
      <c r="H522" s="49"/>
      <c r="I522" s="49"/>
      <c r="J522" s="44" t="str">
        <f t="array" ref="J522">IF(G522="","",IFERROR(LET(ev_cost,INDEX(Events!$G$5:$G$506,MATCH(G522,Events!$A$5:$A$506,0)),ev_split,INDEX(Events!$I$5:$I$506,MATCH(G522,Events!$A$5:$A$506,0)),att_offset,MATCH(G522,Attendance!$B$3:$AY$3,0),attendees,COUNTIF(INDEX(Attendance!$B$7:$AY$206,0,att_offset),"1"),IF(ev_split="Equal Split",ev_cost/MAX(1,COUNTA(Roster!$A$5:$A$204)),ev_cost/MAX(1,attendees))),"N/A"))</f>
        <v/>
      </c>
    </row>
    <row r="523" ht="19.5" customHeight="1">
      <c r="A523" s="50"/>
      <c r="B523" s="53"/>
      <c r="C523" s="53"/>
      <c r="D523" s="53"/>
      <c r="E523" s="53"/>
      <c r="F523" s="55"/>
      <c r="G523" s="53"/>
      <c r="H523" s="53"/>
      <c r="I523" s="53"/>
      <c r="J523" s="44" t="str">
        <f t="array" ref="J523">IF(G523="","",IFERROR(LET(ev_cost,INDEX(Events!$G$5:$G$506,MATCH(G523,Events!$A$5:$A$506,0)),ev_split,INDEX(Events!$I$5:$I$506,MATCH(G523,Events!$A$5:$A$506,0)),att_offset,MATCH(G523,Attendance!$B$3:$AY$3,0),attendees,COUNTIF(INDEX(Attendance!$B$7:$AY$206,0,att_offset),"1"),IF(ev_split="Equal Split",ev_cost/MAX(1,COUNTA(Roster!$A$5:$A$204)),ev_cost/MAX(1,attendees))),"N/A"))</f>
        <v/>
      </c>
    </row>
    <row r="524" ht="19.5" customHeight="1">
      <c r="A524" s="46"/>
      <c r="B524" s="49"/>
      <c r="C524" s="49"/>
      <c r="D524" s="49"/>
      <c r="E524" s="49"/>
      <c r="F524" s="54"/>
      <c r="G524" s="49"/>
      <c r="H524" s="49"/>
      <c r="I524" s="49"/>
      <c r="J524" s="44" t="str">
        <f t="array" ref="J524">IF(G524="","",IFERROR(LET(ev_cost,INDEX(Events!$G$5:$G$506,MATCH(G524,Events!$A$5:$A$506,0)),ev_split,INDEX(Events!$I$5:$I$506,MATCH(G524,Events!$A$5:$A$506,0)),att_offset,MATCH(G524,Attendance!$B$3:$AY$3,0),attendees,COUNTIF(INDEX(Attendance!$B$7:$AY$206,0,att_offset),"1"),IF(ev_split="Equal Split",ev_cost/MAX(1,COUNTA(Roster!$A$5:$A$204)),ev_cost/MAX(1,attendees))),"N/A"))</f>
        <v/>
      </c>
    </row>
    <row r="525" ht="19.5" customHeight="1">
      <c r="A525" s="50"/>
      <c r="B525" s="53"/>
      <c r="C525" s="53"/>
      <c r="D525" s="53"/>
      <c r="E525" s="53"/>
      <c r="F525" s="55"/>
      <c r="G525" s="53"/>
      <c r="H525" s="53"/>
      <c r="I525" s="53"/>
      <c r="J525" s="44" t="str">
        <f t="array" ref="J525">IF(G525="","",IFERROR(LET(ev_cost,INDEX(Events!$G$5:$G$506,MATCH(G525,Events!$A$5:$A$506,0)),ev_split,INDEX(Events!$I$5:$I$506,MATCH(G525,Events!$A$5:$A$506,0)),att_offset,MATCH(G525,Attendance!$B$3:$AY$3,0),attendees,COUNTIF(INDEX(Attendance!$B$7:$AY$206,0,att_offset),"1"),IF(ev_split="Equal Split",ev_cost/MAX(1,COUNTA(Roster!$A$5:$A$204)),ev_cost/MAX(1,attendees))),"N/A"))</f>
        <v/>
      </c>
    </row>
    <row r="526" ht="19.5" customHeight="1">
      <c r="A526" s="46"/>
      <c r="B526" s="49"/>
      <c r="C526" s="49"/>
      <c r="D526" s="49"/>
      <c r="E526" s="49"/>
      <c r="F526" s="54"/>
      <c r="G526" s="49"/>
      <c r="H526" s="49"/>
      <c r="I526" s="49"/>
      <c r="J526" s="44" t="str">
        <f t="array" ref="J526">IF(G526="","",IFERROR(LET(ev_cost,INDEX(Events!$G$5:$G$506,MATCH(G526,Events!$A$5:$A$506,0)),ev_split,INDEX(Events!$I$5:$I$506,MATCH(G526,Events!$A$5:$A$506,0)),att_offset,MATCH(G526,Attendance!$B$3:$AY$3,0),attendees,COUNTIF(INDEX(Attendance!$B$7:$AY$206,0,att_offset),"1"),IF(ev_split="Equal Split",ev_cost/MAX(1,COUNTA(Roster!$A$5:$A$204)),ev_cost/MAX(1,attendees))),"N/A"))</f>
        <v/>
      </c>
    </row>
    <row r="527" ht="19.5" customHeight="1">
      <c r="A527" s="50"/>
      <c r="B527" s="53"/>
      <c r="C527" s="53"/>
      <c r="D527" s="53"/>
      <c r="E527" s="53"/>
      <c r="F527" s="55"/>
      <c r="G527" s="53"/>
      <c r="H527" s="53"/>
      <c r="I527" s="53"/>
      <c r="J527" s="44" t="str">
        <f t="array" ref="J527">IF(G527="","",IFERROR(LET(ev_cost,INDEX(Events!$G$5:$G$506,MATCH(G527,Events!$A$5:$A$506,0)),ev_split,INDEX(Events!$I$5:$I$506,MATCH(G527,Events!$A$5:$A$506,0)),att_offset,MATCH(G527,Attendance!$B$3:$AY$3,0),attendees,COUNTIF(INDEX(Attendance!$B$7:$AY$206,0,att_offset),"1"),IF(ev_split="Equal Split",ev_cost/MAX(1,COUNTA(Roster!$A$5:$A$204)),ev_cost/MAX(1,attendees))),"N/A"))</f>
        <v/>
      </c>
    </row>
    <row r="528" ht="19.5" customHeight="1">
      <c r="A528" s="46"/>
      <c r="B528" s="49"/>
      <c r="C528" s="49"/>
      <c r="D528" s="49"/>
      <c r="E528" s="49"/>
      <c r="F528" s="54"/>
      <c r="G528" s="49"/>
      <c r="H528" s="49"/>
      <c r="I528" s="49"/>
      <c r="J528" s="44" t="str">
        <f t="array" ref="J528">IF(G528="","",IFERROR(LET(ev_cost,INDEX(Events!$G$5:$G$506,MATCH(G528,Events!$A$5:$A$506,0)),ev_split,INDEX(Events!$I$5:$I$506,MATCH(G528,Events!$A$5:$A$506,0)),att_offset,MATCH(G528,Attendance!$B$3:$AY$3,0),attendees,COUNTIF(INDEX(Attendance!$B$7:$AY$206,0,att_offset),"1"),IF(ev_split="Equal Split",ev_cost/MAX(1,COUNTA(Roster!$A$5:$A$204)),ev_cost/MAX(1,attendees))),"N/A"))</f>
        <v/>
      </c>
    </row>
    <row r="529" ht="19.5" customHeight="1">
      <c r="A529" s="50"/>
      <c r="B529" s="53"/>
      <c r="C529" s="53"/>
      <c r="D529" s="53"/>
      <c r="E529" s="53"/>
      <c r="F529" s="55"/>
      <c r="G529" s="53"/>
      <c r="H529" s="53"/>
      <c r="I529" s="53"/>
      <c r="J529" s="44" t="str">
        <f t="array" ref="J529">IF(G529="","",IFERROR(LET(ev_cost,INDEX(Events!$G$5:$G$506,MATCH(G529,Events!$A$5:$A$506,0)),ev_split,INDEX(Events!$I$5:$I$506,MATCH(G529,Events!$A$5:$A$506,0)),att_offset,MATCH(G529,Attendance!$B$3:$AY$3,0),attendees,COUNTIF(INDEX(Attendance!$B$7:$AY$206,0,att_offset),"1"),IF(ev_split="Equal Split",ev_cost/MAX(1,COUNTA(Roster!$A$5:$A$204)),ev_cost/MAX(1,attendees))),"N/A"))</f>
        <v/>
      </c>
    </row>
    <row r="530" ht="19.5" customHeight="1">
      <c r="A530" s="46"/>
      <c r="B530" s="49"/>
      <c r="C530" s="49"/>
      <c r="D530" s="49"/>
      <c r="E530" s="49"/>
      <c r="F530" s="54"/>
      <c r="G530" s="49"/>
      <c r="H530" s="49"/>
      <c r="I530" s="49"/>
      <c r="J530" s="44" t="str">
        <f t="array" ref="J530">IF(G530="","",IFERROR(LET(ev_cost,INDEX(Events!$G$5:$G$506,MATCH(G530,Events!$A$5:$A$506,0)),ev_split,INDEX(Events!$I$5:$I$506,MATCH(G530,Events!$A$5:$A$506,0)),att_offset,MATCH(G530,Attendance!$B$3:$AY$3,0),attendees,COUNTIF(INDEX(Attendance!$B$7:$AY$206,0,att_offset),"1"),IF(ev_split="Equal Split",ev_cost/MAX(1,COUNTA(Roster!$A$5:$A$204)),ev_cost/MAX(1,attendees))),"N/A"))</f>
        <v/>
      </c>
    </row>
    <row r="531" ht="19.5" customHeight="1">
      <c r="A531" s="50"/>
      <c r="B531" s="53"/>
      <c r="C531" s="53"/>
      <c r="D531" s="53"/>
      <c r="E531" s="53"/>
      <c r="F531" s="55"/>
      <c r="G531" s="53"/>
      <c r="H531" s="53"/>
      <c r="I531" s="53"/>
      <c r="J531" s="44" t="str">
        <f t="array" ref="J531">IF(G531="","",IFERROR(LET(ev_cost,INDEX(Events!$G$5:$G$506,MATCH(G531,Events!$A$5:$A$506,0)),ev_split,INDEX(Events!$I$5:$I$506,MATCH(G531,Events!$A$5:$A$506,0)),att_offset,MATCH(G531,Attendance!$B$3:$AY$3,0),attendees,COUNTIF(INDEX(Attendance!$B$7:$AY$206,0,att_offset),"1"),IF(ev_split="Equal Split",ev_cost/MAX(1,COUNTA(Roster!$A$5:$A$204)),ev_cost/MAX(1,attendees))),"N/A"))</f>
        <v/>
      </c>
    </row>
    <row r="532" ht="19.5" customHeight="1">
      <c r="A532" s="46"/>
      <c r="B532" s="49"/>
      <c r="C532" s="49"/>
      <c r="D532" s="49"/>
      <c r="E532" s="49"/>
      <c r="F532" s="54"/>
      <c r="G532" s="49"/>
      <c r="H532" s="49"/>
      <c r="I532" s="49"/>
      <c r="J532" s="44" t="str">
        <f t="array" ref="J532">IF(G532="","",IFERROR(LET(ev_cost,INDEX(Events!$G$5:$G$506,MATCH(G532,Events!$A$5:$A$506,0)),ev_split,INDEX(Events!$I$5:$I$506,MATCH(G532,Events!$A$5:$A$506,0)),att_offset,MATCH(G532,Attendance!$B$3:$AY$3,0),attendees,COUNTIF(INDEX(Attendance!$B$7:$AY$206,0,att_offset),"1"),IF(ev_split="Equal Split",ev_cost/MAX(1,COUNTA(Roster!$A$5:$A$204)),ev_cost/MAX(1,attendees))),"N/A"))</f>
        <v/>
      </c>
    </row>
    <row r="533" ht="19.5" customHeight="1">
      <c r="A533" s="50"/>
      <c r="B533" s="53"/>
      <c r="C533" s="53"/>
      <c r="D533" s="53"/>
      <c r="E533" s="53"/>
      <c r="F533" s="55"/>
      <c r="G533" s="53"/>
      <c r="H533" s="53"/>
      <c r="I533" s="53"/>
      <c r="J533" s="44" t="str">
        <f t="array" ref="J533">IF(G533="","",IFERROR(LET(ev_cost,INDEX(Events!$G$5:$G$506,MATCH(G533,Events!$A$5:$A$506,0)),ev_split,INDEX(Events!$I$5:$I$506,MATCH(G533,Events!$A$5:$A$506,0)),att_offset,MATCH(G533,Attendance!$B$3:$AY$3,0),attendees,COUNTIF(INDEX(Attendance!$B$7:$AY$206,0,att_offset),"1"),IF(ev_split="Equal Split",ev_cost/MAX(1,COUNTA(Roster!$A$5:$A$204)),ev_cost/MAX(1,attendees))),"N/A"))</f>
        <v/>
      </c>
    </row>
    <row r="534" ht="19.5" customHeight="1">
      <c r="A534" s="46"/>
      <c r="B534" s="49"/>
      <c r="C534" s="49"/>
      <c r="D534" s="49"/>
      <c r="E534" s="49"/>
      <c r="F534" s="54"/>
      <c r="G534" s="49"/>
      <c r="H534" s="49"/>
      <c r="I534" s="49"/>
      <c r="J534" s="44" t="str">
        <f t="array" ref="J534">IF(G534="","",IFERROR(LET(ev_cost,INDEX(Events!$G$5:$G$506,MATCH(G534,Events!$A$5:$A$506,0)),ev_split,INDEX(Events!$I$5:$I$506,MATCH(G534,Events!$A$5:$A$506,0)),att_offset,MATCH(G534,Attendance!$B$3:$AY$3,0),attendees,COUNTIF(INDEX(Attendance!$B$7:$AY$206,0,att_offset),"1"),IF(ev_split="Equal Split",ev_cost/MAX(1,COUNTA(Roster!$A$5:$A$204)),ev_cost/MAX(1,attendees))),"N/A"))</f>
        <v/>
      </c>
    </row>
    <row r="535" ht="19.5" customHeight="1">
      <c r="A535" s="50"/>
      <c r="B535" s="53"/>
      <c r="C535" s="53"/>
      <c r="D535" s="53"/>
      <c r="E535" s="53"/>
      <c r="F535" s="55"/>
      <c r="G535" s="53"/>
      <c r="H535" s="53"/>
      <c r="I535" s="53"/>
      <c r="J535" s="44" t="str">
        <f t="array" ref="J535">IF(G535="","",IFERROR(LET(ev_cost,INDEX(Events!$G$5:$G$506,MATCH(G535,Events!$A$5:$A$506,0)),ev_split,INDEX(Events!$I$5:$I$506,MATCH(G535,Events!$A$5:$A$506,0)),att_offset,MATCH(G535,Attendance!$B$3:$AY$3,0),attendees,COUNTIF(INDEX(Attendance!$B$7:$AY$206,0,att_offset),"1"),IF(ev_split="Equal Split",ev_cost/MAX(1,COUNTA(Roster!$A$5:$A$204)),ev_cost/MAX(1,attendees))),"N/A"))</f>
        <v/>
      </c>
    </row>
    <row r="536" ht="19.5" customHeight="1">
      <c r="A536" s="46"/>
      <c r="B536" s="49"/>
      <c r="C536" s="49"/>
      <c r="D536" s="49"/>
      <c r="E536" s="49"/>
      <c r="F536" s="54"/>
      <c r="G536" s="49"/>
      <c r="H536" s="49"/>
      <c r="I536" s="49"/>
      <c r="J536" s="44" t="str">
        <f t="array" ref="J536">IF(G536="","",IFERROR(LET(ev_cost,INDEX(Events!$G$5:$G$506,MATCH(G536,Events!$A$5:$A$506,0)),ev_split,INDEX(Events!$I$5:$I$506,MATCH(G536,Events!$A$5:$A$506,0)),att_offset,MATCH(G536,Attendance!$B$3:$AY$3,0),attendees,COUNTIF(INDEX(Attendance!$B$7:$AY$206,0,att_offset),"1"),IF(ev_split="Equal Split",ev_cost/MAX(1,COUNTA(Roster!$A$5:$A$204)),ev_cost/MAX(1,attendees))),"N/A"))</f>
        <v/>
      </c>
    </row>
    <row r="537" ht="19.5" customHeight="1">
      <c r="A537" s="50"/>
      <c r="B537" s="53"/>
      <c r="C537" s="53"/>
      <c r="D537" s="53"/>
      <c r="E537" s="53"/>
      <c r="F537" s="55"/>
      <c r="G537" s="53"/>
      <c r="H537" s="53"/>
      <c r="I537" s="53"/>
      <c r="J537" s="44" t="str">
        <f t="array" ref="J537">IF(G537="","",IFERROR(LET(ev_cost,INDEX(Events!$G$5:$G$506,MATCH(G537,Events!$A$5:$A$506,0)),ev_split,INDEX(Events!$I$5:$I$506,MATCH(G537,Events!$A$5:$A$506,0)),att_offset,MATCH(G537,Attendance!$B$3:$AY$3,0),attendees,COUNTIF(INDEX(Attendance!$B$7:$AY$206,0,att_offset),"1"),IF(ev_split="Equal Split",ev_cost/MAX(1,COUNTA(Roster!$A$5:$A$204)),ev_cost/MAX(1,attendees))),"N/A"))</f>
        <v/>
      </c>
    </row>
    <row r="538" ht="19.5" customHeight="1">
      <c r="A538" s="46"/>
      <c r="B538" s="49"/>
      <c r="C538" s="49"/>
      <c r="D538" s="49"/>
      <c r="E538" s="49"/>
      <c r="F538" s="54"/>
      <c r="G538" s="49"/>
      <c r="H538" s="49"/>
      <c r="I538" s="49"/>
      <c r="J538" s="44" t="str">
        <f t="array" ref="J538">IF(G538="","",IFERROR(LET(ev_cost,INDEX(Events!$G$5:$G$506,MATCH(G538,Events!$A$5:$A$506,0)),ev_split,INDEX(Events!$I$5:$I$506,MATCH(G538,Events!$A$5:$A$506,0)),att_offset,MATCH(G538,Attendance!$B$3:$AY$3,0),attendees,COUNTIF(INDEX(Attendance!$B$7:$AY$206,0,att_offset),"1"),IF(ev_split="Equal Split",ev_cost/MAX(1,COUNTA(Roster!$A$5:$A$204)),ev_cost/MAX(1,attendees))),"N/A"))</f>
        <v/>
      </c>
    </row>
    <row r="539" ht="19.5" customHeight="1">
      <c r="A539" s="50"/>
      <c r="B539" s="53"/>
      <c r="C539" s="53"/>
      <c r="D539" s="53"/>
      <c r="E539" s="53"/>
      <c r="F539" s="55"/>
      <c r="G539" s="53"/>
      <c r="H539" s="53"/>
      <c r="I539" s="53"/>
      <c r="J539" s="44" t="str">
        <f t="array" ref="J539">IF(G539="","",IFERROR(LET(ev_cost,INDEX(Events!$G$5:$G$506,MATCH(G539,Events!$A$5:$A$506,0)),ev_split,INDEX(Events!$I$5:$I$506,MATCH(G539,Events!$A$5:$A$506,0)),att_offset,MATCH(G539,Attendance!$B$3:$AY$3,0),attendees,COUNTIF(INDEX(Attendance!$B$7:$AY$206,0,att_offset),"1"),IF(ev_split="Equal Split",ev_cost/MAX(1,COUNTA(Roster!$A$5:$A$204)),ev_cost/MAX(1,attendees))),"N/A"))</f>
        <v/>
      </c>
    </row>
    <row r="540" ht="19.5" customHeight="1">
      <c r="A540" s="46"/>
      <c r="B540" s="49"/>
      <c r="C540" s="49"/>
      <c r="D540" s="49"/>
      <c r="E540" s="49"/>
      <c r="F540" s="54"/>
      <c r="G540" s="49"/>
      <c r="H540" s="49"/>
      <c r="I540" s="49"/>
      <c r="J540" s="44" t="str">
        <f t="array" ref="J540">IF(G540="","",IFERROR(LET(ev_cost,INDEX(Events!$G$5:$G$506,MATCH(G540,Events!$A$5:$A$506,0)),ev_split,INDEX(Events!$I$5:$I$506,MATCH(G540,Events!$A$5:$A$506,0)),att_offset,MATCH(G540,Attendance!$B$3:$AY$3,0),attendees,COUNTIF(INDEX(Attendance!$B$7:$AY$206,0,att_offset),"1"),IF(ev_split="Equal Split",ev_cost/MAX(1,COUNTA(Roster!$A$5:$A$204)),ev_cost/MAX(1,attendees))),"N/A"))</f>
        <v/>
      </c>
    </row>
    <row r="541" ht="19.5" customHeight="1">
      <c r="A541" s="50"/>
      <c r="B541" s="53"/>
      <c r="C541" s="53"/>
      <c r="D541" s="53"/>
      <c r="E541" s="53"/>
      <c r="F541" s="55"/>
      <c r="G541" s="53"/>
      <c r="H541" s="53"/>
      <c r="I541" s="53"/>
      <c r="J541" s="44" t="str">
        <f t="array" ref="J541">IF(G541="","",IFERROR(LET(ev_cost,INDEX(Events!$G$5:$G$506,MATCH(G541,Events!$A$5:$A$506,0)),ev_split,INDEX(Events!$I$5:$I$506,MATCH(G541,Events!$A$5:$A$506,0)),att_offset,MATCH(G541,Attendance!$B$3:$AY$3,0),attendees,COUNTIF(INDEX(Attendance!$B$7:$AY$206,0,att_offset),"1"),IF(ev_split="Equal Split",ev_cost/MAX(1,COUNTA(Roster!$A$5:$A$204)),ev_cost/MAX(1,attendees))),"N/A"))</f>
        <v/>
      </c>
    </row>
    <row r="542" ht="19.5" customHeight="1">
      <c r="A542" s="46"/>
      <c r="B542" s="49"/>
      <c r="C542" s="49"/>
      <c r="D542" s="49"/>
      <c r="E542" s="49"/>
      <c r="F542" s="54"/>
      <c r="G542" s="49"/>
      <c r="H542" s="49"/>
      <c r="I542" s="49"/>
      <c r="J542" s="44" t="str">
        <f t="array" ref="J542">IF(G542="","",IFERROR(LET(ev_cost,INDEX(Events!$G$5:$G$506,MATCH(G542,Events!$A$5:$A$506,0)),ev_split,INDEX(Events!$I$5:$I$506,MATCH(G542,Events!$A$5:$A$506,0)),att_offset,MATCH(G542,Attendance!$B$3:$AY$3,0),attendees,COUNTIF(INDEX(Attendance!$B$7:$AY$206,0,att_offset),"1"),IF(ev_split="Equal Split",ev_cost/MAX(1,COUNTA(Roster!$A$5:$A$204)),ev_cost/MAX(1,attendees))),"N/A"))</f>
        <v/>
      </c>
    </row>
    <row r="543" ht="19.5" customHeight="1">
      <c r="A543" s="50"/>
      <c r="B543" s="53"/>
      <c r="C543" s="53"/>
      <c r="D543" s="53"/>
      <c r="E543" s="53"/>
      <c r="F543" s="55"/>
      <c r="G543" s="53"/>
      <c r="H543" s="53"/>
      <c r="I543" s="53"/>
      <c r="J543" s="44" t="str">
        <f t="array" ref="J543">IF(G543="","",IFERROR(LET(ev_cost,INDEX(Events!$G$5:$G$506,MATCH(G543,Events!$A$5:$A$506,0)),ev_split,INDEX(Events!$I$5:$I$506,MATCH(G543,Events!$A$5:$A$506,0)),att_offset,MATCH(G543,Attendance!$B$3:$AY$3,0),attendees,COUNTIF(INDEX(Attendance!$B$7:$AY$206,0,att_offset),"1"),IF(ev_split="Equal Split",ev_cost/MAX(1,COUNTA(Roster!$A$5:$A$204)),ev_cost/MAX(1,attendees))),"N/A"))</f>
        <v/>
      </c>
    </row>
    <row r="544" ht="19.5" customHeight="1">
      <c r="A544" s="46"/>
      <c r="B544" s="49"/>
      <c r="C544" s="49"/>
      <c r="D544" s="49"/>
      <c r="E544" s="49"/>
      <c r="F544" s="54"/>
      <c r="G544" s="49"/>
      <c r="H544" s="49"/>
      <c r="I544" s="49"/>
      <c r="J544" s="44" t="str">
        <f t="array" ref="J544">IF(G544="","",IFERROR(LET(ev_cost,INDEX(Events!$G$5:$G$506,MATCH(G544,Events!$A$5:$A$506,0)),ev_split,INDEX(Events!$I$5:$I$506,MATCH(G544,Events!$A$5:$A$506,0)),att_offset,MATCH(G544,Attendance!$B$3:$AY$3,0),attendees,COUNTIF(INDEX(Attendance!$B$7:$AY$206,0,att_offset),"1"),IF(ev_split="Equal Split",ev_cost/MAX(1,COUNTA(Roster!$A$5:$A$204)),ev_cost/MAX(1,attendees))),"N/A"))</f>
        <v/>
      </c>
    </row>
    <row r="545" ht="19.5" customHeight="1">
      <c r="A545" s="50"/>
      <c r="B545" s="53"/>
      <c r="C545" s="53"/>
      <c r="D545" s="53"/>
      <c r="E545" s="53"/>
      <c r="F545" s="55"/>
      <c r="G545" s="53"/>
      <c r="H545" s="53"/>
      <c r="I545" s="53"/>
      <c r="J545" s="44" t="str">
        <f t="array" ref="J545">IF(G545="","",IFERROR(LET(ev_cost,INDEX(Events!$G$5:$G$506,MATCH(G545,Events!$A$5:$A$506,0)),ev_split,INDEX(Events!$I$5:$I$506,MATCH(G545,Events!$A$5:$A$506,0)),att_offset,MATCH(G545,Attendance!$B$3:$AY$3,0),attendees,COUNTIF(INDEX(Attendance!$B$7:$AY$206,0,att_offset),"1"),IF(ev_split="Equal Split",ev_cost/MAX(1,COUNTA(Roster!$A$5:$A$204)),ev_cost/MAX(1,attendees))),"N/A"))</f>
        <v/>
      </c>
    </row>
    <row r="546" ht="19.5" customHeight="1">
      <c r="A546" s="46"/>
      <c r="B546" s="49"/>
      <c r="C546" s="49"/>
      <c r="D546" s="49"/>
      <c r="E546" s="49"/>
      <c r="F546" s="54"/>
      <c r="G546" s="49"/>
      <c r="H546" s="49"/>
      <c r="I546" s="49"/>
      <c r="J546" s="44" t="str">
        <f t="array" ref="J546">IF(G546="","",IFERROR(LET(ev_cost,INDEX(Events!$G$5:$G$506,MATCH(G546,Events!$A$5:$A$506,0)),ev_split,INDEX(Events!$I$5:$I$506,MATCH(G546,Events!$A$5:$A$506,0)),att_offset,MATCH(G546,Attendance!$B$3:$AY$3,0),attendees,COUNTIF(INDEX(Attendance!$B$7:$AY$206,0,att_offset),"1"),IF(ev_split="Equal Split",ev_cost/MAX(1,COUNTA(Roster!$A$5:$A$204)),ev_cost/MAX(1,attendees))),"N/A"))</f>
        <v/>
      </c>
    </row>
    <row r="547" ht="19.5" customHeight="1">
      <c r="A547" s="50"/>
      <c r="B547" s="53"/>
      <c r="C547" s="53"/>
      <c r="D547" s="53"/>
      <c r="E547" s="53"/>
      <c r="F547" s="55"/>
      <c r="G547" s="53"/>
      <c r="H547" s="53"/>
      <c r="I547" s="53"/>
      <c r="J547" s="44" t="str">
        <f t="array" ref="J547">IF(G547="","",IFERROR(LET(ev_cost,INDEX(Events!$G$5:$G$506,MATCH(G547,Events!$A$5:$A$506,0)),ev_split,INDEX(Events!$I$5:$I$506,MATCH(G547,Events!$A$5:$A$506,0)),att_offset,MATCH(G547,Attendance!$B$3:$AY$3,0),attendees,COUNTIF(INDEX(Attendance!$B$7:$AY$206,0,att_offset),"1"),IF(ev_split="Equal Split",ev_cost/MAX(1,COUNTA(Roster!$A$5:$A$204)),ev_cost/MAX(1,attendees))),"N/A"))</f>
        <v/>
      </c>
    </row>
    <row r="548" ht="19.5" customHeight="1">
      <c r="A548" s="46"/>
      <c r="B548" s="49"/>
      <c r="C548" s="49"/>
      <c r="D548" s="49"/>
      <c r="E548" s="49"/>
      <c r="F548" s="54"/>
      <c r="G548" s="49"/>
      <c r="H548" s="49"/>
      <c r="I548" s="49"/>
      <c r="J548" s="44" t="str">
        <f t="array" ref="J548">IF(G548="","",IFERROR(LET(ev_cost,INDEX(Events!$G$5:$G$506,MATCH(G548,Events!$A$5:$A$506,0)),ev_split,INDEX(Events!$I$5:$I$506,MATCH(G548,Events!$A$5:$A$506,0)),att_offset,MATCH(G548,Attendance!$B$3:$AY$3,0),attendees,COUNTIF(INDEX(Attendance!$B$7:$AY$206,0,att_offset),"1"),IF(ev_split="Equal Split",ev_cost/MAX(1,COUNTA(Roster!$A$5:$A$204)),ev_cost/MAX(1,attendees))),"N/A"))</f>
        <v/>
      </c>
    </row>
    <row r="549" ht="19.5" customHeight="1">
      <c r="A549" s="50"/>
      <c r="B549" s="53"/>
      <c r="C549" s="53"/>
      <c r="D549" s="53"/>
      <c r="E549" s="53"/>
      <c r="F549" s="55"/>
      <c r="G549" s="53"/>
      <c r="H549" s="53"/>
      <c r="I549" s="53"/>
      <c r="J549" s="44" t="str">
        <f t="array" ref="J549">IF(G549="","",IFERROR(LET(ev_cost,INDEX(Events!$G$5:$G$506,MATCH(G549,Events!$A$5:$A$506,0)),ev_split,INDEX(Events!$I$5:$I$506,MATCH(G549,Events!$A$5:$A$506,0)),att_offset,MATCH(G549,Attendance!$B$3:$AY$3,0),attendees,COUNTIF(INDEX(Attendance!$B$7:$AY$206,0,att_offset),"1"),IF(ev_split="Equal Split",ev_cost/MAX(1,COUNTA(Roster!$A$5:$A$204)),ev_cost/MAX(1,attendees))),"N/A"))</f>
        <v/>
      </c>
    </row>
    <row r="550" ht="19.5" customHeight="1">
      <c r="A550" s="46"/>
      <c r="B550" s="49"/>
      <c r="C550" s="49"/>
      <c r="D550" s="49"/>
      <c r="E550" s="49"/>
      <c r="F550" s="54"/>
      <c r="G550" s="49"/>
      <c r="H550" s="49"/>
      <c r="I550" s="49"/>
      <c r="J550" s="44" t="str">
        <f t="array" ref="J550">IF(G550="","",IFERROR(LET(ev_cost,INDEX(Events!$G$5:$G$506,MATCH(G550,Events!$A$5:$A$506,0)),ev_split,INDEX(Events!$I$5:$I$506,MATCH(G550,Events!$A$5:$A$506,0)),att_offset,MATCH(G550,Attendance!$B$3:$AY$3,0),attendees,COUNTIF(INDEX(Attendance!$B$7:$AY$206,0,att_offset),"1"),IF(ev_split="Equal Split",ev_cost/MAX(1,COUNTA(Roster!$A$5:$A$204)),ev_cost/MAX(1,attendees))),"N/A"))</f>
        <v/>
      </c>
    </row>
    <row r="551" ht="19.5" customHeight="1">
      <c r="A551" s="50"/>
      <c r="B551" s="53"/>
      <c r="C551" s="53"/>
      <c r="D551" s="53"/>
      <c r="E551" s="53"/>
      <c r="F551" s="55"/>
      <c r="G551" s="53"/>
      <c r="H551" s="53"/>
      <c r="I551" s="53"/>
      <c r="J551" s="44" t="str">
        <f t="array" ref="J551">IF(G551="","",IFERROR(LET(ev_cost,INDEX(Events!$G$5:$G$506,MATCH(G551,Events!$A$5:$A$506,0)),ev_split,INDEX(Events!$I$5:$I$506,MATCH(G551,Events!$A$5:$A$506,0)),att_offset,MATCH(G551,Attendance!$B$3:$AY$3,0),attendees,COUNTIF(INDEX(Attendance!$B$7:$AY$206,0,att_offset),"1"),IF(ev_split="Equal Split",ev_cost/MAX(1,COUNTA(Roster!$A$5:$A$204)),ev_cost/MAX(1,attendees))),"N/A"))</f>
        <v/>
      </c>
    </row>
    <row r="552" ht="19.5" customHeight="1">
      <c r="A552" s="46"/>
      <c r="B552" s="49"/>
      <c r="C552" s="49"/>
      <c r="D552" s="49"/>
      <c r="E552" s="49"/>
      <c r="F552" s="54"/>
      <c r="G552" s="49"/>
      <c r="H552" s="49"/>
      <c r="I552" s="49"/>
      <c r="J552" s="44" t="str">
        <f t="array" ref="J552">IF(G552="","",IFERROR(LET(ev_cost,INDEX(Events!$G$5:$G$506,MATCH(G552,Events!$A$5:$A$506,0)),ev_split,INDEX(Events!$I$5:$I$506,MATCH(G552,Events!$A$5:$A$506,0)),att_offset,MATCH(G552,Attendance!$B$3:$AY$3,0),attendees,COUNTIF(INDEX(Attendance!$B$7:$AY$206,0,att_offset),"1"),IF(ev_split="Equal Split",ev_cost/MAX(1,COUNTA(Roster!$A$5:$A$204)),ev_cost/MAX(1,attendees))),"N/A"))</f>
        <v/>
      </c>
    </row>
    <row r="553" ht="19.5" customHeight="1">
      <c r="A553" s="50"/>
      <c r="B553" s="53"/>
      <c r="C553" s="53"/>
      <c r="D553" s="53"/>
      <c r="E553" s="53"/>
      <c r="F553" s="55"/>
      <c r="G553" s="53"/>
      <c r="H553" s="53"/>
      <c r="I553" s="53"/>
      <c r="J553" s="44" t="str">
        <f t="array" ref="J553">IF(G553="","",IFERROR(LET(ev_cost,INDEX(Events!$G$5:$G$506,MATCH(G553,Events!$A$5:$A$506,0)),ev_split,INDEX(Events!$I$5:$I$506,MATCH(G553,Events!$A$5:$A$506,0)),att_offset,MATCH(G553,Attendance!$B$3:$AY$3,0),attendees,COUNTIF(INDEX(Attendance!$B$7:$AY$206,0,att_offset),"1"),IF(ev_split="Equal Split",ev_cost/MAX(1,COUNTA(Roster!$A$5:$A$204)),ev_cost/MAX(1,attendees))),"N/A"))</f>
        <v/>
      </c>
    </row>
    <row r="554" ht="19.5" customHeight="1">
      <c r="A554" s="46"/>
      <c r="B554" s="49"/>
      <c r="C554" s="49"/>
      <c r="D554" s="49"/>
      <c r="E554" s="49"/>
      <c r="F554" s="54"/>
      <c r="G554" s="49"/>
      <c r="H554" s="49"/>
      <c r="I554" s="49"/>
      <c r="J554" s="44" t="str">
        <f t="array" ref="J554">IF(G554="","",IFERROR(LET(ev_cost,INDEX(Events!$G$5:$G$506,MATCH(G554,Events!$A$5:$A$506,0)),ev_split,INDEX(Events!$I$5:$I$506,MATCH(G554,Events!$A$5:$A$506,0)),att_offset,MATCH(G554,Attendance!$B$3:$AY$3,0),attendees,COUNTIF(INDEX(Attendance!$B$7:$AY$206,0,att_offset),"1"),IF(ev_split="Equal Split",ev_cost/MAX(1,COUNTA(Roster!$A$5:$A$204)),ev_cost/MAX(1,attendees))),"N/A"))</f>
        <v/>
      </c>
    </row>
    <row r="555" ht="19.5" customHeight="1">
      <c r="A555" s="50"/>
      <c r="B555" s="53"/>
      <c r="C555" s="53"/>
      <c r="D555" s="53"/>
      <c r="E555" s="53"/>
      <c r="F555" s="55"/>
      <c r="G555" s="53"/>
      <c r="H555" s="53"/>
      <c r="I555" s="53"/>
      <c r="J555" s="44" t="str">
        <f t="array" ref="J555">IF(G555="","",IFERROR(LET(ev_cost,INDEX(Events!$G$5:$G$506,MATCH(G555,Events!$A$5:$A$506,0)),ev_split,INDEX(Events!$I$5:$I$506,MATCH(G555,Events!$A$5:$A$506,0)),att_offset,MATCH(G555,Attendance!$B$3:$AY$3,0),attendees,COUNTIF(INDEX(Attendance!$B$7:$AY$206,0,att_offset),"1"),IF(ev_split="Equal Split",ev_cost/MAX(1,COUNTA(Roster!$A$5:$A$204)),ev_cost/MAX(1,attendees))),"N/A"))</f>
        <v/>
      </c>
    </row>
    <row r="556" ht="19.5" customHeight="1">
      <c r="A556" s="46"/>
      <c r="B556" s="49"/>
      <c r="C556" s="49"/>
      <c r="D556" s="49"/>
      <c r="E556" s="49"/>
      <c r="F556" s="54"/>
      <c r="G556" s="49"/>
      <c r="H556" s="49"/>
      <c r="I556" s="49"/>
      <c r="J556" s="44" t="str">
        <f t="array" ref="J556">IF(G556="","",IFERROR(LET(ev_cost,INDEX(Events!$G$5:$G$506,MATCH(G556,Events!$A$5:$A$506,0)),ev_split,INDEX(Events!$I$5:$I$506,MATCH(G556,Events!$A$5:$A$506,0)),att_offset,MATCH(G556,Attendance!$B$3:$AY$3,0),attendees,COUNTIF(INDEX(Attendance!$B$7:$AY$206,0,att_offset),"1"),IF(ev_split="Equal Split",ev_cost/MAX(1,COUNTA(Roster!$A$5:$A$204)),ev_cost/MAX(1,attendees))),"N/A"))</f>
        <v/>
      </c>
    </row>
    <row r="557" ht="19.5" customHeight="1">
      <c r="A557" s="50"/>
      <c r="B557" s="53"/>
      <c r="C557" s="53"/>
      <c r="D557" s="53"/>
      <c r="E557" s="53"/>
      <c r="F557" s="55"/>
      <c r="G557" s="53"/>
      <c r="H557" s="53"/>
      <c r="I557" s="53"/>
      <c r="J557" s="44" t="str">
        <f t="array" ref="J557">IF(G557="","",IFERROR(LET(ev_cost,INDEX(Events!$G$5:$G$506,MATCH(G557,Events!$A$5:$A$506,0)),ev_split,INDEX(Events!$I$5:$I$506,MATCH(G557,Events!$A$5:$A$506,0)),att_offset,MATCH(G557,Attendance!$B$3:$AY$3,0),attendees,COUNTIF(INDEX(Attendance!$B$7:$AY$206,0,att_offset),"1"),IF(ev_split="Equal Split",ev_cost/MAX(1,COUNTA(Roster!$A$5:$A$204)),ev_cost/MAX(1,attendees))),"N/A"))</f>
        <v/>
      </c>
    </row>
    <row r="558" ht="19.5" customHeight="1">
      <c r="A558" s="46"/>
      <c r="B558" s="49"/>
      <c r="C558" s="49"/>
      <c r="D558" s="49"/>
      <c r="E558" s="49"/>
      <c r="F558" s="54"/>
      <c r="G558" s="49"/>
      <c r="H558" s="49"/>
      <c r="I558" s="49"/>
      <c r="J558" s="44" t="str">
        <f t="array" ref="J558">IF(G558="","",IFERROR(LET(ev_cost,INDEX(Events!$G$5:$G$506,MATCH(G558,Events!$A$5:$A$506,0)),ev_split,INDEX(Events!$I$5:$I$506,MATCH(G558,Events!$A$5:$A$506,0)),att_offset,MATCH(G558,Attendance!$B$3:$AY$3,0),attendees,COUNTIF(INDEX(Attendance!$B$7:$AY$206,0,att_offset),"1"),IF(ev_split="Equal Split",ev_cost/MAX(1,COUNTA(Roster!$A$5:$A$204)),ev_cost/MAX(1,attendees))),"N/A"))</f>
        <v/>
      </c>
    </row>
    <row r="559" ht="19.5" customHeight="1">
      <c r="A559" s="50"/>
      <c r="B559" s="53"/>
      <c r="C559" s="53"/>
      <c r="D559" s="53"/>
      <c r="E559" s="53"/>
      <c r="F559" s="55"/>
      <c r="G559" s="53"/>
      <c r="H559" s="53"/>
      <c r="I559" s="53"/>
      <c r="J559" s="44" t="str">
        <f t="array" ref="J559">IF(G559="","",IFERROR(LET(ev_cost,INDEX(Events!$G$5:$G$506,MATCH(G559,Events!$A$5:$A$506,0)),ev_split,INDEX(Events!$I$5:$I$506,MATCH(G559,Events!$A$5:$A$506,0)),att_offset,MATCH(G559,Attendance!$B$3:$AY$3,0),attendees,COUNTIF(INDEX(Attendance!$B$7:$AY$206,0,att_offset),"1"),IF(ev_split="Equal Split",ev_cost/MAX(1,COUNTA(Roster!$A$5:$A$204)),ev_cost/MAX(1,attendees))),"N/A"))</f>
        <v/>
      </c>
    </row>
    <row r="560" ht="19.5" customHeight="1">
      <c r="A560" s="46"/>
      <c r="B560" s="49"/>
      <c r="C560" s="49"/>
      <c r="D560" s="49"/>
      <c r="E560" s="49"/>
      <c r="F560" s="54"/>
      <c r="G560" s="49"/>
      <c r="H560" s="49"/>
      <c r="I560" s="49"/>
      <c r="J560" s="44" t="str">
        <f t="array" ref="J560">IF(G560="","",IFERROR(LET(ev_cost,INDEX(Events!$G$5:$G$506,MATCH(G560,Events!$A$5:$A$506,0)),ev_split,INDEX(Events!$I$5:$I$506,MATCH(G560,Events!$A$5:$A$506,0)),att_offset,MATCH(G560,Attendance!$B$3:$AY$3,0),attendees,COUNTIF(INDEX(Attendance!$B$7:$AY$206,0,att_offset),"1"),IF(ev_split="Equal Split",ev_cost/MAX(1,COUNTA(Roster!$A$5:$A$204)),ev_cost/MAX(1,attendees))),"N/A"))</f>
        <v/>
      </c>
    </row>
    <row r="561" ht="19.5" customHeight="1">
      <c r="A561" s="50"/>
      <c r="B561" s="53"/>
      <c r="C561" s="53"/>
      <c r="D561" s="53"/>
      <c r="E561" s="53"/>
      <c r="F561" s="55"/>
      <c r="G561" s="53"/>
      <c r="H561" s="53"/>
      <c r="I561" s="53"/>
      <c r="J561" s="44" t="str">
        <f t="array" ref="J561">IF(G561="","",IFERROR(LET(ev_cost,INDEX(Events!$G$5:$G$506,MATCH(G561,Events!$A$5:$A$506,0)),ev_split,INDEX(Events!$I$5:$I$506,MATCH(G561,Events!$A$5:$A$506,0)),att_offset,MATCH(G561,Attendance!$B$3:$AY$3,0),attendees,COUNTIF(INDEX(Attendance!$B$7:$AY$206,0,att_offset),"1"),IF(ev_split="Equal Split",ev_cost/MAX(1,COUNTA(Roster!$A$5:$A$204)),ev_cost/MAX(1,attendees))),"N/A"))</f>
        <v/>
      </c>
    </row>
    <row r="562" ht="19.5" customHeight="1">
      <c r="A562" s="46"/>
      <c r="B562" s="49"/>
      <c r="C562" s="49"/>
      <c r="D562" s="49"/>
      <c r="E562" s="49"/>
      <c r="F562" s="54"/>
      <c r="G562" s="49"/>
      <c r="H562" s="49"/>
      <c r="I562" s="49"/>
      <c r="J562" s="44" t="str">
        <f t="array" ref="J562">IF(G562="","",IFERROR(LET(ev_cost,INDEX(Events!$G$5:$G$506,MATCH(G562,Events!$A$5:$A$506,0)),ev_split,INDEX(Events!$I$5:$I$506,MATCH(G562,Events!$A$5:$A$506,0)),att_offset,MATCH(G562,Attendance!$B$3:$AY$3,0),attendees,COUNTIF(INDEX(Attendance!$B$7:$AY$206,0,att_offset),"1"),IF(ev_split="Equal Split",ev_cost/MAX(1,COUNTA(Roster!$A$5:$A$204)),ev_cost/MAX(1,attendees))),"N/A"))</f>
        <v/>
      </c>
    </row>
    <row r="563" ht="19.5" customHeight="1">
      <c r="A563" s="50"/>
      <c r="B563" s="53"/>
      <c r="C563" s="53"/>
      <c r="D563" s="53"/>
      <c r="E563" s="53"/>
      <c r="F563" s="55"/>
      <c r="G563" s="53"/>
      <c r="H563" s="53"/>
      <c r="I563" s="53"/>
      <c r="J563" s="44" t="str">
        <f t="array" ref="J563">IF(G563="","",IFERROR(LET(ev_cost,INDEX(Events!$G$5:$G$506,MATCH(G563,Events!$A$5:$A$506,0)),ev_split,INDEX(Events!$I$5:$I$506,MATCH(G563,Events!$A$5:$A$506,0)),att_offset,MATCH(G563,Attendance!$B$3:$AY$3,0),attendees,COUNTIF(INDEX(Attendance!$B$7:$AY$206,0,att_offset),"1"),IF(ev_split="Equal Split",ev_cost/MAX(1,COUNTA(Roster!$A$5:$A$204)),ev_cost/MAX(1,attendees))),"N/A"))</f>
        <v/>
      </c>
    </row>
    <row r="564" ht="19.5" customHeight="1">
      <c r="A564" s="46"/>
      <c r="B564" s="49"/>
      <c r="C564" s="49"/>
      <c r="D564" s="49"/>
      <c r="E564" s="49"/>
      <c r="F564" s="54"/>
      <c r="G564" s="49"/>
      <c r="H564" s="49"/>
      <c r="I564" s="49"/>
      <c r="J564" s="44" t="str">
        <f t="array" ref="J564">IF(G564="","",IFERROR(LET(ev_cost,INDEX(Events!$G$5:$G$506,MATCH(G564,Events!$A$5:$A$506,0)),ev_split,INDEX(Events!$I$5:$I$506,MATCH(G564,Events!$A$5:$A$506,0)),att_offset,MATCH(G564,Attendance!$B$3:$AY$3,0),attendees,COUNTIF(INDEX(Attendance!$B$7:$AY$206,0,att_offset),"1"),IF(ev_split="Equal Split",ev_cost/MAX(1,COUNTA(Roster!$A$5:$A$204)),ev_cost/MAX(1,attendees))),"N/A"))</f>
        <v/>
      </c>
    </row>
    <row r="565" ht="19.5" customHeight="1">
      <c r="A565" s="50"/>
      <c r="B565" s="53"/>
      <c r="C565" s="53"/>
      <c r="D565" s="53"/>
      <c r="E565" s="53"/>
      <c r="F565" s="55"/>
      <c r="G565" s="53"/>
      <c r="H565" s="53"/>
      <c r="I565" s="53"/>
      <c r="J565" s="44" t="str">
        <f t="array" ref="J565">IF(G565="","",IFERROR(LET(ev_cost,INDEX(Events!$G$5:$G$506,MATCH(G565,Events!$A$5:$A$506,0)),ev_split,INDEX(Events!$I$5:$I$506,MATCH(G565,Events!$A$5:$A$506,0)),att_offset,MATCH(G565,Attendance!$B$3:$AY$3,0),attendees,COUNTIF(INDEX(Attendance!$B$7:$AY$206,0,att_offset),"1"),IF(ev_split="Equal Split",ev_cost/MAX(1,COUNTA(Roster!$A$5:$A$204)),ev_cost/MAX(1,attendees))),"N/A"))</f>
        <v/>
      </c>
    </row>
    <row r="566" ht="19.5" customHeight="1">
      <c r="A566" s="46"/>
      <c r="B566" s="49"/>
      <c r="C566" s="49"/>
      <c r="D566" s="49"/>
      <c r="E566" s="49"/>
      <c r="F566" s="54"/>
      <c r="G566" s="49"/>
      <c r="H566" s="49"/>
      <c r="I566" s="49"/>
      <c r="J566" s="44" t="str">
        <f t="array" ref="J566">IF(G566="","",IFERROR(LET(ev_cost,INDEX(Events!$G$5:$G$506,MATCH(G566,Events!$A$5:$A$506,0)),ev_split,INDEX(Events!$I$5:$I$506,MATCH(G566,Events!$A$5:$A$506,0)),att_offset,MATCH(G566,Attendance!$B$3:$AY$3,0),attendees,COUNTIF(INDEX(Attendance!$B$7:$AY$206,0,att_offset),"1"),IF(ev_split="Equal Split",ev_cost/MAX(1,COUNTA(Roster!$A$5:$A$204)),ev_cost/MAX(1,attendees))),"N/A"))</f>
        <v/>
      </c>
    </row>
    <row r="567" ht="19.5" customHeight="1">
      <c r="A567" s="50"/>
      <c r="B567" s="53"/>
      <c r="C567" s="53"/>
      <c r="D567" s="53"/>
      <c r="E567" s="53"/>
      <c r="F567" s="55"/>
      <c r="G567" s="53"/>
      <c r="H567" s="53"/>
      <c r="I567" s="53"/>
      <c r="J567" s="44" t="str">
        <f t="array" ref="J567">IF(G567="","",IFERROR(LET(ev_cost,INDEX(Events!$G$5:$G$506,MATCH(G567,Events!$A$5:$A$506,0)),ev_split,INDEX(Events!$I$5:$I$506,MATCH(G567,Events!$A$5:$A$506,0)),att_offset,MATCH(G567,Attendance!$B$3:$AY$3,0),attendees,COUNTIF(INDEX(Attendance!$B$7:$AY$206,0,att_offset),"1"),IF(ev_split="Equal Split",ev_cost/MAX(1,COUNTA(Roster!$A$5:$A$204)),ev_cost/MAX(1,attendees))),"N/A"))</f>
        <v/>
      </c>
    </row>
    <row r="568" ht="19.5" customHeight="1">
      <c r="A568" s="46"/>
      <c r="B568" s="49"/>
      <c r="C568" s="49"/>
      <c r="D568" s="49"/>
      <c r="E568" s="49"/>
      <c r="F568" s="54"/>
      <c r="G568" s="49"/>
      <c r="H568" s="49"/>
      <c r="I568" s="49"/>
      <c r="J568" s="44" t="str">
        <f t="array" ref="J568">IF(G568="","",IFERROR(LET(ev_cost,INDEX(Events!$G$5:$G$506,MATCH(G568,Events!$A$5:$A$506,0)),ev_split,INDEX(Events!$I$5:$I$506,MATCH(G568,Events!$A$5:$A$506,0)),att_offset,MATCH(G568,Attendance!$B$3:$AY$3,0),attendees,COUNTIF(INDEX(Attendance!$B$7:$AY$206,0,att_offset),"1"),IF(ev_split="Equal Split",ev_cost/MAX(1,COUNTA(Roster!$A$5:$A$204)),ev_cost/MAX(1,attendees))),"N/A"))</f>
        <v/>
      </c>
    </row>
    <row r="569" ht="19.5" customHeight="1">
      <c r="A569" s="50"/>
      <c r="B569" s="53"/>
      <c r="C569" s="53"/>
      <c r="D569" s="53"/>
      <c r="E569" s="53"/>
      <c r="F569" s="55"/>
      <c r="G569" s="53"/>
      <c r="H569" s="53"/>
      <c r="I569" s="53"/>
      <c r="J569" s="44" t="str">
        <f t="array" ref="J569">IF(G569="","",IFERROR(LET(ev_cost,INDEX(Events!$G$5:$G$506,MATCH(G569,Events!$A$5:$A$506,0)),ev_split,INDEX(Events!$I$5:$I$506,MATCH(G569,Events!$A$5:$A$506,0)),att_offset,MATCH(G569,Attendance!$B$3:$AY$3,0),attendees,COUNTIF(INDEX(Attendance!$B$7:$AY$206,0,att_offset),"1"),IF(ev_split="Equal Split",ev_cost/MAX(1,COUNTA(Roster!$A$5:$A$204)),ev_cost/MAX(1,attendees))),"N/A"))</f>
        <v/>
      </c>
    </row>
    <row r="570" ht="19.5" customHeight="1">
      <c r="A570" s="46"/>
      <c r="B570" s="49"/>
      <c r="C570" s="49"/>
      <c r="D570" s="49"/>
      <c r="E570" s="49"/>
      <c r="F570" s="54"/>
      <c r="G570" s="49"/>
      <c r="H570" s="49"/>
      <c r="I570" s="49"/>
      <c r="J570" s="44" t="str">
        <f t="array" ref="J570">IF(G570="","",IFERROR(LET(ev_cost,INDEX(Events!$G$5:$G$506,MATCH(G570,Events!$A$5:$A$506,0)),ev_split,INDEX(Events!$I$5:$I$506,MATCH(G570,Events!$A$5:$A$506,0)),att_offset,MATCH(G570,Attendance!$B$3:$AY$3,0),attendees,COUNTIF(INDEX(Attendance!$B$7:$AY$206,0,att_offset),"1"),IF(ev_split="Equal Split",ev_cost/MAX(1,COUNTA(Roster!$A$5:$A$204)),ev_cost/MAX(1,attendees))),"N/A"))</f>
        <v/>
      </c>
    </row>
    <row r="571" ht="19.5" customHeight="1">
      <c r="A571" s="50"/>
      <c r="B571" s="53"/>
      <c r="C571" s="53"/>
      <c r="D571" s="53"/>
      <c r="E571" s="53"/>
      <c r="F571" s="55"/>
      <c r="G571" s="53"/>
      <c r="H571" s="53"/>
      <c r="I571" s="53"/>
      <c r="J571" s="44" t="str">
        <f t="array" ref="J571">IF(G571="","",IFERROR(LET(ev_cost,INDEX(Events!$G$5:$G$506,MATCH(G571,Events!$A$5:$A$506,0)),ev_split,INDEX(Events!$I$5:$I$506,MATCH(G571,Events!$A$5:$A$506,0)),att_offset,MATCH(G571,Attendance!$B$3:$AY$3,0),attendees,COUNTIF(INDEX(Attendance!$B$7:$AY$206,0,att_offset),"1"),IF(ev_split="Equal Split",ev_cost/MAX(1,COUNTA(Roster!$A$5:$A$204)),ev_cost/MAX(1,attendees))),"N/A"))</f>
        <v/>
      </c>
    </row>
    <row r="572" ht="19.5" customHeight="1">
      <c r="A572" s="46"/>
      <c r="B572" s="49"/>
      <c r="C572" s="49"/>
      <c r="D572" s="49"/>
      <c r="E572" s="49"/>
      <c r="F572" s="54"/>
      <c r="G572" s="49"/>
      <c r="H572" s="49"/>
      <c r="I572" s="49"/>
      <c r="J572" s="44" t="str">
        <f t="array" ref="J572">IF(G572="","",IFERROR(LET(ev_cost,INDEX(Events!$G$5:$G$506,MATCH(G572,Events!$A$5:$A$506,0)),ev_split,INDEX(Events!$I$5:$I$506,MATCH(G572,Events!$A$5:$A$506,0)),att_offset,MATCH(G572,Attendance!$B$3:$AY$3,0),attendees,COUNTIF(INDEX(Attendance!$B$7:$AY$206,0,att_offset),"1"),IF(ev_split="Equal Split",ev_cost/MAX(1,COUNTA(Roster!$A$5:$A$204)),ev_cost/MAX(1,attendees))),"N/A"))</f>
        <v/>
      </c>
    </row>
    <row r="573" ht="19.5" customHeight="1">
      <c r="A573" s="50"/>
      <c r="B573" s="53"/>
      <c r="C573" s="53"/>
      <c r="D573" s="53"/>
      <c r="E573" s="53"/>
      <c r="F573" s="55"/>
      <c r="G573" s="53"/>
      <c r="H573" s="53"/>
      <c r="I573" s="53"/>
      <c r="J573" s="44" t="str">
        <f t="array" ref="J573">IF(G573="","",IFERROR(LET(ev_cost,INDEX(Events!$G$5:$G$506,MATCH(G573,Events!$A$5:$A$506,0)),ev_split,INDEX(Events!$I$5:$I$506,MATCH(G573,Events!$A$5:$A$506,0)),att_offset,MATCH(G573,Attendance!$B$3:$AY$3,0),attendees,COUNTIF(INDEX(Attendance!$B$7:$AY$206,0,att_offset),"1"),IF(ev_split="Equal Split",ev_cost/MAX(1,COUNTA(Roster!$A$5:$A$204)),ev_cost/MAX(1,attendees))),"N/A"))</f>
        <v/>
      </c>
    </row>
    <row r="574" ht="19.5" customHeight="1">
      <c r="A574" s="46"/>
      <c r="B574" s="49"/>
      <c r="C574" s="49"/>
      <c r="D574" s="49"/>
      <c r="E574" s="49"/>
      <c r="F574" s="54"/>
      <c r="G574" s="49"/>
      <c r="H574" s="49"/>
      <c r="I574" s="49"/>
      <c r="J574" s="44" t="str">
        <f t="array" ref="J574">IF(G574="","",IFERROR(LET(ev_cost,INDEX(Events!$G$5:$G$506,MATCH(G574,Events!$A$5:$A$506,0)),ev_split,INDEX(Events!$I$5:$I$506,MATCH(G574,Events!$A$5:$A$506,0)),att_offset,MATCH(G574,Attendance!$B$3:$AY$3,0),attendees,COUNTIF(INDEX(Attendance!$B$7:$AY$206,0,att_offset),"1"),IF(ev_split="Equal Split",ev_cost/MAX(1,COUNTA(Roster!$A$5:$A$204)),ev_cost/MAX(1,attendees))),"N/A"))</f>
        <v/>
      </c>
    </row>
    <row r="575" ht="19.5" customHeight="1">
      <c r="A575" s="50"/>
      <c r="B575" s="53"/>
      <c r="C575" s="53"/>
      <c r="D575" s="53"/>
      <c r="E575" s="53"/>
      <c r="F575" s="55"/>
      <c r="G575" s="53"/>
      <c r="H575" s="53"/>
      <c r="I575" s="53"/>
      <c r="J575" s="44" t="str">
        <f t="array" ref="J575">IF(G575="","",IFERROR(LET(ev_cost,INDEX(Events!$G$5:$G$506,MATCH(G575,Events!$A$5:$A$506,0)),ev_split,INDEX(Events!$I$5:$I$506,MATCH(G575,Events!$A$5:$A$506,0)),att_offset,MATCH(G575,Attendance!$B$3:$AY$3,0),attendees,COUNTIF(INDEX(Attendance!$B$7:$AY$206,0,att_offset),"1"),IF(ev_split="Equal Split",ev_cost/MAX(1,COUNTA(Roster!$A$5:$A$204)),ev_cost/MAX(1,attendees))),"N/A"))</f>
        <v/>
      </c>
    </row>
    <row r="576" ht="19.5" customHeight="1">
      <c r="A576" s="46"/>
      <c r="B576" s="49"/>
      <c r="C576" s="49"/>
      <c r="D576" s="49"/>
      <c r="E576" s="49"/>
      <c r="F576" s="54"/>
      <c r="G576" s="49"/>
      <c r="H576" s="49"/>
      <c r="I576" s="49"/>
      <c r="J576" s="44" t="str">
        <f t="array" ref="J576">IF(G576="","",IFERROR(LET(ev_cost,INDEX(Events!$G$5:$G$506,MATCH(G576,Events!$A$5:$A$506,0)),ev_split,INDEX(Events!$I$5:$I$506,MATCH(G576,Events!$A$5:$A$506,0)),att_offset,MATCH(G576,Attendance!$B$3:$AY$3,0),attendees,COUNTIF(INDEX(Attendance!$B$7:$AY$206,0,att_offset),"1"),IF(ev_split="Equal Split",ev_cost/MAX(1,COUNTA(Roster!$A$5:$A$204)),ev_cost/MAX(1,attendees))),"N/A"))</f>
        <v/>
      </c>
    </row>
    <row r="577" ht="19.5" customHeight="1">
      <c r="A577" s="50"/>
      <c r="B577" s="53"/>
      <c r="C577" s="53"/>
      <c r="D577" s="53"/>
      <c r="E577" s="53"/>
      <c r="F577" s="55"/>
      <c r="G577" s="53"/>
      <c r="H577" s="53"/>
      <c r="I577" s="53"/>
      <c r="J577" s="44" t="str">
        <f t="array" ref="J577">IF(G577="","",IFERROR(LET(ev_cost,INDEX(Events!$G$5:$G$506,MATCH(G577,Events!$A$5:$A$506,0)),ev_split,INDEX(Events!$I$5:$I$506,MATCH(G577,Events!$A$5:$A$506,0)),att_offset,MATCH(G577,Attendance!$B$3:$AY$3,0),attendees,COUNTIF(INDEX(Attendance!$B$7:$AY$206,0,att_offset),"1"),IF(ev_split="Equal Split",ev_cost/MAX(1,COUNTA(Roster!$A$5:$A$204)),ev_cost/MAX(1,attendees))),"N/A"))</f>
        <v/>
      </c>
    </row>
    <row r="578" ht="19.5" customHeight="1">
      <c r="A578" s="46"/>
      <c r="B578" s="49"/>
      <c r="C578" s="49"/>
      <c r="D578" s="49"/>
      <c r="E578" s="49"/>
      <c r="F578" s="54"/>
      <c r="G578" s="49"/>
      <c r="H578" s="49"/>
      <c r="I578" s="49"/>
      <c r="J578" s="44" t="str">
        <f t="array" ref="J578">IF(G578="","",IFERROR(LET(ev_cost,INDEX(Events!$G$5:$G$506,MATCH(G578,Events!$A$5:$A$506,0)),ev_split,INDEX(Events!$I$5:$I$506,MATCH(G578,Events!$A$5:$A$506,0)),att_offset,MATCH(G578,Attendance!$B$3:$AY$3,0),attendees,COUNTIF(INDEX(Attendance!$B$7:$AY$206,0,att_offset),"1"),IF(ev_split="Equal Split",ev_cost/MAX(1,COUNTA(Roster!$A$5:$A$204)),ev_cost/MAX(1,attendees))),"N/A"))</f>
        <v/>
      </c>
    </row>
    <row r="579" ht="19.5" customHeight="1">
      <c r="A579" s="50"/>
      <c r="B579" s="53"/>
      <c r="C579" s="53"/>
      <c r="D579" s="53"/>
      <c r="E579" s="53"/>
      <c r="F579" s="55"/>
      <c r="G579" s="53"/>
      <c r="H579" s="53"/>
      <c r="I579" s="53"/>
      <c r="J579" s="44" t="str">
        <f t="array" ref="J579">IF(G579="","",IFERROR(LET(ev_cost,INDEX(Events!$G$5:$G$506,MATCH(G579,Events!$A$5:$A$506,0)),ev_split,INDEX(Events!$I$5:$I$506,MATCH(G579,Events!$A$5:$A$506,0)),att_offset,MATCH(G579,Attendance!$B$3:$AY$3,0),attendees,COUNTIF(INDEX(Attendance!$B$7:$AY$206,0,att_offset),"1"),IF(ev_split="Equal Split",ev_cost/MAX(1,COUNTA(Roster!$A$5:$A$204)),ev_cost/MAX(1,attendees))),"N/A"))</f>
        <v/>
      </c>
    </row>
    <row r="580" ht="19.5" customHeight="1">
      <c r="A580" s="46"/>
      <c r="B580" s="49"/>
      <c r="C580" s="49"/>
      <c r="D580" s="49"/>
      <c r="E580" s="49"/>
      <c r="F580" s="54"/>
      <c r="G580" s="49"/>
      <c r="H580" s="49"/>
      <c r="I580" s="49"/>
      <c r="J580" s="44" t="str">
        <f t="array" ref="J580">IF(G580="","",IFERROR(LET(ev_cost,INDEX(Events!$G$5:$G$506,MATCH(G580,Events!$A$5:$A$506,0)),ev_split,INDEX(Events!$I$5:$I$506,MATCH(G580,Events!$A$5:$A$506,0)),att_offset,MATCH(G580,Attendance!$B$3:$AY$3,0),attendees,COUNTIF(INDEX(Attendance!$B$7:$AY$206,0,att_offset),"1"),IF(ev_split="Equal Split",ev_cost/MAX(1,COUNTA(Roster!$A$5:$A$204)),ev_cost/MAX(1,attendees))),"N/A"))</f>
        <v/>
      </c>
    </row>
    <row r="581" ht="19.5" customHeight="1">
      <c r="A581" s="50"/>
      <c r="B581" s="53"/>
      <c r="C581" s="53"/>
      <c r="D581" s="53"/>
      <c r="E581" s="53"/>
      <c r="F581" s="55"/>
      <c r="G581" s="53"/>
      <c r="H581" s="53"/>
      <c r="I581" s="53"/>
      <c r="J581" s="44" t="str">
        <f t="array" ref="J581">IF(G581="","",IFERROR(LET(ev_cost,INDEX(Events!$G$5:$G$506,MATCH(G581,Events!$A$5:$A$506,0)),ev_split,INDEX(Events!$I$5:$I$506,MATCH(G581,Events!$A$5:$A$506,0)),att_offset,MATCH(G581,Attendance!$B$3:$AY$3,0),attendees,COUNTIF(INDEX(Attendance!$B$7:$AY$206,0,att_offset),"1"),IF(ev_split="Equal Split",ev_cost/MAX(1,COUNTA(Roster!$A$5:$A$204)),ev_cost/MAX(1,attendees))),"N/A"))</f>
        <v/>
      </c>
    </row>
    <row r="582" ht="19.5" customHeight="1">
      <c r="A582" s="46"/>
      <c r="B582" s="49"/>
      <c r="C582" s="49"/>
      <c r="D582" s="49"/>
      <c r="E582" s="49"/>
      <c r="F582" s="54"/>
      <c r="G582" s="49"/>
      <c r="H582" s="49"/>
      <c r="I582" s="49"/>
      <c r="J582" s="44" t="str">
        <f t="array" ref="J582">IF(G582="","",IFERROR(LET(ev_cost,INDEX(Events!$G$5:$G$506,MATCH(G582,Events!$A$5:$A$506,0)),ev_split,INDEX(Events!$I$5:$I$506,MATCH(G582,Events!$A$5:$A$506,0)),att_offset,MATCH(G582,Attendance!$B$3:$AY$3,0),attendees,COUNTIF(INDEX(Attendance!$B$7:$AY$206,0,att_offset),"1"),IF(ev_split="Equal Split",ev_cost/MAX(1,COUNTA(Roster!$A$5:$A$204)),ev_cost/MAX(1,attendees))),"N/A"))</f>
        <v/>
      </c>
    </row>
    <row r="583" ht="19.5" customHeight="1">
      <c r="A583" s="50"/>
      <c r="B583" s="53"/>
      <c r="C583" s="53"/>
      <c r="D583" s="53"/>
      <c r="E583" s="53"/>
      <c r="F583" s="55"/>
      <c r="G583" s="53"/>
      <c r="H583" s="53"/>
      <c r="I583" s="53"/>
      <c r="J583" s="44" t="str">
        <f t="array" ref="J583">IF(G583="","",IFERROR(LET(ev_cost,INDEX(Events!$G$5:$G$506,MATCH(G583,Events!$A$5:$A$506,0)),ev_split,INDEX(Events!$I$5:$I$506,MATCH(G583,Events!$A$5:$A$506,0)),att_offset,MATCH(G583,Attendance!$B$3:$AY$3,0),attendees,COUNTIF(INDEX(Attendance!$B$7:$AY$206,0,att_offset),"1"),IF(ev_split="Equal Split",ev_cost/MAX(1,COUNTA(Roster!$A$5:$A$204)),ev_cost/MAX(1,attendees))),"N/A"))</f>
        <v/>
      </c>
    </row>
    <row r="584" ht="19.5" customHeight="1">
      <c r="A584" s="46"/>
      <c r="B584" s="49"/>
      <c r="C584" s="49"/>
      <c r="D584" s="49"/>
      <c r="E584" s="49"/>
      <c r="F584" s="54"/>
      <c r="G584" s="49"/>
      <c r="H584" s="49"/>
      <c r="I584" s="49"/>
      <c r="J584" s="44" t="str">
        <f t="array" ref="J584">IF(G584="","",IFERROR(LET(ev_cost,INDEX(Events!$G$5:$G$506,MATCH(G584,Events!$A$5:$A$506,0)),ev_split,INDEX(Events!$I$5:$I$506,MATCH(G584,Events!$A$5:$A$506,0)),att_offset,MATCH(G584,Attendance!$B$3:$AY$3,0),attendees,COUNTIF(INDEX(Attendance!$B$7:$AY$206,0,att_offset),"1"),IF(ev_split="Equal Split",ev_cost/MAX(1,COUNTA(Roster!$A$5:$A$204)),ev_cost/MAX(1,attendees))),"N/A"))</f>
        <v/>
      </c>
    </row>
    <row r="585" ht="19.5" customHeight="1">
      <c r="A585" s="50"/>
      <c r="B585" s="53"/>
      <c r="C585" s="53"/>
      <c r="D585" s="53"/>
      <c r="E585" s="53"/>
      <c r="F585" s="55"/>
      <c r="G585" s="53"/>
      <c r="H585" s="53"/>
      <c r="I585" s="53"/>
      <c r="J585" s="44" t="str">
        <f t="array" ref="J585">IF(G585="","",IFERROR(LET(ev_cost,INDEX(Events!$G$5:$G$506,MATCH(G585,Events!$A$5:$A$506,0)),ev_split,INDEX(Events!$I$5:$I$506,MATCH(G585,Events!$A$5:$A$506,0)),att_offset,MATCH(G585,Attendance!$B$3:$AY$3,0),attendees,COUNTIF(INDEX(Attendance!$B$7:$AY$206,0,att_offset),"1"),IF(ev_split="Equal Split",ev_cost/MAX(1,COUNTA(Roster!$A$5:$A$204)),ev_cost/MAX(1,attendees))),"N/A"))</f>
        <v/>
      </c>
    </row>
    <row r="586" ht="19.5" customHeight="1">
      <c r="A586" s="46"/>
      <c r="B586" s="49"/>
      <c r="C586" s="49"/>
      <c r="D586" s="49"/>
      <c r="E586" s="49"/>
      <c r="F586" s="54"/>
      <c r="G586" s="49"/>
      <c r="H586" s="49"/>
      <c r="I586" s="49"/>
      <c r="J586" s="44" t="str">
        <f t="array" ref="J586">IF(G586="","",IFERROR(LET(ev_cost,INDEX(Events!$G$5:$G$506,MATCH(G586,Events!$A$5:$A$506,0)),ev_split,INDEX(Events!$I$5:$I$506,MATCH(G586,Events!$A$5:$A$506,0)),att_offset,MATCH(G586,Attendance!$B$3:$AY$3,0),attendees,COUNTIF(INDEX(Attendance!$B$7:$AY$206,0,att_offset),"1"),IF(ev_split="Equal Split",ev_cost/MAX(1,COUNTA(Roster!$A$5:$A$204)),ev_cost/MAX(1,attendees))),"N/A"))</f>
        <v/>
      </c>
    </row>
    <row r="587" ht="19.5" customHeight="1">
      <c r="A587" s="50"/>
      <c r="B587" s="53"/>
      <c r="C587" s="53"/>
      <c r="D587" s="53"/>
      <c r="E587" s="53"/>
      <c r="F587" s="55"/>
      <c r="G587" s="53"/>
      <c r="H587" s="53"/>
      <c r="I587" s="53"/>
      <c r="J587" s="44" t="str">
        <f t="array" ref="J587">IF(G587="","",IFERROR(LET(ev_cost,INDEX(Events!$G$5:$G$506,MATCH(G587,Events!$A$5:$A$506,0)),ev_split,INDEX(Events!$I$5:$I$506,MATCH(G587,Events!$A$5:$A$506,0)),att_offset,MATCH(G587,Attendance!$B$3:$AY$3,0),attendees,COUNTIF(INDEX(Attendance!$B$7:$AY$206,0,att_offset),"1"),IF(ev_split="Equal Split",ev_cost/MAX(1,COUNTA(Roster!$A$5:$A$204)),ev_cost/MAX(1,attendees))),"N/A"))</f>
        <v/>
      </c>
    </row>
    <row r="588" ht="19.5" customHeight="1">
      <c r="A588" s="46"/>
      <c r="B588" s="49"/>
      <c r="C588" s="49"/>
      <c r="D588" s="49"/>
      <c r="E588" s="49"/>
      <c r="F588" s="54"/>
      <c r="G588" s="49"/>
      <c r="H588" s="49"/>
      <c r="I588" s="49"/>
      <c r="J588" s="44" t="str">
        <f t="array" ref="J588">IF(G588="","",IFERROR(LET(ev_cost,INDEX(Events!$G$5:$G$506,MATCH(G588,Events!$A$5:$A$506,0)),ev_split,INDEX(Events!$I$5:$I$506,MATCH(G588,Events!$A$5:$A$506,0)),att_offset,MATCH(G588,Attendance!$B$3:$AY$3,0),attendees,COUNTIF(INDEX(Attendance!$B$7:$AY$206,0,att_offset),"1"),IF(ev_split="Equal Split",ev_cost/MAX(1,COUNTA(Roster!$A$5:$A$204)),ev_cost/MAX(1,attendees))),"N/A"))</f>
        <v/>
      </c>
    </row>
    <row r="589" ht="19.5" customHeight="1">
      <c r="A589" s="50"/>
      <c r="B589" s="53"/>
      <c r="C589" s="53"/>
      <c r="D589" s="53"/>
      <c r="E589" s="53"/>
      <c r="F589" s="55"/>
      <c r="G589" s="53"/>
      <c r="H589" s="53"/>
      <c r="I589" s="53"/>
      <c r="J589" s="44" t="str">
        <f t="array" ref="J589">IF(G589="","",IFERROR(LET(ev_cost,INDEX(Events!$G$5:$G$506,MATCH(G589,Events!$A$5:$A$506,0)),ev_split,INDEX(Events!$I$5:$I$506,MATCH(G589,Events!$A$5:$A$506,0)),att_offset,MATCH(G589,Attendance!$B$3:$AY$3,0),attendees,COUNTIF(INDEX(Attendance!$B$7:$AY$206,0,att_offset),"1"),IF(ev_split="Equal Split",ev_cost/MAX(1,COUNTA(Roster!$A$5:$A$204)),ev_cost/MAX(1,attendees))),"N/A"))</f>
        <v/>
      </c>
    </row>
    <row r="590" ht="19.5" customHeight="1">
      <c r="A590" s="46"/>
      <c r="B590" s="49"/>
      <c r="C590" s="49"/>
      <c r="D590" s="49"/>
      <c r="E590" s="49"/>
      <c r="F590" s="54"/>
      <c r="G590" s="49"/>
      <c r="H590" s="49"/>
      <c r="I590" s="49"/>
      <c r="J590" s="44" t="str">
        <f t="array" ref="J590">IF(G590="","",IFERROR(LET(ev_cost,INDEX(Events!$G$5:$G$506,MATCH(G590,Events!$A$5:$A$506,0)),ev_split,INDEX(Events!$I$5:$I$506,MATCH(G590,Events!$A$5:$A$506,0)),att_offset,MATCH(G590,Attendance!$B$3:$AY$3,0),attendees,COUNTIF(INDEX(Attendance!$B$7:$AY$206,0,att_offset),"1"),IF(ev_split="Equal Split",ev_cost/MAX(1,COUNTA(Roster!$A$5:$A$204)),ev_cost/MAX(1,attendees))),"N/A"))</f>
        <v/>
      </c>
    </row>
    <row r="591" ht="19.5" customHeight="1">
      <c r="A591" s="50"/>
      <c r="B591" s="53"/>
      <c r="C591" s="53"/>
      <c r="D591" s="53"/>
      <c r="E591" s="53"/>
      <c r="F591" s="55"/>
      <c r="G591" s="53"/>
      <c r="H591" s="53"/>
      <c r="I591" s="53"/>
      <c r="J591" s="44" t="str">
        <f t="array" ref="J591">IF(G591="","",IFERROR(LET(ev_cost,INDEX(Events!$G$5:$G$506,MATCH(G591,Events!$A$5:$A$506,0)),ev_split,INDEX(Events!$I$5:$I$506,MATCH(G591,Events!$A$5:$A$506,0)),att_offset,MATCH(G591,Attendance!$B$3:$AY$3,0),attendees,COUNTIF(INDEX(Attendance!$B$7:$AY$206,0,att_offset),"1"),IF(ev_split="Equal Split",ev_cost/MAX(1,COUNTA(Roster!$A$5:$A$204)),ev_cost/MAX(1,attendees))),"N/A"))</f>
        <v/>
      </c>
    </row>
    <row r="592" ht="19.5" customHeight="1">
      <c r="A592" s="46"/>
      <c r="B592" s="49"/>
      <c r="C592" s="49"/>
      <c r="D592" s="49"/>
      <c r="E592" s="49"/>
      <c r="F592" s="54"/>
      <c r="G592" s="49"/>
      <c r="H592" s="49"/>
      <c r="I592" s="49"/>
      <c r="J592" s="44" t="str">
        <f t="array" ref="J592">IF(G592="","",IFERROR(LET(ev_cost,INDEX(Events!$G$5:$G$506,MATCH(G592,Events!$A$5:$A$506,0)),ev_split,INDEX(Events!$I$5:$I$506,MATCH(G592,Events!$A$5:$A$506,0)),att_offset,MATCH(G592,Attendance!$B$3:$AY$3,0),attendees,COUNTIF(INDEX(Attendance!$B$7:$AY$206,0,att_offset),"1"),IF(ev_split="Equal Split",ev_cost/MAX(1,COUNTA(Roster!$A$5:$A$204)),ev_cost/MAX(1,attendees))),"N/A"))</f>
        <v/>
      </c>
    </row>
    <row r="593" ht="19.5" customHeight="1">
      <c r="A593" s="50"/>
      <c r="B593" s="53"/>
      <c r="C593" s="53"/>
      <c r="D593" s="53"/>
      <c r="E593" s="53"/>
      <c r="F593" s="55"/>
      <c r="G593" s="53"/>
      <c r="H593" s="53"/>
      <c r="I593" s="53"/>
      <c r="J593" s="44" t="str">
        <f t="array" ref="J593">IF(G593="","",IFERROR(LET(ev_cost,INDEX(Events!$G$5:$G$506,MATCH(G593,Events!$A$5:$A$506,0)),ev_split,INDEX(Events!$I$5:$I$506,MATCH(G593,Events!$A$5:$A$506,0)),att_offset,MATCH(G593,Attendance!$B$3:$AY$3,0),attendees,COUNTIF(INDEX(Attendance!$B$7:$AY$206,0,att_offset),"1"),IF(ev_split="Equal Split",ev_cost/MAX(1,COUNTA(Roster!$A$5:$A$204)),ev_cost/MAX(1,attendees))),"N/A"))</f>
        <v/>
      </c>
    </row>
    <row r="594" ht="19.5" customHeight="1">
      <c r="A594" s="46"/>
      <c r="B594" s="49"/>
      <c r="C594" s="49"/>
      <c r="D594" s="49"/>
      <c r="E594" s="49"/>
      <c r="F594" s="54"/>
      <c r="G594" s="49"/>
      <c r="H594" s="49"/>
      <c r="I594" s="49"/>
      <c r="J594" s="44" t="str">
        <f t="array" ref="J594">IF(G594="","",IFERROR(LET(ev_cost,INDEX(Events!$G$5:$G$506,MATCH(G594,Events!$A$5:$A$506,0)),ev_split,INDEX(Events!$I$5:$I$506,MATCH(G594,Events!$A$5:$A$506,0)),att_offset,MATCH(G594,Attendance!$B$3:$AY$3,0),attendees,COUNTIF(INDEX(Attendance!$B$7:$AY$206,0,att_offset),"1"),IF(ev_split="Equal Split",ev_cost/MAX(1,COUNTA(Roster!$A$5:$A$204)),ev_cost/MAX(1,attendees))),"N/A"))</f>
        <v/>
      </c>
    </row>
    <row r="595" ht="19.5" customHeight="1">
      <c r="A595" s="50"/>
      <c r="B595" s="53"/>
      <c r="C595" s="53"/>
      <c r="D595" s="53"/>
      <c r="E595" s="53"/>
      <c r="F595" s="55"/>
      <c r="G595" s="53"/>
      <c r="H595" s="53"/>
      <c r="I595" s="53"/>
      <c r="J595" s="44" t="str">
        <f t="array" ref="J595">IF(G595="","",IFERROR(LET(ev_cost,INDEX(Events!$G$5:$G$506,MATCH(G595,Events!$A$5:$A$506,0)),ev_split,INDEX(Events!$I$5:$I$506,MATCH(G595,Events!$A$5:$A$506,0)),att_offset,MATCH(G595,Attendance!$B$3:$AY$3,0),attendees,COUNTIF(INDEX(Attendance!$B$7:$AY$206,0,att_offset),"1"),IF(ev_split="Equal Split",ev_cost/MAX(1,COUNTA(Roster!$A$5:$A$204)),ev_cost/MAX(1,attendees))),"N/A"))</f>
        <v/>
      </c>
    </row>
    <row r="596" ht="19.5" customHeight="1">
      <c r="A596" s="46"/>
      <c r="B596" s="49"/>
      <c r="C596" s="49"/>
      <c r="D596" s="49"/>
      <c r="E596" s="49"/>
      <c r="F596" s="54"/>
      <c r="G596" s="49"/>
      <c r="H596" s="49"/>
      <c r="I596" s="49"/>
      <c r="J596" s="44" t="str">
        <f t="array" ref="J596">IF(G596="","",IFERROR(LET(ev_cost,INDEX(Events!$G$5:$G$506,MATCH(G596,Events!$A$5:$A$506,0)),ev_split,INDEX(Events!$I$5:$I$506,MATCH(G596,Events!$A$5:$A$506,0)),att_offset,MATCH(G596,Attendance!$B$3:$AY$3,0),attendees,COUNTIF(INDEX(Attendance!$B$7:$AY$206,0,att_offset),"1"),IF(ev_split="Equal Split",ev_cost/MAX(1,COUNTA(Roster!$A$5:$A$204)),ev_cost/MAX(1,attendees))),"N/A"))</f>
        <v/>
      </c>
    </row>
    <row r="597" ht="19.5" customHeight="1">
      <c r="A597" s="50"/>
      <c r="B597" s="53"/>
      <c r="C597" s="53"/>
      <c r="D597" s="53"/>
      <c r="E597" s="53"/>
      <c r="F597" s="55"/>
      <c r="G597" s="53"/>
      <c r="H597" s="53"/>
      <c r="I597" s="53"/>
      <c r="J597" s="44" t="str">
        <f t="array" ref="J597">IF(G597="","",IFERROR(LET(ev_cost,INDEX(Events!$G$5:$G$506,MATCH(G597,Events!$A$5:$A$506,0)),ev_split,INDEX(Events!$I$5:$I$506,MATCH(G597,Events!$A$5:$A$506,0)),att_offset,MATCH(G597,Attendance!$B$3:$AY$3,0),attendees,COUNTIF(INDEX(Attendance!$B$7:$AY$206,0,att_offset),"1"),IF(ev_split="Equal Split",ev_cost/MAX(1,COUNTA(Roster!$A$5:$A$204)),ev_cost/MAX(1,attendees))),"N/A"))</f>
        <v/>
      </c>
    </row>
    <row r="598" ht="19.5" customHeight="1">
      <c r="A598" s="46"/>
      <c r="B598" s="49"/>
      <c r="C598" s="49"/>
      <c r="D598" s="49"/>
      <c r="E598" s="49"/>
      <c r="F598" s="54"/>
      <c r="G598" s="49"/>
      <c r="H598" s="49"/>
      <c r="I598" s="49"/>
      <c r="J598" s="44" t="str">
        <f t="array" ref="J598">IF(G598="","",IFERROR(LET(ev_cost,INDEX(Events!$G$5:$G$506,MATCH(G598,Events!$A$5:$A$506,0)),ev_split,INDEX(Events!$I$5:$I$506,MATCH(G598,Events!$A$5:$A$506,0)),att_offset,MATCH(G598,Attendance!$B$3:$AY$3,0),attendees,COUNTIF(INDEX(Attendance!$B$7:$AY$206,0,att_offset),"1"),IF(ev_split="Equal Split",ev_cost/MAX(1,COUNTA(Roster!$A$5:$A$204)),ev_cost/MAX(1,attendees))),"N/A"))</f>
        <v/>
      </c>
    </row>
    <row r="599" ht="19.5" customHeight="1">
      <c r="A599" s="50"/>
      <c r="B599" s="53"/>
      <c r="C599" s="53"/>
      <c r="D599" s="53"/>
      <c r="E599" s="53"/>
      <c r="F599" s="55"/>
      <c r="G599" s="53"/>
      <c r="H599" s="53"/>
      <c r="I599" s="53"/>
      <c r="J599" s="44" t="str">
        <f t="array" ref="J599">IF(G599="","",IFERROR(LET(ev_cost,INDEX(Events!$G$5:$G$506,MATCH(G599,Events!$A$5:$A$506,0)),ev_split,INDEX(Events!$I$5:$I$506,MATCH(G599,Events!$A$5:$A$506,0)),att_offset,MATCH(G599,Attendance!$B$3:$AY$3,0),attendees,COUNTIF(INDEX(Attendance!$B$7:$AY$206,0,att_offset),"1"),IF(ev_split="Equal Split",ev_cost/MAX(1,COUNTA(Roster!$A$5:$A$204)),ev_cost/MAX(1,attendees))),"N/A"))</f>
        <v/>
      </c>
    </row>
    <row r="600" ht="19.5" customHeight="1">
      <c r="A600" s="46"/>
      <c r="B600" s="49"/>
      <c r="C600" s="49"/>
      <c r="D600" s="49"/>
      <c r="E600" s="49"/>
      <c r="F600" s="54"/>
      <c r="G600" s="49"/>
      <c r="H600" s="49"/>
      <c r="I600" s="49"/>
      <c r="J600" s="44" t="str">
        <f t="array" ref="J600">IF(G600="","",IFERROR(LET(ev_cost,INDEX(Events!$G$5:$G$506,MATCH(G600,Events!$A$5:$A$506,0)),ev_split,INDEX(Events!$I$5:$I$506,MATCH(G600,Events!$A$5:$A$506,0)),att_offset,MATCH(G600,Attendance!$B$3:$AY$3,0),attendees,COUNTIF(INDEX(Attendance!$B$7:$AY$206,0,att_offset),"1"),IF(ev_split="Equal Split",ev_cost/MAX(1,COUNTA(Roster!$A$5:$A$204)),ev_cost/MAX(1,attendees))),"N/A"))</f>
        <v/>
      </c>
    </row>
    <row r="601" ht="19.5" customHeight="1">
      <c r="A601" s="50"/>
      <c r="B601" s="53"/>
      <c r="C601" s="53"/>
      <c r="D601" s="53"/>
      <c r="E601" s="53"/>
      <c r="F601" s="55"/>
      <c r="G601" s="53"/>
      <c r="H601" s="53"/>
      <c r="I601" s="53"/>
      <c r="J601" s="44" t="str">
        <f t="array" ref="J601">IF(G601="","",IFERROR(LET(ev_cost,INDEX(Events!$G$5:$G$506,MATCH(G601,Events!$A$5:$A$506,0)),ev_split,INDEX(Events!$I$5:$I$506,MATCH(G601,Events!$A$5:$A$506,0)),att_offset,MATCH(G601,Attendance!$B$3:$AY$3,0),attendees,COUNTIF(INDEX(Attendance!$B$7:$AY$206,0,att_offset),"1"),IF(ev_split="Equal Split",ev_cost/MAX(1,COUNTA(Roster!$A$5:$A$204)),ev_cost/MAX(1,attendees))),"N/A"))</f>
        <v/>
      </c>
    </row>
    <row r="602" ht="19.5" customHeight="1">
      <c r="A602" s="46"/>
      <c r="B602" s="49"/>
      <c r="C602" s="49"/>
      <c r="D602" s="49"/>
      <c r="E602" s="49"/>
      <c r="F602" s="54"/>
      <c r="G602" s="49"/>
      <c r="H602" s="49"/>
      <c r="I602" s="49"/>
      <c r="J602" s="44" t="str">
        <f t="array" ref="J602">IF(G602="","",IFERROR(LET(ev_cost,INDEX(Events!$G$5:$G$506,MATCH(G602,Events!$A$5:$A$506,0)),ev_split,INDEX(Events!$I$5:$I$506,MATCH(G602,Events!$A$5:$A$506,0)),att_offset,MATCH(G602,Attendance!$B$3:$AY$3,0),attendees,COUNTIF(INDEX(Attendance!$B$7:$AY$206,0,att_offset),"1"),IF(ev_split="Equal Split",ev_cost/MAX(1,COUNTA(Roster!$A$5:$A$204)),ev_cost/MAX(1,attendees))),"N/A"))</f>
        <v/>
      </c>
    </row>
    <row r="603" ht="19.5" customHeight="1">
      <c r="A603" s="50"/>
      <c r="B603" s="53"/>
      <c r="C603" s="53"/>
      <c r="D603" s="53"/>
      <c r="E603" s="53"/>
      <c r="F603" s="55"/>
      <c r="G603" s="53"/>
      <c r="H603" s="53"/>
      <c r="I603" s="53"/>
      <c r="J603" s="44" t="str">
        <f t="array" ref="J603">IF(G603="","",IFERROR(LET(ev_cost,INDEX(Events!$G$5:$G$506,MATCH(G603,Events!$A$5:$A$506,0)),ev_split,INDEX(Events!$I$5:$I$506,MATCH(G603,Events!$A$5:$A$506,0)),att_offset,MATCH(G603,Attendance!$B$3:$AY$3,0),attendees,COUNTIF(INDEX(Attendance!$B$7:$AY$206,0,att_offset),"1"),IF(ev_split="Equal Split",ev_cost/MAX(1,COUNTA(Roster!$A$5:$A$204)),ev_cost/MAX(1,attendees))),"N/A"))</f>
        <v/>
      </c>
    </row>
    <row r="604" ht="19.5" customHeight="1">
      <c r="A604" s="46"/>
      <c r="B604" s="49"/>
      <c r="C604" s="49"/>
      <c r="D604" s="49"/>
      <c r="E604" s="49"/>
      <c r="F604" s="54"/>
      <c r="G604" s="49"/>
      <c r="H604" s="49"/>
      <c r="I604" s="49"/>
      <c r="J604" s="44" t="str">
        <f t="array" ref="J604">IF(G604="","",IFERROR(LET(ev_cost,INDEX(Events!$G$5:$G$506,MATCH(G604,Events!$A$5:$A$506,0)),ev_split,INDEX(Events!$I$5:$I$506,MATCH(G604,Events!$A$5:$A$506,0)),att_offset,MATCH(G604,Attendance!$B$3:$AY$3,0),attendees,COUNTIF(INDEX(Attendance!$B$7:$AY$206,0,att_offset),"1"),IF(ev_split="Equal Split",ev_cost/MAX(1,COUNTA(Roster!$A$5:$A$204)),ev_cost/MAX(1,attendees))),"N/A"))</f>
        <v/>
      </c>
    </row>
    <row r="605" ht="19.5" customHeight="1">
      <c r="A605" s="50"/>
      <c r="B605" s="53"/>
      <c r="C605" s="53"/>
      <c r="D605" s="53"/>
      <c r="E605" s="53"/>
      <c r="F605" s="55"/>
      <c r="G605" s="53"/>
      <c r="H605" s="53"/>
      <c r="I605" s="53"/>
      <c r="J605" s="44" t="str">
        <f t="array" ref="J605">IF(G605="","",IFERROR(LET(ev_cost,INDEX(Events!$G$5:$G$506,MATCH(G605,Events!$A$5:$A$506,0)),ev_split,INDEX(Events!$I$5:$I$506,MATCH(G605,Events!$A$5:$A$506,0)),att_offset,MATCH(G605,Attendance!$B$3:$AY$3,0),attendees,COUNTIF(INDEX(Attendance!$B$7:$AY$206,0,att_offset),"1"),IF(ev_split="Equal Split",ev_cost/MAX(1,COUNTA(Roster!$A$5:$A$204)),ev_cost/MAX(1,attendees))),"N/A"))</f>
        <v/>
      </c>
    </row>
    <row r="606" ht="19.5" customHeight="1">
      <c r="A606" s="46"/>
      <c r="B606" s="49"/>
      <c r="C606" s="49"/>
      <c r="D606" s="49"/>
      <c r="E606" s="49"/>
      <c r="F606" s="54"/>
      <c r="G606" s="49"/>
      <c r="H606" s="49"/>
      <c r="I606" s="49"/>
      <c r="J606" s="44" t="str">
        <f t="array" ref="J606">IF(G606="","",IFERROR(LET(ev_cost,INDEX(Events!$G$5:$G$506,MATCH(G606,Events!$A$5:$A$506,0)),ev_split,INDEX(Events!$I$5:$I$506,MATCH(G606,Events!$A$5:$A$506,0)),att_offset,MATCH(G606,Attendance!$B$3:$AY$3,0),attendees,COUNTIF(INDEX(Attendance!$B$7:$AY$206,0,att_offset),"1"),IF(ev_split="Equal Split",ev_cost/MAX(1,COUNTA(Roster!$A$5:$A$204)),ev_cost/MAX(1,attendees))),"N/A"))</f>
        <v/>
      </c>
    </row>
    <row r="607" ht="19.5" customHeight="1">
      <c r="A607" s="50"/>
      <c r="B607" s="53"/>
      <c r="C607" s="53"/>
      <c r="D607" s="53"/>
      <c r="E607" s="53"/>
      <c r="F607" s="55"/>
      <c r="G607" s="53"/>
      <c r="H607" s="53"/>
      <c r="I607" s="53"/>
      <c r="J607" s="44" t="str">
        <f t="array" ref="J607">IF(G607="","",IFERROR(LET(ev_cost,INDEX(Events!$G$5:$G$506,MATCH(G607,Events!$A$5:$A$506,0)),ev_split,INDEX(Events!$I$5:$I$506,MATCH(G607,Events!$A$5:$A$506,0)),att_offset,MATCH(G607,Attendance!$B$3:$AY$3,0),attendees,COUNTIF(INDEX(Attendance!$B$7:$AY$206,0,att_offset),"1"),IF(ev_split="Equal Split",ev_cost/MAX(1,COUNTA(Roster!$A$5:$A$204)),ev_cost/MAX(1,attendees))),"N/A"))</f>
        <v/>
      </c>
    </row>
    <row r="608" ht="19.5" customHeight="1">
      <c r="A608" s="46"/>
      <c r="B608" s="49"/>
      <c r="C608" s="49"/>
      <c r="D608" s="49"/>
      <c r="E608" s="49"/>
      <c r="F608" s="54"/>
      <c r="G608" s="49"/>
      <c r="H608" s="49"/>
      <c r="I608" s="49"/>
      <c r="J608" s="44" t="str">
        <f t="array" ref="J608">IF(G608="","",IFERROR(LET(ev_cost,INDEX(Events!$G$5:$G$506,MATCH(G608,Events!$A$5:$A$506,0)),ev_split,INDEX(Events!$I$5:$I$506,MATCH(G608,Events!$A$5:$A$506,0)),att_offset,MATCH(G608,Attendance!$B$3:$AY$3,0),attendees,COUNTIF(INDEX(Attendance!$B$7:$AY$206,0,att_offset),"1"),IF(ev_split="Equal Split",ev_cost/MAX(1,COUNTA(Roster!$A$5:$A$204)),ev_cost/MAX(1,attendees))),"N/A"))</f>
        <v/>
      </c>
    </row>
    <row r="609" ht="19.5" customHeight="1">
      <c r="A609" s="50"/>
      <c r="B609" s="53"/>
      <c r="C609" s="53"/>
      <c r="D609" s="53"/>
      <c r="E609" s="53"/>
      <c r="F609" s="55"/>
      <c r="G609" s="53"/>
      <c r="H609" s="53"/>
      <c r="I609" s="53"/>
      <c r="J609" s="44" t="str">
        <f t="array" ref="J609">IF(G609="","",IFERROR(LET(ev_cost,INDEX(Events!$G$5:$G$506,MATCH(G609,Events!$A$5:$A$506,0)),ev_split,INDEX(Events!$I$5:$I$506,MATCH(G609,Events!$A$5:$A$506,0)),att_offset,MATCH(G609,Attendance!$B$3:$AY$3,0),attendees,COUNTIF(INDEX(Attendance!$B$7:$AY$206,0,att_offset),"1"),IF(ev_split="Equal Split",ev_cost/MAX(1,COUNTA(Roster!$A$5:$A$204)),ev_cost/MAX(1,attendees))),"N/A"))</f>
        <v/>
      </c>
    </row>
    <row r="610" ht="19.5" customHeight="1">
      <c r="A610" s="46"/>
      <c r="B610" s="49"/>
      <c r="C610" s="49"/>
      <c r="D610" s="49"/>
      <c r="E610" s="49"/>
      <c r="F610" s="54"/>
      <c r="G610" s="49"/>
      <c r="H610" s="49"/>
      <c r="I610" s="49"/>
      <c r="J610" s="44" t="str">
        <f t="array" ref="J610">IF(G610="","",IFERROR(LET(ev_cost,INDEX(Events!$G$5:$G$506,MATCH(G610,Events!$A$5:$A$506,0)),ev_split,INDEX(Events!$I$5:$I$506,MATCH(G610,Events!$A$5:$A$506,0)),att_offset,MATCH(G610,Attendance!$B$3:$AY$3,0),attendees,COUNTIF(INDEX(Attendance!$B$7:$AY$206,0,att_offset),"1"),IF(ev_split="Equal Split",ev_cost/MAX(1,COUNTA(Roster!$A$5:$A$204)),ev_cost/MAX(1,attendees))),"N/A"))</f>
        <v/>
      </c>
    </row>
    <row r="611" ht="19.5" customHeight="1">
      <c r="A611" s="50"/>
      <c r="B611" s="53"/>
      <c r="C611" s="53"/>
      <c r="D611" s="53"/>
      <c r="E611" s="53"/>
      <c r="F611" s="55"/>
      <c r="G611" s="53"/>
      <c r="H611" s="53"/>
      <c r="I611" s="53"/>
      <c r="J611" s="44" t="str">
        <f t="array" ref="J611">IF(G611="","",IFERROR(LET(ev_cost,INDEX(Events!$G$5:$G$506,MATCH(G611,Events!$A$5:$A$506,0)),ev_split,INDEX(Events!$I$5:$I$506,MATCH(G611,Events!$A$5:$A$506,0)),att_offset,MATCH(G611,Attendance!$B$3:$AY$3,0),attendees,COUNTIF(INDEX(Attendance!$B$7:$AY$206,0,att_offset),"1"),IF(ev_split="Equal Split",ev_cost/MAX(1,COUNTA(Roster!$A$5:$A$204)),ev_cost/MAX(1,attendees))),"N/A"))</f>
        <v/>
      </c>
    </row>
    <row r="612" ht="19.5" customHeight="1">
      <c r="A612" s="46"/>
      <c r="B612" s="49"/>
      <c r="C612" s="49"/>
      <c r="D612" s="49"/>
      <c r="E612" s="49"/>
      <c r="F612" s="54"/>
      <c r="G612" s="49"/>
      <c r="H612" s="49"/>
      <c r="I612" s="49"/>
      <c r="J612" s="44" t="str">
        <f t="array" ref="J612">IF(G612="","",IFERROR(LET(ev_cost,INDEX(Events!$G$5:$G$506,MATCH(G612,Events!$A$5:$A$506,0)),ev_split,INDEX(Events!$I$5:$I$506,MATCH(G612,Events!$A$5:$A$506,0)),att_offset,MATCH(G612,Attendance!$B$3:$AY$3,0),attendees,COUNTIF(INDEX(Attendance!$B$7:$AY$206,0,att_offset),"1"),IF(ev_split="Equal Split",ev_cost/MAX(1,COUNTA(Roster!$A$5:$A$204)),ev_cost/MAX(1,attendees))),"N/A"))</f>
        <v/>
      </c>
    </row>
    <row r="613" ht="19.5" customHeight="1">
      <c r="A613" s="50"/>
      <c r="B613" s="53"/>
      <c r="C613" s="53"/>
      <c r="D613" s="53"/>
      <c r="E613" s="53"/>
      <c r="F613" s="55"/>
      <c r="G613" s="53"/>
      <c r="H613" s="53"/>
      <c r="I613" s="53"/>
      <c r="J613" s="44" t="str">
        <f t="array" ref="J613">IF(G613="","",IFERROR(LET(ev_cost,INDEX(Events!$G$5:$G$506,MATCH(G613,Events!$A$5:$A$506,0)),ev_split,INDEX(Events!$I$5:$I$506,MATCH(G613,Events!$A$5:$A$506,0)),att_offset,MATCH(G613,Attendance!$B$3:$AY$3,0),attendees,COUNTIF(INDEX(Attendance!$B$7:$AY$206,0,att_offset),"1"),IF(ev_split="Equal Split",ev_cost/MAX(1,COUNTA(Roster!$A$5:$A$204)),ev_cost/MAX(1,attendees))),"N/A"))</f>
        <v/>
      </c>
    </row>
    <row r="614" ht="19.5" customHeight="1">
      <c r="A614" s="46"/>
      <c r="B614" s="49"/>
      <c r="C614" s="49"/>
      <c r="D614" s="49"/>
      <c r="E614" s="49"/>
      <c r="F614" s="54"/>
      <c r="G614" s="49"/>
      <c r="H614" s="49"/>
      <c r="I614" s="49"/>
      <c r="J614" s="44" t="str">
        <f t="array" ref="J614">IF(G614="","",IFERROR(LET(ev_cost,INDEX(Events!$G$5:$G$506,MATCH(G614,Events!$A$5:$A$506,0)),ev_split,INDEX(Events!$I$5:$I$506,MATCH(G614,Events!$A$5:$A$506,0)),att_offset,MATCH(G614,Attendance!$B$3:$AY$3,0),attendees,COUNTIF(INDEX(Attendance!$B$7:$AY$206,0,att_offset),"1"),IF(ev_split="Equal Split",ev_cost/MAX(1,COUNTA(Roster!$A$5:$A$204)),ev_cost/MAX(1,attendees))),"N/A"))</f>
        <v/>
      </c>
    </row>
    <row r="615" ht="19.5" customHeight="1">
      <c r="A615" s="50"/>
      <c r="B615" s="53"/>
      <c r="C615" s="53"/>
      <c r="D615" s="53"/>
      <c r="E615" s="53"/>
      <c r="F615" s="55"/>
      <c r="G615" s="53"/>
      <c r="H615" s="53"/>
      <c r="I615" s="53"/>
      <c r="J615" s="44" t="str">
        <f t="array" ref="J615">IF(G615="","",IFERROR(LET(ev_cost,INDEX(Events!$G$5:$G$506,MATCH(G615,Events!$A$5:$A$506,0)),ev_split,INDEX(Events!$I$5:$I$506,MATCH(G615,Events!$A$5:$A$506,0)),att_offset,MATCH(G615,Attendance!$B$3:$AY$3,0),attendees,COUNTIF(INDEX(Attendance!$B$7:$AY$206,0,att_offset),"1"),IF(ev_split="Equal Split",ev_cost/MAX(1,COUNTA(Roster!$A$5:$A$204)),ev_cost/MAX(1,attendees))),"N/A"))</f>
        <v/>
      </c>
    </row>
    <row r="616" ht="19.5" customHeight="1">
      <c r="A616" s="46"/>
      <c r="B616" s="49"/>
      <c r="C616" s="49"/>
      <c r="D616" s="49"/>
      <c r="E616" s="49"/>
      <c r="F616" s="54"/>
      <c r="G616" s="49"/>
      <c r="H616" s="49"/>
      <c r="I616" s="49"/>
      <c r="J616" s="44" t="str">
        <f t="array" ref="J616">IF(G616="","",IFERROR(LET(ev_cost,INDEX(Events!$G$5:$G$506,MATCH(G616,Events!$A$5:$A$506,0)),ev_split,INDEX(Events!$I$5:$I$506,MATCH(G616,Events!$A$5:$A$506,0)),att_offset,MATCH(G616,Attendance!$B$3:$AY$3,0),attendees,COUNTIF(INDEX(Attendance!$B$7:$AY$206,0,att_offset),"1"),IF(ev_split="Equal Split",ev_cost/MAX(1,COUNTA(Roster!$A$5:$A$204)),ev_cost/MAX(1,attendees))),"N/A"))</f>
        <v/>
      </c>
    </row>
    <row r="617" ht="19.5" customHeight="1">
      <c r="A617" s="50"/>
      <c r="B617" s="53"/>
      <c r="C617" s="53"/>
      <c r="D617" s="53"/>
      <c r="E617" s="53"/>
      <c r="F617" s="55"/>
      <c r="G617" s="53"/>
      <c r="H617" s="53"/>
      <c r="I617" s="53"/>
      <c r="J617" s="44" t="str">
        <f t="array" ref="J617">IF(G617="","",IFERROR(LET(ev_cost,INDEX(Events!$G$5:$G$506,MATCH(G617,Events!$A$5:$A$506,0)),ev_split,INDEX(Events!$I$5:$I$506,MATCH(G617,Events!$A$5:$A$506,0)),att_offset,MATCH(G617,Attendance!$B$3:$AY$3,0),attendees,COUNTIF(INDEX(Attendance!$B$7:$AY$206,0,att_offset),"1"),IF(ev_split="Equal Split",ev_cost/MAX(1,COUNTA(Roster!$A$5:$A$204)),ev_cost/MAX(1,attendees))),"N/A"))</f>
        <v/>
      </c>
    </row>
    <row r="618" ht="19.5" customHeight="1">
      <c r="A618" s="46"/>
      <c r="B618" s="49"/>
      <c r="C618" s="49"/>
      <c r="D618" s="49"/>
      <c r="E618" s="49"/>
      <c r="F618" s="54"/>
      <c r="G618" s="49"/>
      <c r="H618" s="49"/>
      <c r="I618" s="49"/>
      <c r="J618" s="44" t="str">
        <f t="array" ref="J618">IF(G618="","",IFERROR(LET(ev_cost,INDEX(Events!$G$5:$G$506,MATCH(G618,Events!$A$5:$A$506,0)),ev_split,INDEX(Events!$I$5:$I$506,MATCH(G618,Events!$A$5:$A$506,0)),att_offset,MATCH(G618,Attendance!$B$3:$AY$3,0),attendees,COUNTIF(INDEX(Attendance!$B$7:$AY$206,0,att_offset),"1"),IF(ev_split="Equal Split",ev_cost/MAX(1,COUNTA(Roster!$A$5:$A$204)),ev_cost/MAX(1,attendees))),"N/A"))</f>
        <v/>
      </c>
    </row>
    <row r="619" ht="19.5" customHeight="1">
      <c r="A619" s="50"/>
      <c r="B619" s="53"/>
      <c r="C619" s="53"/>
      <c r="D619" s="53"/>
      <c r="E619" s="53"/>
      <c r="F619" s="55"/>
      <c r="G619" s="53"/>
      <c r="H619" s="53"/>
      <c r="I619" s="53"/>
      <c r="J619" s="44" t="str">
        <f t="array" ref="J619">IF(G619="","",IFERROR(LET(ev_cost,INDEX(Events!$G$5:$G$506,MATCH(G619,Events!$A$5:$A$506,0)),ev_split,INDEX(Events!$I$5:$I$506,MATCH(G619,Events!$A$5:$A$506,0)),att_offset,MATCH(G619,Attendance!$B$3:$AY$3,0),attendees,COUNTIF(INDEX(Attendance!$B$7:$AY$206,0,att_offset),"1"),IF(ev_split="Equal Split",ev_cost/MAX(1,COUNTA(Roster!$A$5:$A$204)),ev_cost/MAX(1,attendees))),"N/A"))</f>
        <v/>
      </c>
    </row>
    <row r="620" ht="19.5" customHeight="1">
      <c r="A620" s="46"/>
      <c r="B620" s="49"/>
      <c r="C620" s="49"/>
      <c r="D620" s="49"/>
      <c r="E620" s="49"/>
      <c r="F620" s="54"/>
      <c r="G620" s="49"/>
      <c r="H620" s="49"/>
      <c r="I620" s="49"/>
      <c r="J620" s="44" t="str">
        <f t="array" ref="J620">IF(G620="","",IFERROR(LET(ev_cost,INDEX(Events!$G$5:$G$506,MATCH(G620,Events!$A$5:$A$506,0)),ev_split,INDEX(Events!$I$5:$I$506,MATCH(G620,Events!$A$5:$A$506,0)),att_offset,MATCH(G620,Attendance!$B$3:$AY$3,0),attendees,COUNTIF(INDEX(Attendance!$B$7:$AY$206,0,att_offset),"1"),IF(ev_split="Equal Split",ev_cost/MAX(1,COUNTA(Roster!$A$5:$A$204)),ev_cost/MAX(1,attendees))),"N/A"))</f>
        <v/>
      </c>
    </row>
    <row r="621" ht="19.5" customHeight="1">
      <c r="A621" s="50"/>
      <c r="B621" s="53"/>
      <c r="C621" s="53"/>
      <c r="D621" s="53"/>
      <c r="E621" s="53"/>
      <c r="F621" s="55"/>
      <c r="G621" s="53"/>
      <c r="H621" s="53"/>
      <c r="I621" s="53"/>
      <c r="J621" s="44" t="str">
        <f t="array" ref="J621">IF(G621="","",IFERROR(LET(ev_cost,INDEX(Events!$G$5:$G$506,MATCH(G621,Events!$A$5:$A$506,0)),ev_split,INDEX(Events!$I$5:$I$506,MATCH(G621,Events!$A$5:$A$506,0)),att_offset,MATCH(G621,Attendance!$B$3:$AY$3,0),attendees,COUNTIF(INDEX(Attendance!$B$7:$AY$206,0,att_offset),"1"),IF(ev_split="Equal Split",ev_cost/MAX(1,COUNTA(Roster!$A$5:$A$204)),ev_cost/MAX(1,attendees))),"N/A"))</f>
        <v/>
      </c>
    </row>
    <row r="622" ht="19.5" customHeight="1">
      <c r="A622" s="46"/>
      <c r="B622" s="49"/>
      <c r="C622" s="49"/>
      <c r="D622" s="49"/>
      <c r="E622" s="49"/>
      <c r="F622" s="54"/>
      <c r="G622" s="49"/>
      <c r="H622" s="49"/>
      <c r="I622" s="49"/>
      <c r="J622" s="44" t="str">
        <f t="array" ref="J622">IF(G622="","",IFERROR(LET(ev_cost,INDEX(Events!$G$5:$G$506,MATCH(G622,Events!$A$5:$A$506,0)),ev_split,INDEX(Events!$I$5:$I$506,MATCH(G622,Events!$A$5:$A$506,0)),att_offset,MATCH(G622,Attendance!$B$3:$AY$3,0),attendees,COUNTIF(INDEX(Attendance!$B$7:$AY$206,0,att_offset),"1"),IF(ev_split="Equal Split",ev_cost/MAX(1,COUNTA(Roster!$A$5:$A$204)),ev_cost/MAX(1,attendees))),"N/A"))</f>
        <v/>
      </c>
    </row>
    <row r="623" ht="19.5" customHeight="1">
      <c r="A623" s="50"/>
      <c r="B623" s="53"/>
      <c r="C623" s="53"/>
      <c r="D623" s="53"/>
      <c r="E623" s="53"/>
      <c r="F623" s="55"/>
      <c r="G623" s="53"/>
      <c r="H623" s="53"/>
      <c r="I623" s="53"/>
      <c r="J623" s="44" t="str">
        <f t="array" ref="J623">IF(G623="","",IFERROR(LET(ev_cost,INDEX(Events!$G$5:$G$506,MATCH(G623,Events!$A$5:$A$506,0)),ev_split,INDEX(Events!$I$5:$I$506,MATCH(G623,Events!$A$5:$A$506,0)),att_offset,MATCH(G623,Attendance!$B$3:$AY$3,0),attendees,COUNTIF(INDEX(Attendance!$B$7:$AY$206,0,att_offset),"1"),IF(ev_split="Equal Split",ev_cost/MAX(1,COUNTA(Roster!$A$5:$A$204)),ev_cost/MAX(1,attendees))),"N/A"))</f>
        <v/>
      </c>
    </row>
    <row r="624" ht="19.5" customHeight="1">
      <c r="A624" s="46"/>
      <c r="B624" s="49"/>
      <c r="C624" s="49"/>
      <c r="D624" s="49"/>
      <c r="E624" s="49"/>
      <c r="F624" s="54"/>
      <c r="G624" s="49"/>
      <c r="H624" s="49"/>
      <c r="I624" s="49"/>
      <c r="J624" s="44" t="str">
        <f t="array" ref="J624">IF(G624="","",IFERROR(LET(ev_cost,INDEX(Events!$G$5:$G$506,MATCH(G624,Events!$A$5:$A$506,0)),ev_split,INDEX(Events!$I$5:$I$506,MATCH(G624,Events!$A$5:$A$506,0)),att_offset,MATCH(G624,Attendance!$B$3:$AY$3,0),attendees,COUNTIF(INDEX(Attendance!$B$7:$AY$206,0,att_offset),"1"),IF(ev_split="Equal Split",ev_cost/MAX(1,COUNTA(Roster!$A$5:$A$204)),ev_cost/MAX(1,attendees))),"N/A"))</f>
        <v/>
      </c>
    </row>
    <row r="625" ht="19.5" customHeight="1">
      <c r="A625" s="50"/>
      <c r="B625" s="53"/>
      <c r="C625" s="53"/>
      <c r="D625" s="53"/>
      <c r="E625" s="53"/>
      <c r="F625" s="55"/>
      <c r="G625" s="53"/>
      <c r="H625" s="53"/>
      <c r="I625" s="53"/>
      <c r="J625" s="44" t="str">
        <f t="array" ref="J625">IF(G625="","",IFERROR(LET(ev_cost,INDEX(Events!$G$5:$G$506,MATCH(G625,Events!$A$5:$A$506,0)),ev_split,INDEX(Events!$I$5:$I$506,MATCH(G625,Events!$A$5:$A$506,0)),att_offset,MATCH(G625,Attendance!$B$3:$AY$3,0),attendees,COUNTIF(INDEX(Attendance!$B$7:$AY$206,0,att_offset),"1"),IF(ev_split="Equal Split",ev_cost/MAX(1,COUNTA(Roster!$A$5:$A$204)),ev_cost/MAX(1,attendees))),"N/A"))</f>
        <v/>
      </c>
    </row>
    <row r="626" ht="19.5" customHeight="1">
      <c r="A626" s="46"/>
      <c r="B626" s="49"/>
      <c r="C626" s="49"/>
      <c r="D626" s="49"/>
      <c r="E626" s="49"/>
      <c r="F626" s="54"/>
      <c r="G626" s="49"/>
      <c r="H626" s="49"/>
      <c r="I626" s="49"/>
      <c r="J626" s="44" t="str">
        <f t="array" ref="J626">IF(G626="","",IFERROR(LET(ev_cost,INDEX(Events!$G$5:$G$506,MATCH(G626,Events!$A$5:$A$506,0)),ev_split,INDEX(Events!$I$5:$I$506,MATCH(G626,Events!$A$5:$A$506,0)),att_offset,MATCH(G626,Attendance!$B$3:$AY$3,0),attendees,COUNTIF(INDEX(Attendance!$B$7:$AY$206,0,att_offset),"1"),IF(ev_split="Equal Split",ev_cost/MAX(1,COUNTA(Roster!$A$5:$A$204)),ev_cost/MAX(1,attendees))),"N/A"))</f>
        <v/>
      </c>
    </row>
    <row r="627" ht="19.5" customHeight="1">
      <c r="A627" s="50"/>
      <c r="B627" s="53"/>
      <c r="C627" s="53"/>
      <c r="D627" s="53"/>
      <c r="E627" s="53"/>
      <c r="F627" s="55"/>
      <c r="G627" s="53"/>
      <c r="H627" s="53"/>
      <c r="I627" s="53"/>
      <c r="J627" s="44" t="str">
        <f t="array" ref="J627">IF(G627="","",IFERROR(LET(ev_cost,INDEX(Events!$G$5:$G$506,MATCH(G627,Events!$A$5:$A$506,0)),ev_split,INDEX(Events!$I$5:$I$506,MATCH(G627,Events!$A$5:$A$506,0)),att_offset,MATCH(G627,Attendance!$B$3:$AY$3,0),attendees,COUNTIF(INDEX(Attendance!$B$7:$AY$206,0,att_offset),"1"),IF(ev_split="Equal Split",ev_cost/MAX(1,COUNTA(Roster!$A$5:$A$204)),ev_cost/MAX(1,attendees))),"N/A"))</f>
        <v/>
      </c>
    </row>
    <row r="628" ht="19.5" customHeight="1">
      <c r="A628" s="46"/>
      <c r="B628" s="49"/>
      <c r="C628" s="49"/>
      <c r="D628" s="49"/>
      <c r="E628" s="49"/>
      <c r="F628" s="54"/>
      <c r="G628" s="49"/>
      <c r="H628" s="49"/>
      <c r="I628" s="49"/>
      <c r="J628" s="44" t="str">
        <f t="array" ref="J628">IF(G628="","",IFERROR(LET(ev_cost,INDEX(Events!$G$5:$G$506,MATCH(G628,Events!$A$5:$A$506,0)),ev_split,INDEX(Events!$I$5:$I$506,MATCH(G628,Events!$A$5:$A$506,0)),att_offset,MATCH(G628,Attendance!$B$3:$AY$3,0),attendees,COUNTIF(INDEX(Attendance!$B$7:$AY$206,0,att_offset),"1"),IF(ev_split="Equal Split",ev_cost/MAX(1,COUNTA(Roster!$A$5:$A$204)),ev_cost/MAX(1,attendees))),"N/A"))</f>
        <v/>
      </c>
    </row>
    <row r="629" ht="19.5" customHeight="1">
      <c r="A629" s="50"/>
      <c r="B629" s="53"/>
      <c r="C629" s="53"/>
      <c r="D629" s="53"/>
      <c r="E629" s="53"/>
      <c r="F629" s="55"/>
      <c r="G629" s="53"/>
      <c r="H629" s="53"/>
      <c r="I629" s="53"/>
      <c r="J629" s="44" t="str">
        <f t="array" ref="J629">IF(G629="","",IFERROR(LET(ev_cost,INDEX(Events!$G$5:$G$506,MATCH(G629,Events!$A$5:$A$506,0)),ev_split,INDEX(Events!$I$5:$I$506,MATCH(G629,Events!$A$5:$A$506,0)),att_offset,MATCH(G629,Attendance!$B$3:$AY$3,0),attendees,COUNTIF(INDEX(Attendance!$B$7:$AY$206,0,att_offset),"1"),IF(ev_split="Equal Split",ev_cost/MAX(1,COUNTA(Roster!$A$5:$A$204)),ev_cost/MAX(1,attendees))),"N/A"))</f>
        <v/>
      </c>
    </row>
    <row r="630" ht="19.5" customHeight="1">
      <c r="A630" s="46"/>
      <c r="B630" s="49"/>
      <c r="C630" s="49"/>
      <c r="D630" s="49"/>
      <c r="E630" s="49"/>
      <c r="F630" s="54"/>
      <c r="G630" s="49"/>
      <c r="H630" s="49"/>
      <c r="I630" s="49"/>
      <c r="J630" s="44" t="str">
        <f t="array" ref="J630">IF(G630="","",IFERROR(LET(ev_cost,INDEX(Events!$G$5:$G$506,MATCH(G630,Events!$A$5:$A$506,0)),ev_split,INDEX(Events!$I$5:$I$506,MATCH(G630,Events!$A$5:$A$506,0)),att_offset,MATCH(G630,Attendance!$B$3:$AY$3,0),attendees,COUNTIF(INDEX(Attendance!$B$7:$AY$206,0,att_offset),"1"),IF(ev_split="Equal Split",ev_cost/MAX(1,COUNTA(Roster!$A$5:$A$204)),ev_cost/MAX(1,attendees))),"N/A"))</f>
        <v/>
      </c>
    </row>
    <row r="631" ht="19.5" customHeight="1">
      <c r="A631" s="50"/>
      <c r="B631" s="53"/>
      <c r="C631" s="53"/>
      <c r="D631" s="53"/>
      <c r="E631" s="53"/>
      <c r="F631" s="55"/>
      <c r="G631" s="53"/>
      <c r="H631" s="53"/>
      <c r="I631" s="53"/>
      <c r="J631" s="44" t="str">
        <f t="array" ref="J631">IF(G631="","",IFERROR(LET(ev_cost,INDEX(Events!$G$5:$G$506,MATCH(G631,Events!$A$5:$A$506,0)),ev_split,INDEX(Events!$I$5:$I$506,MATCH(G631,Events!$A$5:$A$506,0)),att_offset,MATCH(G631,Attendance!$B$3:$AY$3,0),attendees,COUNTIF(INDEX(Attendance!$B$7:$AY$206,0,att_offset),"1"),IF(ev_split="Equal Split",ev_cost/MAX(1,COUNTA(Roster!$A$5:$A$204)),ev_cost/MAX(1,attendees))),"N/A"))</f>
        <v/>
      </c>
    </row>
    <row r="632" ht="19.5" customHeight="1">
      <c r="A632" s="46"/>
      <c r="B632" s="49"/>
      <c r="C632" s="49"/>
      <c r="D632" s="49"/>
      <c r="E632" s="49"/>
      <c r="F632" s="54"/>
      <c r="G632" s="49"/>
      <c r="H632" s="49"/>
      <c r="I632" s="49"/>
      <c r="J632" s="44" t="str">
        <f t="array" ref="J632">IF(G632="","",IFERROR(LET(ev_cost,INDEX(Events!$G$5:$G$506,MATCH(G632,Events!$A$5:$A$506,0)),ev_split,INDEX(Events!$I$5:$I$506,MATCH(G632,Events!$A$5:$A$506,0)),att_offset,MATCH(G632,Attendance!$B$3:$AY$3,0),attendees,COUNTIF(INDEX(Attendance!$B$7:$AY$206,0,att_offset),"1"),IF(ev_split="Equal Split",ev_cost/MAX(1,COUNTA(Roster!$A$5:$A$204)),ev_cost/MAX(1,attendees))),"N/A"))</f>
        <v/>
      </c>
    </row>
    <row r="633" ht="19.5" customHeight="1">
      <c r="A633" s="50"/>
      <c r="B633" s="53"/>
      <c r="C633" s="53"/>
      <c r="D633" s="53"/>
      <c r="E633" s="53"/>
      <c r="F633" s="55"/>
      <c r="G633" s="53"/>
      <c r="H633" s="53"/>
      <c r="I633" s="53"/>
      <c r="J633" s="44" t="str">
        <f t="array" ref="J633">IF(G633="","",IFERROR(LET(ev_cost,INDEX(Events!$G$5:$G$506,MATCH(G633,Events!$A$5:$A$506,0)),ev_split,INDEX(Events!$I$5:$I$506,MATCH(G633,Events!$A$5:$A$506,0)),att_offset,MATCH(G633,Attendance!$B$3:$AY$3,0),attendees,COUNTIF(INDEX(Attendance!$B$7:$AY$206,0,att_offset),"1"),IF(ev_split="Equal Split",ev_cost/MAX(1,COUNTA(Roster!$A$5:$A$204)),ev_cost/MAX(1,attendees))),"N/A"))</f>
        <v/>
      </c>
    </row>
    <row r="634" ht="19.5" customHeight="1">
      <c r="A634" s="46"/>
      <c r="B634" s="49"/>
      <c r="C634" s="49"/>
      <c r="D634" s="49"/>
      <c r="E634" s="49"/>
      <c r="F634" s="54"/>
      <c r="G634" s="49"/>
      <c r="H634" s="49"/>
      <c r="I634" s="49"/>
      <c r="J634" s="44" t="str">
        <f t="array" ref="J634">IF(G634="","",IFERROR(LET(ev_cost,INDEX(Events!$G$5:$G$506,MATCH(G634,Events!$A$5:$A$506,0)),ev_split,INDEX(Events!$I$5:$I$506,MATCH(G634,Events!$A$5:$A$506,0)),att_offset,MATCH(G634,Attendance!$B$3:$AY$3,0),attendees,COUNTIF(INDEX(Attendance!$B$7:$AY$206,0,att_offset),"1"),IF(ev_split="Equal Split",ev_cost/MAX(1,COUNTA(Roster!$A$5:$A$204)),ev_cost/MAX(1,attendees))),"N/A"))</f>
        <v/>
      </c>
    </row>
    <row r="635" ht="19.5" customHeight="1">
      <c r="A635" s="50"/>
      <c r="B635" s="53"/>
      <c r="C635" s="53"/>
      <c r="D635" s="53"/>
      <c r="E635" s="53"/>
      <c r="F635" s="55"/>
      <c r="G635" s="53"/>
      <c r="H635" s="53"/>
      <c r="I635" s="53"/>
      <c r="J635" s="44" t="str">
        <f t="array" ref="J635">IF(G635="","",IFERROR(LET(ev_cost,INDEX(Events!$G$5:$G$506,MATCH(G635,Events!$A$5:$A$506,0)),ev_split,INDEX(Events!$I$5:$I$506,MATCH(G635,Events!$A$5:$A$506,0)),att_offset,MATCH(G635,Attendance!$B$3:$AY$3,0),attendees,COUNTIF(INDEX(Attendance!$B$7:$AY$206,0,att_offset),"1"),IF(ev_split="Equal Split",ev_cost/MAX(1,COUNTA(Roster!$A$5:$A$204)),ev_cost/MAX(1,attendees))),"N/A"))</f>
        <v/>
      </c>
    </row>
    <row r="636" ht="19.5" customHeight="1">
      <c r="A636" s="46"/>
      <c r="B636" s="49"/>
      <c r="C636" s="49"/>
      <c r="D636" s="49"/>
      <c r="E636" s="49"/>
      <c r="F636" s="54"/>
      <c r="G636" s="49"/>
      <c r="H636" s="49"/>
      <c r="I636" s="49"/>
      <c r="J636" s="44" t="str">
        <f t="array" ref="J636">IF(G636="","",IFERROR(LET(ev_cost,INDEX(Events!$G$5:$G$506,MATCH(G636,Events!$A$5:$A$506,0)),ev_split,INDEX(Events!$I$5:$I$506,MATCH(G636,Events!$A$5:$A$506,0)),att_offset,MATCH(G636,Attendance!$B$3:$AY$3,0),attendees,COUNTIF(INDEX(Attendance!$B$7:$AY$206,0,att_offset),"1"),IF(ev_split="Equal Split",ev_cost/MAX(1,COUNTA(Roster!$A$5:$A$204)),ev_cost/MAX(1,attendees))),"N/A"))</f>
        <v/>
      </c>
    </row>
    <row r="637" ht="19.5" customHeight="1">
      <c r="A637" s="50"/>
      <c r="B637" s="53"/>
      <c r="C637" s="53"/>
      <c r="D637" s="53"/>
      <c r="E637" s="53"/>
      <c r="F637" s="55"/>
      <c r="G637" s="53"/>
      <c r="H637" s="53"/>
      <c r="I637" s="53"/>
      <c r="J637" s="44" t="str">
        <f t="array" ref="J637">IF(G637="","",IFERROR(LET(ev_cost,INDEX(Events!$G$5:$G$506,MATCH(G637,Events!$A$5:$A$506,0)),ev_split,INDEX(Events!$I$5:$I$506,MATCH(G637,Events!$A$5:$A$506,0)),att_offset,MATCH(G637,Attendance!$B$3:$AY$3,0),attendees,COUNTIF(INDEX(Attendance!$B$7:$AY$206,0,att_offset),"1"),IF(ev_split="Equal Split",ev_cost/MAX(1,COUNTA(Roster!$A$5:$A$204)),ev_cost/MAX(1,attendees))),"N/A"))</f>
        <v/>
      </c>
    </row>
    <row r="638" ht="19.5" customHeight="1">
      <c r="A638" s="46"/>
      <c r="B638" s="49"/>
      <c r="C638" s="49"/>
      <c r="D638" s="49"/>
      <c r="E638" s="49"/>
      <c r="F638" s="54"/>
      <c r="G638" s="49"/>
      <c r="H638" s="49"/>
      <c r="I638" s="49"/>
      <c r="J638" s="44" t="str">
        <f t="array" ref="J638">IF(G638="","",IFERROR(LET(ev_cost,INDEX(Events!$G$5:$G$506,MATCH(G638,Events!$A$5:$A$506,0)),ev_split,INDEX(Events!$I$5:$I$506,MATCH(G638,Events!$A$5:$A$506,0)),att_offset,MATCH(G638,Attendance!$B$3:$AY$3,0),attendees,COUNTIF(INDEX(Attendance!$B$7:$AY$206,0,att_offset),"1"),IF(ev_split="Equal Split",ev_cost/MAX(1,COUNTA(Roster!$A$5:$A$204)),ev_cost/MAX(1,attendees))),"N/A"))</f>
        <v/>
      </c>
    </row>
    <row r="639" ht="19.5" customHeight="1">
      <c r="A639" s="50"/>
      <c r="B639" s="53"/>
      <c r="C639" s="53"/>
      <c r="D639" s="53"/>
      <c r="E639" s="53"/>
      <c r="F639" s="55"/>
      <c r="G639" s="53"/>
      <c r="H639" s="53"/>
      <c r="I639" s="53"/>
      <c r="J639" s="44" t="str">
        <f t="array" ref="J639">IF(G639="","",IFERROR(LET(ev_cost,INDEX(Events!$G$5:$G$506,MATCH(G639,Events!$A$5:$A$506,0)),ev_split,INDEX(Events!$I$5:$I$506,MATCH(G639,Events!$A$5:$A$506,0)),att_offset,MATCH(G639,Attendance!$B$3:$AY$3,0),attendees,COUNTIF(INDEX(Attendance!$B$7:$AY$206,0,att_offset),"1"),IF(ev_split="Equal Split",ev_cost/MAX(1,COUNTA(Roster!$A$5:$A$204)),ev_cost/MAX(1,attendees))),"N/A"))</f>
        <v/>
      </c>
    </row>
    <row r="640" ht="19.5" customHeight="1">
      <c r="A640" s="46"/>
      <c r="B640" s="49"/>
      <c r="C640" s="49"/>
      <c r="D640" s="49"/>
      <c r="E640" s="49"/>
      <c r="F640" s="54"/>
      <c r="G640" s="49"/>
      <c r="H640" s="49"/>
      <c r="I640" s="49"/>
      <c r="J640" s="44" t="str">
        <f t="array" ref="J640">IF(G640="","",IFERROR(LET(ev_cost,INDEX(Events!$G$5:$G$506,MATCH(G640,Events!$A$5:$A$506,0)),ev_split,INDEX(Events!$I$5:$I$506,MATCH(G640,Events!$A$5:$A$506,0)),att_offset,MATCH(G640,Attendance!$B$3:$AY$3,0),attendees,COUNTIF(INDEX(Attendance!$B$7:$AY$206,0,att_offset),"1"),IF(ev_split="Equal Split",ev_cost/MAX(1,COUNTA(Roster!$A$5:$A$204)),ev_cost/MAX(1,attendees))),"N/A"))</f>
        <v/>
      </c>
    </row>
    <row r="641" ht="19.5" customHeight="1">
      <c r="A641" s="50"/>
      <c r="B641" s="53"/>
      <c r="C641" s="53"/>
      <c r="D641" s="53"/>
      <c r="E641" s="53"/>
      <c r="F641" s="55"/>
      <c r="G641" s="53"/>
      <c r="H641" s="53"/>
      <c r="I641" s="53"/>
      <c r="J641" s="44" t="str">
        <f t="array" ref="J641">IF(G641="","",IFERROR(LET(ev_cost,INDEX(Events!$G$5:$G$506,MATCH(G641,Events!$A$5:$A$506,0)),ev_split,INDEX(Events!$I$5:$I$506,MATCH(G641,Events!$A$5:$A$506,0)),att_offset,MATCH(G641,Attendance!$B$3:$AY$3,0),attendees,COUNTIF(INDEX(Attendance!$B$7:$AY$206,0,att_offset),"1"),IF(ev_split="Equal Split",ev_cost/MAX(1,COUNTA(Roster!$A$5:$A$204)),ev_cost/MAX(1,attendees))),"N/A"))</f>
        <v/>
      </c>
    </row>
    <row r="642" ht="19.5" customHeight="1">
      <c r="A642" s="46"/>
      <c r="B642" s="49"/>
      <c r="C642" s="49"/>
      <c r="D642" s="49"/>
      <c r="E642" s="49"/>
      <c r="F642" s="54"/>
      <c r="G642" s="49"/>
      <c r="H642" s="49"/>
      <c r="I642" s="49"/>
      <c r="J642" s="44" t="str">
        <f t="array" ref="J642">IF(G642="","",IFERROR(LET(ev_cost,INDEX(Events!$G$5:$G$506,MATCH(G642,Events!$A$5:$A$506,0)),ev_split,INDEX(Events!$I$5:$I$506,MATCH(G642,Events!$A$5:$A$506,0)),att_offset,MATCH(G642,Attendance!$B$3:$AY$3,0),attendees,COUNTIF(INDEX(Attendance!$B$7:$AY$206,0,att_offset),"1"),IF(ev_split="Equal Split",ev_cost/MAX(1,COUNTA(Roster!$A$5:$A$204)),ev_cost/MAX(1,attendees))),"N/A"))</f>
        <v/>
      </c>
    </row>
    <row r="643" ht="19.5" customHeight="1">
      <c r="A643" s="50"/>
      <c r="B643" s="53"/>
      <c r="C643" s="53"/>
      <c r="D643" s="53"/>
      <c r="E643" s="53"/>
      <c r="F643" s="55"/>
      <c r="G643" s="53"/>
      <c r="H643" s="53"/>
      <c r="I643" s="53"/>
      <c r="J643" s="44" t="str">
        <f t="array" ref="J643">IF(G643="","",IFERROR(LET(ev_cost,INDEX(Events!$G$5:$G$506,MATCH(G643,Events!$A$5:$A$506,0)),ev_split,INDEX(Events!$I$5:$I$506,MATCH(G643,Events!$A$5:$A$506,0)),att_offset,MATCH(G643,Attendance!$B$3:$AY$3,0),attendees,COUNTIF(INDEX(Attendance!$B$7:$AY$206,0,att_offset),"1"),IF(ev_split="Equal Split",ev_cost/MAX(1,COUNTA(Roster!$A$5:$A$204)),ev_cost/MAX(1,attendees))),"N/A"))</f>
        <v/>
      </c>
    </row>
    <row r="644" ht="19.5" customHeight="1">
      <c r="A644" s="46"/>
      <c r="B644" s="49"/>
      <c r="C644" s="49"/>
      <c r="D644" s="49"/>
      <c r="E644" s="49"/>
      <c r="F644" s="54"/>
      <c r="G644" s="49"/>
      <c r="H644" s="49"/>
      <c r="I644" s="49"/>
      <c r="J644" s="44" t="str">
        <f t="array" ref="J644">IF(G644="","",IFERROR(LET(ev_cost,INDEX(Events!$G$5:$G$506,MATCH(G644,Events!$A$5:$A$506,0)),ev_split,INDEX(Events!$I$5:$I$506,MATCH(G644,Events!$A$5:$A$506,0)),att_offset,MATCH(G644,Attendance!$B$3:$AY$3,0),attendees,COUNTIF(INDEX(Attendance!$B$7:$AY$206,0,att_offset),"1"),IF(ev_split="Equal Split",ev_cost/MAX(1,COUNTA(Roster!$A$5:$A$204)),ev_cost/MAX(1,attendees))),"N/A"))</f>
        <v/>
      </c>
    </row>
    <row r="645" ht="19.5" customHeight="1">
      <c r="A645" s="50"/>
      <c r="B645" s="53"/>
      <c r="C645" s="53"/>
      <c r="D645" s="53"/>
      <c r="E645" s="53"/>
      <c r="F645" s="55"/>
      <c r="G645" s="53"/>
      <c r="H645" s="53"/>
      <c r="I645" s="53"/>
      <c r="J645" s="44" t="str">
        <f t="array" ref="J645">IF(G645="","",IFERROR(LET(ev_cost,INDEX(Events!$G$5:$G$506,MATCH(G645,Events!$A$5:$A$506,0)),ev_split,INDEX(Events!$I$5:$I$506,MATCH(G645,Events!$A$5:$A$506,0)),att_offset,MATCH(G645,Attendance!$B$3:$AY$3,0),attendees,COUNTIF(INDEX(Attendance!$B$7:$AY$206,0,att_offset),"1"),IF(ev_split="Equal Split",ev_cost/MAX(1,COUNTA(Roster!$A$5:$A$204)),ev_cost/MAX(1,attendees))),"N/A"))</f>
        <v/>
      </c>
    </row>
    <row r="646" ht="19.5" customHeight="1">
      <c r="A646" s="46"/>
      <c r="B646" s="49"/>
      <c r="C646" s="49"/>
      <c r="D646" s="49"/>
      <c r="E646" s="49"/>
      <c r="F646" s="54"/>
      <c r="G646" s="49"/>
      <c r="H646" s="49"/>
      <c r="I646" s="49"/>
      <c r="J646" s="44" t="str">
        <f t="array" ref="J646">IF(G646="","",IFERROR(LET(ev_cost,INDEX(Events!$G$5:$G$506,MATCH(G646,Events!$A$5:$A$506,0)),ev_split,INDEX(Events!$I$5:$I$506,MATCH(G646,Events!$A$5:$A$506,0)),att_offset,MATCH(G646,Attendance!$B$3:$AY$3,0),attendees,COUNTIF(INDEX(Attendance!$B$7:$AY$206,0,att_offset),"1"),IF(ev_split="Equal Split",ev_cost/MAX(1,COUNTA(Roster!$A$5:$A$204)),ev_cost/MAX(1,attendees))),"N/A"))</f>
        <v/>
      </c>
    </row>
    <row r="647" ht="19.5" customHeight="1">
      <c r="A647" s="50"/>
      <c r="B647" s="53"/>
      <c r="C647" s="53"/>
      <c r="D647" s="53"/>
      <c r="E647" s="53"/>
      <c r="F647" s="55"/>
      <c r="G647" s="53"/>
      <c r="H647" s="53"/>
      <c r="I647" s="53"/>
      <c r="J647" s="44" t="str">
        <f t="array" ref="J647">IF(G647="","",IFERROR(LET(ev_cost,INDEX(Events!$G$5:$G$506,MATCH(G647,Events!$A$5:$A$506,0)),ev_split,INDEX(Events!$I$5:$I$506,MATCH(G647,Events!$A$5:$A$506,0)),att_offset,MATCH(G647,Attendance!$B$3:$AY$3,0),attendees,COUNTIF(INDEX(Attendance!$B$7:$AY$206,0,att_offset),"1"),IF(ev_split="Equal Split",ev_cost/MAX(1,COUNTA(Roster!$A$5:$A$204)),ev_cost/MAX(1,attendees))),"N/A"))</f>
        <v/>
      </c>
    </row>
    <row r="648" ht="19.5" customHeight="1">
      <c r="A648" s="46"/>
      <c r="B648" s="49"/>
      <c r="C648" s="49"/>
      <c r="D648" s="49"/>
      <c r="E648" s="49"/>
      <c r="F648" s="54"/>
      <c r="G648" s="49"/>
      <c r="H648" s="49"/>
      <c r="I648" s="49"/>
      <c r="J648" s="44" t="str">
        <f t="array" ref="J648">IF(G648="","",IFERROR(LET(ev_cost,INDEX(Events!$G$5:$G$506,MATCH(G648,Events!$A$5:$A$506,0)),ev_split,INDEX(Events!$I$5:$I$506,MATCH(G648,Events!$A$5:$A$506,0)),att_offset,MATCH(G648,Attendance!$B$3:$AY$3,0),attendees,COUNTIF(INDEX(Attendance!$B$7:$AY$206,0,att_offset),"1"),IF(ev_split="Equal Split",ev_cost/MAX(1,COUNTA(Roster!$A$5:$A$204)),ev_cost/MAX(1,attendees))),"N/A"))</f>
        <v/>
      </c>
    </row>
    <row r="649" ht="19.5" customHeight="1">
      <c r="A649" s="50"/>
      <c r="B649" s="53"/>
      <c r="C649" s="53"/>
      <c r="D649" s="53"/>
      <c r="E649" s="53"/>
      <c r="F649" s="55"/>
      <c r="G649" s="53"/>
      <c r="H649" s="53"/>
      <c r="I649" s="53"/>
      <c r="J649" s="44" t="str">
        <f t="array" ref="J649">IF(G649="","",IFERROR(LET(ev_cost,INDEX(Events!$G$5:$G$506,MATCH(G649,Events!$A$5:$A$506,0)),ev_split,INDEX(Events!$I$5:$I$506,MATCH(G649,Events!$A$5:$A$506,0)),att_offset,MATCH(G649,Attendance!$B$3:$AY$3,0),attendees,COUNTIF(INDEX(Attendance!$B$7:$AY$206,0,att_offset),"1"),IF(ev_split="Equal Split",ev_cost/MAX(1,COUNTA(Roster!$A$5:$A$204)),ev_cost/MAX(1,attendees))),"N/A"))</f>
        <v/>
      </c>
    </row>
    <row r="650" ht="19.5" customHeight="1">
      <c r="A650" s="46"/>
      <c r="B650" s="49"/>
      <c r="C650" s="49"/>
      <c r="D650" s="49"/>
      <c r="E650" s="49"/>
      <c r="F650" s="54"/>
      <c r="G650" s="49"/>
      <c r="H650" s="49"/>
      <c r="I650" s="49"/>
      <c r="J650" s="44" t="str">
        <f t="array" ref="J650">IF(G650="","",IFERROR(LET(ev_cost,INDEX(Events!$G$5:$G$506,MATCH(G650,Events!$A$5:$A$506,0)),ev_split,INDEX(Events!$I$5:$I$506,MATCH(G650,Events!$A$5:$A$506,0)),att_offset,MATCH(G650,Attendance!$B$3:$AY$3,0),attendees,COUNTIF(INDEX(Attendance!$B$7:$AY$206,0,att_offset),"1"),IF(ev_split="Equal Split",ev_cost/MAX(1,COUNTA(Roster!$A$5:$A$204)),ev_cost/MAX(1,attendees))),"N/A"))</f>
        <v/>
      </c>
    </row>
    <row r="651" ht="19.5" customHeight="1">
      <c r="A651" s="50"/>
      <c r="B651" s="53"/>
      <c r="C651" s="53"/>
      <c r="D651" s="53"/>
      <c r="E651" s="53"/>
      <c r="F651" s="55"/>
      <c r="G651" s="53"/>
      <c r="H651" s="53"/>
      <c r="I651" s="53"/>
      <c r="J651" s="44" t="str">
        <f t="array" ref="J651">IF(G651="","",IFERROR(LET(ev_cost,INDEX(Events!$G$5:$G$506,MATCH(G651,Events!$A$5:$A$506,0)),ev_split,INDEX(Events!$I$5:$I$506,MATCH(G651,Events!$A$5:$A$506,0)),att_offset,MATCH(G651,Attendance!$B$3:$AY$3,0),attendees,COUNTIF(INDEX(Attendance!$B$7:$AY$206,0,att_offset),"1"),IF(ev_split="Equal Split",ev_cost/MAX(1,COUNTA(Roster!$A$5:$A$204)),ev_cost/MAX(1,attendees))),"N/A"))</f>
        <v/>
      </c>
    </row>
    <row r="652" ht="19.5" customHeight="1">
      <c r="A652" s="46"/>
      <c r="B652" s="49"/>
      <c r="C652" s="49"/>
      <c r="D652" s="49"/>
      <c r="E652" s="49"/>
      <c r="F652" s="54"/>
      <c r="G652" s="49"/>
      <c r="H652" s="49"/>
      <c r="I652" s="49"/>
      <c r="J652" s="44" t="str">
        <f t="array" ref="J652">IF(G652="","",IFERROR(LET(ev_cost,INDEX(Events!$G$5:$G$506,MATCH(G652,Events!$A$5:$A$506,0)),ev_split,INDEX(Events!$I$5:$I$506,MATCH(G652,Events!$A$5:$A$506,0)),att_offset,MATCH(G652,Attendance!$B$3:$AY$3,0),attendees,COUNTIF(INDEX(Attendance!$B$7:$AY$206,0,att_offset),"1"),IF(ev_split="Equal Split",ev_cost/MAX(1,COUNTA(Roster!$A$5:$A$204)),ev_cost/MAX(1,attendees))),"N/A"))</f>
        <v/>
      </c>
    </row>
    <row r="653" ht="19.5" customHeight="1">
      <c r="A653" s="50"/>
      <c r="B653" s="53"/>
      <c r="C653" s="53"/>
      <c r="D653" s="53"/>
      <c r="E653" s="53"/>
      <c r="F653" s="55"/>
      <c r="G653" s="53"/>
      <c r="H653" s="53"/>
      <c r="I653" s="53"/>
      <c r="J653" s="44" t="str">
        <f t="array" ref="J653">IF(G653="","",IFERROR(LET(ev_cost,INDEX(Events!$G$5:$G$506,MATCH(G653,Events!$A$5:$A$506,0)),ev_split,INDEX(Events!$I$5:$I$506,MATCH(G653,Events!$A$5:$A$506,0)),att_offset,MATCH(G653,Attendance!$B$3:$AY$3,0),attendees,COUNTIF(INDEX(Attendance!$B$7:$AY$206,0,att_offset),"1"),IF(ev_split="Equal Split",ev_cost/MAX(1,COUNTA(Roster!$A$5:$A$204)),ev_cost/MAX(1,attendees))),"N/A"))</f>
        <v/>
      </c>
    </row>
    <row r="654" ht="19.5" customHeight="1">
      <c r="A654" s="46"/>
      <c r="B654" s="49"/>
      <c r="C654" s="49"/>
      <c r="D654" s="49"/>
      <c r="E654" s="49"/>
      <c r="F654" s="54"/>
      <c r="G654" s="49"/>
      <c r="H654" s="49"/>
      <c r="I654" s="49"/>
      <c r="J654" s="44" t="str">
        <f t="array" ref="J654">IF(G654="","",IFERROR(LET(ev_cost,INDEX(Events!$G$5:$G$506,MATCH(G654,Events!$A$5:$A$506,0)),ev_split,INDEX(Events!$I$5:$I$506,MATCH(G654,Events!$A$5:$A$506,0)),att_offset,MATCH(G654,Attendance!$B$3:$AY$3,0),attendees,COUNTIF(INDEX(Attendance!$B$7:$AY$206,0,att_offset),"1"),IF(ev_split="Equal Split",ev_cost/MAX(1,COUNTA(Roster!$A$5:$A$204)),ev_cost/MAX(1,attendees))),"N/A"))</f>
        <v/>
      </c>
    </row>
    <row r="655" ht="19.5" customHeight="1">
      <c r="A655" s="50"/>
      <c r="B655" s="53"/>
      <c r="C655" s="53"/>
      <c r="D655" s="53"/>
      <c r="E655" s="53"/>
      <c r="F655" s="55"/>
      <c r="G655" s="53"/>
      <c r="H655" s="53"/>
      <c r="I655" s="53"/>
      <c r="J655" s="44" t="str">
        <f t="array" ref="J655">IF(G655="","",IFERROR(LET(ev_cost,INDEX(Events!$G$5:$G$506,MATCH(G655,Events!$A$5:$A$506,0)),ev_split,INDEX(Events!$I$5:$I$506,MATCH(G655,Events!$A$5:$A$506,0)),att_offset,MATCH(G655,Attendance!$B$3:$AY$3,0),attendees,COUNTIF(INDEX(Attendance!$B$7:$AY$206,0,att_offset),"1"),IF(ev_split="Equal Split",ev_cost/MAX(1,COUNTA(Roster!$A$5:$A$204)),ev_cost/MAX(1,attendees))),"N/A"))</f>
        <v/>
      </c>
    </row>
    <row r="656" ht="19.5" customHeight="1">
      <c r="A656" s="46"/>
      <c r="B656" s="49"/>
      <c r="C656" s="49"/>
      <c r="D656" s="49"/>
      <c r="E656" s="49"/>
      <c r="F656" s="54"/>
      <c r="G656" s="49"/>
      <c r="H656" s="49"/>
      <c r="I656" s="49"/>
      <c r="J656" s="44" t="str">
        <f t="array" ref="J656">IF(G656="","",IFERROR(LET(ev_cost,INDEX(Events!$G$5:$G$506,MATCH(G656,Events!$A$5:$A$506,0)),ev_split,INDEX(Events!$I$5:$I$506,MATCH(G656,Events!$A$5:$A$506,0)),att_offset,MATCH(G656,Attendance!$B$3:$AY$3,0),attendees,COUNTIF(INDEX(Attendance!$B$7:$AY$206,0,att_offset),"1"),IF(ev_split="Equal Split",ev_cost/MAX(1,COUNTA(Roster!$A$5:$A$204)),ev_cost/MAX(1,attendees))),"N/A"))</f>
        <v/>
      </c>
    </row>
    <row r="657" ht="19.5" customHeight="1">
      <c r="A657" s="50"/>
      <c r="B657" s="53"/>
      <c r="C657" s="53"/>
      <c r="D657" s="53"/>
      <c r="E657" s="53"/>
      <c r="F657" s="55"/>
      <c r="G657" s="53"/>
      <c r="H657" s="53"/>
      <c r="I657" s="53"/>
      <c r="J657" s="44" t="str">
        <f t="array" ref="J657">IF(G657="","",IFERROR(LET(ev_cost,INDEX(Events!$G$5:$G$506,MATCH(G657,Events!$A$5:$A$506,0)),ev_split,INDEX(Events!$I$5:$I$506,MATCH(G657,Events!$A$5:$A$506,0)),att_offset,MATCH(G657,Attendance!$B$3:$AY$3,0),attendees,COUNTIF(INDEX(Attendance!$B$7:$AY$206,0,att_offset),"1"),IF(ev_split="Equal Split",ev_cost/MAX(1,COUNTA(Roster!$A$5:$A$204)),ev_cost/MAX(1,attendees))),"N/A"))</f>
        <v/>
      </c>
    </row>
    <row r="658" ht="19.5" customHeight="1">
      <c r="A658" s="46"/>
      <c r="B658" s="49"/>
      <c r="C658" s="49"/>
      <c r="D658" s="49"/>
      <c r="E658" s="49"/>
      <c r="F658" s="54"/>
      <c r="G658" s="49"/>
      <c r="H658" s="49"/>
      <c r="I658" s="49"/>
      <c r="J658" s="44" t="str">
        <f t="array" ref="J658">IF(G658="","",IFERROR(LET(ev_cost,INDEX(Events!$G$5:$G$506,MATCH(G658,Events!$A$5:$A$506,0)),ev_split,INDEX(Events!$I$5:$I$506,MATCH(G658,Events!$A$5:$A$506,0)),att_offset,MATCH(G658,Attendance!$B$3:$AY$3,0),attendees,COUNTIF(INDEX(Attendance!$B$7:$AY$206,0,att_offset),"1"),IF(ev_split="Equal Split",ev_cost/MAX(1,COUNTA(Roster!$A$5:$A$204)),ev_cost/MAX(1,attendees))),"N/A"))</f>
        <v/>
      </c>
    </row>
    <row r="659" ht="19.5" customHeight="1">
      <c r="A659" s="50"/>
      <c r="B659" s="53"/>
      <c r="C659" s="53"/>
      <c r="D659" s="53"/>
      <c r="E659" s="53"/>
      <c r="F659" s="55"/>
      <c r="G659" s="53"/>
      <c r="H659" s="53"/>
      <c r="I659" s="53"/>
      <c r="J659" s="44" t="str">
        <f t="array" ref="J659">IF(G659="","",IFERROR(LET(ev_cost,INDEX(Events!$G$5:$G$506,MATCH(G659,Events!$A$5:$A$506,0)),ev_split,INDEX(Events!$I$5:$I$506,MATCH(G659,Events!$A$5:$A$506,0)),att_offset,MATCH(G659,Attendance!$B$3:$AY$3,0),attendees,COUNTIF(INDEX(Attendance!$B$7:$AY$206,0,att_offset),"1"),IF(ev_split="Equal Split",ev_cost/MAX(1,COUNTA(Roster!$A$5:$A$204)),ev_cost/MAX(1,attendees))),"N/A"))</f>
        <v/>
      </c>
    </row>
    <row r="660" ht="19.5" customHeight="1">
      <c r="A660" s="46"/>
      <c r="B660" s="49"/>
      <c r="C660" s="49"/>
      <c r="D660" s="49"/>
      <c r="E660" s="49"/>
      <c r="F660" s="54"/>
      <c r="G660" s="49"/>
      <c r="H660" s="49"/>
      <c r="I660" s="49"/>
      <c r="J660" s="44" t="str">
        <f t="array" ref="J660">IF(G660="","",IFERROR(LET(ev_cost,INDEX(Events!$G$5:$G$506,MATCH(G660,Events!$A$5:$A$506,0)),ev_split,INDEX(Events!$I$5:$I$506,MATCH(G660,Events!$A$5:$A$506,0)),att_offset,MATCH(G660,Attendance!$B$3:$AY$3,0),attendees,COUNTIF(INDEX(Attendance!$B$7:$AY$206,0,att_offset),"1"),IF(ev_split="Equal Split",ev_cost/MAX(1,COUNTA(Roster!$A$5:$A$204)),ev_cost/MAX(1,attendees))),"N/A"))</f>
        <v/>
      </c>
    </row>
    <row r="661" ht="19.5" customHeight="1">
      <c r="A661" s="50"/>
      <c r="B661" s="53"/>
      <c r="C661" s="53"/>
      <c r="D661" s="53"/>
      <c r="E661" s="53"/>
      <c r="F661" s="55"/>
      <c r="G661" s="53"/>
      <c r="H661" s="53"/>
      <c r="I661" s="53"/>
      <c r="J661" s="44" t="str">
        <f t="array" ref="J661">IF(G661="","",IFERROR(LET(ev_cost,INDEX(Events!$G$5:$G$506,MATCH(G661,Events!$A$5:$A$506,0)),ev_split,INDEX(Events!$I$5:$I$506,MATCH(G661,Events!$A$5:$A$506,0)),att_offset,MATCH(G661,Attendance!$B$3:$AY$3,0),attendees,COUNTIF(INDEX(Attendance!$B$7:$AY$206,0,att_offset),"1"),IF(ev_split="Equal Split",ev_cost/MAX(1,COUNTA(Roster!$A$5:$A$204)),ev_cost/MAX(1,attendees))),"N/A"))</f>
        <v/>
      </c>
    </row>
    <row r="662" ht="19.5" customHeight="1">
      <c r="A662" s="46"/>
      <c r="B662" s="49"/>
      <c r="C662" s="49"/>
      <c r="D662" s="49"/>
      <c r="E662" s="49"/>
      <c r="F662" s="54"/>
      <c r="G662" s="49"/>
      <c r="H662" s="49"/>
      <c r="I662" s="49"/>
      <c r="J662" s="44" t="str">
        <f t="array" ref="J662">IF(G662="","",IFERROR(LET(ev_cost,INDEX(Events!$G$5:$G$506,MATCH(G662,Events!$A$5:$A$506,0)),ev_split,INDEX(Events!$I$5:$I$506,MATCH(G662,Events!$A$5:$A$506,0)),att_offset,MATCH(G662,Attendance!$B$3:$AY$3,0),attendees,COUNTIF(INDEX(Attendance!$B$7:$AY$206,0,att_offset),"1"),IF(ev_split="Equal Split",ev_cost/MAX(1,COUNTA(Roster!$A$5:$A$204)),ev_cost/MAX(1,attendees))),"N/A"))</f>
        <v/>
      </c>
    </row>
    <row r="663" ht="19.5" customHeight="1">
      <c r="A663" s="50"/>
      <c r="B663" s="53"/>
      <c r="C663" s="53"/>
      <c r="D663" s="53"/>
      <c r="E663" s="53"/>
      <c r="F663" s="55"/>
      <c r="G663" s="53"/>
      <c r="H663" s="53"/>
      <c r="I663" s="53"/>
      <c r="J663" s="44" t="str">
        <f t="array" ref="J663">IF(G663="","",IFERROR(LET(ev_cost,INDEX(Events!$G$5:$G$506,MATCH(G663,Events!$A$5:$A$506,0)),ev_split,INDEX(Events!$I$5:$I$506,MATCH(G663,Events!$A$5:$A$506,0)),att_offset,MATCH(G663,Attendance!$B$3:$AY$3,0),attendees,COUNTIF(INDEX(Attendance!$B$7:$AY$206,0,att_offset),"1"),IF(ev_split="Equal Split",ev_cost/MAX(1,COUNTA(Roster!$A$5:$A$204)),ev_cost/MAX(1,attendees))),"N/A"))</f>
        <v/>
      </c>
    </row>
    <row r="664" ht="19.5" customHeight="1">
      <c r="A664" s="46"/>
      <c r="B664" s="49"/>
      <c r="C664" s="49"/>
      <c r="D664" s="49"/>
      <c r="E664" s="49"/>
      <c r="F664" s="54"/>
      <c r="G664" s="49"/>
      <c r="H664" s="49"/>
      <c r="I664" s="49"/>
      <c r="J664" s="44" t="str">
        <f t="array" ref="J664">IF(G664="","",IFERROR(LET(ev_cost,INDEX(Events!$G$5:$G$506,MATCH(G664,Events!$A$5:$A$506,0)),ev_split,INDEX(Events!$I$5:$I$506,MATCH(G664,Events!$A$5:$A$506,0)),att_offset,MATCH(G664,Attendance!$B$3:$AY$3,0),attendees,COUNTIF(INDEX(Attendance!$B$7:$AY$206,0,att_offset),"1"),IF(ev_split="Equal Split",ev_cost/MAX(1,COUNTA(Roster!$A$5:$A$204)),ev_cost/MAX(1,attendees))),"N/A"))</f>
        <v/>
      </c>
    </row>
    <row r="665" ht="19.5" customHeight="1">
      <c r="A665" s="50"/>
      <c r="B665" s="53"/>
      <c r="C665" s="53"/>
      <c r="D665" s="53"/>
      <c r="E665" s="53"/>
      <c r="F665" s="55"/>
      <c r="G665" s="53"/>
      <c r="H665" s="53"/>
      <c r="I665" s="53"/>
      <c r="J665" s="44" t="str">
        <f t="array" ref="J665">IF(G665="","",IFERROR(LET(ev_cost,INDEX(Events!$G$5:$G$506,MATCH(G665,Events!$A$5:$A$506,0)),ev_split,INDEX(Events!$I$5:$I$506,MATCH(G665,Events!$A$5:$A$506,0)),att_offset,MATCH(G665,Attendance!$B$3:$AY$3,0),attendees,COUNTIF(INDEX(Attendance!$B$7:$AY$206,0,att_offset),"1"),IF(ev_split="Equal Split",ev_cost/MAX(1,COUNTA(Roster!$A$5:$A$204)),ev_cost/MAX(1,attendees))),"N/A"))</f>
        <v/>
      </c>
    </row>
    <row r="666" ht="19.5" customHeight="1">
      <c r="A666" s="46"/>
      <c r="B666" s="49"/>
      <c r="C666" s="49"/>
      <c r="D666" s="49"/>
      <c r="E666" s="49"/>
      <c r="F666" s="54"/>
      <c r="G666" s="49"/>
      <c r="H666" s="49"/>
      <c r="I666" s="49"/>
      <c r="J666" s="44" t="str">
        <f t="array" ref="J666">IF(G666="","",IFERROR(LET(ev_cost,INDEX(Events!$G$5:$G$506,MATCH(G666,Events!$A$5:$A$506,0)),ev_split,INDEX(Events!$I$5:$I$506,MATCH(G666,Events!$A$5:$A$506,0)),att_offset,MATCH(G666,Attendance!$B$3:$AY$3,0),attendees,COUNTIF(INDEX(Attendance!$B$7:$AY$206,0,att_offset),"1"),IF(ev_split="Equal Split",ev_cost/MAX(1,COUNTA(Roster!$A$5:$A$204)),ev_cost/MAX(1,attendees))),"N/A"))</f>
        <v/>
      </c>
    </row>
    <row r="667" ht="19.5" customHeight="1">
      <c r="A667" s="50"/>
      <c r="B667" s="53"/>
      <c r="C667" s="53"/>
      <c r="D667" s="53"/>
      <c r="E667" s="53"/>
      <c r="F667" s="55"/>
      <c r="G667" s="53"/>
      <c r="H667" s="53"/>
      <c r="I667" s="53"/>
      <c r="J667" s="44" t="str">
        <f t="array" ref="J667">IF(G667="","",IFERROR(LET(ev_cost,INDEX(Events!$G$5:$G$506,MATCH(G667,Events!$A$5:$A$506,0)),ev_split,INDEX(Events!$I$5:$I$506,MATCH(G667,Events!$A$5:$A$506,0)),att_offset,MATCH(G667,Attendance!$B$3:$AY$3,0),attendees,COUNTIF(INDEX(Attendance!$B$7:$AY$206,0,att_offset),"1"),IF(ev_split="Equal Split",ev_cost/MAX(1,COUNTA(Roster!$A$5:$A$204)),ev_cost/MAX(1,attendees))),"N/A"))</f>
        <v/>
      </c>
    </row>
    <row r="668" ht="19.5" customHeight="1">
      <c r="A668" s="46"/>
      <c r="B668" s="49"/>
      <c r="C668" s="49"/>
      <c r="D668" s="49"/>
      <c r="E668" s="49"/>
      <c r="F668" s="54"/>
      <c r="G668" s="49"/>
      <c r="H668" s="49"/>
      <c r="I668" s="49"/>
      <c r="J668" s="44" t="str">
        <f t="array" ref="J668">IF(G668="","",IFERROR(LET(ev_cost,INDEX(Events!$G$5:$G$506,MATCH(G668,Events!$A$5:$A$506,0)),ev_split,INDEX(Events!$I$5:$I$506,MATCH(G668,Events!$A$5:$A$506,0)),att_offset,MATCH(G668,Attendance!$B$3:$AY$3,0),attendees,COUNTIF(INDEX(Attendance!$B$7:$AY$206,0,att_offset),"1"),IF(ev_split="Equal Split",ev_cost/MAX(1,COUNTA(Roster!$A$5:$A$204)),ev_cost/MAX(1,attendees))),"N/A"))</f>
        <v/>
      </c>
    </row>
    <row r="669" ht="19.5" customHeight="1">
      <c r="A669" s="50"/>
      <c r="B669" s="53"/>
      <c r="C669" s="53"/>
      <c r="D669" s="53"/>
      <c r="E669" s="53"/>
      <c r="F669" s="55"/>
      <c r="G669" s="53"/>
      <c r="H669" s="53"/>
      <c r="I669" s="53"/>
      <c r="J669" s="44" t="str">
        <f t="array" ref="J669">IF(G669="","",IFERROR(LET(ev_cost,INDEX(Events!$G$5:$G$506,MATCH(G669,Events!$A$5:$A$506,0)),ev_split,INDEX(Events!$I$5:$I$506,MATCH(G669,Events!$A$5:$A$506,0)),att_offset,MATCH(G669,Attendance!$B$3:$AY$3,0),attendees,COUNTIF(INDEX(Attendance!$B$7:$AY$206,0,att_offset),"1"),IF(ev_split="Equal Split",ev_cost/MAX(1,COUNTA(Roster!$A$5:$A$204)),ev_cost/MAX(1,attendees))),"N/A"))</f>
        <v/>
      </c>
    </row>
    <row r="670" ht="19.5" customHeight="1">
      <c r="A670" s="46"/>
      <c r="B670" s="49"/>
      <c r="C670" s="49"/>
      <c r="D670" s="49"/>
      <c r="E670" s="49"/>
      <c r="F670" s="54"/>
      <c r="G670" s="49"/>
      <c r="H670" s="49"/>
      <c r="I670" s="49"/>
      <c r="J670" s="44" t="str">
        <f t="array" ref="J670">IF(G670="","",IFERROR(LET(ev_cost,INDEX(Events!$G$5:$G$506,MATCH(G670,Events!$A$5:$A$506,0)),ev_split,INDEX(Events!$I$5:$I$506,MATCH(G670,Events!$A$5:$A$506,0)),att_offset,MATCH(G670,Attendance!$B$3:$AY$3,0),attendees,COUNTIF(INDEX(Attendance!$B$7:$AY$206,0,att_offset),"1"),IF(ev_split="Equal Split",ev_cost/MAX(1,COUNTA(Roster!$A$5:$A$204)),ev_cost/MAX(1,attendees))),"N/A"))</f>
        <v/>
      </c>
    </row>
    <row r="671" ht="19.5" customHeight="1">
      <c r="A671" s="50"/>
      <c r="B671" s="53"/>
      <c r="C671" s="53"/>
      <c r="D671" s="53"/>
      <c r="E671" s="53"/>
      <c r="F671" s="55"/>
      <c r="G671" s="53"/>
      <c r="H671" s="53"/>
      <c r="I671" s="53"/>
      <c r="J671" s="44" t="str">
        <f t="array" ref="J671">IF(G671="","",IFERROR(LET(ev_cost,INDEX(Events!$G$5:$G$506,MATCH(G671,Events!$A$5:$A$506,0)),ev_split,INDEX(Events!$I$5:$I$506,MATCH(G671,Events!$A$5:$A$506,0)),att_offset,MATCH(G671,Attendance!$B$3:$AY$3,0),attendees,COUNTIF(INDEX(Attendance!$B$7:$AY$206,0,att_offset),"1"),IF(ev_split="Equal Split",ev_cost/MAX(1,COUNTA(Roster!$A$5:$A$204)),ev_cost/MAX(1,attendees))),"N/A"))</f>
        <v/>
      </c>
    </row>
    <row r="672" ht="19.5" customHeight="1">
      <c r="A672" s="46"/>
      <c r="B672" s="49"/>
      <c r="C672" s="49"/>
      <c r="D672" s="49"/>
      <c r="E672" s="49"/>
      <c r="F672" s="54"/>
      <c r="G672" s="49"/>
      <c r="H672" s="49"/>
      <c r="I672" s="49"/>
      <c r="J672" s="44" t="str">
        <f t="array" ref="J672">IF(G672="","",IFERROR(LET(ev_cost,INDEX(Events!$G$5:$G$506,MATCH(G672,Events!$A$5:$A$506,0)),ev_split,INDEX(Events!$I$5:$I$506,MATCH(G672,Events!$A$5:$A$506,0)),att_offset,MATCH(G672,Attendance!$B$3:$AY$3,0),attendees,COUNTIF(INDEX(Attendance!$B$7:$AY$206,0,att_offset),"1"),IF(ev_split="Equal Split",ev_cost/MAX(1,COUNTA(Roster!$A$5:$A$204)),ev_cost/MAX(1,attendees))),"N/A"))</f>
        <v/>
      </c>
    </row>
    <row r="673" ht="19.5" customHeight="1">
      <c r="A673" s="50"/>
      <c r="B673" s="53"/>
      <c r="C673" s="53"/>
      <c r="D673" s="53"/>
      <c r="E673" s="53"/>
      <c r="F673" s="55"/>
      <c r="G673" s="53"/>
      <c r="H673" s="53"/>
      <c r="I673" s="53"/>
      <c r="J673" s="44" t="str">
        <f t="array" ref="J673">IF(G673="","",IFERROR(LET(ev_cost,INDEX(Events!$G$5:$G$506,MATCH(G673,Events!$A$5:$A$506,0)),ev_split,INDEX(Events!$I$5:$I$506,MATCH(G673,Events!$A$5:$A$506,0)),att_offset,MATCH(G673,Attendance!$B$3:$AY$3,0),attendees,COUNTIF(INDEX(Attendance!$B$7:$AY$206,0,att_offset),"1"),IF(ev_split="Equal Split",ev_cost/MAX(1,COUNTA(Roster!$A$5:$A$204)),ev_cost/MAX(1,attendees))),"N/A"))</f>
        <v/>
      </c>
    </row>
    <row r="674" ht="19.5" customHeight="1">
      <c r="A674" s="46"/>
      <c r="B674" s="49"/>
      <c r="C674" s="49"/>
      <c r="D674" s="49"/>
      <c r="E674" s="49"/>
      <c r="F674" s="54"/>
      <c r="G674" s="49"/>
      <c r="H674" s="49"/>
      <c r="I674" s="49"/>
      <c r="J674" s="44" t="str">
        <f t="array" ref="J674">IF(G674="","",IFERROR(LET(ev_cost,INDEX(Events!$G$5:$G$506,MATCH(G674,Events!$A$5:$A$506,0)),ev_split,INDEX(Events!$I$5:$I$506,MATCH(G674,Events!$A$5:$A$506,0)),att_offset,MATCH(G674,Attendance!$B$3:$AY$3,0),attendees,COUNTIF(INDEX(Attendance!$B$7:$AY$206,0,att_offset),"1"),IF(ev_split="Equal Split",ev_cost/MAX(1,COUNTA(Roster!$A$5:$A$204)),ev_cost/MAX(1,attendees))),"N/A"))</f>
        <v/>
      </c>
    </row>
    <row r="675" ht="19.5" customHeight="1">
      <c r="A675" s="50"/>
      <c r="B675" s="53"/>
      <c r="C675" s="53"/>
      <c r="D675" s="53"/>
      <c r="E675" s="53"/>
      <c r="F675" s="55"/>
      <c r="G675" s="53"/>
      <c r="H675" s="53"/>
      <c r="I675" s="53"/>
      <c r="J675" s="44" t="str">
        <f t="array" ref="J675">IF(G675="","",IFERROR(LET(ev_cost,INDEX(Events!$G$5:$G$506,MATCH(G675,Events!$A$5:$A$506,0)),ev_split,INDEX(Events!$I$5:$I$506,MATCH(G675,Events!$A$5:$A$506,0)),att_offset,MATCH(G675,Attendance!$B$3:$AY$3,0),attendees,COUNTIF(INDEX(Attendance!$B$7:$AY$206,0,att_offset),"1"),IF(ev_split="Equal Split",ev_cost/MAX(1,COUNTA(Roster!$A$5:$A$204)),ev_cost/MAX(1,attendees))),"N/A"))</f>
        <v/>
      </c>
    </row>
    <row r="676" ht="19.5" customHeight="1">
      <c r="A676" s="46"/>
      <c r="B676" s="49"/>
      <c r="C676" s="49"/>
      <c r="D676" s="49"/>
      <c r="E676" s="49"/>
      <c r="F676" s="54"/>
      <c r="G676" s="49"/>
      <c r="H676" s="49"/>
      <c r="I676" s="49"/>
      <c r="J676" s="44" t="str">
        <f t="array" ref="J676">IF(G676="","",IFERROR(LET(ev_cost,INDEX(Events!$G$5:$G$506,MATCH(G676,Events!$A$5:$A$506,0)),ev_split,INDEX(Events!$I$5:$I$506,MATCH(G676,Events!$A$5:$A$506,0)),att_offset,MATCH(G676,Attendance!$B$3:$AY$3,0),attendees,COUNTIF(INDEX(Attendance!$B$7:$AY$206,0,att_offset),"1"),IF(ev_split="Equal Split",ev_cost/MAX(1,COUNTA(Roster!$A$5:$A$204)),ev_cost/MAX(1,attendees))),"N/A"))</f>
        <v/>
      </c>
    </row>
    <row r="677" ht="19.5" customHeight="1">
      <c r="A677" s="50"/>
      <c r="B677" s="53"/>
      <c r="C677" s="53"/>
      <c r="D677" s="53"/>
      <c r="E677" s="53"/>
      <c r="F677" s="55"/>
      <c r="G677" s="53"/>
      <c r="H677" s="53"/>
      <c r="I677" s="53"/>
      <c r="J677" s="44" t="str">
        <f t="array" ref="J677">IF(G677="","",IFERROR(LET(ev_cost,INDEX(Events!$G$5:$G$506,MATCH(G677,Events!$A$5:$A$506,0)),ev_split,INDEX(Events!$I$5:$I$506,MATCH(G677,Events!$A$5:$A$506,0)),att_offset,MATCH(G677,Attendance!$B$3:$AY$3,0),attendees,COUNTIF(INDEX(Attendance!$B$7:$AY$206,0,att_offset),"1"),IF(ev_split="Equal Split",ev_cost/MAX(1,COUNTA(Roster!$A$5:$A$204)),ev_cost/MAX(1,attendees))),"N/A"))</f>
        <v/>
      </c>
    </row>
    <row r="678" ht="19.5" customHeight="1">
      <c r="A678" s="46"/>
      <c r="B678" s="49"/>
      <c r="C678" s="49"/>
      <c r="D678" s="49"/>
      <c r="E678" s="49"/>
      <c r="F678" s="54"/>
      <c r="G678" s="49"/>
      <c r="H678" s="49"/>
      <c r="I678" s="49"/>
      <c r="J678" s="44" t="str">
        <f t="array" ref="J678">IF(G678="","",IFERROR(LET(ev_cost,INDEX(Events!$G$5:$G$506,MATCH(G678,Events!$A$5:$A$506,0)),ev_split,INDEX(Events!$I$5:$I$506,MATCH(G678,Events!$A$5:$A$506,0)),att_offset,MATCH(G678,Attendance!$B$3:$AY$3,0),attendees,COUNTIF(INDEX(Attendance!$B$7:$AY$206,0,att_offset),"1"),IF(ev_split="Equal Split",ev_cost/MAX(1,COUNTA(Roster!$A$5:$A$204)),ev_cost/MAX(1,attendees))),"N/A"))</f>
        <v/>
      </c>
    </row>
    <row r="679" ht="19.5" customHeight="1">
      <c r="A679" s="50"/>
      <c r="B679" s="53"/>
      <c r="C679" s="53"/>
      <c r="D679" s="53"/>
      <c r="E679" s="53"/>
      <c r="F679" s="55"/>
      <c r="G679" s="53"/>
      <c r="H679" s="53"/>
      <c r="I679" s="53"/>
      <c r="J679" s="44" t="str">
        <f t="array" ref="J679">IF(G679="","",IFERROR(LET(ev_cost,INDEX(Events!$G$5:$G$506,MATCH(G679,Events!$A$5:$A$506,0)),ev_split,INDEX(Events!$I$5:$I$506,MATCH(G679,Events!$A$5:$A$506,0)),att_offset,MATCH(G679,Attendance!$B$3:$AY$3,0),attendees,COUNTIF(INDEX(Attendance!$B$7:$AY$206,0,att_offset),"1"),IF(ev_split="Equal Split",ev_cost/MAX(1,COUNTA(Roster!$A$5:$A$204)),ev_cost/MAX(1,attendees))),"N/A"))</f>
        <v/>
      </c>
    </row>
    <row r="680" ht="19.5" customHeight="1">
      <c r="A680" s="46"/>
      <c r="B680" s="49"/>
      <c r="C680" s="49"/>
      <c r="D680" s="49"/>
      <c r="E680" s="49"/>
      <c r="F680" s="54"/>
      <c r="G680" s="49"/>
      <c r="H680" s="49"/>
      <c r="I680" s="49"/>
      <c r="J680" s="44" t="str">
        <f t="array" ref="J680">IF(G680="","",IFERROR(LET(ev_cost,INDEX(Events!$G$5:$G$506,MATCH(G680,Events!$A$5:$A$506,0)),ev_split,INDEX(Events!$I$5:$I$506,MATCH(G680,Events!$A$5:$A$506,0)),att_offset,MATCH(G680,Attendance!$B$3:$AY$3,0),attendees,COUNTIF(INDEX(Attendance!$B$7:$AY$206,0,att_offset),"1"),IF(ev_split="Equal Split",ev_cost/MAX(1,COUNTA(Roster!$A$5:$A$204)),ev_cost/MAX(1,attendees))),"N/A"))</f>
        <v/>
      </c>
    </row>
    <row r="681" ht="19.5" customHeight="1">
      <c r="A681" s="50"/>
      <c r="B681" s="53"/>
      <c r="C681" s="53"/>
      <c r="D681" s="53"/>
      <c r="E681" s="53"/>
      <c r="F681" s="55"/>
      <c r="G681" s="53"/>
      <c r="H681" s="53"/>
      <c r="I681" s="53"/>
      <c r="J681" s="44" t="str">
        <f t="array" ref="J681">IF(G681="","",IFERROR(LET(ev_cost,INDEX(Events!$G$5:$G$506,MATCH(G681,Events!$A$5:$A$506,0)),ev_split,INDEX(Events!$I$5:$I$506,MATCH(G681,Events!$A$5:$A$506,0)),att_offset,MATCH(G681,Attendance!$B$3:$AY$3,0),attendees,COUNTIF(INDEX(Attendance!$B$7:$AY$206,0,att_offset),"1"),IF(ev_split="Equal Split",ev_cost/MAX(1,COUNTA(Roster!$A$5:$A$204)),ev_cost/MAX(1,attendees))),"N/A"))</f>
        <v/>
      </c>
    </row>
    <row r="682" ht="19.5" customHeight="1">
      <c r="A682" s="46"/>
      <c r="B682" s="49"/>
      <c r="C682" s="49"/>
      <c r="D682" s="49"/>
      <c r="E682" s="49"/>
      <c r="F682" s="54"/>
      <c r="G682" s="49"/>
      <c r="H682" s="49"/>
      <c r="I682" s="49"/>
      <c r="J682" s="44" t="str">
        <f t="array" ref="J682">IF(G682="","",IFERROR(LET(ev_cost,INDEX(Events!$G$5:$G$506,MATCH(G682,Events!$A$5:$A$506,0)),ev_split,INDEX(Events!$I$5:$I$506,MATCH(G682,Events!$A$5:$A$506,0)),att_offset,MATCH(G682,Attendance!$B$3:$AY$3,0),attendees,COUNTIF(INDEX(Attendance!$B$7:$AY$206,0,att_offset),"1"),IF(ev_split="Equal Split",ev_cost/MAX(1,COUNTA(Roster!$A$5:$A$204)),ev_cost/MAX(1,attendees))),"N/A"))</f>
        <v/>
      </c>
    </row>
    <row r="683" ht="19.5" customHeight="1">
      <c r="A683" s="50"/>
      <c r="B683" s="53"/>
      <c r="C683" s="53"/>
      <c r="D683" s="53"/>
      <c r="E683" s="53"/>
      <c r="F683" s="55"/>
      <c r="G683" s="53"/>
      <c r="H683" s="53"/>
      <c r="I683" s="53"/>
      <c r="J683" s="44" t="str">
        <f t="array" ref="J683">IF(G683="","",IFERROR(LET(ev_cost,INDEX(Events!$G$5:$G$506,MATCH(G683,Events!$A$5:$A$506,0)),ev_split,INDEX(Events!$I$5:$I$506,MATCH(G683,Events!$A$5:$A$506,0)),att_offset,MATCH(G683,Attendance!$B$3:$AY$3,0),attendees,COUNTIF(INDEX(Attendance!$B$7:$AY$206,0,att_offset),"1"),IF(ev_split="Equal Split",ev_cost/MAX(1,COUNTA(Roster!$A$5:$A$204)),ev_cost/MAX(1,attendees))),"N/A"))</f>
        <v/>
      </c>
    </row>
    <row r="684" ht="19.5" customHeight="1">
      <c r="A684" s="46"/>
      <c r="B684" s="49"/>
      <c r="C684" s="49"/>
      <c r="D684" s="49"/>
      <c r="E684" s="49"/>
      <c r="F684" s="54"/>
      <c r="G684" s="49"/>
      <c r="H684" s="49"/>
      <c r="I684" s="49"/>
      <c r="J684" s="44" t="str">
        <f t="array" ref="J684">IF(G684="","",IFERROR(LET(ev_cost,INDEX(Events!$G$5:$G$506,MATCH(G684,Events!$A$5:$A$506,0)),ev_split,INDEX(Events!$I$5:$I$506,MATCH(G684,Events!$A$5:$A$506,0)),att_offset,MATCH(G684,Attendance!$B$3:$AY$3,0),attendees,COUNTIF(INDEX(Attendance!$B$7:$AY$206,0,att_offset),"1"),IF(ev_split="Equal Split",ev_cost/MAX(1,COUNTA(Roster!$A$5:$A$204)),ev_cost/MAX(1,attendees))),"N/A"))</f>
        <v/>
      </c>
    </row>
    <row r="685" ht="19.5" customHeight="1">
      <c r="A685" s="50"/>
      <c r="B685" s="53"/>
      <c r="C685" s="53"/>
      <c r="D685" s="53"/>
      <c r="E685" s="53"/>
      <c r="F685" s="55"/>
      <c r="G685" s="53"/>
      <c r="H685" s="53"/>
      <c r="I685" s="53"/>
      <c r="J685" s="44" t="str">
        <f t="array" ref="J685">IF(G685="","",IFERROR(LET(ev_cost,INDEX(Events!$G$5:$G$506,MATCH(G685,Events!$A$5:$A$506,0)),ev_split,INDEX(Events!$I$5:$I$506,MATCH(G685,Events!$A$5:$A$506,0)),att_offset,MATCH(G685,Attendance!$B$3:$AY$3,0),attendees,COUNTIF(INDEX(Attendance!$B$7:$AY$206,0,att_offset),"1"),IF(ev_split="Equal Split",ev_cost/MAX(1,COUNTA(Roster!$A$5:$A$204)),ev_cost/MAX(1,attendees))),"N/A"))</f>
        <v/>
      </c>
    </row>
    <row r="686" ht="19.5" customHeight="1">
      <c r="A686" s="46"/>
      <c r="B686" s="49"/>
      <c r="C686" s="49"/>
      <c r="D686" s="49"/>
      <c r="E686" s="49"/>
      <c r="F686" s="54"/>
      <c r="G686" s="49"/>
      <c r="H686" s="49"/>
      <c r="I686" s="49"/>
      <c r="J686" s="44" t="str">
        <f t="array" ref="J686">IF(G686="","",IFERROR(LET(ev_cost,INDEX(Events!$G$5:$G$506,MATCH(G686,Events!$A$5:$A$506,0)),ev_split,INDEX(Events!$I$5:$I$506,MATCH(G686,Events!$A$5:$A$506,0)),att_offset,MATCH(G686,Attendance!$B$3:$AY$3,0),attendees,COUNTIF(INDEX(Attendance!$B$7:$AY$206,0,att_offset),"1"),IF(ev_split="Equal Split",ev_cost/MAX(1,COUNTA(Roster!$A$5:$A$204)),ev_cost/MAX(1,attendees))),"N/A"))</f>
        <v/>
      </c>
    </row>
    <row r="687" ht="19.5" customHeight="1">
      <c r="A687" s="50"/>
      <c r="B687" s="53"/>
      <c r="C687" s="53"/>
      <c r="D687" s="53"/>
      <c r="E687" s="53"/>
      <c r="F687" s="55"/>
      <c r="G687" s="53"/>
      <c r="H687" s="53"/>
      <c r="I687" s="53"/>
      <c r="J687" s="44" t="str">
        <f t="array" ref="J687">IF(G687="","",IFERROR(LET(ev_cost,INDEX(Events!$G$5:$G$506,MATCH(G687,Events!$A$5:$A$506,0)),ev_split,INDEX(Events!$I$5:$I$506,MATCH(G687,Events!$A$5:$A$506,0)),att_offset,MATCH(G687,Attendance!$B$3:$AY$3,0),attendees,COUNTIF(INDEX(Attendance!$B$7:$AY$206,0,att_offset),"1"),IF(ev_split="Equal Split",ev_cost/MAX(1,COUNTA(Roster!$A$5:$A$204)),ev_cost/MAX(1,attendees))),"N/A"))</f>
        <v/>
      </c>
    </row>
    <row r="688" ht="19.5" customHeight="1">
      <c r="A688" s="46"/>
      <c r="B688" s="49"/>
      <c r="C688" s="49"/>
      <c r="D688" s="49"/>
      <c r="E688" s="49"/>
      <c r="F688" s="54"/>
      <c r="G688" s="49"/>
      <c r="H688" s="49"/>
      <c r="I688" s="49"/>
      <c r="J688" s="44" t="str">
        <f t="array" ref="J688">IF(G688="","",IFERROR(LET(ev_cost,INDEX(Events!$G$5:$G$506,MATCH(G688,Events!$A$5:$A$506,0)),ev_split,INDEX(Events!$I$5:$I$506,MATCH(G688,Events!$A$5:$A$506,0)),att_offset,MATCH(G688,Attendance!$B$3:$AY$3,0),attendees,COUNTIF(INDEX(Attendance!$B$7:$AY$206,0,att_offset),"1"),IF(ev_split="Equal Split",ev_cost/MAX(1,COUNTA(Roster!$A$5:$A$204)),ev_cost/MAX(1,attendees))),"N/A"))</f>
        <v/>
      </c>
    </row>
    <row r="689" ht="19.5" customHeight="1">
      <c r="A689" s="50"/>
      <c r="B689" s="53"/>
      <c r="C689" s="53"/>
      <c r="D689" s="53"/>
      <c r="E689" s="53"/>
      <c r="F689" s="55"/>
      <c r="G689" s="53"/>
      <c r="H689" s="53"/>
      <c r="I689" s="53"/>
      <c r="J689" s="44" t="str">
        <f t="array" ref="J689">IF(G689="","",IFERROR(LET(ev_cost,INDEX(Events!$G$5:$G$506,MATCH(G689,Events!$A$5:$A$506,0)),ev_split,INDEX(Events!$I$5:$I$506,MATCH(G689,Events!$A$5:$A$506,0)),att_offset,MATCH(G689,Attendance!$B$3:$AY$3,0),attendees,COUNTIF(INDEX(Attendance!$B$7:$AY$206,0,att_offset),"1"),IF(ev_split="Equal Split",ev_cost/MAX(1,COUNTA(Roster!$A$5:$A$204)),ev_cost/MAX(1,attendees))),"N/A"))</f>
        <v/>
      </c>
    </row>
    <row r="690" ht="19.5" customHeight="1">
      <c r="A690" s="46"/>
      <c r="B690" s="49"/>
      <c r="C690" s="49"/>
      <c r="D690" s="49"/>
      <c r="E690" s="49"/>
      <c r="F690" s="54"/>
      <c r="G690" s="49"/>
      <c r="H690" s="49"/>
      <c r="I690" s="49"/>
      <c r="J690" s="44" t="str">
        <f t="array" ref="J690">IF(G690="","",IFERROR(LET(ev_cost,INDEX(Events!$G$5:$G$506,MATCH(G690,Events!$A$5:$A$506,0)),ev_split,INDEX(Events!$I$5:$I$506,MATCH(G690,Events!$A$5:$A$506,0)),att_offset,MATCH(G690,Attendance!$B$3:$AY$3,0),attendees,COUNTIF(INDEX(Attendance!$B$7:$AY$206,0,att_offset),"1"),IF(ev_split="Equal Split",ev_cost/MAX(1,COUNTA(Roster!$A$5:$A$204)),ev_cost/MAX(1,attendees))),"N/A"))</f>
        <v/>
      </c>
    </row>
    <row r="691" ht="19.5" customHeight="1">
      <c r="A691" s="50"/>
      <c r="B691" s="53"/>
      <c r="C691" s="53"/>
      <c r="D691" s="53"/>
      <c r="E691" s="53"/>
      <c r="F691" s="55"/>
      <c r="G691" s="53"/>
      <c r="H691" s="53"/>
      <c r="I691" s="53"/>
      <c r="J691" s="44" t="str">
        <f t="array" ref="J691">IF(G691="","",IFERROR(LET(ev_cost,INDEX(Events!$G$5:$G$506,MATCH(G691,Events!$A$5:$A$506,0)),ev_split,INDEX(Events!$I$5:$I$506,MATCH(G691,Events!$A$5:$A$506,0)),att_offset,MATCH(G691,Attendance!$B$3:$AY$3,0),attendees,COUNTIF(INDEX(Attendance!$B$7:$AY$206,0,att_offset),"1"),IF(ev_split="Equal Split",ev_cost/MAX(1,COUNTA(Roster!$A$5:$A$204)),ev_cost/MAX(1,attendees))),"N/A"))</f>
        <v/>
      </c>
    </row>
    <row r="692" ht="19.5" customHeight="1">
      <c r="A692" s="46"/>
      <c r="B692" s="49"/>
      <c r="C692" s="49"/>
      <c r="D692" s="49"/>
      <c r="E692" s="49"/>
      <c r="F692" s="54"/>
      <c r="G692" s="49"/>
      <c r="H692" s="49"/>
      <c r="I692" s="49"/>
      <c r="J692" s="44" t="str">
        <f t="array" ref="J692">IF(G692="","",IFERROR(LET(ev_cost,INDEX(Events!$G$5:$G$506,MATCH(G692,Events!$A$5:$A$506,0)),ev_split,INDEX(Events!$I$5:$I$506,MATCH(G692,Events!$A$5:$A$506,0)),att_offset,MATCH(G692,Attendance!$B$3:$AY$3,0),attendees,COUNTIF(INDEX(Attendance!$B$7:$AY$206,0,att_offset),"1"),IF(ev_split="Equal Split",ev_cost/MAX(1,COUNTA(Roster!$A$5:$A$204)),ev_cost/MAX(1,attendees))),"N/A"))</f>
        <v/>
      </c>
    </row>
    <row r="693" ht="19.5" customHeight="1">
      <c r="A693" s="50"/>
      <c r="B693" s="53"/>
      <c r="C693" s="53"/>
      <c r="D693" s="53"/>
      <c r="E693" s="53"/>
      <c r="F693" s="55"/>
      <c r="G693" s="53"/>
      <c r="H693" s="53"/>
      <c r="I693" s="53"/>
      <c r="J693" s="44" t="str">
        <f t="array" ref="J693">IF(G693="","",IFERROR(LET(ev_cost,INDEX(Events!$G$5:$G$506,MATCH(G693,Events!$A$5:$A$506,0)),ev_split,INDEX(Events!$I$5:$I$506,MATCH(G693,Events!$A$5:$A$506,0)),att_offset,MATCH(G693,Attendance!$B$3:$AY$3,0),attendees,COUNTIF(INDEX(Attendance!$B$7:$AY$206,0,att_offset),"1"),IF(ev_split="Equal Split",ev_cost/MAX(1,COUNTA(Roster!$A$5:$A$204)),ev_cost/MAX(1,attendees))),"N/A"))</f>
        <v/>
      </c>
    </row>
    <row r="694" ht="19.5" customHeight="1">
      <c r="A694" s="46"/>
      <c r="B694" s="49"/>
      <c r="C694" s="49"/>
      <c r="D694" s="49"/>
      <c r="E694" s="49"/>
      <c r="F694" s="54"/>
      <c r="G694" s="49"/>
      <c r="H694" s="49"/>
      <c r="I694" s="49"/>
      <c r="J694" s="44" t="str">
        <f t="array" ref="J694">IF(G694="","",IFERROR(LET(ev_cost,INDEX(Events!$G$5:$G$506,MATCH(G694,Events!$A$5:$A$506,0)),ev_split,INDEX(Events!$I$5:$I$506,MATCH(G694,Events!$A$5:$A$506,0)),att_offset,MATCH(G694,Attendance!$B$3:$AY$3,0),attendees,COUNTIF(INDEX(Attendance!$B$7:$AY$206,0,att_offset),"1"),IF(ev_split="Equal Split",ev_cost/MAX(1,COUNTA(Roster!$A$5:$A$204)),ev_cost/MAX(1,attendees))),"N/A"))</f>
        <v/>
      </c>
    </row>
    <row r="695" ht="19.5" customHeight="1">
      <c r="A695" s="50"/>
      <c r="B695" s="53"/>
      <c r="C695" s="53"/>
      <c r="D695" s="53"/>
      <c r="E695" s="53"/>
      <c r="F695" s="55"/>
      <c r="G695" s="53"/>
      <c r="H695" s="53"/>
      <c r="I695" s="53"/>
      <c r="J695" s="44" t="str">
        <f t="array" ref="J695">IF(G695="","",IFERROR(LET(ev_cost,INDEX(Events!$G$5:$G$506,MATCH(G695,Events!$A$5:$A$506,0)),ev_split,INDEX(Events!$I$5:$I$506,MATCH(G695,Events!$A$5:$A$506,0)),att_offset,MATCH(G695,Attendance!$B$3:$AY$3,0),attendees,COUNTIF(INDEX(Attendance!$B$7:$AY$206,0,att_offset),"1"),IF(ev_split="Equal Split",ev_cost/MAX(1,COUNTA(Roster!$A$5:$A$204)),ev_cost/MAX(1,attendees))),"N/A"))</f>
        <v/>
      </c>
    </row>
    <row r="696" ht="19.5" customHeight="1">
      <c r="A696" s="46"/>
      <c r="B696" s="49"/>
      <c r="C696" s="49"/>
      <c r="D696" s="49"/>
      <c r="E696" s="49"/>
      <c r="F696" s="54"/>
      <c r="G696" s="49"/>
      <c r="H696" s="49"/>
      <c r="I696" s="49"/>
      <c r="J696" s="44" t="str">
        <f t="array" ref="J696">IF(G696="","",IFERROR(LET(ev_cost,INDEX(Events!$G$5:$G$506,MATCH(G696,Events!$A$5:$A$506,0)),ev_split,INDEX(Events!$I$5:$I$506,MATCH(G696,Events!$A$5:$A$506,0)),att_offset,MATCH(G696,Attendance!$B$3:$AY$3,0),attendees,COUNTIF(INDEX(Attendance!$B$7:$AY$206,0,att_offset),"1"),IF(ev_split="Equal Split",ev_cost/MAX(1,COUNTA(Roster!$A$5:$A$204)),ev_cost/MAX(1,attendees))),"N/A"))</f>
        <v/>
      </c>
    </row>
    <row r="697" ht="19.5" customHeight="1">
      <c r="A697" s="50"/>
      <c r="B697" s="53"/>
      <c r="C697" s="53"/>
      <c r="D697" s="53"/>
      <c r="E697" s="53"/>
      <c r="F697" s="55"/>
      <c r="G697" s="53"/>
      <c r="H697" s="53"/>
      <c r="I697" s="53"/>
      <c r="J697" s="44" t="str">
        <f t="array" ref="J697">IF(G697="","",IFERROR(LET(ev_cost,INDEX(Events!$G$5:$G$506,MATCH(G697,Events!$A$5:$A$506,0)),ev_split,INDEX(Events!$I$5:$I$506,MATCH(G697,Events!$A$5:$A$506,0)),att_offset,MATCH(G697,Attendance!$B$3:$AY$3,0),attendees,COUNTIF(INDEX(Attendance!$B$7:$AY$206,0,att_offset),"1"),IF(ev_split="Equal Split",ev_cost/MAX(1,COUNTA(Roster!$A$5:$A$204)),ev_cost/MAX(1,attendees))),"N/A"))</f>
        <v/>
      </c>
    </row>
    <row r="698" ht="19.5" customHeight="1">
      <c r="A698" s="46"/>
      <c r="B698" s="49"/>
      <c r="C698" s="49"/>
      <c r="D698" s="49"/>
      <c r="E698" s="49"/>
      <c r="F698" s="54"/>
      <c r="G698" s="49"/>
      <c r="H698" s="49"/>
      <c r="I698" s="49"/>
      <c r="J698" s="44" t="str">
        <f t="array" ref="J698">IF(G698="","",IFERROR(LET(ev_cost,INDEX(Events!$G$5:$G$506,MATCH(G698,Events!$A$5:$A$506,0)),ev_split,INDEX(Events!$I$5:$I$506,MATCH(G698,Events!$A$5:$A$506,0)),att_offset,MATCH(G698,Attendance!$B$3:$AY$3,0),attendees,COUNTIF(INDEX(Attendance!$B$7:$AY$206,0,att_offset),"1"),IF(ev_split="Equal Split",ev_cost/MAX(1,COUNTA(Roster!$A$5:$A$204)),ev_cost/MAX(1,attendees))),"N/A"))</f>
        <v/>
      </c>
    </row>
    <row r="699" ht="19.5" customHeight="1">
      <c r="A699" s="50"/>
      <c r="B699" s="53"/>
      <c r="C699" s="53"/>
      <c r="D699" s="53"/>
      <c r="E699" s="53"/>
      <c r="F699" s="55"/>
      <c r="G699" s="53"/>
      <c r="H699" s="53"/>
      <c r="I699" s="53"/>
      <c r="J699" s="44" t="str">
        <f t="array" ref="J699">IF(G699="","",IFERROR(LET(ev_cost,INDEX(Events!$G$5:$G$506,MATCH(G699,Events!$A$5:$A$506,0)),ev_split,INDEX(Events!$I$5:$I$506,MATCH(G699,Events!$A$5:$A$506,0)),att_offset,MATCH(G699,Attendance!$B$3:$AY$3,0),attendees,COUNTIF(INDEX(Attendance!$B$7:$AY$206,0,att_offset),"1"),IF(ev_split="Equal Split",ev_cost/MAX(1,COUNTA(Roster!$A$5:$A$204)),ev_cost/MAX(1,attendees))),"N/A"))</f>
        <v/>
      </c>
    </row>
    <row r="700" ht="19.5" customHeight="1">
      <c r="A700" s="46"/>
      <c r="B700" s="49"/>
      <c r="C700" s="49"/>
      <c r="D700" s="49"/>
      <c r="E700" s="49"/>
      <c r="F700" s="54"/>
      <c r="G700" s="49"/>
      <c r="H700" s="49"/>
      <c r="I700" s="49"/>
      <c r="J700" s="44" t="str">
        <f t="array" ref="J700">IF(G700="","",IFERROR(LET(ev_cost,INDEX(Events!$G$5:$G$506,MATCH(G700,Events!$A$5:$A$506,0)),ev_split,INDEX(Events!$I$5:$I$506,MATCH(G700,Events!$A$5:$A$506,0)),att_offset,MATCH(G700,Attendance!$B$3:$AY$3,0),attendees,COUNTIF(INDEX(Attendance!$B$7:$AY$206,0,att_offset),"1"),IF(ev_split="Equal Split",ev_cost/MAX(1,COUNTA(Roster!$A$5:$A$204)),ev_cost/MAX(1,attendees))),"N/A"))</f>
        <v/>
      </c>
    </row>
    <row r="701" ht="19.5" customHeight="1">
      <c r="A701" s="50"/>
      <c r="B701" s="53"/>
      <c r="C701" s="53"/>
      <c r="D701" s="53"/>
      <c r="E701" s="53"/>
      <c r="F701" s="55"/>
      <c r="G701" s="53"/>
      <c r="H701" s="53"/>
      <c r="I701" s="53"/>
      <c r="J701" s="44" t="str">
        <f t="array" ref="J701">IF(G701="","",IFERROR(LET(ev_cost,INDEX(Events!$G$5:$G$506,MATCH(G701,Events!$A$5:$A$506,0)),ev_split,INDEX(Events!$I$5:$I$506,MATCH(G701,Events!$A$5:$A$506,0)),att_offset,MATCH(G701,Attendance!$B$3:$AY$3,0),attendees,COUNTIF(INDEX(Attendance!$B$7:$AY$206,0,att_offset),"1"),IF(ev_split="Equal Split",ev_cost/MAX(1,COUNTA(Roster!$A$5:$A$204)),ev_cost/MAX(1,attendees))),"N/A"))</f>
        <v/>
      </c>
    </row>
    <row r="702" ht="19.5" customHeight="1">
      <c r="A702" s="46"/>
      <c r="B702" s="49"/>
      <c r="C702" s="49"/>
      <c r="D702" s="49"/>
      <c r="E702" s="49"/>
      <c r="F702" s="54"/>
      <c r="G702" s="49"/>
      <c r="H702" s="49"/>
      <c r="I702" s="49"/>
      <c r="J702" s="44" t="str">
        <f t="array" ref="J702">IF(G702="","",IFERROR(LET(ev_cost,INDEX(Events!$G$5:$G$506,MATCH(G702,Events!$A$5:$A$506,0)),ev_split,INDEX(Events!$I$5:$I$506,MATCH(G702,Events!$A$5:$A$506,0)),att_offset,MATCH(G702,Attendance!$B$3:$AY$3,0),attendees,COUNTIF(INDEX(Attendance!$B$7:$AY$206,0,att_offset),"1"),IF(ev_split="Equal Split",ev_cost/MAX(1,COUNTA(Roster!$A$5:$A$204)),ev_cost/MAX(1,attendees))),"N/A"))</f>
        <v/>
      </c>
    </row>
    <row r="703" ht="19.5" customHeight="1">
      <c r="A703" s="50"/>
      <c r="B703" s="53"/>
      <c r="C703" s="53"/>
      <c r="D703" s="53"/>
      <c r="E703" s="53"/>
      <c r="F703" s="55"/>
      <c r="G703" s="53"/>
      <c r="H703" s="53"/>
      <c r="I703" s="53"/>
      <c r="J703" s="44" t="str">
        <f t="array" ref="J703">IF(G703="","",IFERROR(LET(ev_cost,INDEX(Events!$G$5:$G$506,MATCH(G703,Events!$A$5:$A$506,0)),ev_split,INDEX(Events!$I$5:$I$506,MATCH(G703,Events!$A$5:$A$506,0)),att_offset,MATCH(G703,Attendance!$B$3:$AY$3,0),attendees,COUNTIF(INDEX(Attendance!$B$7:$AY$206,0,att_offset),"1"),IF(ev_split="Equal Split",ev_cost/MAX(1,COUNTA(Roster!$A$5:$A$204)),ev_cost/MAX(1,attendees))),"N/A"))</f>
        <v/>
      </c>
    </row>
    <row r="704" ht="19.5" customHeight="1">
      <c r="A704" s="46"/>
      <c r="B704" s="49"/>
      <c r="C704" s="49"/>
      <c r="D704" s="49"/>
      <c r="E704" s="49"/>
      <c r="F704" s="54"/>
      <c r="G704" s="49"/>
      <c r="H704" s="49"/>
      <c r="I704" s="49"/>
      <c r="J704" s="44" t="str">
        <f t="array" ref="J704">IF(G704="","",IFERROR(LET(ev_cost,INDEX(Events!$G$5:$G$506,MATCH(G704,Events!$A$5:$A$506,0)),ev_split,INDEX(Events!$I$5:$I$506,MATCH(G704,Events!$A$5:$A$506,0)),att_offset,MATCH(G704,Attendance!$B$3:$AY$3,0),attendees,COUNTIF(INDEX(Attendance!$B$7:$AY$206,0,att_offset),"1"),IF(ev_split="Equal Split",ev_cost/MAX(1,COUNTA(Roster!$A$5:$A$204)),ev_cost/MAX(1,attendees))),"N/A"))</f>
        <v/>
      </c>
    </row>
    <row r="705" ht="19.5" customHeight="1">
      <c r="A705" s="50"/>
      <c r="B705" s="53"/>
      <c r="C705" s="53"/>
      <c r="D705" s="53"/>
      <c r="E705" s="53"/>
      <c r="F705" s="55"/>
      <c r="G705" s="53"/>
      <c r="H705" s="53"/>
      <c r="I705" s="53"/>
      <c r="J705" s="44" t="str">
        <f t="array" ref="J705">IF(G705="","",IFERROR(LET(ev_cost,INDEX(Events!$G$5:$G$506,MATCH(G705,Events!$A$5:$A$506,0)),ev_split,INDEX(Events!$I$5:$I$506,MATCH(G705,Events!$A$5:$A$506,0)),att_offset,MATCH(G705,Attendance!$B$3:$AY$3,0),attendees,COUNTIF(INDEX(Attendance!$B$7:$AY$206,0,att_offset),"1"),IF(ev_split="Equal Split",ev_cost/MAX(1,COUNTA(Roster!$A$5:$A$204)),ev_cost/MAX(1,attendees))),"N/A"))</f>
        <v/>
      </c>
    </row>
    <row r="706" ht="19.5" customHeight="1">
      <c r="A706" s="46"/>
      <c r="B706" s="49"/>
      <c r="C706" s="49"/>
      <c r="D706" s="49"/>
      <c r="E706" s="49"/>
      <c r="F706" s="54"/>
      <c r="G706" s="49"/>
      <c r="H706" s="49"/>
      <c r="I706" s="49"/>
      <c r="J706" s="44" t="str">
        <f t="array" ref="J706">IF(G706="","",IFERROR(LET(ev_cost,INDEX(Events!$G$5:$G$506,MATCH(G706,Events!$A$5:$A$506,0)),ev_split,INDEX(Events!$I$5:$I$506,MATCH(G706,Events!$A$5:$A$506,0)),att_offset,MATCH(G706,Attendance!$B$3:$AY$3,0),attendees,COUNTIF(INDEX(Attendance!$B$7:$AY$206,0,att_offset),"1"),IF(ev_split="Equal Split",ev_cost/MAX(1,COUNTA(Roster!$A$5:$A$204)),ev_cost/MAX(1,attendees))),"N/A"))</f>
        <v/>
      </c>
    </row>
    <row r="707" ht="19.5" customHeight="1">
      <c r="A707" s="50"/>
      <c r="B707" s="53"/>
      <c r="C707" s="53"/>
      <c r="D707" s="53"/>
      <c r="E707" s="53"/>
      <c r="F707" s="55"/>
      <c r="G707" s="53"/>
      <c r="H707" s="53"/>
      <c r="I707" s="53"/>
      <c r="J707" s="44" t="str">
        <f t="array" ref="J707">IF(G707="","",IFERROR(LET(ev_cost,INDEX(Events!$G$5:$G$506,MATCH(G707,Events!$A$5:$A$506,0)),ev_split,INDEX(Events!$I$5:$I$506,MATCH(G707,Events!$A$5:$A$506,0)),att_offset,MATCH(G707,Attendance!$B$3:$AY$3,0),attendees,COUNTIF(INDEX(Attendance!$B$7:$AY$206,0,att_offset),"1"),IF(ev_split="Equal Split",ev_cost/MAX(1,COUNTA(Roster!$A$5:$A$204)),ev_cost/MAX(1,attendees))),"N/A"))</f>
        <v/>
      </c>
    </row>
    <row r="708" ht="19.5" customHeight="1">
      <c r="A708" s="46"/>
      <c r="B708" s="49"/>
      <c r="C708" s="49"/>
      <c r="D708" s="49"/>
      <c r="E708" s="49"/>
      <c r="F708" s="54"/>
      <c r="G708" s="49"/>
      <c r="H708" s="49"/>
      <c r="I708" s="49"/>
      <c r="J708" s="44" t="str">
        <f t="array" ref="J708">IF(G708="","",IFERROR(LET(ev_cost,INDEX(Events!$G$5:$G$506,MATCH(G708,Events!$A$5:$A$506,0)),ev_split,INDEX(Events!$I$5:$I$506,MATCH(G708,Events!$A$5:$A$506,0)),att_offset,MATCH(G708,Attendance!$B$3:$AY$3,0),attendees,COUNTIF(INDEX(Attendance!$B$7:$AY$206,0,att_offset),"1"),IF(ev_split="Equal Split",ev_cost/MAX(1,COUNTA(Roster!$A$5:$A$204)),ev_cost/MAX(1,attendees))),"N/A"))</f>
        <v/>
      </c>
    </row>
    <row r="709" ht="19.5" customHeight="1">
      <c r="A709" s="50"/>
      <c r="B709" s="53"/>
      <c r="C709" s="53"/>
      <c r="D709" s="53"/>
      <c r="E709" s="53"/>
      <c r="F709" s="55"/>
      <c r="G709" s="53"/>
      <c r="H709" s="53"/>
      <c r="I709" s="53"/>
      <c r="J709" s="44" t="str">
        <f t="array" ref="J709">IF(G709="","",IFERROR(LET(ev_cost,INDEX(Events!$G$5:$G$506,MATCH(G709,Events!$A$5:$A$506,0)),ev_split,INDEX(Events!$I$5:$I$506,MATCH(G709,Events!$A$5:$A$506,0)),att_offset,MATCH(G709,Attendance!$B$3:$AY$3,0),attendees,COUNTIF(INDEX(Attendance!$B$7:$AY$206,0,att_offset),"1"),IF(ev_split="Equal Split",ev_cost/MAX(1,COUNTA(Roster!$A$5:$A$204)),ev_cost/MAX(1,attendees))),"N/A"))</f>
        <v/>
      </c>
    </row>
    <row r="710" ht="19.5" customHeight="1">
      <c r="A710" s="46"/>
      <c r="B710" s="49"/>
      <c r="C710" s="49"/>
      <c r="D710" s="49"/>
      <c r="E710" s="49"/>
      <c r="F710" s="54"/>
      <c r="G710" s="49"/>
      <c r="H710" s="49"/>
      <c r="I710" s="49"/>
      <c r="J710" s="44" t="str">
        <f t="array" ref="J710">IF(G710="","",IFERROR(LET(ev_cost,INDEX(Events!$G$5:$G$506,MATCH(G710,Events!$A$5:$A$506,0)),ev_split,INDEX(Events!$I$5:$I$506,MATCH(G710,Events!$A$5:$A$506,0)),att_offset,MATCH(G710,Attendance!$B$3:$AY$3,0),attendees,COUNTIF(INDEX(Attendance!$B$7:$AY$206,0,att_offset),"1"),IF(ev_split="Equal Split",ev_cost/MAX(1,COUNTA(Roster!$A$5:$A$204)),ev_cost/MAX(1,attendees))),"N/A"))</f>
        <v/>
      </c>
    </row>
    <row r="711" ht="19.5" customHeight="1">
      <c r="A711" s="50"/>
      <c r="B711" s="53"/>
      <c r="C711" s="53"/>
      <c r="D711" s="53"/>
      <c r="E711" s="53"/>
      <c r="F711" s="55"/>
      <c r="G711" s="53"/>
      <c r="H711" s="53"/>
      <c r="I711" s="53"/>
      <c r="J711" s="44" t="str">
        <f t="array" ref="J711">IF(G711="","",IFERROR(LET(ev_cost,INDEX(Events!$G$5:$G$506,MATCH(G711,Events!$A$5:$A$506,0)),ev_split,INDEX(Events!$I$5:$I$506,MATCH(G711,Events!$A$5:$A$506,0)),att_offset,MATCH(G711,Attendance!$B$3:$AY$3,0),attendees,COUNTIF(INDEX(Attendance!$B$7:$AY$206,0,att_offset),"1"),IF(ev_split="Equal Split",ev_cost/MAX(1,COUNTA(Roster!$A$5:$A$204)),ev_cost/MAX(1,attendees))),"N/A"))</f>
        <v/>
      </c>
    </row>
    <row r="712" ht="19.5" customHeight="1">
      <c r="A712" s="46"/>
      <c r="B712" s="49"/>
      <c r="C712" s="49"/>
      <c r="D712" s="49"/>
      <c r="E712" s="49"/>
      <c r="F712" s="54"/>
      <c r="G712" s="49"/>
      <c r="H712" s="49"/>
      <c r="I712" s="49"/>
      <c r="J712" s="44" t="str">
        <f t="array" ref="J712">IF(G712="","",IFERROR(LET(ev_cost,INDEX(Events!$G$5:$G$506,MATCH(G712,Events!$A$5:$A$506,0)),ev_split,INDEX(Events!$I$5:$I$506,MATCH(G712,Events!$A$5:$A$506,0)),att_offset,MATCH(G712,Attendance!$B$3:$AY$3,0),attendees,COUNTIF(INDEX(Attendance!$B$7:$AY$206,0,att_offset),"1"),IF(ev_split="Equal Split",ev_cost/MAX(1,COUNTA(Roster!$A$5:$A$204)),ev_cost/MAX(1,attendees))),"N/A"))</f>
        <v/>
      </c>
    </row>
    <row r="713" ht="19.5" customHeight="1">
      <c r="A713" s="50"/>
      <c r="B713" s="53"/>
      <c r="C713" s="53"/>
      <c r="D713" s="53"/>
      <c r="E713" s="53"/>
      <c r="F713" s="55"/>
      <c r="G713" s="53"/>
      <c r="H713" s="53"/>
      <c r="I713" s="53"/>
      <c r="J713" s="44" t="str">
        <f t="array" ref="J713">IF(G713="","",IFERROR(LET(ev_cost,INDEX(Events!$G$5:$G$506,MATCH(G713,Events!$A$5:$A$506,0)),ev_split,INDEX(Events!$I$5:$I$506,MATCH(G713,Events!$A$5:$A$506,0)),att_offset,MATCH(G713,Attendance!$B$3:$AY$3,0),attendees,COUNTIF(INDEX(Attendance!$B$7:$AY$206,0,att_offset),"1"),IF(ev_split="Equal Split",ev_cost/MAX(1,COUNTA(Roster!$A$5:$A$204)),ev_cost/MAX(1,attendees))),"N/A"))</f>
        <v/>
      </c>
    </row>
    <row r="714" ht="19.5" customHeight="1">
      <c r="A714" s="46"/>
      <c r="B714" s="49"/>
      <c r="C714" s="49"/>
      <c r="D714" s="49"/>
      <c r="E714" s="49"/>
      <c r="F714" s="54"/>
      <c r="G714" s="49"/>
      <c r="H714" s="49"/>
      <c r="I714" s="49"/>
      <c r="J714" s="44" t="str">
        <f t="array" ref="J714">IF(G714="","",IFERROR(LET(ev_cost,INDEX(Events!$G$5:$G$506,MATCH(G714,Events!$A$5:$A$506,0)),ev_split,INDEX(Events!$I$5:$I$506,MATCH(G714,Events!$A$5:$A$506,0)),att_offset,MATCH(G714,Attendance!$B$3:$AY$3,0),attendees,COUNTIF(INDEX(Attendance!$B$7:$AY$206,0,att_offset),"1"),IF(ev_split="Equal Split",ev_cost/MAX(1,COUNTA(Roster!$A$5:$A$204)),ev_cost/MAX(1,attendees))),"N/A"))</f>
        <v/>
      </c>
    </row>
    <row r="715" ht="19.5" customHeight="1">
      <c r="A715" s="50"/>
      <c r="B715" s="53"/>
      <c r="C715" s="53"/>
      <c r="D715" s="53"/>
      <c r="E715" s="53"/>
      <c r="F715" s="55"/>
      <c r="G715" s="53"/>
      <c r="H715" s="53"/>
      <c r="I715" s="53"/>
      <c r="J715" s="44" t="str">
        <f t="array" ref="J715">IF(G715="","",IFERROR(LET(ev_cost,INDEX(Events!$G$5:$G$506,MATCH(G715,Events!$A$5:$A$506,0)),ev_split,INDEX(Events!$I$5:$I$506,MATCH(G715,Events!$A$5:$A$506,0)),att_offset,MATCH(G715,Attendance!$B$3:$AY$3,0),attendees,COUNTIF(INDEX(Attendance!$B$7:$AY$206,0,att_offset),"1"),IF(ev_split="Equal Split",ev_cost/MAX(1,COUNTA(Roster!$A$5:$A$204)),ev_cost/MAX(1,attendees))),"N/A"))</f>
        <v/>
      </c>
    </row>
    <row r="716" ht="19.5" customHeight="1">
      <c r="A716" s="46"/>
      <c r="B716" s="49"/>
      <c r="C716" s="49"/>
      <c r="D716" s="49"/>
      <c r="E716" s="49"/>
      <c r="F716" s="54"/>
      <c r="G716" s="49"/>
      <c r="H716" s="49"/>
      <c r="I716" s="49"/>
      <c r="J716" s="44" t="str">
        <f t="array" ref="J716">IF(G716="","",IFERROR(LET(ev_cost,INDEX(Events!$G$5:$G$506,MATCH(G716,Events!$A$5:$A$506,0)),ev_split,INDEX(Events!$I$5:$I$506,MATCH(G716,Events!$A$5:$A$506,0)),att_offset,MATCH(G716,Attendance!$B$3:$AY$3,0),attendees,COUNTIF(INDEX(Attendance!$B$7:$AY$206,0,att_offset),"1"),IF(ev_split="Equal Split",ev_cost/MAX(1,COUNTA(Roster!$A$5:$A$204)),ev_cost/MAX(1,attendees))),"N/A"))</f>
        <v/>
      </c>
    </row>
    <row r="717" ht="19.5" customHeight="1">
      <c r="A717" s="50"/>
      <c r="B717" s="53"/>
      <c r="C717" s="53"/>
      <c r="D717" s="53"/>
      <c r="E717" s="53"/>
      <c r="F717" s="55"/>
      <c r="G717" s="53"/>
      <c r="H717" s="53"/>
      <c r="I717" s="53"/>
      <c r="J717" s="44" t="str">
        <f t="array" ref="J717">IF(G717="","",IFERROR(LET(ev_cost,INDEX(Events!$G$5:$G$506,MATCH(G717,Events!$A$5:$A$506,0)),ev_split,INDEX(Events!$I$5:$I$506,MATCH(G717,Events!$A$5:$A$506,0)),att_offset,MATCH(G717,Attendance!$B$3:$AY$3,0),attendees,COUNTIF(INDEX(Attendance!$B$7:$AY$206,0,att_offset),"1"),IF(ev_split="Equal Split",ev_cost/MAX(1,COUNTA(Roster!$A$5:$A$204)),ev_cost/MAX(1,attendees))),"N/A"))</f>
        <v/>
      </c>
    </row>
    <row r="718" ht="19.5" customHeight="1">
      <c r="A718" s="46"/>
      <c r="B718" s="49"/>
      <c r="C718" s="49"/>
      <c r="D718" s="49"/>
      <c r="E718" s="49"/>
      <c r="F718" s="54"/>
      <c r="G718" s="49"/>
      <c r="H718" s="49"/>
      <c r="I718" s="49"/>
      <c r="J718" s="44" t="str">
        <f t="array" ref="J718">IF(G718="","",IFERROR(LET(ev_cost,INDEX(Events!$G$5:$G$506,MATCH(G718,Events!$A$5:$A$506,0)),ev_split,INDEX(Events!$I$5:$I$506,MATCH(G718,Events!$A$5:$A$506,0)),att_offset,MATCH(G718,Attendance!$B$3:$AY$3,0),attendees,COUNTIF(INDEX(Attendance!$B$7:$AY$206,0,att_offset),"1"),IF(ev_split="Equal Split",ev_cost/MAX(1,COUNTA(Roster!$A$5:$A$204)),ev_cost/MAX(1,attendees))),"N/A"))</f>
        <v/>
      </c>
    </row>
    <row r="719" ht="19.5" customHeight="1">
      <c r="A719" s="50"/>
      <c r="B719" s="53"/>
      <c r="C719" s="53"/>
      <c r="D719" s="53"/>
      <c r="E719" s="53"/>
      <c r="F719" s="55"/>
      <c r="G719" s="53"/>
      <c r="H719" s="53"/>
      <c r="I719" s="53"/>
      <c r="J719" s="44" t="str">
        <f t="array" ref="J719">IF(G719="","",IFERROR(LET(ev_cost,INDEX(Events!$G$5:$G$506,MATCH(G719,Events!$A$5:$A$506,0)),ev_split,INDEX(Events!$I$5:$I$506,MATCH(G719,Events!$A$5:$A$506,0)),att_offset,MATCH(G719,Attendance!$B$3:$AY$3,0),attendees,COUNTIF(INDEX(Attendance!$B$7:$AY$206,0,att_offset),"1"),IF(ev_split="Equal Split",ev_cost/MAX(1,COUNTA(Roster!$A$5:$A$204)),ev_cost/MAX(1,attendees))),"N/A"))</f>
        <v/>
      </c>
    </row>
    <row r="720" ht="19.5" customHeight="1">
      <c r="A720" s="46"/>
      <c r="B720" s="49"/>
      <c r="C720" s="49"/>
      <c r="D720" s="49"/>
      <c r="E720" s="49"/>
      <c r="F720" s="54"/>
      <c r="G720" s="49"/>
      <c r="H720" s="49"/>
      <c r="I720" s="49"/>
      <c r="J720" s="44" t="str">
        <f t="array" ref="J720">IF(G720="","",IFERROR(LET(ev_cost,INDEX(Events!$G$5:$G$506,MATCH(G720,Events!$A$5:$A$506,0)),ev_split,INDEX(Events!$I$5:$I$506,MATCH(G720,Events!$A$5:$A$506,0)),att_offset,MATCH(G720,Attendance!$B$3:$AY$3,0),attendees,COUNTIF(INDEX(Attendance!$B$7:$AY$206,0,att_offset),"1"),IF(ev_split="Equal Split",ev_cost/MAX(1,COUNTA(Roster!$A$5:$A$204)),ev_cost/MAX(1,attendees))),"N/A"))</f>
        <v/>
      </c>
    </row>
    <row r="721" ht="19.5" customHeight="1">
      <c r="A721" s="50"/>
      <c r="B721" s="53"/>
      <c r="C721" s="53"/>
      <c r="D721" s="53"/>
      <c r="E721" s="53"/>
      <c r="F721" s="55"/>
      <c r="G721" s="53"/>
      <c r="H721" s="53"/>
      <c r="I721" s="53"/>
      <c r="J721" s="44" t="str">
        <f t="array" ref="J721">IF(G721="","",IFERROR(LET(ev_cost,INDEX(Events!$G$5:$G$506,MATCH(G721,Events!$A$5:$A$506,0)),ev_split,INDEX(Events!$I$5:$I$506,MATCH(G721,Events!$A$5:$A$506,0)),att_offset,MATCH(G721,Attendance!$B$3:$AY$3,0),attendees,COUNTIF(INDEX(Attendance!$B$7:$AY$206,0,att_offset),"1"),IF(ev_split="Equal Split",ev_cost/MAX(1,COUNTA(Roster!$A$5:$A$204)),ev_cost/MAX(1,attendees))),"N/A"))</f>
        <v/>
      </c>
    </row>
    <row r="722" ht="19.5" customHeight="1">
      <c r="A722" s="46"/>
      <c r="B722" s="49"/>
      <c r="C722" s="49"/>
      <c r="D722" s="49"/>
      <c r="E722" s="49"/>
      <c r="F722" s="54"/>
      <c r="G722" s="49"/>
      <c r="H722" s="49"/>
      <c r="I722" s="49"/>
      <c r="J722" s="44" t="str">
        <f t="array" ref="J722">IF(G722="","",IFERROR(LET(ev_cost,INDEX(Events!$G$5:$G$506,MATCH(G722,Events!$A$5:$A$506,0)),ev_split,INDEX(Events!$I$5:$I$506,MATCH(G722,Events!$A$5:$A$506,0)),att_offset,MATCH(G722,Attendance!$B$3:$AY$3,0),attendees,COUNTIF(INDEX(Attendance!$B$7:$AY$206,0,att_offset),"1"),IF(ev_split="Equal Split",ev_cost/MAX(1,COUNTA(Roster!$A$5:$A$204)),ev_cost/MAX(1,attendees))),"N/A"))</f>
        <v/>
      </c>
    </row>
    <row r="723" ht="19.5" customHeight="1">
      <c r="A723" s="50"/>
      <c r="B723" s="53"/>
      <c r="C723" s="53"/>
      <c r="D723" s="53"/>
      <c r="E723" s="53"/>
      <c r="F723" s="55"/>
      <c r="G723" s="53"/>
      <c r="H723" s="53"/>
      <c r="I723" s="53"/>
      <c r="J723" s="44" t="str">
        <f t="array" ref="J723">IF(G723="","",IFERROR(LET(ev_cost,INDEX(Events!$G$5:$G$506,MATCH(G723,Events!$A$5:$A$506,0)),ev_split,INDEX(Events!$I$5:$I$506,MATCH(G723,Events!$A$5:$A$506,0)),att_offset,MATCH(G723,Attendance!$B$3:$AY$3,0),attendees,COUNTIF(INDEX(Attendance!$B$7:$AY$206,0,att_offset),"1"),IF(ev_split="Equal Split",ev_cost/MAX(1,COUNTA(Roster!$A$5:$A$204)),ev_cost/MAX(1,attendees))),"N/A"))</f>
        <v/>
      </c>
    </row>
    <row r="724" ht="19.5" customHeight="1">
      <c r="A724" s="46"/>
      <c r="B724" s="49"/>
      <c r="C724" s="49"/>
      <c r="D724" s="49"/>
      <c r="E724" s="49"/>
      <c r="F724" s="54"/>
      <c r="G724" s="49"/>
      <c r="H724" s="49"/>
      <c r="I724" s="49"/>
      <c r="J724" s="44" t="str">
        <f t="array" ref="J724">IF(G724="","",IFERROR(LET(ev_cost,INDEX(Events!$G$5:$G$506,MATCH(G724,Events!$A$5:$A$506,0)),ev_split,INDEX(Events!$I$5:$I$506,MATCH(G724,Events!$A$5:$A$506,0)),att_offset,MATCH(G724,Attendance!$B$3:$AY$3,0),attendees,COUNTIF(INDEX(Attendance!$B$7:$AY$206,0,att_offset),"1"),IF(ev_split="Equal Split",ev_cost/MAX(1,COUNTA(Roster!$A$5:$A$204)),ev_cost/MAX(1,attendees))),"N/A"))</f>
        <v/>
      </c>
    </row>
    <row r="725" ht="19.5" customHeight="1">
      <c r="A725" s="50"/>
      <c r="B725" s="53"/>
      <c r="C725" s="53"/>
      <c r="D725" s="53"/>
      <c r="E725" s="53"/>
      <c r="F725" s="55"/>
      <c r="G725" s="53"/>
      <c r="H725" s="53"/>
      <c r="I725" s="53"/>
      <c r="J725" s="44" t="str">
        <f t="array" ref="J725">IF(G725="","",IFERROR(LET(ev_cost,INDEX(Events!$G$5:$G$506,MATCH(G725,Events!$A$5:$A$506,0)),ev_split,INDEX(Events!$I$5:$I$506,MATCH(G725,Events!$A$5:$A$506,0)),att_offset,MATCH(G725,Attendance!$B$3:$AY$3,0),attendees,COUNTIF(INDEX(Attendance!$B$7:$AY$206,0,att_offset),"1"),IF(ev_split="Equal Split",ev_cost/MAX(1,COUNTA(Roster!$A$5:$A$204)),ev_cost/MAX(1,attendees))),"N/A"))</f>
        <v/>
      </c>
    </row>
    <row r="726" ht="19.5" customHeight="1">
      <c r="A726" s="46"/>
      <c r="B726" s="49"/>
      <c r="C726" s="49"/>
      <c r="D726" s="49"/>
      <c r="E726" s="49"/>
      <c r="F726" s="54"/>
      <c r="G726" s="49"/>
      <c r="H726" s="49"/>
      <c r="I726" s="49"/>
      <c r="J726" s="44" t="str">
        <f t="array" ref="J726">IF(G726="","",IFERROR(LET(ev_cost,INDEX(Events!$G$5:$G$506,MATCH(G726,Events!$A$5:$A$506,0)),ev_split,INDEX(Events!$I$5:$I$506,MATCH(G726,Events!$A$5:$A$506,0)),att_offset,MATCH(G726,Attendance!$B$3:$AY$3,0),attendees,COUNTIF(INDEX(Attendance!$B$7:$AY$206,0,att_offset),"1"),IF(ev_split="Equal Split",ev_cost/MAX(1,COUNTA(Roster!$A$5:$A$204)),ev_cost/MAX(1,attendees))),"N/A"))</f>
        <v/>
      </c>
    </row>
    <row r="727" ht="19.5" customHeight="1">
      <c r="A727" s="50"/>
      <c r="B727" s="53"/>
      <c r="C727" s="53"/>
      <c r="D727" s="53"/>
      <c r="E727" s="53"/>
      <c r="F727" s="55"/>
      <c r="G727" s="53"/>
      <c r="H727" s="53"/>
      <c r="I727" s="53"/>
      <c r="J727" s="44" t="str">
        <f t="array" ref="J727">IF(G727="","",IFERROR(LET(ev_cost,INDEX(Events!$G$5:$G$506,MATCH(G727,Events!$A$5:$A$506,0)),ev_split,INDEX(Events!$I$5:$I$506,MATCH(G727,Events!$A$5:$A$506,0)),att_offset,MATCH(G727,Attendance!$B$3:$AY$3,0),attendees,COUNTIF(INDEX(Attendance!$B$7:$AY$206,0,att_offset),"1"),IF(ev_split="Equal Split",ev_cost/MAX(1,COUNTA(Roster!$A$5:$A$204)),ev_cost/MAX(1,attendees))),"N/A"))</f>
        <v/>
      </c>
    </row>
    <row r="728" ht="19.5" customHeight="1">
      <c r="A728" s="46"/>
      <c r="B728" s="49"/>
      <c r="C728" s="49"/>
      <c r="D728" s="49"/>
      <c r="E728" s="49"/>
      <c r="F728" s="54"/>
      <c r="G728" s="49"/>
      <c r="H728" s="49"/>
      <c r="I728" s="49"/>
      <c r="J728" s="44" t="str">
        <f t="array" ref="J728">IF(G728="","",IFERROR(LET(ev_cost,INDEX(Events!$G$5:$G$506,MATCH(G728,Events!$A$5:$A$506,0)),ev_split,INDEX(Events!$I$5:$I$506,MATCH(G728,Events!$A$5:$A$506,0)),att_offset,MATCH(G728,Attendance!$B$3:$AY$3,0),attendees,COUNTIF(INDEX(Attendance!$B$7:$AY$206,0,att_offset),"1"),IF(ev_split="Equal Split",ev_cost/MAX(1,COUNTA(Roster!$A$5:$A$204)),ev_cost/MAX(1,attendees))),"N/A"))</f>
        <v/>
      </c>
    </row>
    <row r="729" ht="19.5" customHeight="1">
      <c r="A729" s="50"/>
      <c r="B729" s="53"/>
      <c r="C729" s="53"/>
      <c r="D729" s="53"/>
      <c r="E729" s="53"/>
      <c r="F729" s="55"/>
      <c r="G729" s="53"/>
      <c r="H729" s="53"/>
      <c r="I729" s="53"/>
      <c r="J729" s="44" t="str">
        <f t="array" ref="J729">IF(G729="","",IFERROR(LET(ev_cost,INDEX(Events!$G$5:$G$506,MATCH(G729,Events!$A$5:$A$506,0)),ev_split,INDEX(Events!$I$5:$I$506,MATCH(G729,Events!$A$5:$A$506,0)),att_offset,MATCH(G729,Attendance!$B$3:$AY$3,0),attendees,COUNTIF(INDEX(Attendance!$B$7:$AY$206,0,att_offset),"1"),IF(ev_split="Equal Split",ev_cost/MAX(1,COUNTA(Roster!$A$5:$A$204)),ev_cost/MAX(1,attendees))),"N/A"))</f>
        <v/>
      </c>
    </row>
    <row r="730" ht="19.5" customHeight="1">
      <c r="A730" s="46"/>
      <c r="B730" s="49"/>
      <c r="C730" s="49"/>
      <c r="D730" s="49"/>
      <c r="E730" s="49"/>
      <c r="F730" s="54"/>
      <c r="G730" s="49"/>
      <c r="H730" s="49"/>
      <c r="I730" s="49"/>
      <c r="J730" s="44" t="str">
        <f t="array" ref="J730">IF(G730="","",IFERROR(LET(ev_cost,INDEX(Events!$G$5:$G$506,MATCH(G730,Events!$A$5:$A$506,0)),ev_split,INDEX(Events!$I$5:$I$506,MATCH(G730,Events!$A$5:$A$506,0)),att_offset,MATCH(G730,Attendance!$B$3:$AY$3,0),attendees,COUNTIF(INDEX(Attendance!$B$7:$AY$206,0,att_offset),"1"),IF(ev_split="Equal Split",ev_cost/MAX(1,COUNTA(Roster!$A$5:$A$204)),ev_cost/MAX(1,attendees))),"N/A"))</f>
        <v/>
      </c>
    </row>
    <row r="731" ht="19.5" customHeight="1">
      <c r="A731" s="50"/>
      <c r="B731" s="53"/>
      <c r="C731" s="53"/>
      <c r="D731" s="53"/>
      <c r="E731" s="53"/>
      <c r="F731" s="55"/>
      <c r="G731" s="53"/>
      <c r="H731" s="53"/>
      <c r="I731" s="53"/>
      <c r="J731" s="44" t="str">
        <f t="array" ref="J731">IF(G731="","",IFERROR(LET(ev_cost,INDEX(Events!$G$5:$G$506,MATCH(G731,Events!$A$5:$A$506,0)),ev_split,INDEX(Events!$I$5:$I$506,MATCH(G731,Events!$A$5:$A$506,0)),att_offset,MATCH(G731,Attendance!$B$3:$AY$3,0),attendees,COUNTIF(INDEX(Attendance!$B$7:$AY$206,0,att_offset),"1"),IF(ev_split="Equal Split",ev_cost/MAX(1,COUNTA(Roster!$A$5:$A$204)),ev_cost/MAX(1,attendees))),"N/A"))</f>
        <v/>
      </c>
    </row>
    <row r="732" ht="19.5" customHeight="1">
      <c r="A732" s="46"/>
      <c r="B732" s="49"/>
      <c r="C732" s="49"/>
      <c r="D732" s="49"/>
      <c r="E732" s="49"/>
      <c r="F732" s="54"/>
      <c r="G732" s="49"/>
      <c r="H732" s="49"/>
      <c r="I732" s="49"/>
      <c r="J732" s="44" t="str">
        <f t="array" ref="J732">IF(G732="","",IFERROR(LET(ev_cost,INDEX(Events!$G$5:$G$506,MATCH(G732,Events!$A$5:$A$506,0)),ev_split,INDEX(Events!$I$5:$I$506,MATCH(G732,Events!$A$5:$A$506,0)),att_offset,MATCH(G732,Attendance!$B$3:$AY$3,0),attendees,COUNTIF(INDEX(Attendance!$B$7:$AY$206,0,att_offset),"1"),IF(ev_split="Equal Split",ev_cost/MAX(1,COUNTA(Roster!$A$5:$A$204)),ev_cost/MAX(1,attendees))),"N/A"))</f>
        <v/>
      </c>
    </row>
    <row r="733" ht="19.5" customHeight="1">
      <c r="A733" s="50"/>
      <c r="B733" s="53"/>
      <c r="C733" s="53"/>
      <c r="D733" s="53"/>
      <c r="E733" s="53"/>
      <c r="F733" s="55"/>
      <c r="G733" s="53"/>
      <c r="H733" s="53"/>
      <c r="I733" s="53"/>
      <c r="J733" s="44" t="str">
        <f t="array" ref="J733">IF(G733="","",IFERROR(LET(ev_cost,INDEX(Events!$G$5:$G$506,MATCH(G733,Events!$A$5:$A$506,0)),ev_split,INDEX(Events!$I$5:$I$506,MATCH(G733,Events!$A$5:$A$506,0)),att_offset,MATCH(G733,Attendance!$B$3:$AY$3,0),attendees,COUNTIF(INDEX(Attendance!$B$7:$AY$206,0,att_offset),"1"),IF(ev_split="Equal Split",ev_cost/MAX(1,COUNTA(Roster!$A$5:$A$204)),ev_cost/MAX(1,attendees))),"N/A"))</f>
        <v/>
      </c>
    </row>
    <row r="734" ht="19.5" customHeight="1">
      <c r="A734" s="46"/>
      <c r="B734" s="49"/>
      <c r="C734" s="49"/>
      <c r="D734" s="49"/>
      <c r="E734" s="49"/>
      <c r="F734" s="54"/>
      <c r="G734" s="49"/>
      <c r="H734" s="49"/>
      <c r="I734" s="49"/>
      <c r="J734" s="44" t="str">
        <f t="array" ref="J734">IF(G734="","",IFERROR(LET(ev_cost,INDEX(Events!$G$5:$G$506,MATCH(G734,Events!$A$5:$A$506,0)),ev_split,INDEX(Events!$I$5:$I$506,MATCH(G734,Events!$A$5:$A$506,0)),att_offset,MATCH(G734,Attendance!$B$3:$AY$3,0),attendees,COUNTIF(INDEX(Attendance!$B$7:$AY$206,0,att_offset),"1"),IF(ev_split="Equal Split",ev_cost/MAX(1,COUNTA(Roster!$A$5:$A$204)),ev_cost/MAX(1,attendees))),"N/A"))</f>
        <v/>
      </c>
    </row>
    <row r="735" ht="19.5" customHeight="1">
      <c r="A735" s="50"/>
      <c r="B735" s="53"/>
      <c r="C735" s="53"/>
      <c r="D735" s="53"/>
      <c r="E735" s="53"/>
      <c r="F735" s="55"/>
      <c r="G735" s="53"/>
      <c r="H735" s="53"/>
      <c r="I735" s="53"/>
      <c r="J735" s="44" t="str">
        <f t="array" ref="J735">IF(G735="","",IFERROR(LET(ev_cost,INDEX(Events!$G$5:$G$506,MATCH(G735,Events!$A$5:$A$506,0)),ev_split,INDEX(Events!$I$5:$I$506,MATCH(G735,Events!$A$5:$A$506,0)),att_offset,MATCH(G735,Attendance!$B$3:$AY$3,0),attendees,COUNTIF(INDEX(Attendance!$B$7:$AY$206,0,att_offset),"1"),IF(ev_split="Equal Split",ev_cost/MAX(1,COUNTA(Roster!$A$5:$A$204)),ev_cost/MAX(1,attendees))),"N/A"))</f>
        <v/>
      </c>
    </row>
    <row r="736" ht="19.5" customHeight="1">
      <c r="A736" s="46"/>
      <c r="B736" s="49"/>
      <c r="C736" s="49"/>
      <c r="D736" s="49"/>
      <c r="E736" s="49"/>
      <c r="F736" s="54"/>
      <c r="G736" s="49"/>
      <c r="H736" s="49"/>
      <c r="I736" s="49"/>
      <c r="J736" s="44" t="str">
        <f t="array" ref="J736">IF(G736="","",IFERROR(LET(ev_cost,INDEX(Events!$G$5:$G$506,MATCH(G736,Events!$A$5:$A$506,0)),ev_split,INDEX(Events!$I$5:$I$506,MATCH(G736,Events!$A$5:$A$506,0)),att_offset,MATCH(G736,Attendance!$B$3:$AY$3,0),attendees,COUNTIF(INDEX(Attendance!$B$7:$AY$206,0,att_offset),"1"),IF(ev_split="Equal Split",ev_cost/MAX(1,COUNTA(Roster!$A$5:$A$204)),ev_cost/MAX(1,attendees))),"N/A"))</f>
        <v/>
      </c>
    </row>
    <row r="737" ht="19.5" customHeight="1">
      <c r="A737" s="50"/>
      <c r="B737" s="53"/>
      <c r="C737" s="53"/>
      <c r="D737" s="53"/>
      <c r="E737" s="53"/>
      <c r="F737" s="55"/>
      <c r="G737" s="53"/>
      <c r="H737" s="53"/>
      <c r="I737" s="53"/>
      <c r="J737" s="44" t="str">
        <f t="array" ref="J737">IF(G737="","",IFERROR(LET(ev_cost,INDEX(Events!$G$5:$G$506,MATCH(G737,Events!$A$5:$A$506,0)),ev_split,INDEX(Events!$I$5:$I$506,MATCH(G737,Events!$A$5:$A$506,0)),att_offset,MATCH(G737,Attendance!$B$3:$AY$3,0),attendees,COUNTIF(INDEX(Attendance!$B$7:$AY$206,0,att_offset),"1"),IF(ev_split="Equal Split",ev_cost/MAX(1,COUNTA(Roster!$A$5:$A$204)),ev_cost/MAX(1,attendees))),"N/A"))</f>
        <v/>
      </c>
    </row>
    <row r="738" ht="19.5" customHeight="1">
      <c r="A738" s="46"/>
      <c r="B738" s="49"/>
      <c r="C738" s="49"/>
      <c r="D738" s="49"/>
      <c r="E738" s="49"/>
      <c r="F738" s="54"/>
      <c r="G738" s="49"/>
      <c r="H738" s="49"/>
      <c r="I738" s="49"/>
      <c r="J738" s="44" t="str">
        <f t="array" ref="J738">IF(G738="","",IFERROR(LET(ev_cost,INDEX(Events!$G$5:$G$506,MATCH(G738,Events!$A$5:$A$506,0)),ev_split,INDEX(Events!$I$5:$I$506,MATCH(G738,Events!$A$5:$A$506,0)),att_offset,MATCH(G738,Attendance!$B$3:$AY$3,0),attendees,COUNTIF(INDEX(Attendance!$B$7:$AY$206,0,att_offset),"1"),IF(ev_split="Equal Split",ev_cost/MAX(1,COUNTA(Roster!$A$5:$A$204)),ev_cost/MAX(1,attendees))),"N/A"))</f>
        <v/>
      </c>
    </row>
    <row r="739" ht="19.5" customHeight="1">
      <c r="A739" s="50"/>
      <c r="B739" s="53"/>
      <c r="C739" s="53"/>
      <c r="D739" s="53"/>
      <c r="E739" s="53"/>
      <c r="F739" s="55"/>
      <c r="G739" s="53"/>
      <c r="H739" s="53"/>
      <c r="I739" s="53"/>
      <c r="J739" s="44" t="str">
        <f t="array" ref="J739">IF(G739="","",IFERROR(LET(ev_cost,INDEX(Events!$G$5:$G$506,MATCH(G739,Events!$A$5:$A$506,0)),ev_split,INDEX(Events!$I$5:$I$506,MATCH(G739,Events!$A$5:$A$506,0)),att_offset,MATCH(G739,Attendance!$B$3:$AY$3,0),attendees,COUNTIF(INDEX(Attendance!$B$7:$AY$206,0,att_offset),"1"),IF(ev_split="Equal Split",ev_cost/MAX(1,COUNTA(Roster!$A$5:$A$204)),ev_cost/MAX(1,attendees))),"N/A"))</f>
        <v/>
      </c>
    </row>
    <row r="740" ht="19.5" customHeight="1">
      <c r="A740" s="46"/>
      <c r="B740" s="49"/>
      <c r="C740" s="49"/>
      <c r="D740" s="49"/>
      <c r="E740" s="49"/>
      <c r="F740" s="54"/>
      <c r="G740" s="49"/>
      <c r="H740" s="49"/>
      <c r="I740" s="49"/>
      <c r="J740" s="44" t="str">
        <f t="array" ref="J740">IF(G740="","",IFERROR(LET(ev_cost,INDEX(Events!$G$5:$G$506,MATCH(G740,Events!$A$5:$A$506,0)),ev_split,INDEX(Events!$I$5:$I$506,MATCH(G740,Events!$A$5:$A$506,0)),att_offset,MATCH(G740,Attendance!$B$3:$AY$3,0),attendees,COUNTIF(INDEX(Attendance!$B$7:$AY$206,0,att_offset),"1"),IF(ev_split="Equal Split",ev_cost/MAX(1,COUNTA(Roster!$A$5:$A$204)),ev_cost/MAX(1,attendees))),"N/A"))</f>
        <v/>
      </c>
    </row>
    <row r="741" ht="19.5" customHeight="1">
      <c r="A741" s="50"/>
      <c r="B741" s="53"/>
      <c r="C741" s="53"/>
      <c r="D741" s="53"/>
      <c r="E741" s="53"/>
      <c r="F741" s="55"/>
      <c r="G741" s="53"/>
      <c r="H741" s="53"/>
      <c r="I741" s="53"/>
      <c r="J741" s="44" t="str">
        <f t="array" ref="J741">IF(G741="","",IFERROR(LET(ev_cost,INDEX(Events!$G$5:$G$506,MATCH(G741,Events!$A$5:$A$506,0)),ev_split,INDEX(Events!$I$5:$I$506,MATCH(G741,Events!$A$5:$A$506,0)),att_offset,MATCH(G741,Attendance!$B$3:$AY$3,0),attendees,COUNTIF(INDEX(Attendance!$B$7:$AY$206,0,att_offset),"1"),IF(ev_split="Equal Split",ev_cost/MAX(1,COUNTA(Roster!$A$5:$A$204)),ev_cost/MAX(1,attendees))),"N/A"))</f>
        <v/>
      </c>
    </row>
    <row r="742" ht="19.5" customHeight="1">
      <c r="A742" s="46"/>
      <c r="B742" s="49"/>
      <c r="C742" s="49"/>
      <c r="D742" s="49"/>
      <c r="E742" s="49"/>
      <c r="F742" s="54"/>
      <c r="G742" s="49"/>
      <c r="H742" s="49"/>
      <c r="I742" s="49"/>
      <c r="J742" s="44" t="str">
        <f t="array" ref="J742">IF(G742="","",IFERROR(LET(ev_cost,INDEX(Events!$G$5:$G$506,MATCH(G742,Events!$A$5:$A$506,0)),ev_split,INDEX(Events!$I$5:$I$506,MATCH(G742,Events!$A$5:$A$506,0)),att_offset,MATCH(G742,Attendance!$B$3:$AY$3,0),attendees,COUNTIF(INDEX(Attendance!$B$7:$AY$206,0,att_offset),"1"),IF(ev_split="Equal Split",ev_cost/MAX(1,COUNTA(Roster!$A$5:$A$204)),ev_cost/MAX(1,attendees))),"N/A"))</f>
        <v/>
      </c>
    </row>
    <row r="743" ht="19.5" customHeight="1">
      <c r="A743" s="50"/>
      <c r="B743" s="53"/>
      <c r="C743" s="53"/>
      <c r="D743" s="53"/>
      <c r="E743" s="53"/>
      <c r="F743" s="55"/>
      <c r="G743" s="53"/>
      <c r="H743" s="53"/>
      <c r="I743" s="53"/>
      <c r="J743" s="44" t="str">
        <f t="array" ref="J743">IF(G743="","",IFERROR(LET(ev_cost,INDEX(Events!$G$5:$G$506,MATCH(G743,Events!$A$5:$A$506,0)),ev_split,INDEX(Events!$I$5:$I$506,MATCH(G743,Events!$A$5:$A$506,0)),att_offset,MATCH(G743,Attendance!$B$3:$AY$3,0),attendees,COUNTIF(INDEX(Attendance!$B$7:$AY$206,0,att_offset),"1"),IF(ev_split="Equal Split",ev_cost/MAX(1,COUNTA(Roster!$A$5:$A$204)),ev_cost/MAX(1,attendees))),"N/A"))</f>
        <v/>
      </c>
    </row>
    <row r="744" ht="19.5" customHeight="1">
      <c r="A744" s="46"/>
      <c r="B744" s="49"/>
      <c r="C744" s="49"/>
      <c r="D744" s="49"/>
      <c r="E744" s="49"/>
      <c r="F744" s="54"/>
      <c r="G744" s="49"/>
      <c r="H744" s="49"/>
      <c r="I744" s="49"/>
      <c r="J744" s="44" t="str">
        <f t="array" ref="J744">IF(G744="","",IFERROR(LET(ev_cost,INDEX(Events!$G$5:$G$506,MATCH(G744,Events!$A$5:$A$506,0)),ev_split,INDEX(Events!$I$5:$I$506,MATCH(G744,Events!$A$5:$A$506,0)),att_offset,MATCH(G744,Attendance!$B$3:$AY$3,0),attendees,COUNTIF(INDEX(Attendance!$B$7:$AY$206,0,att_offset),"1"),IF(ev_split="Equal Split",ev_cost/MAX(1,COUNTA(Roster!$A$5:$A$204)),ev_cost/MAX(1,attendees))),"N/A"))</f>
        <v/>
      </c>
    </row>
    <row r="745" ht="19.5" customHeight="1">
      <c r="A745" s="50"/>
      <c r="B745" s="53"/>
      <c r="C745" s="53"/>
      <c r="D745" s="53"/>
      <c r="E745" s="53"/>
      <c r="F745" s="55"/>
      <c r="G745" s="53"/>
      <c r="H745" s="53"/>
      <c r="I745" s="53"/>
      <c r="J745" s="44" t="str">
        <f t="array" ref="J745">IF(G745="","",IFERROR(LET(ev_cost,INDEX(Events!$G$5:$G$506,MATCH(G745,Events!$A$5:$A$506,0)),ev_split,INDEX(Events!$I$5:$I$506,MATCH(G745,Events!$A$5:$A$506,0)),att_offset,MATCH(G745,Attendance!$B$3:$AY$3,0),attendees,COUNTIF(INDEX(Attendance!$B$7:$AY$206,0,att_offset),"1"),IF(ev_split="Equal Split",ev_cost/MAX(1,COUNTA(Roster!$A$5:$A$204)),ev_cost/MAX(1,attendees))),"N/A"))</f>
        <v/>
      </c>
    </row>
    <row r="746" ht="19.5" customHeight="1">
      <c r="A746" s="46"/>
      <c r="B746" s="49"/>
      <c r="C746" s="49"/>
      <c r="D746" s="49"/>
      <c r="E746" s="49"/>
      <c r="F746" s="54"/>
      <c r="G746" s="49"/>
      <c r="H746" s="49"/>
      <c r="I746" s="49"/>
      <c r="J746" s="44" t="str">
        <f t="array" ref="J746">IF(G746="","",IFERROR(LET(ev_cost,INDEX(Events!$G$5:$G$506,MATCH(G746,Events!$A$5:$A$506,0)),ev_split,INDEX(Events!$I$5:$I$506,MATCH(G746,Events!$A$5:$A$506,0)),att_offset,MATCH(G746,Attendance!$B$3:$AY$3,0),attendees,COUNTIF(INDEX(Attendance!$B$7:$AY$206,0,att_offset),"1"),IF(ev_split="Equal Split",ev_cost/MAX(1,COUNTA(Roster!$A$5:$A$204)),ev_cost/MAX(1,attendees))),"N/A"))</f>
        <v/>
      </c>
    </row>
    <row r="747" ht="19.5" customHeight="1">
      <c r="A747" s="50"/>
      <c r="B747" s="53"/>
      <c r="C747" s="53"/>
      <c r="D747" s="53"/>
      <c r="E747" s="53"/>
      <c r="F747" s="55"/>
      <c r="G747" s="53"/>
      <c r="H747" s="53"/>
      <c r="I747" s="53"/>
      <c r="J747" s="44" t="str">
        <f t="array" ref="J747">IF(G747="","",IFERROR(LET(ev_cost,INDEX(Events!$G$5:$G$506,MATCH(G747,Events!$A$5:$A$506,0)),ev_split,INDEX(Events!$I$5:$I$506,MATCH(G747,Events!$A$5:$A$506,0)),att_offset,MATCH(G747,Attendance!$B$3:$AY$3,0),attendees,COUNTIF(INDEX(Attendance!$B$7:$AY$206,0,att_offset),"1"),IF(ev_split="Equal Split",ev_cost/MAX(1,COUNTA(Roster!$A$5:$A$204)),ev_cost/MAX(1,attendees))),"N/A"))</f>
        <v/>
      </c>
    </row>
    <row r="748" ht="19.5" customHeight="1">
      <c r="A748" s="46"/>
      <c r="B748" s="49"/>
      <c r="C748" s="49"/>
      <c r="D748" s="49"/>
      <c r="E748" s="49"/>
      <c r="F748" s="54"/>
      <c r="G748" s="49"/>
      <c r="H748" s="49"/>
      <c r="I748" s="49"/>
      <c r="J748" s="44" t="str">
        <f t="array" ref="J748">IF(G748="","",IFERROR(LET(ev_cost,INDEX(Events!$G$5:$G$506,MATCH(G748,Events!$A$5:$A$506,0)),ev_split,INDEX(Events!$I$5:$I$506,MATCH(G748,Events!$A$5:$A$506,0)),att_offset,MATCH(G748,Attendance!$B$3:$AY$3,0),attendees,COUNTIF(INDEX(Attendance!$B$7:$AY$206,0,att_offset),"1"),IF(ev_split="Equal Split",ev_cost/MAX(1,COUNTA(Roster!$A$5:$A$204)),ev_cost/MAX(1,attendees))),"N/A"))</f>
        <v/>
      </c>
    </row>
    <row r="749" ht="19.5" customHeight="1">
      <c r="A749" s="50"/>
      <c r="B749" s="53"/>
      <c r="C749" s="53"/>
      <c r="D749" s="53"/>
      <c r="E749" s="53"/>
      <c r="F749" s="55"/>
      <c r="G749" s="53"/>
      <c r="H749" s="53"/>
      <c r="I749" s="53"/>
      <c r="J749" s="44" t="str">
        <f t="array" ref="J749">IF(G749="","",IFERROR(LET(ev_cost,INDEX(Events!$G$5:$G$506,MATCH(G749,Events!$A$5:$A$506,0)),ev_split,INDEX(Events!$I$5:$I$506,MATCH(G749,Events!$A$5:$A$506,0)),att_offset,MATCH(G749,Attendance!$B$3:$AY$3,0),attendees,COUNTIF(INDEX(Attendance!$B$7:$AY$206,0,att_offset),"1"),IF(ev_split="Equal Split",ev_cost/MAX(1,COUNTA(Roster!$A$5:$A$204)),ev_cost/MAX(1,attendees))),"N/A"))</f>
        <v/>
      </c>
    </row>
    <row r="750" ht="19.5" customHeight="1">
      <c r="A750" s="46"/>
      <c r="B750" s="49"/>
      <c r="C750" s="49"/>
      <c r="D750" s="49"/>
      <c r="E750" s="49"/>
      <c r="F750" s="54"/>
      <c r="G750" s="49"/>
      <c r="H750" s="49"/>
      <c r="I750" s="49"/>
      <c r="J750" s="44" t="str">
        <f t="array" ref="J750">IF(G750="","",IFERROR(LET(ev_cost,INDEX(Events!$G$5:$G$506,MATCH(G750,Events!$A$5:$A$506,0)),ev_split,INDEX(Events!$I$5:$I$506,MATCH(G750,Events!$A$5:$A$506,0)),att_offset,MATCH(G750,Attendance!$B$3:$AY$3,0),attendees,COUNTIF(INDEX(Attendance!$B$7:$AY$206,0,att_offset),"1"),IF(ev_split="Equal Split",ev_cost/MAX(1,COUNTA(Roster!$A$5:$A$204)),ev_cost/MAX(1,attendees))),"N/A"))</f>
        <v/>
      </c>
    </row>
    <row r="751" ht="19.5" customHeight="1">
      <c r="A751" s="50"/>
      <c r="B751" s="53"/>
      <c r="C751" s="53"/>
      <c r="D751" s="53"/>
      <c r="E751" s="53"/>
      <c r="F751" s="55"/>
      <c r="G751" s="53"/>
      <c r="H751" s="53"/>
      <c r="I751" s="53"/>
      <c r="J751" s="44" t="str">
        <f t="array" ref="J751">IF(G751="","",IFERROR(LET(ev_cost,INDEX(Events!$G$5:$G$506,MATCH(G751,Events!$A$5:$A$506,0)),ev_split,INDEX(Events!$I$5:$I$506,MATCH(G751,Events!$A$5:$A$506,0)),att_offset,MATCH(G751,Attendance!$B$3:$AY$3,0),attendees,COUNTIF(INDEX(Attendance!$B$7:$AY$206,0,att_offset),"1"),IF(ev_split="Equal Split",ev_cost/MAX(1,COUNTA(Roster!$A$5:$A$204)),ev_cost/MAX(1,attendees))),"N/A"))</f>
        <v/>
      </c>
    </row>
    <row r="752" ht="19.5" customHeight="1">
      <c r="A752" s="46"/>
      <c r="B752" s="49"/>
      <c r="C752" s="49"/>
      <c r="D752" s="49"/>
      <c r="E752" s="49"/>
      <c r="F752" s="54"/>
      <c r="G752" s="49"/>
      <c r="H752" s="49"/>
      <c r="I752" s="49"/>
      <c r="J752" s="44" t="str">
        <f t="array" ref="J752">IF(G752="","",IFERROR(LET(ev_cost,INDEX(Events!$G$5:$G$506,MATCH(G752,Events!$A$5:$A$506,0)),ev_split,INDEX(Events!$I$5:$I$506,MATCH(G752,Events!$A$5:$A$506,0)),att_offset,MATCH(G752,Attendance!$B$3:$AY$3,0),attendees,COUNTIF(INDEX(Attendance!$B$7:$AY$206,0,att_offset),"1"),IF(ev_split="Equal Split",ev_cost/MAX(1,COUNTA(Roster!$A$5:$A$204)),ev_cost/MAX(1,attendees))),"N/A"))</f>
        <v/>
      </c>
    </row>
    <row r="753" ht="19.5" customHeight="1">
      <c r="A753" s="50"/>
      <c r="B753" s="53"/>
      <c r="C753" s="53"/>
      <c r="D753" s="53"/>
      <c r="E753" s="53"/>
      <c r="F753" s="55"/>
      <c r="G753" s="53"/>
      <c r="H753" s="53"/>
      <c r="I753" s="53"/>
      <c r="J753" s="44" t="str">
        <f t="array" ref="J753">IF(G753="","",IFERROR(LET(ev_cost,INDEX(Events!$G$5:$G$506,MATCH(G753,Events!$A$5:$A$506,0)),ev_split,INDEX(Events!$I$5:$I$506,MATCH(G753,Events!$A$5:$A$506,0)),att_offset,MATCH(G753,Attendance!$B$3:$AY$3,0),attendees,COUNTIF(INDEX(Attendance!$B$7:$AY$206,0,att_offset),"1"),IF(ev_split="Equal Split",ev_cost/MAX(1,COUNTA(Roster!$A$5:$A$204)),ev_cost/MAX(1,attendees))),"N/A"))</f>
        <v/>
      </c>
    </row>
    <row r="754" ht="19.5" customHeight="1">
      <c r="A754" s="46"/>
      <c r="B754" s="49"/>
      <c r="C754" s="49"/>
      <c r="D754" s="49"/>
      <c r="E754" s="49"/>
      <c r="F754" s="54"/>
      <c r="G754" s="49"/>
      <c r="H754" s="49"/>
      <c r="I754" s="49"/>
      <c r="J754" s="44" t="str">
        <f t="array" ref="J754">IF(G754="","",IFERROR(LET(ev_cost,INDEX(Events!$G$5:$G$506,MATCH(G754,Events!$A$5:$A$506,0)),ev_split,INDEX(Events!$I$5:$I$506,MATCH(G754,Events!$A$5:$A$506,0)),att_offset,MATCH(G754,Attendance!$B$3:$AY$3,0),attendees,COUNTIF(INDEX(Attendance!$B$7:$AY$206,0,att_offset),"1"),IF(ev_split="Equal Split",ev_cost/MAX(1,COUNTA(Roster!$A$5:$A$204)),ev_cost/MAX(1,attendees))),"N/A"))</f>
        <v/>
      </c>
    </row>
    <row r="755" ht="19.5" customHeight="1">
      <c r="A755" s="50"/>
      <c r="B755" s="53"/>
      <c r="C755" s="53"/>
      <c r="D755" s="53"/>
      <c r="E755" s="53"/>
      <c r="F755" s="55"/>
      <c r="G755" s="53"/>
      <c r="H755" s="53"/>
      <c r="I755" s="53"/>
      <c r="J755" s="44" t="str">
        <f t="array" ref="J755">IF(G755="","",IFERROR(LET(ev_cost,INDEX(Events!$G$5:$G$506,MATCH(G755,Events!$A$5:$A$506,0)),ev_split,INDEX(Events!$I$5:$I$506,MATCH(G755,Events!$A$5:$A$506,0)),att_offset,MATCH(G755,Attendance!$B$3:$AY$3,0),attendees,COUNTIF(INDEX(Attendance!$B$7:$AY$206,0,att_offset),"1"),IF(ev_split="Equal Split",ev_cost/MAX(1,COUNTA(Roster!$A$5:$A$204)),ev_cost/MAX(1,attendees))),"N/A"))</f>
        <v/>
      </c>
    </row>
    <row r="756" ht="19.5" customHeight="1">
      <c r="A756" s="46"/>
      <c r="B756" s="49"/>
      <c r="C756" s="49"/>
      <c r="D756" s="49"/>
      <c r="E756" s="49"/>
      <c r="F756" s="54"/>
      <c r="G756" s="49"/>
      <c r="H756" s="49"/>
      <c r="I756" s="49"/>
      <c r="J756" s="44" t="str">
        <f t="array" ref="J756">IF(G756="","",IFERROR(LET(ev_cost,INDEX(Events!$G$5:$G$506,MATCH(G756,Events!$A$5:$A$506,0)),ev_split,INDEX(Events!$I$5:$I$506,MATCH(G756,Events!$A$5:$A$506,0)),att_offset,MATCH(G756,Attendance!$B$3:$AY$3,0),attendees,COUNTIF(INDEX(Attendance!$B$7:$AY$206,0,att_offset),"1"),IF(ev_split="Equal Split",ev_cost/MAX(1,COUNTA(Roster!$A$5:$A$204)),ev_cost/MAX(1,attendees))),"N/A"))</f>
        <v/>
      </c>
    </row>
    <row r="757" ht="19.5" customHeight="1">
      <c r="A757" s="50"/>
      <c r="B757" s="53"/>
      <c r="C757" s="53"/>
      <c r="D757" s="53"/>
      <c r="E757" s="53"/>
      <c r="F757" s="55"/>
      <c r="G757" s="53"/>
      <c r="H757" s="53"/>
      <c r="I757" s="53"/>
      <c r="J757" s="44" t="str">
        <f t="array" ref="J757">IF(G757="","",IFERROR(LET(ev_cost,INDEX(Events!$G$5:$G$506,MATCH(G757,Events!$A$5:$A$506,0)),ev_split,INDEX(Events!$I$5:$I$506,MATCH(G757,Events!$A$5:$A$506,0)),att_offset,MATCH(G757,Attendance!$B$3:$AY$3,0),attendees,COUNTIF(INDEX(Attendance!$B$7:$AY$206,0,att_offset),"1"),IF(ev_split="Equal Split",ev_cost/MAX(1,COUNTA(Roster!$A$5:$A$204)),ev_cost/MAX(1,attendees))),"N/A"))</f>
        <v/>
      </c>
    </row>
    <row r="758" ht="19.5" customHeight="1">
      <c r="A758" s="46"/>
      <c r="B758" s="49"/>
      <c r="C758" s="49"/>
      <c r="D758" s="49"/>
      <c r="E758" s="49"/>
      <c r="F758" s="54"/>
      <c r="G758" s="49"/>
      <c r="H758" s="49"/>
      <c r="I758" s="49"/>
      <c r="J758" s="44" t="str">
        <f t="array" ref="J758">IF(G758="","",IFERROR(LET(ev_cost,INDEX(Events!$G$5:$G$506,MATCH(G758,Events!$A$5:$A$506,0)),ev_split,INDEX(Events!$I$5:$I$506,MATCH(G758,Events!$A$5:$A$506,0)),att_offset,MATCH(G758,Attendance!$B$3:$AY$3,0),attendees,COUNTIF(INDEX(Attendance!$B$7:$AY$206,0,att_offset),"1"),IF(ev_split="Equal Split",ev_cost/MAX(1,COUNTA(Roster!$A$5:$A$204)),ev_cost/MAX(1,attendees))),"N/A"))</f>
        <v/>
      </c>
    </row>
    <row r="759" ht="19.5" customHeight="1">
      <c r="A759" s="50"/>
      <c r="B759" s="53"/>
      <c r="C759" s="53"/>
      <c r="D759" s="53"/>
      <c r="E759" s="53"/>
      <c r="F759" s="55"/>
      <c r="G759" s="53"/>
      <c r="H759" s="53"/>
      <c r="I759" s="53"/>
      <c r="J759" s="44" t="str">
        <f t="array" ref="J759">IF(G759="","",IFERROR(LET(ev_cost,INDEX(Events!$G$5:$G$506,MATCH(G759,Events!$A$5:$A$506,0)),ev_split,INDEX(Events!$I$5:$I$506,MATCH(G759,Events!$A$5:$A$506,0)),att_offset,MATCH(G759,Attendance!$B$3:$AY$3,0),attendees,COUNTIF(INDEX(Attendance!$B$7:$AY$206,0,att_offset),"1"),IF(ev_split="Equal Split",ev_cost/MAX(1,COUNTA(Roster!$A$5:$A$204)),ev_cost/MAX(1,attendees))),"N/A"))</f>
        <v/>
      </c>
    </row>
    <row r="760" ht="19.5" customHeight="1">
      <c r="A760" s="46"/>
      <c r="B760" s="49"/>
      <c r="C760" s="49"/>
      <c r="D760" s="49"/>
      <c r="E760" s="49"/>
      <c r="F760" s="54"/>
      <c r="G760" s="49"/>
      <c r="H760" s="49"/>
      <c r="I760" s="49"/>
      <c r="J760" s="44" t="str">
        <f t="array" ref="J760">IF(G760="","",IFERROR(LET(ev_cost,INDEX(Events!$G$5:$G$506,MATCH(G760,Events!$A$5:$A$506,0)),ev_split,INDEX(Events!$I$5:$I$506,MATCH(G760,Events!$A$5:$A$506,0)),att_offset,MATCH(G760,Attendance!$B$3:$AY$3,0),attendees,COUNTIF(INDEX(Attendance!$B$7:$AY$206,0,att_offset),"1"),IF(ev_split="Equal Split",ev_cost/MAX(1,COUNTA(Roster!$A$5:$A$204)),ev_cost/MAX(1,attendees))),"N/A"))</f>
        <v/>
      </c>
    </row>
    <row r="761" ht="19.5" customHeight="1">
      <c r="A761" s="50"/>
      <c r="B761" s="53"/>
      <c r="C761" s="53"/>
      <c r="D761" s="53"/>
      <c r="E761" s="53"/>
      <c r="F761" s="55"/>
      <c r="G761" s="53"/>
      <c r="H761" s="53"/>
      <c r="I761" s="53"/>
      <c r="J761" s="44" t="str">
        <f t="array" ref="J761">IF(G761="","",IFERROR(LET(ev_cost,INDEX(Events!$G$5:$G$506,MATCH(G761,Events!$A$5:$A$506,0)),ev_split,INDEX(Events!$I$5:$I$506,MATCH(G761,Events!$A$5:$A$506,0)),att_offset,MATCH(G761,Attendance!$B$3:$AY$3,0),attendees,COUNTIF(INDEX(Attendance!$B$7:$AY$206,0,att_offset),"1"),IF(ev_split="Equal Split",ev_cost/MAX(1,COUNTA(Roster!$A$5:$A$204)),ev_cost/MAX(1,attendees))),"N/A"))</f>
        <v/>
      </c>
    </row>
    <row r="762" ht="19.5" customHeight="1">
      <c r="A762" s="46"/>
      <c r="B762" s="49"/>
      <c r="C762" s="49"/>
      <c r="D762" s="49"/>
      <c r="E762" s="49"/>
      <c r="F762" s="54"/>
      <c r="G762" s="49"/>
      <c r="H762" s="49"/>
      <c r="I762" s="49"/>
      <c r="J762" s="44" t="str">
        <f t="array" ref="J762">IF(G762="","",IFERROR(LET(ev_cost,INDEX(Events!$G$5:$G$506,MATCH(G762,Events!$A$5:$A$506,0)),ev_split,INDEX(Events!$I$5:$I$506,MATCH(G762,Events!$A$5:$A$506,0)),att_offset,MATCH(G762,Attendance!$B$3:$AY$3,0),attendees,COUNTIF(INDEX(Attendance!$B$7:$AY$206,0,att_offset),"1"),IF(ev_split="Equal Split",ev_cost/MAX(1,COUNTA(Roster!$A$5:$A$204)),ev_cost/MAX(1,attendees))),"N/A"))</f>
        <v/>
      </c>
    </row>
    <row r="763" ht="19.5" customHeight="1">
      <c r="A763" s="50"/>
      <c r="B763" s="53"/>
      <c r="C763" s="53"/>
      <c r="D763" s="53"/>
      <c r="E763" s="53"/>
      <c r="F763" s="55"/>
      <c r="G763" s="53"/>
      <c r="H763" s="53"/>
      <c r="I763" s="53"/>
      <c r="J763" s="44" t="str">
        <f t="array" ref="J763">IF(G763="","",IFERROR(LET(ev_cost,INDEX(Events!$G$5:$G$506,MATCH(G763,Events!$A$5:$A$506,0)),ev_split,INDEX(Events!$I$5:$I$506,MATCH(G763,Events!$A$5:$A$506,0)),att_offset,MATCH(G763,Attendance!$B$3:$AY$3,0),attendees,COUNTIF(INDEX(Attendance!$B$7:$AY$206,0,att_offset),"1"),IF(ev_split="Equal Split",ev_cost/MAX(1,COUNTA(Roster!$A$5:$A$204)),ev_cost/MAX(1,attendees))),"N/A"))</f>
        <v/>
      </c>
    </row>
    <row r="764" ht="19.5" customHeight="1">
      <c r="A764" s="46"/>
      <c r="B764" s="49"/>
      <c r="C764" s="49"/>
      <c r="D764" s="49"/>
      <c r="E764" s="49"/>
      <c r="F764" s="54"/>
      <c r="G764" s="49"/>
      <c r="H764" s="49"/>
      <c r="I764" s="49"/>
      <c r="J764" s="44" t="str">
        <f t="array" ref="J764">IF(G764="","",IFERROR(LET(ev_cost,INDEX(Events!$G$5:$G$506,MATCH(G764,Events!$A$5:$A$506,0)),ev_split,INDEX(Events!$I$5:$I$506,MATCH(G764,Events!$A$5:$A$506,0)),att_offset,MATCH(G764,Attendance!$B$3:$AY$3,0),attendees,COUNTIF(INDEX(Attendance!$B$7:$AY$206,0,att_offset),"1"),IF(ev_split="Equal Split",ev_cost/MAX(1,COUNTA(Roster!$A$5:$A$204)),ev_cost/MAX(1,attendees))),"N/A"))</f>
        <v/>
      </c>
    </row>
    <row r="765" ht="19.5" customHeight="1">
      <c r="A765" s="50"/>
      <c r="B765" s="53"/>
      <c r="C765" s="53"/>
      <c r="D765" s="53"/>
      <c r="E765" s="53"/>
      <c r="F765" s="55"/>
      <c r="G765" s="53"/>
      <c r="H765" s="53"/>
      <c r="I765" s="53"/>
      <c r="J765" s="44" t="str">
        <f t="array" ref="J765">IF(G765="","",IFERROR(LET(ev_cost,INDEX(Events!$G$5:$G$506,MATCH(G765,Events!$A$5:$A$506,0)),ev_split,INDEX(Events!$I$5:$I$506,MATCH(G765,Events!$A$5:$A$506,0)),att_offset,MATCH(G765,Attendance!$B$3:$AY$3,0),attendees,COUNTIF(INDEX(Attendance!$B$7:$AY$206,0,att_offset),"1"),IF(ev_split="Equal Split",ev_cost/MAX(1,COUNTA(Roster!$A$5:$A$204)),ev_cost/MAX(1,attendees))),"N/A"))</f>
        <v/>
      </c>
    </row>
    <row r="766" ht="19.5" customHeight="1">
      <c r="A766" s="46"/>
      <c r="B766" s="49"/>
      <c r="C766" s="49"/>
      <c r="D766" s="49"/>
      <c r="E766" s="49"/>
      <c r="F766" s="54"/>
      <c r="G766" s="49"/>
      <c r="H766" s="49"/>
      <c r="I766" s="49"/>
      <c r="J766" s="44" t="str">
        <f t="array" ref="J766">IF(G766="","",IFERROR(LET(ev_cost,INDEX(Events!$G$5:$G$506,MATCH(G766,Events!$A$5:$A$506,0)),ev_split,INDEX(Events!$I$5:$I$506,MATCH(G766,Events!$A$5:$A$506,0)),att_offset,MATCH(G766,Attendance!$B$3:$AY$3,0),attendees,COUNTIF(INDEX(Attendance!$B$7:$AY$206,0,att_offset),"1"),IF(ev_split="Equal Split",ev_cost/MAX(1,COUNTA(Roster!$A$5:$A$204)),ev_cost/MAX(1,attendees))),"N/A"))</f>
        <v/>
      </c>
    </row>
    <row r="767" ht="19.5" customHeight="1">
      <c r="A767" s="50"/>
      <c r="B767" s="53"/>
      <c r="C767" s="53"/>
      <c r="D767" s="53"/>
      <c r="E767" s="53"/>
      <c r="F767" s="55"/>
      <c r="G767" s="53"/>
      <c r="H767" s="53"/>
      <c r="I767" s="53"/>
      <c r="J767" s="44" t="str">
        <f t="array" ref="J767">IF(G767="","",IFERROR(LET(ev_cost,INDEX(Events!$G$5:$G$506,MATCH(G767,Events!$A$5:$A$506,0)),ev_split,INDEX(Events!$I$5:$I$506,MATCH(G767,Events!$A$5:$A$506,0)),att_offset,MATCH(G767,Attendance!$B$3:$AY$3,0),attendees,COUNTIF(INDEX(Attendance!$B$7:$AY$206,0,att_offset),"1"),IF(ev_split="Equal Split",ev_cost/MAX(1,COUNTA(Roster!$A$5:$A$204)),ev_cost/MAX(1,attendees))),"N/A"))</f>
        <v/>
      </c>
    </row>
    <row r="768" ht="19.5" customHeight="1">
      <c r="A768" s="46"/>
      <c r="B768" s="49"/>
      <c r="C768" s="49"/>
      <c r="D768" s="49"/>
      <c r="E768" s="49"/>
      <c r="F768" s="54"/>
      <c r="G768" s="49"/>
      <c r="H768" s="49"/>
      <c r="I768" s="49"/>
      <c r="J768" s="44" t="str">
        <f t="array" ref="J768">IF(G768="","",IFERROR(LET(ev_cost,INDEX(Events!$G$5:$G$506,MATCH(G768,Events!$A$5:$A$506,0)),ev_split,INDEX(Events!$I$5:$I$506,MATCH(G768,Events!$A$5:$A$506,0)),att_offset,MATCH(G768,Attendance!$B$3:$AY$3,0),attendees,COUNTIF(INDEX(Attendance!$B$7:$AY$206,0,att_offset),"1"),IF(ev_split="Equal Split",ev_cost/MAX(1,COUNTA(Roster!$A$5:$A$204)),ev_cost/MAX(1,attendees))),"N/A"))</f>
        <v/>
      </c>
    </row>
    <row r="769" ht="19.5" customHeight="1">
      <c r="A769" s="50"/>
      <c r="B769" s="53"/>
      <c r="C769" s="53"/>
      <c r="D769" s="53"/>
      <c r="E769" s="53"/>
      <c r="F769" s="55"/>
      <c r="G769" s="53"/>
      <c r="H769" s="53"/>
      <c r="I769" s="53"/>
      <c r="J769" s="44" t="str">
        <f t="array" ref="J769">IF(G769="","",IFERROR(LET(ev_cost,INDEX(Events!$G$5:$G$506,MATCH(G769,Events!$A$5:$A$506,0)),ev_split,INDEX(Events!$I$5:$I$506,MATCH(G769,Events!$A$5:$A$506,0)),att_offset,MATCH(G769,Attendance!$B$3:$AY$3,0),attendees,COUNTIF(INDEX(Attendance!$B$7:$AY$206,0,att_offset),"1"),IF(ev_split="Equal Split",ev_cost/MAX(1,COUNTA(Roster!$A$5:$A$204)),ev_cost/MAX(1,attendees))),"N/A"))</f>
        <v/>
      </c>
    </row>
    <row r="770" ht="19.5" customHeight="1">
      <c r="A770" s="46"/>
      <c r="B770" s="49"/>
      <c r="C770" s="49"/>
      <c r="D770" s="49"/>
      <c r="E770" s="49"/>
      <c r="F770" s="54"/>
      <c r="G770" s="49"/>
      <c r="H770" s="49"/>
      <c r="I770" s="49"/>
      <c r="J770" s="44" t="str">
        <f t="array" ref="J770">IF(G770="","",IFERROR(LET(ev_cost,INDEX(Events!$G$5:$G$506,MATCH(G770,Events!$A$5:$A$506,0)),ev_split,INDEX(Events!$I$5:$I$506,MATCH(G770,Events!$A$5:$A$506,0)),att_offset,MATCH(G770,Attendance!$B$3:$AY$3,0),attendees,COUNTIF(INDEX(Attendance!$B$7:$AY$206,0,att_offset),"1"),IF(ev_split="Equal Split",ev_cost/MAX(1,COUNTA(Roster!$A$5:$A$204)),ev_cost/MAX(1,attendees))),"N/A"))</f>
        <v/>
      </c>
    </row>
    <row r="771" ht="19.5" customHeight="1">
      <c r="A771" s="50"/>
      <c r="B771" s="53"/>
      <c r="C771" s="53"/>
      <c r="D771" s="53"/>
      <c r="E771" s="53"/>
      <c r="F771" s="55"/>
      <c r="G771" s="53"/>
      <c r="H771" s="53"/>
      <c r="I771" s="53"/>
      <c r="J771" s="44" t="str">
        <f t="array" ref="J771">IF(G771="","",IFERROR(LET(ev_cost,INDEX(Events!$G$5:$G$506,MATCH(G771,Events!$A$5:$A$506,0)),ev_split,INDEX(Events!$I$5:$I$506,MATCH(G771,Events!$A$5:$A$506,0)),att_offset,MATCH(G771,Attendance!$B$3:$AY$3,0),attendees,COUNTIF(INDEX(Attendance!$B$7:$AY$206,0,att_offset),"1"),IF(ev_split="Equal Split",ev_cost/MAX(1,COUNTA(Roster!$A$5:$A$204)),ev_cost/MAX(1,attendees))),"N/A"))</f>
        <v/>
      </c>
    </row>
    <row r="772" ht="19.5" customHeight="1">
      <c r="A772" s="46"/>
      <c r="B772" s="49"/>
      <c r="C772" s="49"/>
      <c r="D772" s="49"/>
      <c r="E772" s="49"/>
      <c r="F772" s="54"/>
      <c r="G772" s="49"/>
      <c r="H772" s="49"/>
      <c r="I772" s="49"/>
      <c r="J772" s="44" t="str">
        <f t="array" ref="J772">IF(G772="","",IFERROR(LET(ev_cost,INDEX(Events!$G$5:$G$506,MATCH(G772,Events!$A$5:$A$506,0)),ev_split,INDEX(Events!$I$5:$I$506,MATCH(G772,Events!$A$5:$A$506,0)),att_offset,MATCH(G772,Attendance!$B$3:$AY$3,0),attendees,COUNTIF(INDEX(Attendance!$B$7:$AY$206,0,att_offset),"1"),IF(ev_split="Equal Split",ev_cost/MAX(1,COUNTA(Roster!$A$5:$A$204)),ev_cost/MAX(1,attendees))),"N/A"))</f>
        <v/>
      </c>
    </row>
    <row r="773" ht="19.5" customHeight="1">
      <c r="A773" s="50"/>
      <c r="B773" s="53"/>
      <c r="C773" s="53"/>
      <c r="D773" s="53"/>
      <c r="E773" s="53"/>
      <c r="F773" s="55"/>
      <c r="G773" s="53"/>
      <c r="H773" s="53"/>
      <c r="I773" s="53"/>
      <c r="J773" s="44" t="str">
        <f t="array" ref="J773">IF(G773="","",IFERROR(LET(ev_cost,INDEX(Events!$G$5:$G$506,MATCH(G773,Events!$A$5:$A$506,0)),ev_split,INDEX(Events!$I$5:$I$506,MATCH(G773,Events!$A$5:$A$506,0)),att_offset,MATCH(G773,Attendance!$B$3:$AY$3,0),attendees,COUNTIF(INDEX(Attendance!$B$7:$AY$206,0,att_offset),"1"),IF(ev_split="Equal Split",ev_cost/MAX(1,COUNTA(Roster!$A$5:$A$204)),ev_cost/MAX(1,attendees))),"N/A"))</f>
        <v/>
      </c>
    </row>
    <row r="774" ht="19.5" customHeight="1">
      <c r="A774" s="46"/>
      <c r="B774" s="49"/>
      <c r="C774" s="49"/>
      <c r="D774" s="49"/>
      <c r="E774" s="49"/>
      <c r="F774" s="54"/>
      <c r="G774" s="49"/>
      <c r="H774" s="49"/>
      <c r="I774" s="49"/>
      <c r="J774" s="44" t="str">
        <f t="array" ref="J774">IF(G774="","",IFERROR(LET(ev_cost,INDEX(Events!$G$5:$G$506,MATCH(G774,Events!$A$5:$A$506,0)),ev_split,INDEX(Events!$I$5:$I$506,MATCH(G774,Events!$A$5:$A$506,0)),att_offset,MATCH(G774,Attendance!$B$3:$AY$3,0),attendees,COUNTIF(INDEX(Attendance!$B$7:$AY$206,0,att_offset),"1"),IF(ev_split="Equal Split",ev_cost/MAX(1,COUNTA(Roster!$A$5:$A$204)),ev_cost/MAX(1,attendees))),"N/A"))</f>
        <v/>
      </c>
    </row>
    <row r="775" ht="19.5" customHeight="1">
      <c r="A775" s="50"/>
      <c r="B775" s="53"/>
      <c r="C775" s="53"/>
      <c r="D775" s="53"/>
      <c r="E775" s="53"/>
      <c r="F775" s="55"/>
      <c r="G775" s="53"/>
      <c r="H775" s="53"/>
      <c r="I775" s="53"/>
      <c r="J775" s="44" t="str">
        <f t="array" ref="J775">IF(G775="","",IFERROR(LET(ev_cost,INDEX(Events!$G$5:$G$506,MATCH(G775,Events!$A$5:$A$506,0)),ev_split,INDEX(Events!$I$5:$I$506,MATCH(G775,Events!$A$5:$A$506,0)),att_offset,MATCH(G775,Attendance!$B$3:$AY$3,0),attendees,COUNTIF(INDEX(Attendance!$B$7:$AY$206,0,att_offset),"1"),IF(ev_split="Equal Split",ev_cost/MAX(1,COUNTA(Roster!$A$5:$A$204)),ev_cost/MAX(1,attendees))),"N/A"))</f>
        <v/>
      </c>
    </row>
    <row r="776" ht="19.5" customHeight="1">
      <c r="A776" s="46"/>
      <c r="B776" s="49"/>
      <c r="C776" s="49"/>
      <c r="D776" s="49"/>
      <c r="E776" s="49"/>
      <c r="F776" s="54"/>
      <c r="G776" s="49"/>
      <c r="H776" s="49"/>
      <c r="I776" s="49"/>
      <c r="J776" s="44" t="str">
        <f t="array" ref="J776">IF(G776="","",IFERROR(LET(ev_cost,INDEX(Events!$G$5:$G$506,MATCH(G776,Events!$A$5:$A$506,0)),ev_split,INDEX(Events!$I$5:$I$506,MATCH(G776,Events!$A$5:$A$506,0)),att_offset,MATCH(G776,Attendance!$B$3:$AY$3,0),attendees,COUNTIF(INDEX(Attendance!$B$7:$AY$206,0,att_offset),"1"),IF(ev_split="Equal Split",ev_cost/MAX(1,COUNTA(Roster!$A$5:$A$204)),ev_cost/MAX(1,attendees))),"N/A"))</f>
        <v/>
      </c>
    </row>
    <row r="777" ht="19.5" customHeight="1">
      <c r="A777" s="50"/>
      <c r="B777" s="53"/>
      <c r="C777" s="53"/>
      <c r="D777" s="53"/>
      <c r="E777" s="53"/>
      <c r="F777" s="55"/>
      <c r="G777" s="53"/>
      <c r="H777" s="53"/>
      <c r="I777" s="53"/>
      <c r="J777" s="44" t="str">
        <f t="array" ref="J777">IF(G777="","",IFERROR(LET(ev_cost,INDEX(Events!$G$5:$G$506,MATCH(G777,Events!$A$5:$A$506,0)),ev_split,INDEX(Events!$I$5:$I$506,MATCH(G777,Events!$A$5:$A$506,0)),att_offset,MATCH(G777,Attendance!$B$3:$AY$3,0),attendees,COUNTIF(INDEX(Attendance!$B$7:$AY$206,0,att_offset),"1"),IF(ev_split="Equal Split",ev_cost/MAX(1,COUNTA(Roster!$A$5:$A$204)),ev_cost/MAX(1,attendees))),"N/A"))</f>
        <v/>
      </c>
    </row>
    <row r="778" ht="19.5" customHeight="1">
      <c r="A778" s="46"/>
      <c r="B778" s="49"/>
      <c r="C778" s="49"/>
      <c r="D778" s="49"/>
      <c r="E778" s="49"/>
      <c r="F778" s="54"/>
      <c r="G778" s="49"/>
      <c r="H778" s="49"/>
      <c r="I778" s="49"/>
      <c r="J778" s="44" t="str">
        <f t="array" ref="J778">IF(G778="","",IFERROR(LET(ev_cost,INDEX(Events!$G$5:$G$506,MATCH(G778,Events!$A$5:$A$506,0)),ev_split,INDEX(Events!$I$5:$I$506,MATCH(G778,Events!$A$5:$A$506,0)),att_offset,MATCH(G778,Attendance!$B$3:$AY$3,0),attendees,COUNTIF(INDEX(Attendance!$B$7:$AY$206,0,att_offset),"1"),IF(ev_split="Equal Split",ev_cost/MAX(1,COUNTA(Roster!$A$5:$A$204)),ev_cost/MAX(1,attendees))),"N/A"))</f>
        <v/>
      </c>
    </row>
    <row r="779" ht="19.5" customHeight="1">
      <c r="A779" s="50"/>
      <c r="B779" s="53"/>
      <c r="C779" s="53"/>
      <c r="D779" s="53"/>
      <c r="E779" s="53"/>
      <c r="F779" s="55"/>
      <c r="G779" s="53"/>
      <c r="H779" s="53"/>
      <c r="I779" s="53"/>
      <c r="J779" s="44" t="str">
        <f t="array" ref="J779">IF(G779="","",IFERROR(LET(ev_cost,INDEX(Events!$G$5:$G$506,MATCH(G779,Events!$A$5:$A$506,0)),ev_split,INDEX(Events!$I$5:$I$506,MATCH(G779,Events!$A$5:$A$506,0)),att_offset,MATCH(G779,Attendance!$B$3:$AY$3,0),attendees,COUNTIF(INDEX(Attendance!$B$7:$AY$206,0,att_offset),"1"),IF(ev_split="Equal Split",ev_cost/MAX(1,COUNTA(Roster!$A$5:$A$204)),ev_cost/MAX(1,attendees))),"N/A"))</f>
        <v/>
      </c>
    </row>
    <row r="780" ht="19.5" customHeight="1">
      <c r="A780" s="46"/>
      <c r="B780" s="49"/>
      <c r="C780" s="49"/>
      <c r="D780" s="49"/>
      <c r="E780" s="49"/>
      <c r="F780" s="54"/>
      <c r="G780" s="49"/>
      <c r="H780" s="49"/>
      <c r="I780" s="49"/>
      <c r="J780" s="44" t="str">
        <f t="array" ref="J780">IF(G780="","",IFERROR(LET(ev_cost,INDEX(Events!$G$5:$G$506,MATCH(G780,Events!$A$5:$A$506,0)),ev_split,INDEX(Events!$I$5:$I$506,MATCH(G780,Events!$A$5:$A$506,0)),att_offset,MATCH(G780,Attendance!$B$3:$AY$3,0),attendees,COUNTIF(INDEX(Attendance!$B$7:$AY$206,0,att_offset),"1"),IF(ev_split="Equal Split",ev_cost/MAX(1,COUNTA(Roster!$A$5:$A$204)),ev_cost/MAX(1,attendees))),"N/A"))</f>
        <v/>
      </c>
    </row>
    <row r="781" ht="19.5" customHeight="1">
      <c r="A781" s="50"/>
      <c r="B781" s="53"/>
      <c r="C781" s="53"/>
      <c r="D781" s="53"/>
      <c r="E781" s="53"/>
      <c r="F781" s="55"/>
      <c r="G781" s="53"/>
      <c r="H781" s="53"/>
      <c r="I781" s="53"/>
      <c r="J781" s="44" t="str">
        <f t="array" ref="J781">IF(G781="","",IFERROR(LET(ev_cost,INDEX(Events!$G$5:$G$506,MATCH(G781,Events!$A$5:$A$506,0)),ev_split,INDEX(Events!$I$5:$I$506,MATCH(G781,Events!$A$5:$A$506,0)),att_offset,MATCH(G781,Attendance!$B$3:$AY$3,0),attendees,COUNTIF(INDEX(Attendance!$B$7:$AY$206,0,att_offset),"1"),IF(ev_split="Equal Split",ev_cost/MAX(1,COUNTA(Roster!$A$5:$A$204)),ev_cost/MAX(1,attendees))),"N/A"))</f>
        <v/>
      </c>
    </row>
    <row r="782" ht="19.5" customHeight="1">
      <c r="A782" s="46"/>
      <c r="B782" s="49"/>
      <c r="C782" s="49"/>
      <c r="D782" s="49"/>
      <c r="E782" s="49"/>
      <c r="F782" s="54"/>
      <c r="G782" s="49"/>
      <c r="H782" s="49"/>
      <c r="I782" s="49"/>
      <c r="J782" s="44" t="str">
        <f t="array" ref="J782">IF(G782="","",IFERROR(LET(ev_cost,INDEX(Events!$G$5:$G$506,MATCH(G782,Events!$A$5:$A$506,0)),ev_split,INDEX(Events!$I$5:$I$506,MATCH(G782,Events!$A$5:$A$506,0)),att_offset,MATCH(G782,Attendance!$B$3:$AY$3,0),attendees,COUNTIF(INDEX(Attendance!$B$7:$AY$206,0,att_offset),"1"),IF(ev_split="Equal Split",ev_cost/MAX(1,COUNTA(Roster!$A$5:$A$204)),ev_cost/MAX(1,attendees))),"N/A"))</f>
        <v/>
      </c>
    </row>
    <row r="783" ht="19.5" customHeight="1">
      <c r="A783" s="50"/>
      <c r="B783" s="53"/>
      <c r="C783" s="53"/>
      <c r="D783" s="53"/>
      <c r="E783" s="53"/>
      <c r="F783" s="55"/>
      <c r="G783" s="53"/>
      <c r="H783" s="53"/>
      <c r="I783" s="53"/>
      <c r="J783" s="44" t="str">
        <f t="array" ref="J783">IF(G783="","",IFERROR(LET(ev_cost,INDEX(Events!$G$5:$G$506,MATCH(G783,Events!$A$5:$A$506,0)),ev_split,INDEX(Events!$I$5:$I$506,MATCH(G783,Events!$A$5:$A$506,0)),att_offset,MATCH(G783,Attendance!$B$3:$AY$3,0),attendees,COUNTIF(INDEX(Attendance!$B$7:$AY$206,0,att_offset),"1"),IF(ev_split="Equal Split",ev_cost/MAX(1,COUNTA(Roster!$A$5:$A$204)),ev_cost/MAX(1,attendees))),"N/A"))</f>
        <v/>
      </c>
    </row>
    <row r="784" ht="19.5" customHeight="1">
      <c r="A784" s="46"/>
      <c r="B784" s="49"/>
      <c r="C784" s="49"/>
      <c r="D784" s="49"/>
      <c r="E784" s="49"/>
      <c r="F784" s="54"/>
      <c r="G784" s="49"/>
      <c r="H784" s="49"/>
      <c r="I784" s="49"/>
      <c r="J784" s="44" t="str">
        <f t="array" ref="J784">IF(G784="","",IFERROR(LET(ev_cost,INDEX(Events!$G$5:$G$506,MATCH(G784,Events!$A$5:$A$506,0)),ev_split,INDEX(Events!$I$5:$I$506,MATCH(G784,Events!$A$5:$A$506,0)),att_offset,MATCH(G784,Attendance!$B$3:$AY$3,0),attendees,COUNTIF(INDEX(Attendance!$B$7:$AY$206,0,att_offset),"1"),IF(ev_split="Equal Split",ev_cost/MAX(1,COUNTA(Roster!$A$5:$A$204)),ev_cost/MAX(1,attendees))),"N/A"))</f>
        <v/>
      </c>
    </row>
    <row r="785" ht="19.5" customHeight="1">
      <c r="A785" s="50"/>
      <c r="B785" s="53"/>
      <c r="C785" s="53"/>
      <c r="D785" s="53"/>
      <c r="E785" s="53"/>
      <c r="F785" s="55"/>
      <c r="G785" s="53"/>
      <c r="H785" s="53"/>
      <c r="I785" s="53"/>
      <c r="J785" s="44" t="str">
        <f t="array" ref="J785">IF(G785="","",IFERROR(LET(ev_cost,INDEX(Events!$G$5:$G$506,MATCH(G785,Events!$A$5:$A$506,0)),ev_split,INDEX(Events!$I$5:$I$506,MATCH(G785,Events!$A$5:$A$506,0)),att_offset,MATCH(G785,Attendance!$B$3:$AY$3,0),attendees,COUNTIF(INDEX(Attendance!$B$7:$AY$206,0,att_offset),"1"),IF(ev_split="Equal Split",ev_cost/MAX(1,COUNTA(Roster!$A$5:$A$204)),ev_cost/MAX(1,attendees))),"N/A"))</f>
        <v/>
      </c>
    </row>
    <row r="786" ht="19.5" customHeight="1">
      <c r="A786" s="46"/>
      <c r="B786" s="49"/>
      <c r="C786" s="49"/>
      <c r="D786" s="49"/>
      <c r="E786" s="49"/>
      <c r="F786" s="54"/>
      <c r="G786" s="49"/>
      <c r="H786" s="49"/>
      <c r="I786" s="49"/>
      <c r="J786" s="44" t="str">
        <f t="array" ref="J786">IF(G786="","",IFERROR(LET(ev_cost,INDEX(Events!$G$5:$G$506,MATCH(G786,Events!$A$5:$A$506,0)),ev_split,INDEX(Events!$I$5:$I$506,MATCH(G786,Events!$A$5:$A$506,0)),att_offset,MATCH(G786,Attendance!$B$3:$AY$3,0),attendees,COUNTIF(INDEX(Attendance!$B$7:$AY$206,0,att_offset),"1"),IF(ev_split="Equal Split",ev_cost/MAX(1,COUNTA(Roster!$A$5:$A$204)),ev_cost/MAX(1,attendees))),"N/A"))</f>
        <v/>
      </c>
    </row>
    <row r="787" ht="19.5" customHeight="1">
      <c r="A787" s="50"/>
      <c r="B787" s="53"/>
      <c r="C787" s="53"/>
      <c r="D787" s="53"/>
      <c r="E787" s="53"/>
      <c r="F787" s="55"/>
      <c r="G787" s="53"/>
      <c r="H787" s="53"/>
      <c r="I787" s="53"/>
      <c r="J787" s="44" t="str">
        <f t="array" ref="J787">IF(G787="","",IFERROR(LET(ev_cost,INDEX(Events!$G$5:$G$506,MATCH(G787,Events!$A$5:$A$506,0)),ev_split,INDEX(Events!$I$5:$I$506,MATCH(G787,Events!$A$5:$A$506,0)),att_offset,MATCH(G787,Attendance!$B$3:$AY$3,0),attendees,COUNTIF(INDEX(Attendance!$B$7:$AY$206,0,att_offset),"1"),IF(ev_split="Equal Split",ev_cost/MAX(1,COUNTA(Roster!$A$5:$A$204)),ev_cost/MAX(1,attendees))),"N/A"))</f>
        <v/>
      </c>
    </row>
    <row r="788" ht="19.5" customHeight="1">
      <c r="A788" s="46"/>
      <c r="B788" s="49"/>
      <c r="C788" s="49"/>
      <c r="D788" s="49"/>
      <c r="E788" s="49"/>
      <c r="F788" s="54"/>
      <c r="G788" s="49"/>
      <c r="H788" s="49"/>
      <c r="I788" s="49"/>
      <c r="J788" s="44" t="str">
        <f t="array" ref="J788">IF(G788="","",IFERROR(LET(ev_cost,INDEX(Events!$G$5:$G$506,MATCH(G788,Events!$A$5:$A$506,0)),ev_split,INDEX(Events!$I$5:$I$506,MATCH(G788,Events!$A$5:$A$506,0)),att_offset,MATCH(G788,Attendance!$B$3:$AY$3,0),attendees,COUNTIF(INDEX(Attendance!$B$7:$AY$206,0,att_offset),"1"),IF(ev_split="Equal Split",ev_cost/MAX(1,COUNTA(Roster!$A$5:$A$204)),ev_cost/MAX(1,attendees))),"N/A"))</f>
        <v/>
      </c>
    </row>
    <row r="789" ht="19.5" customHeight="1">
      <c r="A789" s="50"/>
      <c r="B789" s="53"/>
      <c r="C789" s="53"/>
      <c r="D789" s="53"/>
      <c r="E789" s="53"/>
      <c r="F789" s="55"/>
      <c r="G789" s="53"/>
      <c r="H789" s="53"/>
      <c r="I789" s="53"/>
      <c r="J789" s="44" t="str">
        <f t="array" ref="J789">IF(G789="","",IFERROR(LET(ev_cost,INDEX(Events!$G$5:$G$506,MATCH(G789,Events!$A$5:$A$506,0)),ev_split,INDEX(Events!$I$5:$I$506,MATCH(G789,Events!$A$5:$A$506,0)),att_offset,MATCH(G789,Attendance!$B$3:$AY$3,0),attendees,COUNTIF(INDEX(Attendance!$B$7:$AY$206,0,att_offset),"1"),IF(ev_split="Equal Split",ev_cost/MAX(1,COUNTA(Roster!$A$5:$A$204)),ev_cost/MAX(1,attendees))),"N/A"))</f>
        <v/>
      </c>
    </row>
    <row r="790" ht="19.5" customHeight="1">
      <c r="A790" s="46"/>
      <c r="B790" s="49"/>
      <c r="C790" s="49"/>
      <c r="D790" s="49"/>
      <c r="E790" s="49"/>
      <c r="F790" s="54"/>
      <c r="G790" s="49"/>
      <c r="H790" s="49"/>
      <c r="I790" s="49"/>
      <c r="J790" s="44" t="str">
        <f t="array" ref="J790">IF(G790="","",IFERROR(LET(ev_cost,INDEX(Events!$G$5:$G$506,MATCH(G790,Events!$A$5:$A$506,0)),ev_split,INDEX(Events!$I$5:$I$506,MATCH(G790,Events!$A$5:$A$506,0)),att_offset,MATCH(G790,Attendance!$B$3:$AY$3,0),attendees,COUNTIF(INDEX(Attendance!$B$7:$AY$206,0,att_offset),"1"),IF(ev_split="Equal Split",ev_cost/MAX(1,COUNTA(Roster!$A$5:$A$204)),ev_cost/MAX(1,attendees))),"N/A"))</f>
        <v/>
      </c>
    </row>
    <row r="791" ht="19.5" customHeight="1">
      <c r="A791" s="50"/>
      <c r="B791" s="53"/>
      <c r="C791" s="53"/>
      <c r="D791" s="53"/>
      <c r="E791" s="53"/>
      <c r="F791" s="55"/>
      <c r="G791" s="53"/>
      <c r="H791" s="53"/>
      <c r="I791" s="53"/>
      <c r="J791" s="44" t="str">
        <f t="array" ref="J791">IF(G791="","",IFERROR(LET(ev_cost,INDEX(Events!$G$5:$G$506,MATCH(G791,Events!$A$5:$A$506,0)),ev_split,INDEX(Events!$I$5:$I$506,MATCH(G791,Events!$A$5:$A$506,0)),att_offset,MATCH(G791,Attendance!$B$3:$AY$3,0),attendees,COUNTIF(INDEX(Attendance!$B$7:$AY$206,0,att_offset),"1"),IF(ev_split="Equal Split",ev_cost/MAX(1,COUNTA(Roster!$A$5:$A$204)),ev_cost/MAX(1,attendees))),"N/A"))</f>
        <v/>
      </c>
    </row>
    <row r="792" ht="19.5" customHeight="1">
      <c r="A792" s="46"/>
      <c r="B792" s="49"/>
      <c r="C792" s="49"/>
      <c r="D792" s="49"/>
      <c r="E792" s="49"/>
      <c r="F792" s="54"/>
      <c r="G792" s="49"/>
      <c r="H792" s="49"/>
      <c r="I792" s="49"/>
      <c r="J792" s="44" t="str">
        <f t="array" ref="J792">IF(G792="","",IFERROR(LET(ev_cost,INDEX(Events!$G$5:$G$506,MATCH(G792,Events!$A$5:$A$506,0)),ev_split,INDEX(Events!$I$5:$I$506,MATCH(G792,Events!$A$5:$A$506,0)),att_offset,MATCH(G792,Attendance!$B$3:$AY$3,0),attendees,COUNTIF(INDEX(Attendance!$B$7:$AY$206,0,att_offset),"1"),IF(ev_split="Equal Split",ev_cost/MAX(1,COUNTA(Roster!$A$5:$A$204)),ev_cost/MAX(1,attendees))),"N/A"))</f>
        <v/>
      </c>
    </row>
    <row r="793" ht="19.5" customHeight="1">
      <c r="A793" s="50"/>
      <c r="B793" s="53"/>
      <c r="C793" s="53"/>
      <c r="D793" s="53"/>
      <c r="E793" s="53"/>
      <c r="F793" s="55"/>
      <c r="G793" s="53"/>
      <c r="H793" s="53"/>
      <c r="I793" s="53"/>
      <c r="J793" s="44" t="str">
        <f t="array" ref="J793">IF(G793="","",IFERROR(LET(ev_cost,INDEX(Events!$G$5:$G$506,MATCH(G793,Events!$A$5:$A$506,0)),ev_split,INDEX(Events!$I$5:$I$506,MATCH(G793,Events!$A$5:$A$506,0)),att_offset,MATCH(G793,Attendance!$B$3:$AY$3,0),attendees,COUNTIF(INDEX(Attendance!$B$7:$AY$206,0,att_offset),"1"),IF(ev_split="Equal Split",ev_cost/MAX(1,COUNTA(Roster!$A$5:$A$204)),ev_cost/MAX(1,attendees))),"N/A"))</f>
        <v/>
      </c>
    </row>
    <row r="794" ht="19.5" customHeight="1">
      <c r="A794" s="46"/>
      <c r="B794" s="49"/>
      <c r="C794" s="49"/>
      <c r="D794" s="49"/>
      <c r="E794" s="49"/>
      <c r="F794" s="54"/>
      <c r="G794" s="49"/>
      <c r="H794" s="49"/>
      <c r="I794" s="49"/>
      <c r="J794" s="44" t="str">
        <f t="array" ref="J794">IF(G794="","",IFERROR(LET(ev_cost,INDEX(Events!$G$5:$G$506,MATCH(G794,Events!$A$5:$A$506,0)),ev_split,INDEX(Events!$I$5:$I$506,MATCH(G794,Events!$A$5:$A$506,0)),att_offset,MATCH(G794,Attendance!$B$3:$AY$3,0),attendees,COUNTIF(INDEX(Attendance!$B$7:$AY$206,0,att_offset),"1"),IF(ev_split="Equal Split",ev_cost/MAX(1,COUNTA(Roster!$A$5:$A$204)),ev_cost/MAX(1,attendees))),"N/A"))</f>
        <v/>
      </c>
    </row>
    <row r="795" ht="19.5" customHeight="1">
      <c r="A795" s="50"/>
      <c r="B795" s="53"/>
      <c r="C795" s="53"/>
      <c r="D795" s="53"/>
      <c r="E795" s="53"/>
      <c r="F795" s="55"/>
      <c r="G795" s="53"/>
      <c r="H795" s="53"/>
      <c r="I795" s="53"/>
      <c r="J795" s="44" t="str">
        <f t="array" ref="J795">IF(G795="","",IFERROR(LET(ev_cost,INDEX(Events!$G$5:$G$506,MATCH(G795,Events!$A$5:$A$506,0)),ev_split,INDEX(Events!$I$5:$I$506,MATCH(G795,Events!$A$5:$A$506,0)),att_offset,MATCH(G795,Attendance!$B$3:$AY$3,0),attendees,COUNTIF(INDEX(Attendance!$B$7:$AY$206,0,att_offset),"1"),IF(ev_split="Equal Split",ev_cost/MAX(1,COUNTA(Roster!$A$5:$A$204)),ev_cost/MAX(1,attendees))),"N/A"))</f>
        <v/>
      </c>
    </row>
    <row r="796" ht="19.5" customHeight="1">
      <c r="A796" s="46"/>
      <c r="B796" s="49"/>
      <c r="C796" s="49"/>
      <c r="D796" s="49"/>
      <c r="E796" s="49"/>
      <c r="F796" s="54"/>
      <c r="G796" s="49"/>
      <c r="H796" s="49"/>
      <c r="I796" s="49"/>
      <c r="J796" s="44" t="str">
        <f t="array" ref="J796">IF(G796="","",IFERROR(LET(ev_cost,INDEX(Events!$G$5:$G$506,MATCH(G796,Events!$A$5:$A$506,0)),ev_split,INDEX(Events!$I$5:$I$506,MATCH(G796,Events!$A$5:$A$506,0)),att_offset,MATCH(G796,Attendance!$B$3:$AY$3,0),attendees,COUNTIF(INDEX(Attendance!$B$7:$AY$206,0,att_offset),"1"),IF(ev_split="Equal Split",ev_cost/MAX(1,COUNTA(Roster!$A$5:$A$204)),ev_cost/MAX(1,attendees))),"N/A"))</f>
        <v/>
      </c>
    </row>
    <row r="797" ht="19.5" customHeight="1">
      <c r="A797" s="50"/>
      <c r="B797" s="53"/>
      <c r="C797" s="53"/>
      <c r="D797" s="53"/>
      <c r="E797" s="53"/>
      <c r="F797" s="55"/>
      <c r="G797" s="53"/>
      <c r="H797" s="53"/>
      <c r="I797" s="53"/>
      <c r="J797" s="44" t="str">
        <f t="array" ref="J797">IF(G797="","",IFERROR(LET(ev_cost,INDEX(Events!$G$5:$G$506,MATCH(G797,Events!$A$5:$A$506,0)),ev_split,INDEX(Events!$I$5:$I$506,MATCH(G797,Events!$A$5:$A$506,0)),att_offset,MATCH(G797,Attendance!$B$3:$AY$3,0),attendees,COUNTIF(INDEX(Attendance!$B$7:$AY$206,0,att_offset),"1"),IF(ev_split="Equal Split",ev_cost/MAX(1,COUNTA(Roster!$A$5:$A$204)),ev_cost/MAX(1,attendees))),"N/A"))</f>
        <v/>
      </c>
    </row>
    <row r="798" ht="19.5" customHeight="1">
      <c r="A798" s="46"/>
      <c r="B798" s="49"/>
      <c r="C798" s="49"/>
      <c r="D798" s="49"/>
      <c r="E798" s="49"/>
      <c r="F798" s="54"/>
      <c r="G798" s="49"/>
      <c r="H798" s="49"/>
      <c r="I798" s="49"/>
      <c r="J798" s="44" t="str">
        <f t="array" ref="J798">IF(G798="","",IFERROR(LET(ev_cost,INDEX(Events!$G$5:$G$506,MATCH(G798,Events!$A$5:$A$506,0)),ev_split,INDEX(Events!$I$5:$I$506,MATCH(G798,Events!$A$5:$A$506,0)),att_offset,MATCH(G798,Attendance!$B$3:$AY$3,0),attendees,COUNTIF(INDEX(Attendance!$B$7:$AY$206,0,att_offset),"1"),IF(ev_split="Equal Split",ev_cost/MAX(1,COUNTA(Roster!$A$5:$A$204)),ev_cost/MAX(1,attendees))),"N/A"))</f>
        <v/>
      </c>
    </row>
    <row r="799" ht="19.5" customHeight="1">
      <c r="A799" s="50"/>
      <c r="B799" s="53"/>
      <c r="C799" s="53"/>
      <c r="D799" s="53"/>
      <c r="E799" s="53"/>
      <c r="F799" s="55"/>
      <c r="G799" s="53"/>
      <c r="H799" s="53"/>
      <c r="I799" s="53"/>
      <c r="J799" s="44" t="str">
        <f t="array" ref="J799">IF(G799="","",IFERROR(LET(ev_cost,INDEX(Events!$G$5:$G$506,MATCH(G799,Events!$A$5:$A$506,0)),ev_split,INDEX(Events!$I$5:$I$506,MATCH(G799,Events!$A$5:$A$506,0)),att_offset,MATCH(G799,Attendance!$B$3:$AY$3,0),attendees,COUNTIF(INDEX(Attendance!$B$7:$AY$206,0,att_offset),"1"),IF(ev_split="Equal Split",ev_cost/MAX(1,COUNTA(Roster!$A$5:$A$204)),ev_cost/MAX(1,attendees))),"N/A"))</f>
        <v/>
      </c>
    </row>
    <row r="800" ht="19.5" customHeight="1">
      <c r="A800" s="46"/>
      <c r="B800" s="49"/>
      <c r="C800" s="49"/>
      <c r="D800" s="49"/>
      <c r="E800" s="49"/>
      <c r="F800" s="54"/>
      <c r="G800" s="49"/>
      <c r="H800" s="49"/>
      <c r="I800" s="49"/>
      <c r="J800" s="44" t="str">
        <f t="array" ref="J800">IF(G800="","",IFERROR(LET(ev_cost,INDEX(Events!$G$5:$G$506,MATCH(G800,Events!$A$5:$A$506,0)),ev_split,INDEX(Events!$I$5:$I$506,MATCH(G800,Events!$A$5:$A$506,0)),att_offset,MATCH(G800,Attendance!$B$3:$AY$3,0),attendees,COUNTIF(INDEX(Attendance!$B$7:$AY$206,0,att_offset),"1"),IF(ev_split="Equal Split",ev_cost/MAX(1,COUNTA(Roster!$A$5:$A$204)),ev_cost/MAX(1,attendees))),"N/A"))</f>
        <v/>
      </c>
    </row>
    <row r="801" ht="19.5" customHeight="1">
      <c r="A801" s="50"/>
      <c r="B801" s="53"/>
      <c r="C801" s="53"/>
      <c r="D801" s="53"/>
      <c r="E801" s="53"/>
      <c r="F801" s="55"/>
      <c r="G801" s="53"/>
      <c r="H801" s="53"/>
      <c r="I801" s="53"/>
      <c r="J801" s="44" t="str">
        <f t="array" ref="J801">IF(G801="","",IFERROR(LET(ev_cost,INDEX(Events!$G$5:$G$506,MATCH(G801,Events!$A$5:$A$506,0)),ev_split,INDEX(Events!$I$5:$I$506,MATCH(G801,Events!$A$5:$A$506,0)),att_offset,MATCH(G801,Attendance!$B$3:$AY$3,0),attendees,COUNTIF(INDEX(Attendance!$B$7:$AY$206,0,att_offset),"1"),IF(ev_split="Equal Split",ev_cost/MAX(1,COUNTA(Roster!$A$5:$A$204)),ev_cost/MAX(1,attendees))),"N/A"))</f>
        <v/>
      </c>
    </row>
    <row r="802" ht="19.5" customHeight="1">
      <c r="A802" s="46"/>
      <c r="B802" s="49"/>
      <c r="C802" s="49"/>
      <c r="D802" s="49"/>
      <c r="E802" s="49"/>
      <c r="F802" s="54"/>
      <c r="G802" s="49"/>
      <c r="H802" s="49"/>
      <c r="I802" s="49"/>
      <c r="J802" s="44" t="str">
        <f t="array" ref="J802">IF(G802="","",IFERROR(LET(ev_cost,INDEX(Events!$G$5:$G$506,MATCH(G802,Events!$A$5:$A$506,0)),ev_split,INDEX(Events!$I$5:$I$506,MATCH(G802,Events!$A$5:$A$506,0)),att_offset,MATCH(G802,Attendance!$B$3:$AY$3,0),attendees,COUNTIF(INDEX(Attendance!$B$7:$AY$206,0,att_offset),"1"),IF(ev_split="Equal Split",ev_cost/MAX(1,COUNTA(Roster!$A$5:$A$204)),ev_cost/MAX(1,attendees))),"N/A"))</f>
        <v/>
      </c>
    </row>
    <row r="803" ht="19.5" customHeight="1">
      <c r="A803" s="50"/>
      <c r="B803" s="53"/>
      <c r="C803" s="53"/>
      <c r="D803" s="53"/>
      <c r="E803" s="53"/>
      <c r="F803" s="55"/>
      <c r="G803" s="53"/>
      <c r="H803" s="53"/>
      <c r="I803" s="53"/>
      <c r="J803" s="44" t="str">
        <f t="array" ref="J803">IF(G803="","",IFERROR(LET(ev_cost,INDEX(Events!$G$5:$G$506,MATCH(G803,Events!$A$5:$A$506,0)),ev_split,INDEX(Events!$I$5:$I$506,MATCH(G803,Events!$A$5:$A$506,0)),att_offset,MATCH(G803,Attendance!$B$3:$AY$3,0),attendees,COUNTIF(INDEX(Attendance!$B$7:$AY$206,0,att_offset),"1"),IF(ev_split="Equal Split",ev_cost/MAX(1,COUNTA(Roster!$A$5:$A$204)),ev_cost/MAX(1,attendees))),"N/A"))</f>
        <v/>
      </c>
    </row>
    <row r="804" ht="19.5" customHeight="1">
      <c r="A804" s="46"/>
      <c r="B804" s="49"/>
      <c r="C804" s="49"/>
      <c r="D804" s="49"/>
      <c r="E804" s="49"/>
      <c r="F804" s="54"/>
      <c r="G804" s="49"/>
      <c r="H804" s="49"/>
      <c r="I804" s="49"/>
      <c r="J804" s="44" t="str">
        <f t="array" ref="J804">IF(G804="","",IFERROR(LET(ev_cost,INDEX(Events!$G$5:$G$506,MATCH(G804,Events!$A$5:$A$506,0)),ev_split,INDEX(Events!$I$5:$I$506,MATCH(G804,Events!$A$5:$A$506,0)),att_offset,MATCH(G804,Attendance!$B$3:$AY$3,0),attendees,COUNTIF(INDEX(Attendance!$B$7:$AY$206,0,att_offset),"1"),IF(ev_split="Equal Split",ev_cost/MAX(1,COUNTA(Roster!$A$5:$A$204)),ev_cost/MAX(1,attendees))),"N/A"))</f>
        <v/>
      </c>
    </row>
    <row r="805" ht="19.5" customHeight="1">
      <c r="A805" s="50"/>
      <c r="B805" s="53"/>
      <c r="C805" s="53"/>
      <c r="D805" s="53"/>
      <c r="E805" s="53"/>
      <c r="F805" s="55"/>
      <c r="G805" s="53"/>
      <c r="H805" s="53"/>
      <c r="I805" s="53"/>
      <c r="J805" s="44" t="str">
        <f t="array" ref="J805">IF(G805="","",IFERROR(LET(ev_cost,INDEX(Events!$G$5:$G$506,MATCH(G805,Events!$A$5:$A$506,0)),ev_split,INDEX(Events!$I$5:$I$506,MATCH(G805,Events!$A$5:$A$506,0)),att_offset,MATCH(G805,Attendance!$B$3:$AY$3,0),attendees,COUNTIF(INDEX(Attendance!$B$7:$AY$206,0,att_offset),"1"),IF(ev_split="Equal Split",ev_cost/MAX(1,COUNTA(Roster!$A$5:$A$204)),ev_cost/MAX(1,attendees))),"N/A"))</f>
        <v/>
      </c>
    </row>
    <row r="806" ht="19.5" customHeight="1">
      <c r="A806" s="46"/>
      <c r="B806" s="49"/>
      <c r="C806" s="49"/>
      <c r="D806" s="49"/>
      <c r="E806" s="49"/>
      <c r="F806" s="54"/>
      <c r="G806" s="49"/>
      <c r="H806" s="49"/>
      <c r="I806" s="49"/>
      <c r="J806" s="44" t="str">
        <f t="array" ref="J806">IF(G806="","",IFERROR(LET(ev_cost,INDEX(Events!$G$5:$G$506,MATCH(G806,Events!$A$5:$A$506,0)),ev_split,INDEX(Events!$I$5:$I$506,MATCH(G806,Events!$A$5:$A$506,0)),att_offset,MATCH(G806,Attendance!$B$3:$AY$3,0),attendees,COUNTIF(INDEX(Attendance!$B$7:$AY$206,0,att_offset),"1"),IF(ev_split="Equal Split",ev_cost/MAX(1,COUNTA(Roster!$A$5:$A$204)),ev_cost/MAX(1,attendees))),"N/A"))</f>
        <v/>
      </c>
    </row>
    <row r="807" ht="19.5" customHeight="1">
      <c r="A807" s="50"/>
      <c r="B807" s="53"/>
      <c r="C807" s="53"/>
      <c r="D807" s="53"/>
      <c r="E807" s="53"/>
      <c r="F807" s="55"/>
      <c r="G807" s="53"/>
      <c r="H807" s="53"/>
      <c r="I807" s="53"/>
      <c r="J807" s="44" t="str">
        <f t="array" ref="J807">IF(G807="","",IFERROR(LET(ev_cost,INDEX(Events!$G$5:$G$506,MATCH(G807,Events!$A$5:$A$506,0)),ev_split,INDEX(Events!$I$5:$I$506,MATCH(G807,Events!$A$5:$A$506,0)),att_offset,MATCH(G807,Attendance!$B$3:$AY$3,0),attendees,COUNTIF(INDEX(Attendance!$B$7:$AY$206,0,att_offset),"1"),IF(ev_split="Equal Split",ev_cost/MAX(1,COUNTA(Roster!$A$5:$A$204)),ev_cost/MAX(1,attendees))),"N/A"))</f>
        <v/>
      </c>
    </row>
    <row r="808" ht="19.5" customHeight="1">
      <c r="A808" s="46"/>
      <c r="B808" s="49"/>
      <c r="C808" s="49"/>
      <c r="D808" s="49"/>
      <c r="E808" s="49"/>
      <c r="F808" s="54"/>
      <c r="G808" s="49"/>
      <c r="H808" s="49"/>
      <c r="I808" s="49"/>
      <c r="J808" s="44" t="str">
        <f t="array" ref="J808">IF(G808="","",IFERROR(LET(ev_cost,INDEX(Events!$G$5:$G$506,MATCH(G808,Events!$A$5:$A$506,0)),ev_split,INDEX(Events!$I$5:$I$506,MATCH(G808,Events!$A$5:$A$506,0)),att_offset,MATCH(G808,Attendance!$B$3:$AY$3,0),attendees,COUNTIF(INDEX(Attendance!$B$7:$AY$206,0,att_offset),"1"),IF(ev_split="Equal Split",ev_cost/MAX(1,COUNTA(Roster!$A$5:$A$204)),ev_cost/MAX(1,attendees))),"N/A"))</f>
        <v/>
      </c>
    </row>
    <row r="809" ht="19.5" customHeight="1">
      <c r="A809" s="50"/>
      <c r="B809" s="53"/>
      <c r="C809" s="53"/>
      <c r="D809" s="53"/>
      <c r="E809" s="53"/>
      <c r="F809" s="55"/>
      <c r="G809" s="53"/>
      <c r="H809" s="53"/>
      <c r="I809" s="53"/>
      <c r="J809" s="44" t="str">
        <f t="array" ref="J809">IF(G809="","",IFERROR(LET(ev_cost,INDEX(Events!$G$5:$G$506,MATCH(G809,Events!$A$5:$A$506,0)),ev_split,INDEX(Events!$I$5:$I$506,MATCH(G809,Events!$A$5:$A$506,0)),att_offset,MATCH(G809,Attendance!$B$3:$AY$3,0),attendees,COUNTIF(INDEX(Attendance!$B$7:$AY$206,0,att_offset),"1"),IF(ev_split="Equal Split",ev_cost/MAX(1,COUNTA(Roster!$A$5:$A$204)),ev_cost/MAX(1,attendees))),"N/A"))</f>
        <v/>
      </c>
    </row>
    <row r="810" ht="19.5" customHeight="1">
      <c r="A810" s="46"/>
      <c r="B810" s="49"/>
      <c r="C810" s="49"/>
      <c r="D810" s="49"/>
      <c r="E810" s="49"/>
      <c r="F810" s="54"/>
      <c r="G810" s="49"/>
      <c r="H810" s="49"/>
      <c r="I810" s="49"/>
      <c r="J810" s="44" t="str">
        <f t="array" ref="J810">IF(G810="","",IFERROR(LET(ev_cost,INDEX(Events!$G$5:$G$506,MATCH(G810,Events!$A$5:$A$506,0)),ev_split,INDEX(Events!$I$5:$I$506,MATCH(G810,Events!$A$5:$A$506,0)),att_offset,MATCH(G810,Attendance!$B$3:$AY$3,0),attendees,COUNTIF(INDEX(Attendance!$B$7:$AY$206,0,att_offset),"1"),IF(ev_split="Equal Split",ev_cost/MAX(1,COUNTA(Roster!$A$5:$A$204)),ev_cost/MAX(1,attendees))),"N/A"))</f>
        <v/>
      </c>
    </row>
    <row r="811" ht="19.5" customHeight="1">
      <c r="A811" s="50"/>
      <c r="B811" s="53"/>
      <c r="C811" s="53"/>
      <c r="D811" s="53"/>
      <c r="E811" s="53"/>
      <c r="F811" s="55"/>
      <c r="G811" s="53"/>
      <c r="H811" s="53"/>
      <c r="I811" s="53"/>
      <c r="J811" s="44" t="str">
        <f t="array" ref="J811">IF(G811="","",IFERROR(LET(ev_cost,INDEX(Events!$G$5:$G$506,MATCH(G811,Events!$A$5:$A$506,0)),ev_split,INDEX(Events!$I$5:$I$506,MATCH(G811,Events!$A$5:$A$506,0)),att_offset,MATCH(G811,Attendance!$B$3:$AY$3,0),attendees,COUNTIF(INDEX(Attendance!$B$7:$AY$206,0,att_offset),"1"),IF(ev_split="Equal Split",ev_cost/MAX(1,COUNTA(Roster!$A$5:$A$204)),ev_cost/MAX(1,attendees))),"N/A"))</f>
        <v/>
      </c>
    </row>
    <row r="812" ht="19.5" customHeight="1">
      <c r="A812" s="46"/>
      <c r="B812" s="49"/>
      <c r="C812" s="49"/>
      <c r="D812" s="49"/>
      <c r="E812" s="49"/>
      <c r="F812" s="54"/>
      <c r="G812" s="49"/>
      <c r="H812" s="49"/>
      <c r="I812" s="49"/>
      <c r="J812" s="44" t="str">
        <f t="array" ref="J812">IF(G812="","",IFERROR(LET(ev_cost,INDEX(Events!$G$5:$G$506,MATCH(G812,Events!$A$5:$A$506,0)),ev_split,INDEX(Events!$I$5:$I$506,MATCH(G812,Events!$A$5:$A$506,0)),att_offset,MATCH(G812,Attendance!$B$3:$AY$3,0),attendees,COUNTIF(INDEX(Attendance!$B$7:$AY$206,0,att_offset),"1"),IF(ev_split="Equal Split",ev_cost/MAX(1,COUNTA(Roster!$A$5:$A$204)),ev_cost/MAX(1,attendees))),"N/A"))</f>
        <v/>
      </c>
    </row>
    <row r="813" ht="19.5" customHeight="1">
      <c r="A813" s="50"/>
      <c r="B813" s="53"/>
      <c r="C813" s="53"/>
      <c r="D813" s="53"/>
      <c r="E813" s="53"/>
      <c r="F813" s="55"/>
      <c r="G813" s="53"/>
      <c r="H813" s="53"/>
      <c r="I813" s="53"/>
      <c r="J813" s="44" t="str">
        <f t="array" ref="J813">IF(G813="","",IFERROR(LET(ev_cost,INDEX(Events!$G$5:$G$506,MATCH(G813,Events!$A$5:$A$506,0)),ev_split,INDEX(Events!$I$5:$I$506,MATCH(G813,Events!$A$5:$A$506,0)),att_offset,MATCH(G813,Attendance!$B$3:$AY$3,0),attendees,COUNTIF(INDEX(Attendance!$B$7:$AY$206,0,att_offset),"1"),IF(ev_split="Equal Split",ev_cost/MAX(1,COUNTA(Roster!$A$5:$A$204)),ev_cost/MAX(1,attendees))),"N/A"))</f>
        <v/>
      </c>
    </row>
    <row r="814" ht="19.5" customHeight="1">
      <c r="A814" s="46"/>
      <c r="B814" s="49"/>
      <c r="C814" s="49"/>
      <c r="D814" s="49"/>
      <c r="E814" s="49"/>
      <c r="F814" s="54"/>
      <c r="G814" s="49"/>
      <c r="H814" s="49"/>
      <c r="I814" s="49"/>
      <c r="J814" s="44" t="str">
        <f t="array" ref="J814">IF(G814="","",IFERROR(LET(ev_cost,INDEX(Events!$G$5:$G$506,MATCH(G814,Events!$A$5:$A$506,0)),ev_split,INDEX(Events!$I$5:$I$506,MATCH(G814,Events!$A$5:$A$506,0)),att_offset,MATCH(G814,Attendance!$B$3:$AY$3,0),attendees,COUNTIF(INDEX(Attendance!$B$7:$AY$206,0,att_offset),"1"),IF(ev_split="Equal Split",ev_cost/MAX(1,COUNTA(Roster!$A$5:$A$204)),ev_cost/MAX(1,attendees))),"N/A"))</f>
        <v/>
      </c>
    </row>
    <row r="815" ht="19.5" customHeight="1">
      <c r="A815" s="50"/>
      <c r="B815" s="53"/>
      <c r="C815" s="53"/>
      <c r="D815" s="53"/>
      <c r="E815" s="53"/>
      <c r="F815" s="55"/>
      <c r="G815" s="53"/>
      <c r="H815" s="53"/>
      <c r="I815" s="53"/>
      <c r="J815" s="44" t="str">
        <f t="array" ref="J815">IF(G815="","",IFERROR(LET(ev_cost,INDEX(Events!$G$5:$G$506,MATCH(G815,Events!$A$5:$A$506,0)),ev_split,INDEX(Events!$I$5:$I$506,MATCH(G815,Events!$A$5:$A$506,0)),att_offset,MATCH(G815,Attendance!$B$3:$AY$3,0),attendees,COUNTIF(INDEX(Attendance!$B$7:$AY$206,0,att_offset),"1"),IF(ev_split="Equal Split",ev_cost/MAX(1,COUNTA(Roster!$A$5:$A$204)),ev_cost/MAX(1,attendees))),"N/A"))</f>
        <v/>
      </c>
    </row>
    <row r="816" ht="19.5" customHeight="1">
      <c r="A816" s="46"/>
      <c r="B816" s="49"/>
      <c r="C816" s="49"/>
      <c r="D816" s="49"/>
      <c r="E816" s="49"/>
      <c r="F816" s="54"/>
      <c r="G816" s="49"/>
      <c r="H816" s="49"/>
      <c r="I816" s="49"/>
      <c r="J816" s="44" t="str">
        <f t="array" ref="J816">IF(G816="","",IFERROR(LET(ev_cost,INDEX(Events!$G$5:$G$506,MATCH(G816,Events!$A$5:$A$506,0)),ev_split,INDEX(Events!$I$5:$I$506,MATCH(G816,Events!$A$5:$A$506,0)),att_offset,MATCH(G816,Attendance!$B$3:$AY$3,0),attendees,COUNTIF(INDEX(Attendance!$B$7:$AY$206,0,att_offset),"1"),IF(ev_split="Equal Split",ev_cost/MAX(1,COUNTA(Roster!$A$5:$A$204)),ev_cost/MAX(1,attendees))),"N/A"))</f>
        <v/>
      </c>
    </row>
    <row r="817" ht="19.5" customHeight="1">
      <c r="A817" s="50"/>
      <c r="B817" s="53"/>
      <c r="C817" s="53"/>
      <c r="D817" s="53"/>
      <c r="E817" s="53"/>
      <c r="F817" s="55"/>
      <c r="G817" s="53"/>
      <c r="H817" s="53"/>
      <c r="I817" s="53"/>
      <c r="J817" s="44" t="str">
        <f t="array" ref="J817">IF(G817="","",IFERROR(LET(ev_cost,INDEX(Events!$G$5:$G$506,MATCH(G817,Events!$A$5:$A$506,0)),ev_split,INDEX(Events!$I$5:$I$506,MATCH(G817,Events!$A$5:$A$506,0)),att_offset,MATCH(G817,Attendance!$B$3:$AY$3,0),attendees,COUNTIF(INDEX(Attendance!$B$7:$AY$206,0,att_offset),"1"),IF(ev_split="Equal Split",ev_cost/MAX(1,COUNTA(Roster!$A$5:$A$204)),ev_cost/MAX(1,attendees))),"N/A"))</f>
        <v/>
      </c>
    </row>
    <row r="818" ht="19.5" customHeight="1">
      <c r="A818" s="46"/>
      <c r="B818" s="49"/>
      <c r="C818" s="49"/>
      <c r="D818" s="49"/>
      <c r="E818" s="49"/>
      <c r="F818" s="54"/>
      <c r="G818" s="49"/>
      <c r="H818" s="49"/>
      <c r="I818" s="49"/>
      <c r="J818" s="44" t="str">
        <f t="array" ref="J818">IF(G818="","",IFERROR(LET(ev_cost,INDEX(Events!$G$5:$G$506,MATCH(G818,Events!$A$5:$A$506,0)),ev_split,INDEX(Events!$I$5:$I$506,MATCH(G818,Events!$A$5:$A$506,0)),att_offset,MATCH(G818,Attendance!$B$3:$AY$3,0),attendees,COUNTIF(INDEX(Attendance!$B$7:$AY$206,0,att_offset),"1"),IF(ev_split="Equal Split",ev_cost/MAX(1,COUNTA(Roster!$A$5:$A$204)),ev_cost/MAX(1,attendees))),"N/A"))</f>
        <v/>
      </c>
    </row>
    <row r="819" ht="19.5" customHeight="1">
      <c r="A819" s="50"/>
      <c r="B819" s="53"/>
      <c r="C819" s="53"/>
      <c r="D819" s="53"/>
      <c r="E819" s="53"/>
      <c r="F819" s="55"/>
      <c r="G819" s="53"/>
      <c r="H819" s="53"/>
      <c r="I819" s="53"/>
      <c r="J819" s="44" t="str">
        <f t="array" ref="J819">IF(G819="","",IFERROR(LET(ev_cost,INDEX(Events!$G$5:$G$506,MATCH(G819,Events!$A$5:$A$506,0)),ev_split,INDEX(Events!$I$5:$I$506,MATCH(G819,Events!$A$5:$A$506,0)),att_offset,MATCH(G819,Attendance!$B$3:$AY$3,0),attendees,COUNTIF(INDEX(Attendance!$B$7:$AY$206,0,att_offset),"1"),IF(ev_split="Equal Split",ev_cost/MAX(1,COUNTA(Roster!$A$5:$A$204)),ev_cost/MAX(1,attendees))),"N/A"))</f>
        <v/>
      </c>
    </row>
    <row r="820" ht="19.5" customHeight="1">
      <c r="A820" s="46"/>
      <c r="B820" s="49"/>
      <c r="C820" s="49"/>
      <c r="D820" s="49"/>
      <c r="E820" s="49"/>
      <c r="F820" s="54"/>
      <c r="G820" s="49"/>
      <c r="H820" s="49"/>
      <c r="I820" s="49"/>
      <c r="J820" s="44" t="str">
        <f t="array" ref="J820">IF(G820="","",IFERROR(LET(ev_cost,INDEX(Events!$G$5:$G$506,MATCH(G820,Events!$A$5:$A$506,0)),ev_split,INDEX(Events!$I$5:$I$506,MATCH(G820,Events!$A$5:$A$506,0)),att_offset,MATCH(G820,Attendance!$B$3:$AY$3,0),attendees,COUNTIF(INDEX(Attendance!$B$7:$AY$206,0,att_offset),"1"),IF(ev_split="Equal Split",ev_cost/MAX(1,COUNTA(Roster!$A$5:$A$204)),ev_cost/MAX(1,attendees))),"N/A"))</f>
        <v/>
      </c>
    </row>
    <row r="821" ht="19.5" customHeight="1">
      <c r="A821" s="50"/>
      <c r="B821" s="53"/>
      <c r="C821" s="53"/>
      <c r="D821" s="53"/>
      <c r="E821" s="53"/>
      <c r="F821" s="55"/>
      <c r="G821" s="53"/>
      <c r="H821" s="53"/>
      <c r="I821" s="53"/>
      <c r="J821" s="44" t="str">
        <f t="array" ref="J821">IF(G821="","",IFERROR(LET(ev_cost,INDEX(Events!$G$5:$G$506,MATCH(G821,Events!$A$5:$A$506,0)),ev_split,INDEX(Events!$I$5:$I$506,MATCH(G821,Events!$A$5:$A$506,0)),att_offset,MATCH(G821,Attendance!$B$3:$AY$3,0),attendees,COUNTIF(INDEX(Attendance!$B$7:$AY$206,0,att_offset),"1"),IF(ev_split="Equal Split",ev_cost/MAX(1,COUNTA(Roster!$A$5:$A$204)),ev_cost/MAX(1,attendees))),"N/A"))</f>
        <v/>
      </c>
    </row>
    <row r="822" ht="19.5" customHeight="1">
      <c r="A822" s="46"/>
      <c r="B822" s="49"/>
      <c r="C822" s="49"/>
      <c r="D822" s="49"/>
      <c r="E822" s="49"/>
      <c r="F822" s="54"/>
      <c r="G822" s="49"/>
      <c r="H822" s="49"/>
      <c r="I822" s="49"/>
      <c r="J822" s="44" t="str">
        <f t="array" ref="J822">IF(G822="","",IFERROR(LET(ev_cost,INDEX(Events!$G$5:$G$506,MATCH(G822,Events!$A$5:$A$506,0)),ev_split,INDEX(Events!$I$5:$I$506,MATCH(G822,Events!$A$5:$A$506,0)),att_offset,MATCH(G822,Attendance!$B$3:$AY$3,0),attendees,COUNTIF(INDEX(Attendance!$B$7:$AY$206,0,att_offset),"1"),IF(ev_split="Equal Split",ev_cost/MAX(1,COUNTA(Roster!$A$5:$A$204)),ev_cost/MAX(1,attendees))),"N/A"))</f>
        <v/>
      </c>
    </row>
    <row r="823" ht="19.5" customHeight="1">
      <c r="A823" s="50"/>
      <c r="B823" s="53"/>
      <c r="C823" s="53"/>
      <c r="D823" s="53"/>
      <c r="E823" s="53"/>
      <c r="F823" s="55"/>
      <c r="G823" s="53"/>
      <c r="H823" s="53"/>
      <c r="I823" s="53"/>
      <c r="J823" s="44" t="str">
        <f t="array" ref="J823">IF(G823="","",IFERROR(LET(ev_cost,INDEX(Events!$G$5:$G$506,MATCH(G823,Events!$A$5:$A$506,0)),ev_split,INDEX(Events!$I$5:$I$506,MATCH(G823,Events!$A$5:$A$506,0)),att_offset,MATCH(G823,Attendance!$B$3:$AY$3,0),attendees,COUNTIF(INDEX(Attendance!$B$7:$AY$206,0,att_offset),"1"),IF(ev_split="Equal Split",ev_cost/MAX(1,COUNTA(Roster!$A$5:$A$204)),ev_cost/MAX(1,attendees))),"N/A"))</f>
        <v/>
      </c>
    </row>
    <row r="824" ht="19.5" customHeight="1">
      <c r="A824" s="46"/>
      <c r="B824" s="49"/>
      <c r="C824" s="49"/>
      <c r="D824" s="49"/>
      <c r="E824" s="49"/>
      <c r="F824" s="54"/>
      <c r="G824" s="49"/>
      <c r="H824" s="49"/>
      <c r="I824" s="49"/>
      <c r="J824" s="44" t="str">
        <f t="array" ref="J824">IF(G824="","",IFERROR(LET(ev_cost,INDEX(Events!$G$5:$G$506,MATCH(G824,Events!$A$5:$A$506,0)),ev_split,INDEX(Events!$I$5:$I$506,MATCH(G824,Events!$A$5:$A$506,0)),att_offset,MATCH(G824,Attendance!$B$3:$AY$3,0),attendees,COUNTIF(INDEX(Attendance!$B$7:$AY$206,0,att_offset),"1"),IF(ev_split="Equal Split",ev_cost/MAX(1,COUNTA(Roster!$A$5:$A$204)),ev_cost/MAX(1,attendees))),"N/A"))</f>
        <v/>
      </c>
    </row>
    <row r="825" ht="19.5" customHeight="1">
      <c r="A825" s="50"/>
      <c r="B825" s="53"/>
      <c r="C825" s="53"/>
      <c r="D825" s="53"/>
      <c r="E825" s="53"/>
      <c r="F825" s="55"/>
      <c r="G825" s="53"/>
      <c r="H825" s="53"/>
      <c r="I825" s="53"/>
      <c r="J825" s="44" t="str">
        <f t="array" ref="J825">IF(G825="","",IFERROR(LET(ev_cost,INDEX(Events!$G$5:$G$506,MATCH(G825,Events!$A$5:$A$506,0)),ev_split,INDEX(Events!$I$5:$I$506,MATCH(G825,Events!$A$5:$A$506,0)),att_offset,MATCH(G825,Attendance!$B$3:$AY$3,0),attendees,COUNTIF(INDEX(Attendance!$B$7:$AY$206,0,att_offset),"1"),IF(ev_split="Equal Split",ev_cost/MAX(1,COUNTA(Roster!$A$5:$A$204)),ev_cost/MAX(1,attendees))),"N/A"))</f>
        <v/>
      </c>
    </row>
    <row r="826" ht="19.5" customHeight="1">
      <c r="A826" s="46"/>
      <c r="B826" s="49"/>
      <c r="C826" s="49"/>
      <c r="D826" s="49"/>
      <c r="E826" s="49"/>
      <c r="F826" s="54"/>
      <c r="G826" s="49"/>
      <c r="H826" s="49"/>
      <c r="I826" s="49"/>
      <c r="J826" s="44" t="str">
        <f t="array" ref="J826">IF(G826="","",IFERROR(LET(ev_cost,INDEX(Events!$G$5:$G$506,MATCH(G826,Events!$A$5:$A$506,0)),ev_split,INDEX(Events!$I$5:$I$506,MATCH(G826,Events!$A$5:$A$506,0)),att_offset,MATCH(G826,Attendance!$B$3:$AY$3,0),attendees,COUNTIF(INDEX(Attendance!$B$7:$AY$206,0,att_offset),"1"),IF(ev_split="Equal Split",ev_cost/MAX(1,COUNTA(Roster!$A$5:$A$204)),ev_cost/MAX(1,attendees))),"N/A"))</f>
        <v/>
      </c>
    </row>
    <row r="827" ht="19.5" customHeight="1">
      <c r="A827" s="50"/>
      <c r="B827" s="53"/>
      <c r="C827" s="53"/>
      <c r="D827" s="53"/>
      <c r="E827" s="53"/>
      <c r="F827" s="55"/>
      <c r="G827" s="53"/>
      <c r="H827" s="53"/>
      <c r="I827" s="53"/>
      <c r="J827" s="44" t="str">
        <f t="array" ref="J827">IF(G827="","",IFERROR(LET(ev_cost,INDEX(Events!$G$5:$G$506,MATCH(G827,Events!$A$5:$A$506,0)),ev_split,INDEX(Events!$I$5:$I$506,MATCH(G827,Events!$A$5:$A$506,0)),att_offset,MATCH(G827,Attendance!$B$3:$AY$3,0),attendees,COUNTIF(INDEX(Attendance!$B$7:$AY$206,0,att_offset),"1"),IF(ev_split="Equal Split",ev_cost/MAX(1,COUNTA(Roster!$A$5:$A$204)),ev_cost/MAX(1,attendees))),"N/A"))</f>
        <v/>
      </c>
    </row>
    <row r="828" ht="19.5" customHeight="1">
      <c r="A828" s="46"/>
      <c r="B828" s="49"/>
      <c r="C828" s="49"/>
      <c r="D828" s="49"/>
      <c r="E828" s="49"/>
      <c r="F828" s="54"/>
      <c r="G828" s="49"/>
      <c r="H828" s="49"/>
      <c r="I828" s="49"/>
      <c r="J828" s="44" t="str">
        <f t="array" ref="J828">IF(G828="","",IFERROR(LET(ev_cost,INDEX(Events!$G$5:$G$506,MATCH(G828,Events!$A$5:$A$506,0)),ev_split,INDEX(Events!$I$5:$I$506,MATCH(G828,Events!$A$5:$A$506,0)),att_offset,MATCH(G828,Attendance!$B$3:$AY$3,0),attendees,COUNTIF(INDEX(Attendance!$B$7:$AY$206,0,att_offset),"1"),IF(ev_split="Equal Split",ev_cost/MAX(1,COUNTA(Roster!$A$5:$A$204)),ev_cost/MAX(1,attendees))),"N/A"))</f>
        <v/>
      </c>
    </row>
    <row r="829" ht="19.5" customHeight="1">
      <c r="A829" s="50"/>
      <c r="B829" s="53"/>
      <c r="C829" s="53"/>
      <c r="D829" s="53"/>
      <c r="E829" s="53"/>
      <c r="F829" s="55"/>
      <c r="G829" s="53"/>
      <c r="H829" s="53"/>
      <c r="I829" s="53"/>
      <c r="J829" s="44" t="str">
        <f t="array" ref="J829">IF(G829="","",IFERROR(LET(ev_cost,INDEX(Events!$G$5:$G$506,MATCH(G829,Events!$A$5:$A$506,0)),ev_split,INDEX(Events!$I$5:$I$506,MATCH(G829,Events!$A$5:$A$506,0)),att_offset,MATCH(G829,Attendance!$B$3:$AY$3,0),attendees,COUNTIF(INDEX(Attendance!$B$7:$AY$206,0,att_offset),"1"),IF(ev_split="Equal Split",ev_cost/MAX(1,COUNTA(Roster!$A$5:$A$204)),ev_cost/MAX(1,attendees))),"N/A"))</f>
        <v/>
      </c>
    </row>
    <row r="830" ht="19.5" customHeight="1">
      <c r="A830" s="46"/>
      <c r="B830" s="49"/>
      <c r="C830" s="49"/>
      <c r="D830" s="49"/>
      <c r="E830" s="49"/>
      <c r="F830" s="54"/>
      <c r="G830" s="49"/>
      <c r="H830" s="49"/>
      <c r="I830" s="49"/>
      <c r="J830" s="44" t="str">
        <f t="array" ref="J830">IF(G830="","",IFERROR(LET(ev_cost,INDEX(Events!$G$5:$G$506,MATCH(G830,Events!$A$5:$A$506,0)),ev_split,INDEX(Events!$I$5:$I$506,MATCH(G830,Events!$A$5:$A$506,0)),att_offset,MATCH(G830,Attendance!$B$3:$AY$3,0),attendees,COUNTIF(INDEX(Attendance!$B$7:$AY$206,0,att_offset),"1"),IF(ev_split="Equal Split",ev_cost/MAX(1,COUNTA(Roster!$A$5:$A$204)),ev_cost/MAX(1,attendees))),"N/A"))</f>
        <v/>
      </c>
    </row>
    <row r="831" ht="19.5" customHeight="1">
      <c r="A831" s="50"/>
      <c r="B831" s="53"/>
      <c r="C831" s="53"/>
      <c r="D831" s="53"/>
      <c r="E831" s="53"/>
      <c r="F831" s="55"/>
      <c r="G831" s="53"/>
      <c r="H831" s="53"/>
      <c r="I831" s="53"/>
      <c r="J831" s="44" t="str">
        <f t="array" ref="J831">IF(G831="","",IFERROR(LET(ev_cost,INDEX(Events!$G$5:$G$506,MATCH(G831,Events!$A$5:$A$506,0)),ev_split,INDEX(Events!$I$5:$I$506,MATCH(G831,Events!$A$5:$A$506,0)),att_offset,MATCH(G831,Attendance!$B$3:$AY$3,0),attendees,COUNTIF(INDEX(Attendance!$B$7:$AY$206,0,att_offset),"1"),IF(ev_split="Equal Split",ev_cost/MAX(1,COUNTA(Roster!$A$5:$A$204)),ev_cost/MAX(1,attendees))),"N/A"))</f>
        <v/>
      </c>
    </row>
    <row r="832" ht="19.5" customHeight="1">
      <c r="A832" s="46"/>
      <c r="B832" s="49"/>
      <c r="C832" s="49"/>
      <c r="D832" s="49"/>
      <c r="E832" s="49"/>
      <c r="F832" s="54"/>
      <c r="G832" s="49"/>
      <c r="H832" s="49"/>
      <c r="I832" s="49"/>
      <c r="J832" s="44" t="str">
        <f t="array" ref="J832">IF(G832="","",IFERROR(LET(ev_cost,INDEX(Events!$G$5:$G$506,MATCH(G832,Events!$A$5:$A$506,0)),ev_split,INDEX(Events!$I$5:$I$506,MATCH(G832,Events!$A$5:$A$506,0)),att_offset,MATCH(G832,Attendance!$B$3:$AY$3,0),attendees,COUNTIF(INDEX(Attendance!$B$7:$AY$206,0,att_offset),"1"),IF(ev_split="Equal Split",ev_cost/MAX(1,COUNTA(Roster!$A$5:$A$204)),ev_cost/MAX(1,attendees))),"N/A"))</f>
        <v/>
      </c>
    </row>
    <row r="833" ht="19.5" customHeight="1">
      <c r="A833" s="50"/>
      <c r="B833" s="53"/>
      <c r="C833" s="53"/>
      <c r="D833" s="53"/>
      <c r="E833" s="53"/>
      <c r="F833" s="55"/>
      <c r="G833" s="53"/>
      <c r="H833" s="53"/>
      <c r="I833" s="53"/>
      <c r="J833" s="44" t="str">
        <f t="array" ref="J833">IF(G833="","",IFERROR(LET(ev_cost,INDEX(Events!$G$5:$G$506,MATCH(G833,Events!$A$5:$A$506,0)),ev_split,INDEX(Events!$I$5:$I$506,MATCH(G833,Events!$A$5:$A$506,0)),att_offset,MATCH(G833,Attendance!$B$3:$AY$3,0),attendees,COUNTIF(INDEX(Attendance!$B$7:$AY$206,0,att_offset),"1"),IF(ev_split="Equal Split",ev_cost/MAX(1,COUNTA(Roster!$A$5:$A$204)),ev_cost/MAX(1,attendees))),"N/A"))</f>
        <v/>
      </c>
    </row>
    <row r="834" ht="19.5" customHeight="1">
      <c r="A834" s="46"/>
      <c r="B834" s="49"/>
      <c r="C834" s="49"/>
      <c r="D834" s="49"/>
      <c r="E834" s="49"/>
      <c r="F834" s="54"/>
      <c r="G834" s="49"/>
      <c r="H834" s="49"/>
      <c r="I834" s="49"/>
      <c r="J834" s="44" t="str">
        <f t="array" ref="J834">IF(G834="","",IFERROR(LET(ev_cost,INDEX(Events!$G$5:$G$506,MATCH(G834,Events!$A$5:$A$506,0)),ev_split,INDEX(Events!$I$5:$I$506,MATCH(G834,Events!$A$5:$A$506,0)),att_offset,MATCH(G834,Attendance!$B$3:$AY$3,0),attendees,COUNTIF(INDEX(Attendance!$B$7:$AY$206,0,att_offset),"1"),IF(ev_split="Equal Split",ev_cost/MAX(1,COUNTA(Roster!$A$5:$A$204)),ev_cost/MAX(1,attendees))),"N/A"))</f>
        <v/>
      </c>
    </row>
    <row r="835" ht="19.5" customHeight="1">
      <c r="A835" s="50"/>
      <c r="B835" s="53"/>
      <c r="C835" s="53"/>
      <c r="D835" s="53"/>
      <c r="E835" s="53"/>
      <c r="F835" s="55"/>
      <c r="G835" s="53"/>
      <c r="H835" s="53"/>
      <c r="I835" s="53"/>
      <c r="J835" s="44" t="str">
        <f t="array" ref="J835">IF(G835="","",IFERROR(LET(ev_cost,INDEX(Events!$G$5:$G$506,MATCH(G835,Events!$A$5:$A$506,0)),ev_split,INDEX(Events!$I$5:$I$506,MATCH(G835,Events!$A$5:$A$506,0)),att_offset,MATCH(G835,Attendance!$B$3:$AY$3,0),attendees,COUNTIF(INDEX(Attendance!$B$7:$AY$206,0,att_offset),"1"),IF(ev_split="Equal Split",ev_cost/MAX(1,COUNTA(Roster!$A$5:$A$204)),ev_cost/MAX(1,attendees))),"N/A"))</f>
        <v/>
      </c>
    </row>
    <row r="836" ht="19.5" customHeight="1">
      <c r="A836" s="46"/>
      <c r="B836" s="49"/>
      <c r="C836" s="49"/>
      <c r="D836" s="49"/>
      <c r="E836" s="49"/>
      <c r="F836" s="54"/>
      <c r="G836" s="49"/>
      <c r="H836" s="49"/>
      <c r="I836" s="49"/>
      <c r="J836" s="44" t="str">
        <f t="array" ref="J836">IF(G836="","",IFERROR(LET(ev_cost,INDEX(Events!$G$5:$G$506,MATCH(G836,Events!$A$5:$A$506,0)),ev_split,INDEX(Events!$I$5:$I$506,MATCH(G836,Events!$A$5:$A$506,0)),att_offset,MATCH(G836,Attendance!$B$3:$AY$3,0),attendees,COUNTIF(INDEX(Attendance!$B$7:$AY$206,0,att_offset),"1"),IF(ev_split="Equal Split",ev_cost/MAX(1,COUNTA(Roster!$A$5:$A$204)),ev_cost/MAX(1,attendees))),"N/A"))</f>
        <v/>
      </c>
    </row>
    <row r="837" ht="19.5" customHeight="1">
      <c r="A837" s="50"/>
      <c r="B837" s="53"/>
      <c r="C837" s="53"/>
      <c r="D837" s="53"/>
      <c r="E837" s="53"/>
      <c r="F837" s="55"/>
      <c r="G837" s="53"/>
      <c r="H837" s="53"/>
      <c r="I837" s="53"/>
      <c r="J837" s="44" t="str">
        <f t="array" ref="J837">IF(G837="","",IFERROR(LET(ev_cost,INDEX(Events!$G$5:$G$506,MATCH(G837,Events!$A$5:$A$506,0)),ev_split,INDEX(Events!$I$5:$I$506,MATCH(G837,Events!$A$5:$A$506,0)),att_offset,MATCH(G837,Attendance!$B$3:$AY$3,0),attendees,COUNTIF(INDEX(Attendance!$B$7:$AY$206,0,att_offset),"1"),IF(ev_split="Equal Split",ev_cost/MAX(1,COUNTA(Roster!$A$5:$A$204)),ev_cost/MAX(1,attendees))),"N/A"))</f>
        <v/>
      </c>
    </row>
    <row r="838" ht="19.5" customHeight="1">
      <c r="A838" s="46"/>
      <c r="B838" s="49"/>
      <c r="C838" s="49"/>
      <c r="D838" s="49"/>
      <c r="E838" s="49"/>
      <c r="F838" s="54"/>
      <c r="G838" s="49"/>
      <c r="H838" s="49"/>
      <c r="I838" s="49"/>
      <c r="J838" s="44" t="str">
        <f t="array" ref="J838">IF(G838="","",IFERROR(LET(ev_cost,INDEX(Events!$G$5:$G$506,MATCH(G838,Events!$A$5:$A$506,0)),ev_split,INDEX(Events!$I$5:$I$506,MATCH(G838,Events!$A$5:$A$506,0)),att_offset,MATCH(G838,Attendance!$B$3:$AY$3,0),attendees,COUNTIF(INDEX(Attendance!$B$7:$AY$206,0,att_offset),"1"),IF(ev_split="Equal Split",ev_cost/MAX(1,COUNTA(Roster!$A$5:$A$204)),ev_cost/MAX(1,attendees))),"N/A"))</f>
        <v/>
      </c>
    </row>
    <row r="839" ht="19.5" customHeight="1">
      <c r="A839" s="50"/>
      <c r="B839" s="53"/>
      <c r="C839" s="53"/>
      <c r="D839" s="53"/>
      <c r="E839" s="53"/>
      <c r="F839" s="55"/>
      <c r="G839" s="53"/>
      <c r="H839" s="53"/>
      <c r="I839" s="53"/>
      <c r="J839" s="44" t="str">
        <f t="array" ref="J839">IF(G839="","",IFERROR(LET(ev_cost,INDEX(Events!$G$5:$G$506,MATCH(G839,Events!$A$5:$A$506,0)),ev_split,INDEX(Events!$I$5:$I$506,MATCH(G839,Events!$A$5:$A$506,0)),att_offset,MATCH(G839,Attendance!$B$3:$AY$3,0),attendees,COUNTIF(INDEX(Attendance!$B$7:$AY$206,0,att_offset),"1"),IF(ev_split="Equal Split",ev_cost/MAX(1,COUNTA(Roster!$A$5:$A$204)),ev_cost/MAX(1,attendees))),"N/A"))</f>
        <v/>
      </c>
    </row>
    <row r="840" ht="19.5" customHeight="1">
      <c r="A840" s="46"/>
      <c r="B840" s="49"/>
      <c r="C840" s="49"/>
      <c r="D840" s="49"/>
      <c r="E840" s="49"/>
      <c r="F840" s="54"/>
      <c r="G840" s="49"/>
      <c r="H840" s="49"/>
      <c r="I840" s="49"/>
      <c r="J840" s="44" t="str">
        <f t="array" ref="J840">IF(G840="","",IFERROR(LET(ev_cost,INDEX(Events!$G$5:$G$506,MATCH(G840,Events!$A$5:$A$506,0)),ev_split,INDEX(Events!$I$5:$I$506,MATCH(G840,Events!$A$5:$A$506,0)),att_offset,MATCH(G840,Attendance!$B$3:$AY$3,0),attendees,COUNTIF(INDEX(Attendance!$B$7:$AY$206,0,att_offset),"1"),IF(ev_split="Equal Split",ev_cost/MAX(1,COUNTA(Roster!$A$5:$A$204)),ev_cost/MAX(1,attendees))),"N/A"))</f>
        <v/>
      </c>
    </row>
    <row r="841" ht="19.5" customHeight="1">
      <c r="A841" s="50"/>
      <c r="B841" s="53"/>
      <c r="C841" s="53"/>
      <c r="D841" s="53"/>
      <c r="E841" s="53"/>
      <c r="F841" s="55"/>
      <c r="G841" s="53"/>
      <c r="H841" s="53"/>
      <c r="I841" s="53"/>
      <c r="J841" s="44" t="str">
        <f t="array" ref="J841">IF(G841="","",IFERROR(LET(ev_cost,INDEX(Events!$G$5:$G$506,MATCH(G841,Events!$A$5:$A$506,0)),ev_split,INDEX(Events!$I$5:$I$506,MATCH(G841,Events!$A$5:$A$506,0)),att_offset,MATCH(G841,Attendance!$B$3:$AY$3,0),attendees,COUNTIF(INDEX(Attendance!$B$7:$AY$206,0,att_offset),"1"),IF(ev_split="Equal Split",ev_cost/MAX(1,COUNTA(Roster!$A$5:$A$204)),ev_cost/MAX(1,attendees))),"N/A"))</f>
        <v/>
      </c>
    </row>
    <row r="842" ht="19.5" customHeight="1">
      <c r="A842" s="46"/>
      <c r="B842" s="49"/>
      <c r="C842" s="49"/>
      <c r="D842" s="49"/>
      <c r="E842" s="49"/>
      <c r="F842" s="54"/>
      <c r="G842" s="49"/>
      <c r="H842" s="49"/>
      <c r="I842" s="49"/>
      <c r="J842" s="44" t="str">
        <f t="array" ref="J842">IF(G842="","",IFERROR(LET(ev_cost,INDEX(Events!$G$5:$G$506,MATCH(G842,Events!$A$5:$A$506,0)),ev_split,INDEX(Events!$I$5:$I$506,MATCH(G842,Events!$A$5:$A$506,0)),att_offset,MATCH(G842,Attendance!$B$3:$AY$3,0),attendees,COUNTIF(INDEX(Attendance!$B$7:$AY$206,0,att_offset),"1"),IF(ev_split="Equal Split",ev_cost/MAX(1,COUNTA(Roster!$A$5:$A$204)),ev_cost/MAX(1,attendees))),"N/A"))</f>
        <v/>
      </c>
    </row>
    <row r="843" ht="19.5" customHeight="1">
      <c r="A843" s="50"/>
      <c r="B843" s="53"/>
      <c r="C843" s="53"/>
      <c r="D843" s="53"/>
      <c r="E843" s="53"/>
      <c r="F843" s="55"/>
      <c r="G843" s="53"/>
      <c r="H843" s="53"/>
      <c r="I843" s="53"/>
      <c r="J843" s="44" t="str">
        <f t="array" ref="J843">IF(G843="","",IFERROR(LET(ev_cost,INDEX(Events!$G$5:$G$506,MATCH(G843,Events!$A$5:$A$506,0)),ev_split,INDEX(Events!$I$5:$I$506,MATCH(G843,Events!$A$5:$A$506,0)),att_offset,MATCH(G843,Attendance!$B$3:$AY$3,0),attendees,COUNTIF(INDEX(Attendance!$B$7:$AY$206,0,att_offset),"1"),IF(ev_split="Equal Split",ev_cost/MAX(1,COUNTA(Roster!$A$5:$A$204)),ev_cost/MAX(1,attendees))),"N/A"))</f>
        <v/>
      </c>
    </row>
    <row r="844" ht="19.5" customHeight="1">
      <c r="A844" s="46"/>
      <c r="B844" s="49"/>
      <c r="C844" s="49"/>
      <c r="D844" s="49"/>
      <c r="E844" s="49"/>
      <c r="F844" s="54"/>
      <c r="G844" s="49"/>
      <c r="H844" s="49"/>
      <c r="I844" s="49"/>
      <c r="J844" s="44" t="str">
        <f t="array" ref="J844">IF(G844="","",IFERROR(LET(ev_cost,INDEX(Events!$G$5:$G$506,MATCH(G844,Events!$A$5:$A$506,0)),ev_split,INDEX(Events!$I$5:$I$506,MATCH(G844,Events!$A$5:$A$506,0)),att_offset,MATCH(G844,Attendance!$B$3:$AY$3,0),attendees,COUNTIF(INDEX(Attendance!$B$7:$AY$206,0,att_offset),"1"),IF(ev_split="Equal Split",ev_cost/MAX(1,COUNTA(Roster!$A$5:$A$204)),ev_cost/MAX(1,attendees))),"N/A"))</f>
        <v/>
      </c>
    </row>
    <row r="845" ht="19.5" customHeight="1">
      <c r="A845" s="50"/>
      <c r="B845" s="53"/>
      <c r="C845" s="53"/>
      <c r="D845" s="53"/>
      <c r="E845" s="53"/>
      <c r="F845" s="55"/>
      <c r="G845" s="53"/>
      <c r="H845" s="53"/>
      <c r="I845" s="53"/>
      <c r="J845" s="44" t="str">
        <f t="array" ref="J845">IF(G845="","",IFERROR(LET(ev_cost,INDEX(Events!$G$5:$G$506,MATCH(G845,Events!$A$5:$A$506,0)),ev_split,INDEX(Events!$I$5:$I$506,MATCH(G845,Events!$A$5:$A$506,0)),att_offset,MATCH(G845,Attendance!$B$3:$AY$3,0),attendees,COUNTIF(INDEX(Attendance!$B$7:$AY$206,0,att_offset),"1"),IF(ev_split="Equal Split",ev_cost/MAX(1,COUNTA(Roster!$A$5:$A$204)),ev_cost/MAX(1,attendees))),"N/A"))</f>
        <v/>
      </c>
    </row>
    <row r="846" ht="19.5" customHeight="1">
      <c r="A846" s="46"/>
      <c r="B846" s="49"/>
      <c r="C846" s="49"/>
      <c r="D846" s="49"/>
      <c r="E846" s="49"/>
      <c r="F846" s="54"/>
      <c r="G846" s="49"/>
      <c r="H846" s="49"/>
      <c r="I846" s="49"/>
      <c r="J846" s="44" t="str">
        <f t="array" ref="J846">IF(G846="","",IFERROR(LET(ev_cost,INDEX(Events!$G$5:$G$506,MATCH(G846,Events!$A$5:$A$506,0)),ev_split,INDEX(Events!$I$5:$I$506,MATCH(G846,Events!$A$5:$A$506,0)),att_offset,MATCH(G846,Attendance!$B$3:$AY$3,0),attendees,COUNTIF(INDEX(Attendance!$B$7:$AY$206,0,att_offset),"1"),IF(ev_split="Equal Split",ev_cost/MAX(1,COUNTA(Roster!$A$5:$A$204)),ev_cost/MAX(1,attendees))),"N/A"))</f>
        <v/>
      </c>
    </row>
    <row r="847" ht="19.5" customHeight="1">
      <c r="A847" s="50"/>
      <c r="B847" s="53"/>
      <c r="C847" s="53"/>
      <c r="D847" s="53"/>
      <c r="E847" s="53"/>
      <c r="F847" s="55"/>
      <c r="G847" s="53"/>
      <c r="H847" s="53"/>
      <c r="I847" s="53"/>
      <c r="J847" s="44" t="str">
        <f t="array" ref="J847">IF(G847="","",IFERROR(LET(ev_cost,INDEX(Events!$G$5:$G$506,MATCH(G847,Events!$A$5:$A$506,0)),ev_split,INDEX(Events!$I$5:$I$506,MATCH(G847,Events!$A$5:$A$506,0)),att_offset,MATCH(G847,Attendance!$B$3:$AY$3,0),attendees,COUNTIF(INDEX(Attendance!$B$7:$AY$206,0,att_offset),"1"),IF(ev_split="Equal Split",ev_cost/MAX(1,COUNTA(Roster!$A$5:$A$204)),ev_cost/MAX(1,attendees))),"N/A"))</f>
        <v/>
      </c>
    </row>
    <row r="848" ht="19.5" customHeight="1">
      <c r="A848" s="46"/>
      <c r="B848" s="49"/>
      <c r="C848" s="49"/>
      <c r="D848" s="49"/>
      <c r="E848" s="49"/>
      <c r="F848" s="54"/>
      <c r="G848" s="49"/>
      <c r="H848" s="49"/>
      <c r="I848" s="49"/>
      <c r="J848" s="44" t="str">
        <f t="array" ref="J848">IF(G848="","",IFERROR(LET(ev_cost,INDEX(Events!$G$5:$G$506,MATCH(G848,Events!$A$5:$A$506,0)),ev_split,INDEX(Events!$I$5:$I$506,MATCH(G848,Events!$A$5:$A$506,0)),att_offset,MATCH(G848,Attendance!$B$3:$AY$3,0),attendees,COUNTIF(INDEX(Attendance!$B$7:$AY$206,0,att_offset),"1"),IF(ev_split="Equal Split",ev_cost/MAX(1,COUNTA(Roster!$A$5:$A$204)),ev_cost/MAX(1,attendees))),"N/A"))</f>
        <v/>
      </c>
    </row>
    <row r="849" ht="19.5" customHeight="1">
      <c r="A849" s="50"/>
      <c r="B849" s="53"/>
      <c r="C849" s="53"/>
      <c r="D849" s="53"/>
      <c r="E849" s="53"/>
      <c r="F849" s="55"/>
      <c r="G849" s="53"/>
      <c r="H849" s="53"/>
      <c r="I849" s="53"/>
      <c r="J849" s="44" t="str">
        <f t="array" ref="J849">IF(G849="","",IFERROR(LET(ev_cost,INDEX(Events!$G$5:$G$506,MATCH(G849,Events!$A$5:$A$506,0)),ev_split,INDEX(Events!$I$5:$I$506,MATCH(G849,Events!$A$5:$A$506,0)),att_offset,MATCH(G849,Attendance!$B$3:$AY$3,0),attendees,COUNTIF(INDEX(Attendance!$B$7:$AY$206,0,att_offset),"1"),IF(ev_split="Equal Split",ev_cost/MAX(1,COUNTA(Roster!$A$5:$A$204)),ev_cost/MAX(1,attendees))),"N/A"))</f>
        <v/>
      </c>
    </row>
    <row r="850" ht="19.5" customHeight="1">
      <c r="A850" s="46"/>
      <c r="B850" s="49"/>
      <c r="C850" s="49"/>
      <c r="D850" s="49"/>
      <c r="E850" s="49"/>
      <c r="F850" s="54"/>
      <c r="G850" s="49"/>
      <c r="H850" s="49"/>
      <c r="I850" s="49"/>
      <c r="J850" s="44" t="str">
        <f t="array" ref="J850">IF(G850="","",IFERROR(LET(ev_cost,INDEX(Events!$G$5:$G$506,MATCH(G850,Events!$A$5:$A$506,0)),ev_split,INDEX(Events!$I$5:$I$506,MATCH(G850,Events!$A$5:$A$506,0)),att_offset,MATCH(G850,Attendance!$B$3:$AY$3,0),attendees,COUNTIF(INDEX(Attendance!$B$7:$AY$206,0,att_offset),"1"),IF(ev_split="Equal Split",ev_cost/MAX(1,COUNTA(Roster!$A$5:$A$204)),ev_cost/MAX(1,attendees))),"N/A"))</f>
        <v/>
      </c>
    </row>
    <row r="851" ht="19.5" customHeight="1">
      <c r="A851" s="50"/>
      <c r="B851" s="53"/>
      <c r="C851" s="53"/>
      <c r="D851" s="53"/>
      <c r="E851" s="53"/>
      <c r="F851" s="55"/>
      <c r="G851" s="53"/>
      <c r="H851" s="53"/>
      <c r="I851" s="53"/>
      <c r="J851" s="44" t="str">
        <f t="array" ref="J851">IF(G851="","",IFERROR(LET(ev_cost,INDEX(Events!$G$5:$G$506,MATCH(G851,Events!$A$5:$A$506,0)),ev_split,INDEX(Events!$I$5:$I$506,MATCH(G851,Events!$A$5:$A$506,0)),att_offset,MATCH(G851,Attendance!$B$3:$AY$3,0),attendees,COUNTIF(INDEX(Attendance!$B$7:$AY$206,0,att_offset),"1"),IF(ev_split="Equal Split",ev_cost/MAX(1,COUNTA(Roster!$A$5:$A$204)),ev_cost/MAX(1,attendees))),"N/A"))</f>
        <v/>
      </c>
    </row>
    <row r="852" ht="19.5" customHeight="1">
      <c r="A852" s="46"/>
      <c r="B852" s="49"/>
      <c r="C852" s="49"/>
      <c r="D852" s="49"/>
      <c r="E852" s="49"/>
      <c r="F852" s="54"/>
      <c r="G852" s="49"/>
      <c r="H852" s="49"/>
      <c r="I852" s="49"/>
      <c r="J852" s="44" t="str">
        <f t="array" ref="J852">IF(G852="","",IFERROR(LET(ev_cost,INDEX(Events!$G$5:$G$506,MATCH(G852,Events!$A$5:$A$506,0)),ev_split,INDEX(Events!$I$5:$I$506,MATCH(G852,Events!$A$5:$A$506,0)),att_offset,MATCH(G852,Attendance!$B$3:$AY$3,0),attendees,COUNTIF(INDEX(Attendance!$B$7:$AY$206,0,att_offset),"1"),IF(ev_split="Equal Split",ev_cost/MAX(1,COUNTA(Roster!$A$5:$A$204)),ev_cost/MAX(1,attendees))),"N/A"))</f>
        <v/>
      </c>
    </row>
    <row r="853" ht="19.5" customHeight="1">
      <c r="A853" s="50"/>
      <c r="B853" s="53"/>
      <c r="C853" s="53"/>
      <c r="D853" s="53"/>
      <c r="E853" s="53"/>
      <c r="F853" s="55"/>
      <c r="G853" s="53"/>
      <c r="H853" s="53"/>
      <c r="I853" s="53"/>
      <c r="J853" s="44" t="str">
        <f t="array" ref="J853">IF(G853="","",IFERROR(LET(ev_cost,INDEX(Events!$G$5:$G$506,MATCH(G853,Events!$A$5:$A$506,0)),ev_split,INDEX(Events!$I$5:$I$506,MATCH(G853,Events!$A$5:$A$506,0)),att_offset,MATCH(G853,Attendance!$B$3:$AY$3,0),attendees,COUNTIF(INDEX(Attendance!$B$7:$AY$206,0,att_offset),"1"),IF(ev_split="Equal Split",ev_cost/MAX(1,COUNTA(Roster!$A$5:$A$204)),ev_cost/MAX(1,attendees))),"N/A"))</f>
        <v/>
      </c>
    </row>
    <row r="854" ht="19.5" customHeight="1">
      <c r="A854" s="46"/>
      <c r="B854" s="49"/>
      <c r="C854" s="49"/>
      <c r="D854" s="49"/>
      <c r="E854" s="49"/>
      <c r="F854" s="54"/>
      <c r="G854" s="49"/>
      <c r="H854" s="49"/>
      <c r="I854" s="49"/>
      <c r="J854" s="44" t="str">
        <f t="array" ref="J854">IF(G854="","",IFERROR(LET(ev_cost,INDEX(Events!$G$5:$G$506,MATCH(G854,Events!$A$5:$A$506,0)),ev_split,INDEX(Events!$I$5:$I$506,MATCH(G854,Events!$A$5:$A$506,0)),att_offset,MATCH(G854,Attendance!$B$3:$AY$3,0),attendees,COUNTIF(INDEX(Attendance!$B$7:$AY$206,0,att_offset),"1"),IF(ev_split="Equal Split",ev_cost/MAX(1,COUNTA(Roster!$A$5:$A$204)),ev_cost/MAX(1,attendees))),"N/A"))</f>
        <v/>
      </c>
    </row>
    <row r="855" ht="19.5" customHeight="1">
      <c r="A855" s="50"/>
      <c r="B855" s="53"/>
      <c r="C855" s="53"/>
      <c r="D855" s="53"/>
      <c r="E855" s="53"/>
      <c r="F855" s="55"/>
      <c r="G855" s="53"/>
      <c r="H855" s="53"/>
      <c r="I855" s="53"/>
      <c r="J855" s="44" t="str">
        <f t="array" ref="J855">IF(G855="","",IFERROR(LET(ev_cost,INDEX(Events!$G$5:$G$506,MATCH(G855,Events!$A$5:$A$506,0)),ev_split,INDEX(Events!$I$5:$I$506,MATCH(G855,Events!$A$5:$A$506,0)),att_offset,MATCH(G855,Attendance!$B$3:$AY$3,0),attendees,COUNTIF(INDEX(Attendance!$B$7:$AY$206,0,att_offset),"1"),IF(ev_split="Equal Split",ev_cost/MAX(1,COUNTA(Roster!$A$5:$A$204)),ev_cost/MAX(1,attendees))),"N/A"))</f>
        <v/>
      </c>
    </row>
    <row r="856" ht="19.5" customHeight="1">
      <c r="A856" s="46"/>
      <c r="B856" s="49"/>
      <c r="C856" s="49"/>
      <c r="D856" s="49"/>
      <c r="E856" s="49"/>
      <c r="F856" s="54"/>
      <c r="G856" s="49"/>
      <c r="H856" s="49"/>
      <c r="I856" s="49"/>
      <c r="J856" s="44" t="str">
        <f t="array" ref="J856">IF(G856="","",IFERROR(LET(ev_cost,INDEX(Events!$G$5:$G$506,MATCH(G856,Events!$A$5:$A$506,0)),ev_split,INDEX(Events!$I$5:$I$506,MATCH(G856,Events!$A$5:$A$506,0)),att_offset,MATCH(G856,Attendance!$B$3:$AY$3,0),attendees,COUNTIF(INDEX(Attendance!$B$7:$AY$206,0,att_offset),"1"),IF(ev_split="Equal Split",ev_cost/MAX(1,COUNTA(Roster!$A$5:$A$204)),ev_cost/MAX(1,attendees))),"N/A"))</f>
        <v/>
      </c>
    </row>
    <row r="857" ht="19.5" customHeight="1">
      <c r="A857" s="50"/>
      <c r="B857" s="53"/>
      <c r="C857" s="53"/>
      <c r="D857" s="53"/>
      <c r="E857" s="53"/>
      <c r="F857" s="55"/>
      <c r="G857" s="53"/>
      <c r="H857" s="53"/>
      <c r="I857" s="53"/>
      <c r="J857" s="44" t="str">
        <f t="array" ref="J857">IF(G857="","",IFERROR(LET(ev_cost,INDEX(Events!$G$5:$G$506,MATCH(G857,Events!$A$5:$A$506,0)),ev_split,INDEX(Events!$I$5:$I$506,MATCH(G857,Events!$A$5:$A$506,0)),att_offset,MATCH(G857,Attendance!$B$3:$AY$3,0),attendees,COUNTIF(INDEX(Attendance!$B$7:$AY$206,0,att_offset),"1"),IF(ev_split="Equal Split",ev_cost/MAX(1,COUNTA(Roster!$A$5:$A$204)),ev_cost/MAX(1,attendees))),"N/A"))</f>
        <v/>
      </c>
    </row>
    <row r="858" ht="19.5" customHeight="1">
      <c r="A858" s="46"/>
      <c r="B858" s="49"/>
      <c r="C858" s="49"/>
      <c r="D858" s="49"/>
      <c r="E858" s="49"/>
      <c r="F858" s="54"/>
      <c r="G858" s="49"/>
      <c r="H858" s="49"/>
      <c r="I858" s="49"/>
      <c r="J858" s="44" t="str">
        <f t="array" ref="J858">IF(G858="","",IFERROR(LET(ev_cost,INDEX(Events!$G$5:$G$506,MATCH(G858,Events!$A$5:$A$506,0)),ev_split,INDEX(Events!$I$5:$I$506,MATCH(G858,Events!$A$5:$A$506,0)),att_offset,MATCH(G858,Attendance!$B$3:$AY$3,0),attendees,COUNTIF(INDEX(Attendance!$B$7:$AY$206,0,att_offset),"1"),IF(ev_split="Equal Split",ev_cost/MAX(1,COUNTA(Roster!$A$5:$A$204)),ev_cost/MAX(1,attendees))),"N/A"))</f>
        <v/>
      </c>
    </row>
    <row r="859" ht="19.5" customHeight="1">
      <c r="A859" s="50"/>
      <c r="B859" s="53"/>
      <c r="C859" s="53"/>
      <c r="D859" s="53"/>
      <c r="E859" s="53"/>
      <c r="F859" s="55"/>
      <c r="G859" s="53"/>
      <c r="H859" s="53"/>
      <c r="I859" s="53"/>
      <c r="J859" s="44" t="str">
        <f t="array" ref="J859">IF(G859="","",IFERROR(LET(ev_cost,INDEX(Events!$G$5:$G$506,MATCH(G859,Events!$A$5:$A$506,0)),ev_split,INDEX(Events!$I$5:$I$506,MATCH(G859,Events!$A$5:$A$506,0)),att_offset,MATCH(G859,Attendance!$B$3:$AY$3,0),attendees,COUNTIF(INDEX(Attendance!$B$7:$AY$206,0,att_offset),"1"),IF(ev_split="Equal Split",ev_cost/MAX(1,COUNTA(Roster!$A$5:$A$204)),ev_cost/MAX(1,attendees))),"N/A"))</f>
        <v/>
      </c>
    </row>
    <row r="860" ht="19.5" customHeight="1">
      <c r="A860" s="46"/>
      <c r="B860" s="49"/>
      <c r="C860" s="49"/>
      <c r="D860" s="49"/>
      <c r="E860" s="49"/>
      <c r="F860" s="54"/>
      <c r="G860" s="49"/>
      <c r="H860" s="49"/>
      <c r="I860" s="49"/>
      <c r="J860" s="44" t="str">
        <f t="array" ref="J860">IF(G860="","",IFERROR(LET(ev_cost,INDEX(Events!$G$5:$G$506,MATCH(G860,Events!$A$5:$A$506,0)),ev_split,INDEX(Events!$I$5:$I$506,MATCH(G860,Events!$A$5:$A$506,0)),att_offset,MATCH(G860,Attendance!$B$3:$AY$3,0),attendees,COUNTIF(INDEX(Attendance!$B$7:$AY$206,0,att_offset),"1"),IF(ev_split="Equal Split",ev_cost/MAX(1,COUNTA(Roster!$A$5:$A$204)),ev_cost/MAX(1,attendees))),"N/A"))</f>
        <v/>
      </c>
    </row>
    <row r="861" ht="19.5" customHeight="1">
      <c r="A861" s="50"/>
      <c r="B861" s="53"/>
      <c r="C861" s="53"/>
      <c r="D861" s="53"/>
      <c r="E861" s="53"/>
      <c r="F861" s="55"/>
      <c r="G861" s="53"/>
      <c r="H861" s="53"/>
      <c r="I861" s="53"/>
      <c r="J861" s="44" t="str">
        <f t="array" ref="J861">IF(G861="","",IFERROR(LET(ev_cost,INDEX(Events!$G$5:$G$506,MATCH(G861,Events!$A$5:$A$506,0)),ev_split,INDEX(Events!$I$5:$I$506,MATCH(G861,Events!$A$5:$A$506,0)),att_offset,MATCH(G861,Attendance!$B$3:$AY$3,0),attendees,COUNTIF(INDEX(Attendance!$B$7:$AY$206,0,att_offset),"1"),IF(ev_split="Equal Split",ev_cost/MAX(1,COUNTA(Roster!$A$5:$A$204)),ev_cost/MAX(1,attendees))),"N/A"))</f>
        <v/>
      </c>
    </row>
    <row r="862" ht="19.5" customHeight="1">
      <c r="A862" s="46"/>
      <c r="B862" s="49"/>
      <c r="C862" s="49"/>
      <c r="D862" s="49"/>
      <c r="E862" s="49"/>
      <c r="F862" s="54"/>
      <c r="G862" s="49"/>
      <c r="H862" s="49"/>
      <c r="I862" s="49"/>
      <c r="J862" s="44" t="str">
        <f t="array" ref="J862">IF(G862="","",IFERROR(LET(ev_cost,INDEX(Events!$G$5:$G$506,MATCH(G862,Events!$A$5:$A$506,0)),ev_split,INDEX(Events!$I$5:$I$506,MATCH(G862,Events!$A$5:$A$506,0)),att_offset,MATCH(G862,Attendance!$B$3:$AY$3,0),attendees,COUNTIF(INDEX(Attendance!$B$7:$AY$206,0,att_offset),"1"),IF(ev_split="Equal Split",ev_cost/MAX(1,COUNTA(Roster!$A$5:$A$204)),ev_cost/MAX(1,attendees))),"N/A"))</f>
        <v/>
      </c>
    </row>
    <row r="863" ht="19.5" customHeight="1">
      <c r="A863" s="50"/>
      <c r="B863" s="53"/>
      <c r="C863" s="53"/>
      <c r="D863" s="53"/>
      <c r="E863" s="53"/>
      <c r="F863" s="55"/>
      <c r="G863" s="53"/>
      <c r="H863" s="53"/>
      <c r="I863" s="53"/>
      <c r="J863" s="44" t="str">
        <f t="array" ref="J863">IF(G863="","",IFERROR(LET(ev_cost,INDEX(Events!$G$5:$G$506,MATCH(G863,Events!$A$5:$A$506,0)),ev_split,INDEX(Events!$I$5:$I$506,MATCH(G863,Events!$A$5:$A$506,0)),att_offset,MATCH(G863,Attendance!$B$3:$AY$3,0),attendees,COUNTIF(INDEX(Attendance!$B$7:$AY$206,0,att_offset),"1"),IF(ev_split="Equal Split",ev_cost/MAX(1,COUNTA(Roster!$A$5:$A$204)),ev_cost/MAX(1,attendees))),"N/A"))</f>
        <v/>
      </c>
    </row>
    <row r="864" ht="19.5" customHeight="1">
      <c r="A864" s="46"/>
      <c r="B864" s="49"/>
      <c r="C864" s="49"/>
      <c r="D864" s="49"/>
      <c r="E864" s="49"/>
      <c r="F864" s="54"/>
      <c r="G864" s="49"/>
      <c r="H864" s="49"/>
      <c r="I864" s="49"/>
      <c r="J864" s="44" t="str">
        <f t="array" ref="J864">IF(G864="","",IFERROR(LET(ev_cost,INDEX(Events!$G$5:$G$506,MATCH(G864,Events!$A$5:$A$506,0)),ev_split,INDEX(Events!$I$5:$I$506,MATCH(G864,Events!$A$5:$A$506,0)),att_offset,MATCH(G864,Attendance!$B$3:$AY$3,0),attendees,COUNTIF(INDEX(Attendance!$B$7:$AY$206,0,att_offset),"1"),IF(ev_split="Equal Split",ev_cost/MAX(1,COUNTA(Roster!$A$5:$A$204)),ev_cost/MAX(1,attendees))),"N/A"))</f>
        <v/>
      </c>
    </row>
    <row r="865" ht="19.5" customHeight="1">
      <c r="A865" s="50"/>
      <c r="B865" s="53"/>
      <c r="C865" s="53"/>
      <c r="D865" s="53"/>
      <c r="E865" s="53"/>
      <c r="F865" s="55"/>
      <c r="G865" s="53"/>
      <c r="H865" s="53"/>
      <c r="I865" s="53"/>
      <c r="J865" s="44" t="str">
        <f t="array" ref="J865">IF(G865="","",IFERROR(LET(ev_cost,INDEX(Events!$G$5:$G$506,MATCH(G865,Events!$A$5:$A$506,0)),ev_split,INDEX(Events!$I$5:$I$506,MATCH(G865,Events!$A$5:$A$506,0)),att_offset,MATCH(G865,Attendance!$B$3:$AY$3,0),attendees,COUNTIF(INDEX(Attendance!$B$7:$AY$206,0,att_offset),"1"),IF(ev_split="Equal Split",ev_cost/MAX(1,COUNTA(Roster!$A$5:$A$204)),ev_cost/MAX(1,attendees))),"N/A"))</f>
        <v/>
      </c>
    </row>
    <row r="866" ht="19.5" customHeight="1">
      <c r="A866" s="46"/>
      <c r="B866" s="49"/>
      <c r="C866" s="49"/>
      <c r="D866" s="49"/>
      <c r="E866" s="49"/>
      <c r="F866" s="54"/>
      <c r="G866" s="49"/>
      <c r="H866" s="49"/>
      <c r="I866" s="49"/>
      <c r="J866" s="44" t="str">
        <f t="array" ref="J866">IF(G866="","",IFERROR(LET(ev_cost,INDEX(Events!$G$5:$G$506,MATCH(G866,Events!$A$5:$A$506,0)),ev_split,INDEX(Events!$I$5:$I$506,MATCH(G866,Events!$A$5:$A$506,0)),att_offset,MATCH(G866,Attendance!$B$3:$AY$3,0),attendees,COUNTIF(INDEX(Attendance!$B$7:$AY$206,0,att_offset),"1"),IF(ev_split="Equal Split",ev_cost/MAX(1,COUNTA(Roster!$A$5:$A$204)),ev_cost/MAX(1,attendees))),"N/A"))</f>
        <v/>
      </c>
    </row>
    <row r="867" ht="19.5" customHeight="1">
      <c r="A867" s="50"/>
      <c r="B867" s="53"/>
      <c r="C867" s="53"/>
      <c r="D867" s="53"/>
      <c r="E867" s="53"/>
      <c r="F867" s="55"/>
      <c r="G867" s="53"/>
      <c r="H867" s="53"/>
      <c r="I867" s="53"/>
      <c r="J867" s="44" t="str">
        <f t="array" ref="J867">IF(G867="","",IFERROR(LET(ev_cost,INDEX(Events!$G$5:$G$506,MATCH(G867,Events!$A$5:$A$506,0)),ev_split,INDEX(Events!$I$5:$I$506,MATCH(G867,Events!$A$5:$A$506,0)),att_offset,MATCH(G867,Attendance!$B$3:$AY$3,0),attendees,COUNTIF(INDEX(Attendance!$B$7:$AY$206,0,att_offset),"1"),IF(ev_split="Equal Split",ev_cost/MAX(1,COUNTA(Roster!$A$5:$A$204)),ev_cost/MAX(1,attendees))),"N/A"))</f>
        <v/>
      </c>
    </row>
    <row r="868" ht="19.5" customHeight="1">
      <c r="A868" s="46"/>
      <c r="B868" s="49"/>
      <c r="C868" s="49"/>
      <c r="D868" s="49"/>
      <c r="E868" s="49"/>
      <c r="F868" s="54"/>
      <c r="G868" s="49"/>
      <c r="H868" s="49"/>
      <c r="I868" s="49"/>
      <c r="J868" s="44" t="str">
        <f t="array" ref="J868">IF(G868="","",IFERROR(LET(ev_cost,INDEX(Events!$G$5:$G$506,MATCH(G868,Events!$A$5:$A$506,0)),ev_split,INDEX(Events!$I$5:$I$506,MATCH(G868,Events!$A$5:$A$506,0)),att_offset,MATCH(G868,Attendance!$B$3:$AY$3,0),attendees,COUNTIF(INDEX(Attendance!$B$7:$AY$206,0,att_offset),"1"),IF(ev_split="Equal Split",ev_cost/MAX(1,COUNTA(Roster!$A$5:$A$204)),ev_cost/MAX(1,attendees))),"N/A"))</f>
        <v/>
      </c>
    </row>
    <row r="869" ht="19.5" customHeight="1">
      <c r="A869" s="50"/>
      <c r="B869" s="53"/>
      <c r="C869" s="53"/>
      <c r="D869" s="53"/>
      <c r="E869" s="53"/>
      <c r="F869" s="55"/>
      <c r="G869" s="53"/>
      <c r="H869" s="53"/>
      <c r="I869" s="53"/>
      <c r="J869" s="44" t="str">
        <f t="array" ref="J869">IF(G869="","",IFERROR(LET(ev_cost,INDEX(Events!$G$5:$G$506,MATCH(G869,Events!$A$5:$A$506,0)),ev_split,INDEX(Events!$I$5:$I$506,MATCH(G869,Events!$A$5:$A$506,0)),att_offset,MATCH(G869,Attendance!$B$3:$AY$3,0),attendees,COUNTIF(INDEX(Attendance!$B$7:$AY$206,0,att_offset),"1"),IF(ev_split="Equal Split",ev_cost/MAX(1,COUNTA(Roster!$A$5:$A$204)),ev_cost/MAX(1,attendees))),"N/A"))</f>
        <v/>
      </c>
    </row>
    <row r="870" ht="19.5" customHeight="1">
      <c r="A870" s="46"/>
      <c r="B870" s="49"/>
      <c r="C870" s="49"/>
      <c r="D870" s="49"/>
      <c r="E870" s="49"/>
      <c r="F870" s="54"/>
      <c r="G870" s="49"/>
      <c r="H870" s="49"/>
      <c r="I870" s="49"/>
      <c r="J870" s="44" t="str">
        <f t="array" ref="J870">IF(G870="","",IFERROR(LET(ev_cost,INDEX(Events!$G$5:$G$506,MATCH(G870,Events!$A$5:$A$506,0)),ev_split,INDEX(Events!$I$5:$I$506,MATCH(G870,Events!$A$5:$A$506,0)),att_offset,MATCH(G870,Attendance!$B$3:$AY$3,0),attendees,COUNTIF(INDEX(Attendance!$B$7:$AY$206,0,att_offset),"1"),IF(ev_split="Equal Split",ev_cost/MAX(1,COUNTA(Roster!$A$5:$A$204)),ev_cost/MAX(1,attendees))),"N/A"))</f>
        <v/>
      </c>
    </row>
    <row r="871" ht="19.5" customHeight="1">
      <c r="A871" s="50"/>
      <c r="B871" s="53"/>
      <c r="C871" s="53"/>
      <c r="D871" s="53"/>
      <c r="E871" s="53"/>
      <c r="F871" s="55"/>
      <c r="G871" s="53"/>
      <c r="H871" s="53"/>
      <c r="I871" s="53"/>
      <c r="J871" s="44" t="str">
        <f t="array" ref="J871">IF(G871="","",IFERROR(LET(ev_cost,INDEX(Events!$G$5:$G$506,MATCH(G871,Events!$A$5:$A$506,0)),ev_split,INDEX(Events!$I$5:$I$506,MATCH(G871,Events!$A$5:$A$506,0)),att_offset,MATCH(G871,Attendance!$B$3:$AY$3,0),attendees,COUNTIF(INDEX(Attendance!$B$7:$AY$206,0,att_offset),"1"),IF(ev_split="Equal Split",ev_cost/MAX(1,COUNTA(Roster!$A$5:$A$204)),ev_cost/MAX(1,attendees))),"N/A"))</f>
        <v/>
      </c>
    </row>
    <row r="872" ht="19.5" customHeight="1">
      <c r="A872" s="46"/>
      <c r="B872" s="49"/>
      <c r="C872" s="49"/>
      <c r="D872" s="49"/>
      <c r="E872" s="49"/>
      <c r="F872" s="54"/>
      <c r="G872" s="49"/>
      <c r="H872" s="49"/>
      <c r="I872" s="49"/>
      <c r="J872" s="44" t="str">
        <f t="array" ref="J872">IF(G872="","",IFERROR(LET(ev_cost,INDEX(Events!$G$5:$G$506,MATCH(G872,Events!$A$5:$A$506,0)),ev_split,INDEX(Events!$I$5:$I$506,MATCH(G872,Events!$A$5:$A$506,0)),att_offset,MATCH(G872,Attendance!$B$3:$AY$3,0),attendees,COUNTIF(INDEX(Attendance!$B$7:$AY$206,0,att_offset),"1"),IF(ev_split="Equal Split",ev_cost/MAX(1,COUNTA(Roster!$A$5:$A$204)),ev_cost/MAX(1,attendees))),"N/A"))</f>
        <v/>
      </c>
    </row>
    <row r="873" ht="19.5" customHeight="1">
      <c r="A873" s="50"/>
      <c r="B873" s="53"/>
      <c r="C873" s="53"/>
      <c r="D873" s="53"/>
      <c r="E873" s="53"/>
      <c r="F873" s="55"/>
      <c r="G873" s="53"/>
      <c r="H873" s="53"/>
      <c r="I873" s="53"/>
      <c r="J873" s="44" t="str">
        <f t="array" ref="J873">IF(G873="","",IFERROR(LET(ev_cost,INDEX(Events!$G$5:$G$506,MATCH(G873,Events!$A$5:$A$506,0)),ev_split,INDEX(Events!$I$5:$I$506,MATCH(G873,Events!$A$5:$A$506,0)),att_offset,MATCH(G873,Attendance!$B$3:$AY$3,0),attendees,COUNTIF(INDEX(Attendance!$B$7:$AY$206,0,att_offset),"1"),IF(ev_split="Equal Split",ev_cost/MAX(1,COUNTA(Roster!$A$5:$A$204)),ev_cost/MAX(1,attendees))),"N/A"))</f>
        <v/>
      </c>
    </row>
    <row r="874" ht="19.5" customHeight="1">
      <c r="A874" s="46"/>
      <c r="B874" s="49"/>
      <c r="C874" s="49"/>
      <c r="D874" s="49"/>
      <c r="E874" s="49"/>
      <c r="F874" s="54"/>
      <c r="G874" s="49"/>
      <c r="H874" s="49"/>
      <c r="I874" s="49"/>
      <c r="J874" s="44" t="str">
        <f t="array" ref="J874">IF(G874="","",IFERROR(LET(ev_cost,INDEX(Events!$G$5:$G$506,MATCH(G874,Events!$A$5:$A$506,0)),ev_split,INDEX(Events!$I$5:$I$506,MATCH(G874,Events!$A$5:$A$506,0)),att_offset,MATCH(G874,Attendance!$B$3:$AY$3,0),attendees,COUNTIF(INDEX(Attendance!$B$7:$AY$206,0,att_offset),"1"),IF(ev_split="Equal Split",ev_cost/MAX(1,COUNTA(Roster!$A$5:$A$204)),ev_cost/MAX(1,attendees))),"N/A"))</f>
        <v/>
      </c>
    </row>
    <row r="875" ht="19.5" customHeight="1">
      <c r="A875" s="50"/>
      <c r="B875" s="53"/>
      <c r="C875" s="53"/>
      <c r="D875" s="53"/>
      <c r="E875" s="53"/>
      <c r="F875" s="55"/>
      <c r="G875" s="53"/>
      <c r="H875" s="53"/>
      <c r="I875" s="53"/>
      <c r="J875" s="44" t="str">
        <f t="array" ref="J875">IF(G875="","",IFERROR(LET(ev_cost,INDEX(Events!$G$5:$G$506,MATCH(G875,Events!$A$5:$A$506,0)),ev_split,INDEX(Events!$I$5:$I$506,MATCH(G875,Events!$A$5:$A$506,0)),att_offset,MATCH(G875,Attendance!$B$3:$AY$3,0),attendees,COUNTIF(INDEX(Attendance!$B$7:$AY$206,0,att_offset),"1"),IF(ev_split="Equal Split",ev_cost/MAX(1,COUNTA(Roster!$A$5:$A$204)),ev_cost/MAX(1,attendees))),"N/A"))</f>
        <v/>
      </c>
    </row>
    <row r="876" ht="19.5" customHeight="1">
      <c r="A876" s="46"/>
      <c r="B876" s="49"/>
      <c r="C876" s="49"/>
      <c r="D876" s="49"/>
      <c r="E876" s="49"/>
      <c r="F876" s="54"/>
      <c r="G876" s="49"/>
      <c r="H876" s="49"/>
      <c r="I876" s="49"/>
      <c r="J876" s="44" t="str">
        <f t="array" ref="J876">IF(G876="","",IFERROR(LET(ev_cost,INDEX(Events!$G$5:$G$506,MATCH(G876,Events!$A$5:$A$506,0)),ev_split,INDEX(Events!$I$5:$I$506,MATCH(G876,Events!$A$5:$A$506,0)),att_offset,MATCH(G876,Attendance!$B$3:$AY$3,0),attendees,COUNTIF(INDEX(Attendance!$B$7:$AY$206,0,att_offset),"1"),IF(ev_split="Equal Split",ev_cost/MAX(1,COUNTA(Roster!$A$5:$A$204)),ev_cost/MAX(1,attendees))),"N/A"))</f>
        <v/>
      </c>
    </row>
    <row r="877" ht="19.5" customHeight="1">
      <c r="A877" s="50"/>
      <c r="B877" s="53"/>
      <c r="C877" s="53"/>
      <c r="D877" s="53"/>
      <c r="E877" s="53"/>
      <c r="F877" s="55"/>
      <c r="G877" s="53"/>
      <c r="H877" s="53"/>
      <c r="I877" s="53"/>
      <c r="J877" s="44" t="str">
        <f t="array" ref="J877">IF(G877="","",IFERROR(LET(ev_cost,INDEX(Events!$G$5:$G$506,MATCH(G877,Events!$A$5:$A$506,0)),ev_split,INDEX(Events!$I$5:$I$506,MATCH(G877,Events!$A$5:$A$506,0)),att_offset,MATCH(G877,Attendance!$B$3:$AY$3,0),attendees,COUNTIF(INDEX(Attendance!$B$7:$AY$206,0,att_offset),"1"),IF(ev_split="Equal Split",ev_cost/MAX(1,COUNTA(Roster!$A$5:$A$204)),ev_cost/MAX(1,attendees))),"N/A"))</f>
        <v/>
      </c>
    </row>
    <row r="878" ht="19.5" customHeight="1">
      <c r="A878" s="46"/>
      <c r="B878" s="49"/>
      <c r="C878" s="49"/>
      <c r="D878" s="49"/>
      <c r="E878" s="49"/>
      <c r="F878" s="54"/>
      <c r="G878" s="49"/>
      <c r="H878" s="49"/>
      <c r="I878" s="49"/>
      <c r="J878" s="44" t="str">
        <f t="array" ref="J878">IF(G878="","",IFERROR(LET(ev_cost,INDEX(Events!$G$5:$G$506,MATCH(G878,Events!$A$5:$A$506,0)),ev_split,INDEX(Events!$I$5:$I$506,MATCH(G878,Events!$A$5:$A$506,0)),att_offset,MATCH(G878,Attendance!$B$3:$AY$3,0),attendees,COUNTIF(INDEX(Attendance!$B$7:$AY$206,0,att_offset),"1"),IF(ev_split="Equal Split",ev_cost/MAX(1,COUNTA(Roster!$A$5:$A$204)),ev_cost/MAX(1,attendees))),"N/A"))</f>
        <v/>
      </c>
    </row>
    <row r="879" ht="19.5" customHeight="1">
      <c r="A879" s="50"/>
      <c r="B879" s="53"/>
      <c r="C879" s="53"/>
      <c r="D879" s="53"/>
      <c r="E879" s="53"/>
      <c r="F879" s="55"/>
      <c r="G879" s="53"/>
      <c r="H879" s="53"/>
      <c r="I879" s="53"/>
      <c r="J879" s="44" t="str">
        <f t="array" ref="J879">IF(G879="","",IFERROR(LET(ev_cost,INDEX(Events!$G$5:$G$506,MATCH(G879,Events!$A$5:$A$506,0)),ev_split,INDEX(Events!$I$5:$I$506,MATCH(G879,Events!$A$5:$A$506,0)),att_offset,MATCH(G879,Attendance!$B$3:$AY$3,0),attendees,COUNTIF(INDEX(Attendance!$B$7:$AY$206,0,att_offset),"1"),IF(ev_split="Equal Split",ev_cost/MAX(1,COUNTA(Roster!$A$5:$A$204)),ev_cost/MAX(1,attendees))),"N/A"))</f>
        <v/>
      </c>
    </row>
    <row r="880" ht="19.5" customHeight="1">
      <c r="A880" s="46"/>
      <c r="B880" s="49"/>
      <c r="C880" s="49"/>
      <c r="D880" s="49"/>
      <c r="E880" s="49"/>
      <c r="F880" s="54"/>
      <c r="G880" s="49"/>
      <c r="H880" s="49"/>
      <c r="I880" s="49"/>
      <c r="J880" s="44" t="str">
        <f t="array" ref="J880">IF(G880="","",IFERROR(LET(ev_cost,INDEX(Events!$G$5:$G$506,MATCH(G880,Events!$A$5:$A$506,0)),ev_split,INDEX(Events!$I$5:$I$506,MATCH(G880,Events!$A$5:$A$506,0)),att_offset,MATCH(G880,Attendance!$B$3:$AY$3,0),attendees,COUNTIF(INDEX(Attendance!$B$7:$AY$206,0,att_offset),"1"),IF(ev_split="Equal Split",ev_cost/MAX(1,COUNTA(Roster!$A$5:$A$204)),ev_cost/MAX(1,attendees))),"N/A"))</f>
        <v/>
      </c>
    </row>
    <row r="881" ht="19.5" customHeight="1">
      <c r="A881" s="50"/>
      <c r="B881" s="53"/>
      <c r="C881" s="53"/>
      <c r="D881" s="53"/>
      <c r="E881" s="53"/>
      <c r="F881" s="55"/>
      <c r="G881" s="53"/>
      <c r="H881" s="53"/>
      <c r="I881" s="53"/>
      <c r="J881" s="44" t="str">
        <f t="array" ref="J881">IF(G881="","",IFERROR(LET(ev_cost,INDEX(Events!$G$5:$G$506,MATCH(G881,Events!$A$5:$A$506,0)),ev_split,INDEX(Events!$I$5:$I$506,MATCH(G881,Events!$A$5:$A$506,0)),att_offset,MATCH(G881,Attendance!$B$3:$AY$3,0),attendees,COUNTIF(INDEX(Attendance!$B$7:$AY$206,0,att_offset),"1"),IF(ev_split="Equal Split",ev_cost/MAX(1,COUNTA(Roster!$A$5:$A$204)),ev_cost/MAX(1,attendees))),"N/A"))</f>
        <v/>
      </c>
    </row>
    <row r="882" ht="19.5" customHeight="1">
      <c r="A882" s="46"/>
      <c r="B882" s="49"/>
      <c r="C882" s="49"/>
      <c r="D882" s="49"/>
      <c r="E882" s="49"/>
      <c r="F882" s="54"/>
      <c r="G882" s="49"/>
      <c r="H882" s="49"/>
      <c r="I882" s="49"/>
      <c r="J882" s="44" t="str">
        <f t="array" ref="J882">IF(G882="","",IFERROR(LET(ev_cost,INDEX(Events!$G$5:$G$506,MATCH(G882,Events!$A$5:$A$506,0)),ev_split,INDEX(Events!$I$5:$I$506,MATCH(G882,Events!$A$5:$A$506,0)),att_offset,MATCH(G882,Attendance!$B$3:$AY$3,0),attendees,COUNTIF(INDEX(Attendance!$B$7:$AY$206,0,att_offset),"1"),IF(ev_split="Equal Split",ev_cost/MAX(1,COUNTA(Roster!$A$5:$A$204)),ev_cost/MAX(1,attendees))),"N/A"))</f>
        <v/>
      </c>
    </row>
    <row r="883" ht="19.5" customHeight="1">
      <c r="A883" s="50"/>
      <c r="B883" s="53"/>
      <c r="C883" s="53"/>
      <c r="D883" s="53"/>
      <c r="E883" s="53"/>
      <c r="F883" s="55"/>
      <c r="G883" s="53"/>
      <c r="H883" s="53"/>
      <c r="I883" s="53"/>
      <c r="J883" s="44" t="str">
        <f t="array" ref="J883">IF(G883="","",IFERROR(LET(ev_cost,INDEX(Events!$G$5:$G$506,MATCH(G883,Events!$A$5:$A$506,0)),ev_split,INDEX(Events!$I$5:$I$506,MATCH(G883,Events!$A$5:$A$506,0)),att_offset,MATCH(G883,Attendance!$B$3:$AY$3,0),attendees,COUNTIF(INDEX(Attendance!$B$7:$AY$206,0,att_offset),"1"),IF(ev_split="Equal Split",ev_cost/MAX(1,COUNTA(Roster!$A$5:$A$204)),ev_cost/MAX(1,attendees))),"N/A"))</f>
        <v/>
      </c>
    </row>
    <row r="884" ht="19.5" customHeight="1">
      <c r="A884" s="46"/>
      <c r="B884" s="49"/>
      <c r="C884" s="49"/>
      <c r="D884" s="49"/>
      <c r="E884" s="49"/>
      <c r="F884" s="54"/>
      <c r="G884" s="49"/>
      <c r="H884" s="49"/>
      <c r="I884" s="49"/>
      <c r="J884" s="44" t="str">
        <f t="array" ref="J884">IF(G884="","",IFERROR(LET(ev_cost,INDEX(Events!$G$5:$G$506,MATCH(G884,Events!$A$5:$A$506,0)),ev_split,INDEX(Events!$I$5:$I$506,MATCH(G884,Events!$A$5:$A$506,0)),att_offset,MATCH(G884,Attendance!$B$3:$AY$3,0),attendees,COUNTIF(INDEX(Attendance!$B$7:$AY$206,0,att_offset),"1"),IF(ev_split="Equal Split",ev_cost/MAX(1,COUNTA(Roster!$A$5:$A$204)),ev_cost/MAX(1,attendees))),"N/A"))</f>
        <v/>
      </c>
    </row>
    <row r="885" ht="19.5" customHeight="1">
      <c r="A885" s="50"/>
      <c r="B885" s="53"/>
      <c r="C885" s="53"/>
      <c r="D885" s="53"/>
      <c r="E885" s="53"/>
      <c r="F885" s="55"/>
      <c r="G885" s="53"/>
      <c r="H885" s="53"/>
      <c r="I885" s="53"/>
      <c r="J885" s="44" t="str">
        <f t="array" ref="J885">IF(G885="","",IFERROR(LET(ev_cost,INDEX(Events!$G$5:$G$506,MATCH(G885,Events!$A$5:$A$506,0)),ev_split,INDEX(Events!$I$5:$I$506,MATCH(G885,Events!$A$5:$A$506,0)),att_offset,MATCH(G885,Attendance!$B$3:$AY$3,0),attendees,COUNTIF(INDEX(Attendance!$B$7:$AY$206,0,att_offset),"1"),IF(ev_split="Equal Split",ev_cost/MAX(1,COUNTA(Roster!$A$5:$A$204)),ev_cost/MAX(1,attendees))),"N/A"))</f>
        <v/>
      </c>
    </row>
    <row r="886" ht="19.5" customHeight="1">
      <c r="A886" s="46"/>
      <c r="B886" s="49"/>
      <c r="C886" s="49"/>
      <c r="D886" s="49"/>
      <c r="E886" s="49"/>
      <c r="F886" s="54"/>
      <c r="G886" s="49"/>
      <c r="H886" s="49"/>
      <c r="I886" s="49"/>
      <c r="J886" s="44" t="str">
        <f t="array" ref="J886">IF(G886="","",IFERROR(LET(ev_cost,INDEX(Events!$G$5:$G$506,MATCH(G886,Events!$A$5:$A$506,0)),ev_split,INDEX(Events!$I$5:$I$506,MATCH(G886,Events!$A$5:$A$506,0)),att_offset,MATCH(G886,Attendance!$B$3:$AY$3,0),attendees,COUNTIF(INDEX(Attendance!$B$7:$AY$206,0,att_offset),"1"),IF(ev_split="Equal Split",ev_cost/MAX(1,COUNTA(Roster!$A$5:$A$204)),ev_cost/MAX(1,attendees))),"N/A"))</f>
        <v/>
      </c>
    </row>
    <row r="887" ht="19.5" customHeight="1">
      <c r="A887" s="50"/>
      <c r="B887" s="53"/>
      <c r="C887" s="53"/>
      <c r="D887" s="53"/>
      <c r="E887" s="53"/>
      <c r="F887" s="55"/>
      <c r="G887" s="53"/>
      <c r="H887" s="53"/>
      <c r="I887" s="53"/>
      <c r="J887" s="44" t="str">
        <f t="array" ref="J887">IF(G887="","",IFERROR(LET(ev_cost,INDEX(Events!$G$5:$G$506,MATCH(G887,Events!$A$5:$A$506,0)),ev_split,INDEX(Events!$I$5:$I$506,MATCH(G887,Events!$A$5:$A$506,0)),att_offset,MATCH(G887,Attendance!$B$3:$AY$3,0),attendees,COUNTIF(INDEX(Attendance!$B$7:$AY$206,0,att_offset),"1"),IF(ev_split="Equal Split",ev_cost/MAX(1,COUNTA(Roster!$A$5:$A$204)),ev_cost/MAX(1,attendees))),"N/A"))</f>
        <v/>
      </c>
    </row>
    <row r="888" ht="19.5" customHeight="1">
      <c r="A888" s="46"/>
      <c r="B888" s="49"/>
      <c r="C888" s="49"/>
      <c r="D888" s="49"/>
      <c r="E888" s="49"/>
      <c r="F888" s="54"/>
      <c r="G888" s="49"/>
      <c r="H888" s="49"/>
      <c r="I888" s="49"/>
      <c r="J888" s="44" t="str">
        <f t="array" ref="J888">IF(G888="","",IFERROR(LET(ev_cost,INDEX(Events!$G$5:$G$506,MATCH(G888,Events!$A$5:$A$506,0)),ev_split,INDEX(Events!$I$5:$I$506,MATCH(G888,Events!$A$5:$A$506,0)),att_offset,MATCH(G888,Attendance!$B$3:$AY$3,0),attendees,COUNTIF(INDEX(Attendance!$B$7:$AY$206,0,att_offset),"1"),IF(ev_split="Equal Split",ev_cost/MAX(1,COUNTA(Roster!$A$5:$A$204)),ev_cost/MAX(1,attendees))),"N/A"))</f>
        <v/>
      </c>
    </row>
    <row r="889" ht="19.5" customHeight="1">
      <c r="A889" s="50"/>
      <c r="B889" s="53"/>
      <c r="C889" s="53"/>
      <c r="D889" s="53"/>
      <c r="E889" s="53"/>
      <c r="F889" s="55"/>
      <c r="G889" s="53"/>
      <c r="H889" s="53"/>
      <c r="I889" s="53"/>
      <c r="J889" s="44" t="str">
        <f t="array" ref="J889">IF(G889="","",IFERROR(LET(ev_cost,INDEX(Events!$G$5:$G$506,MATCH(G889,Events!$A$5:$A$506,0)),ev_split,INDEX(Events!$I$5:$I$506,MATCH(G889,Events!$A$5:$A$506,0)),att_offset,MATCH(G889,Attendance!$B$3:$AY$3,0),attendees,COUNTIF(INDEX(Attendance!$B$7:$AY$206,0,att_offset),"1"),IF(ev_split="Equal Split",ev_cost/MAX(1,COUNTA(Roster!$A$5:$A$204)),ev_cost/MAX(1,attendees))),"N/A"))</f>
        <v/>
      </c>
    </row>
    <row r="890" ht="19.5" customHeight="1">
      <c r="A890" s="46"/>
      <c r="B890" s="49"/>
      <c r="C890" s="49"/>
      <c r="D890" s="49"/>
      <c r="E890" s="49"/>
      <c r="F890" s="54"/>
      <c r="G890" s="49"/>
      <c r="H890" s="49"/>
      <c r="I890" s="49"/>
      <c r="J890" s="44" t="str">
        <f t="array" ref="J890">IF(G890="","",IFERROR(LET(ev_cost,INDEX(Events!$G$5:$G$506,MATCH(G890,Events!$A$5:$A$506,0)),ev_split,INDEX(Events!$I$5:$I$506,MATCH(G890,Events!$A$5:$A$506,0)),att_offset,MATCH(G890,Attendance!$B$3:$AY$3,0),attendees,COUNTIF(INDEX(Attendance!$B$7:$AY$206,0,att_offset),"1"),IF(ev_split="Equal Split",ev_cost/MAX(1,COUNTA(Roster!$A$5:$A$204)),ev_cost/MAX(1,attendees))),"N/A"))</f>
        <v/>
      </c>
    </row>
    <row r="891" ht="19.5" customHeight="1">
      <c r="A891" s="50"/>
      <c r="B891" s="53"/>
      <c r="C891" s="53"/>
      <c r="D891" s="53"/>
      <c r="E891" s="53"/>
      <c r="F891" s="55"/>
      <c r="G891" s="53"/>
      <c r="H891" s="53"/>
      <c r="I891" s="53"/>
      <c r="J891" s="44" t="str">
        <f t="array" ref="J891">IF(G891="","",IFERROR(LET(ev_cost,INDEX(Events!$G$5:$G$506,MATCH(G891,Events!$A$5:$A$506,0)),ev_split,INDEX(Events!$I$5:$I$506,MATCH(G891,Events!$A$5:$A$506,0)),att_offset,MATCH(G891,Attendance!$B$3:$AY$3,0),attendees,COUNTIF(INDEX(Attendance!$B$7:$AY$206,0,att_offset),"1"),IF(ev_split="Equal Split",ev_cost/MAX(1,COUNTA(Roster!$A$5:$A$204)),ev_cost/MAX(1,attendees))),"N/A"))</f>
        <v/>
      </c>
    </row>
    <row r="892" ht="19.5" customHeight="1">
      <c r="A892" s="46"/>
      <c r="B892" s="49"/>
      <c r="C892" s="49"/>
      <c r="D892" s="49"/>
      <c r="E892" s="49"/>
      <c r="F892" s="54"/>
      <c r="G892" s="49"/>
      <c r="H892" s="49"/>
      <c r="I892" s="49"/>
      <c r="J892" s="44" t="str">
        <f t="array" ref="J892">IF(G892="","",IFERROR(LET(ev_cost,INDEX(Events!$G$5:$G$506,MATCH(G892,Events!$A$5:$A$506,0)),ev_split,INDEX(Events!$I$5:$I$506,MATCH(G892,Events!$A$5:$A$506,0)),att_offset,MATCH(G892,Attendance!$B$3:$AY$3,0),attendees,COUNTIF(INDEX(Attendance!$B$7:$AY$206,0,att_offset),"1"),IF(ev_split="Equal Split",ev_cost/MAX(1,COUNTA(Roster!$A$5:$A$204)),ev_cost/MAX(1,attendees))),"N/A"))</f>
        <v/>
      </c>
    </row>
    <row r="893" ht="19.5" customHeight="1">
      <c r="A893" s="50"/>
      <c r="B893" s="53"/>
      <c r="C893" s="53"/>
      <c r="D893" s="53"/>
      <c r="E893" s="53"/>
      <c r="F893" s="55"/>
      <c r="G893" s="53"/>
      <c r="H893" s="53"/>
      <c r="I893" s="53"/>
      <c r="J893" s="44" t="str">
        <f t="array" ref="J893">IF(G893="","",IFERROR(LET(ev_cost,INDEX(Events!$G$5:$G$506,MATCH(G893,Events!$A$5:$A$506,0)),ev_split,INDEX(Events!$I$5:$I$506,MATCH(G893,Events!$A$5:$A$506,0)),att_offset,MATCH(G893,Attendance!$B$3:$AY$3,0),attendees,COUNTIF(INDEX(Attendance!$B$7:$AY$206,0,att_offset),"1"),IF(ev_split="Equal Split",ev_cost/MAX(1,COUNTA(Roster!$A$5:$A$204)),ev_cost/MAX(1,attendees))),"N/A"))</f>
        <v/>
      </c>
    </row>
    <row r="894" ht="19.5" customHeight="1">
      <c r="A894" s="46"/>
      <c r="B894" s="49"/>
      <c r="C894" s="49"/>
      <c r="D894" s="49"/>
      <c r="E894" s="49"/>
      <c r="F894" s="54"/>
      <c r="G894" s="49"/>
      <c r="H894" s="49"/>
      <c r="I894" s="49"/>
      <c r="J894" s="44" t="str">
        <f t="array" ref="J894">IF(G894="","",IFERROR(LET(ev_cost,INDEX(Events!$G$5:$G$506,MATCH(G894,Events!$A$5:$A$506,0)),ev_split,INDEX(Events!$I$5:$I$506,MATCH(G894,Events!$A$5:$A$506,0)),att_offset,MATCH(G894,Attendance!$B$3:$AY$3,0),attendees,COUNTIF(INDEX(Attendance!$B$7:$AY$206,0,att_offset),"1"),IF(ev_split="Equal Split",ev_cost/MAX(1,COUNTA(Roster!$A$5:$A$204)),ev_cost/MAX(1,attendees))),"N/A"))</f>
        <v/>
      </c>
    </row>
    <row r="895" ht="19.5" customHeight="1">
      <c r="A895" s="50"/>
      <c r="B895" s="53"/>
      <c r="C895" s="53"/>
      <c r="D895" s="53"/>
      <c r="E895" s="53"/>
      <c r="F895" s="55"/>
      <c r="G895" s="53"/>
      <c r="H895" s="53"/>
      <c r="I895" s="53"/>
      <c r="J895" s="44" t="str">
        <f t="array" ref="J895">IF(G895="","",IFERROR(LET(ev_cost,INDEX(Events!$G$5:$G$506,MATCH(G895,Events!$A$5:$A$506,0)),ev_split,INDEX(Events!$I$5:$I$506,MATCH(G895,Events!$A$5:$A$506,0)),att_offset,MATCH(G895,Attendance!$B$3:$AY$3,0),attendees,COUNTIF(INDEX(Attendance!$B$7:$AY$206,0,att_offset),"1"),IF(ev_split="Equal Split",ev_cost/MAX(1,COUNTA(Roster!$A$5:$A$204)),ev_cost/MAX(1,attendees))),"N/A"))</f>
        <v/>
      </c>
    </row>
    <row r="896" ht="19.5" customHeight="1">
      <c r="A896" s="46"/>
      <c r="B896" s="49"/>
      <c r="C896" s="49"/>
      <c r="D896" s="49"/>
      <c r="E896" s="49"/>
      <c r="F896" s="54"/>
      <c r="G896" s="49"/>
      <c r="H896" s="49"/>
      <c r="I896" s="49"/>
      <c r="J896" s="44" t="str">
        <f t="array" ref="J896">IF(G896="","",IFERROR(LET(ev_cost,INDEX(Events!$G$5:$G$506,MATCH(G896,Events!$A$5:$A$506,0)),ev_split,INDEX(Events!$I$5:$I$506,MATCH(G896,Events!$A$5:$A$506,0)),att_offset,MATCH(G896,Attendance!$B$3:$AY$3,0),attendees,COUNTIF(INDEX(Attendance!$B$7:$AY$206,0,att_offset),"1"),IF(ev_split="Equal Split",ev_cost/MAX(1,COUNTA(Roster!$A$5:$A$204)),ev_cost/MAX(1,attendees))),"N/A"))</f>
        <v/>
      </c>
    </row>
    <row r="897" ht="19.5" customHeight="1">
      <c r="A897" s="50"/>
      <c r="B897" s="53"/>
      <c r="C897" s="53"/>
      <c r="D897" s="53"/>
      <c r="E897" s="53"/>
      <c r="F897" s="55"/>
      <c r="G897" s="53"/>
      <c r="H897" s="53"/>
      <c r="I897" s="53"/>
      <c r="J897" s="44" t="str">
        <f t="array" ref="J897">IF(G897="","",IFERROR(LET(ev_cost,INDEX(Events!$G$5:$G$506,MATCH(G897,Events!$A$5:$A$506,0)),ev_split,INDEX(Events!$I$5:$I$506,MATCH(G897,Events!$A$5:$A$506,0)),att_offset,MATCH(G897,Attendance!$B$3:$AY$3,0),attendees,COUNTIF(INDEX(Attendance!$B$7:$AY$206,0,att_offset),"1"),IF(ev_split="Equal Split",ev_cost/MAX(1,COUNTA(Roster!$A$5:$A$204)),ev_cost/MAX(1,attendees))),"N/A"))</f>
        <v/>
      </c>
    </row>
    <row r="898" ht="19.5" customHeight="1">
      <c r="A898" s="46"/>
      <c r="B898" s="49"/>
      <c r="C898" s="49"/>
      <c r="D898" s="49"/>
      <c r="E898" s="49"/>
      <c r="F898" s="54"/>
      <c r="G898" s="49"/>
      <c r="H898" s="49"/>
      <c r="I898" s="49"/>
      <c r="J898" s="44" t="str">
        <f t="array" ref="J898">IF(G898="","",IFERROR(LET(ev_cost,INDEX(Events!$G$5:$G$506,MATCH(G898,Events!$A$5:$A$506,0)),ev_split,INDEX(Events!$I$5:$I$506,MATCH(G898,Events!$A$5:$A$506,0)),att_offset,MATCH(G898,Attendance!$B$3:$AY$3,0),attendees,COUNTIF(INDEX(Attendance!$B$7:$AY$206,0,att_offset),"1"),IF(ev_split="Equal Split",ev_cost/MAX(1,COUNTA(Roster!$A$5:$A$204)),ev_cost/MAX(1,attendees))),"N/A"))</f>
        <v/>
      </c>
    </row>
    <row r="899" ht="19.5" customHeight="1">
      <c r="A899" s="50"/>
      <c r="B899" s="53"/>
      <c r="C899" s="53"/>
      <c r="D899" s="53"/>
      <c r="E899" s="53"/>
      <c r="F899" s="55"/>
      <c r="G899" s="53"/>
      <c r="H899" s="53"/>
      <c r="I899" s="53"/>
      <c r="J899" s="44" t="str">
        <f t="array" ref="J899">IF(G899="","",IFERROR(LET(ev_cost,INDEX(Events!$G$5:$G$506,MATCH(G899,Events!$A$5:$A$506,0)),ev_split,INDEX(Events!$I$5:$I$506,MATCH(G899,Events!$A$5:$A$506,0)),att_offset,MATCH(G899,Attendance!$B$3:$AY$3,0),attendees,COUNTIF(INDEX(Attendance!$B$7:$AY$206,0,att_offset),"1"),IF(ev_split="Equal Split",ev_cost/MAX(1,COUNTA(Roster!$A$5:$A$204)),ev_cost/MAX(1,attendees))),"N/A"))</f>
        <v/>
      </c>
    </row>
    <row r="900" ht="19.5" customHeight="1">
      <c r="A900" s="46"/>
      <c r="B900" s="49"/>
      <c r="C900" s="49"/>
      <c r="D900" s="49"/>
      <c r="E900" s="49"/>
      <c r="F900" s="54"/>
      <c r="G900" s="49"/>
      <c r="H900" s="49"/>
      <c r="I900" s="49"/>
      <c r="J900" s="44" t="str">
        <f t="array" ref="J900">IF(G900="","",IFERROR(LET(ev_cost,INDEX(Events!$G$5:$G$506,MATCH(G900,Events!$A$5:$A$506,0)),ev_split,INDEX(Events!$I$5:$I$506,MATCH(G900,Events!$A$5:$A$506,0)),att_offset,MATCH(G900,Attendance!$B$3:$AY$3,0),attendees,COUNTIF(INDEX(Attendance!$B$7:$AY$206,0,att_offset),"1"),IF(ev_split="Equal Split",ev_cost/MAX(1,COUNTA(Roster!$A$5:$A$204)),ev_cost/MAX(1,attendees))),"N/A"))</f>
        <v/>
      </c>
    </row>
    <row r="901" ht="19.5" customHeight="1">
      <c r="A901" s="50"/>
      <c r="B901" s="53"/>
      <c r="C901" s="53"/>
      <c r="D901" s="53"/>
      <c r="E901" s="53"/>
      <c r="F901" s="55"/>
      <c r="G901" s="53"/>
      <c r="H901" s="53"/>
      <c r="I901" s="53"/>
      <c r="J901" s="44" t="str">
        <f t="array" ref="J901">IF(G901="","",IFERROR(LET(ev_cost,INDEX(Events!$G$5:$G$506,MATCH(G901,Events!$A$5:$A$506,0)),ev_split,INDEX(Events!$I$5:$I$506,MATCH(G901,Events!$A$5:$A$506,0)),att_offset,MATCH(G901,Attendance!$B$3:$AY$3,0),attendees,COUNTIF(INDEX(Attendance!$B$7:$AY$206,0,att_offset),"1"),IF(ev_split="Equal Split",ev_cost/MAX(1,COUNTA(Roster!$A$5:$A$204)),ev_cost/MAX(1,attendees))),"N/A"))</f>
        <v/>
      </c>
    </row>
    <row r="902" ht="19.5" customHeight="1">
      <c r="A902" s="46"/>
      <c r="B902" s="49"/>
      <c r="C902" s="49"/>
      <c r="D902" s="49"/>
      <c r="E902" s="49"/>
      <c r="F902" s="54"/>
      <c r="G902" s="49"/>
      <c r="H902" s="49"/>
      <c r="I902" s="49"/>
      <c r="J902" s="44" t="str">
        <f t="array" ref="J902">IF(G902="","",IFERROR(LET(ev_cost,INDEX(Events!$G$5:$G$506,MATCH(G902,Events!$A$5:$A$506,0)),ev_split,INDEX(Events!$I$5:$I$506,MATCH(G902,Events!$A$5:$A$506,0)),att_offset,MATCH(G902,Attendance!$B$3:$AY$3,0),attendees,COUNTIF(INDEX(Attendance!$B$7:$AY$206,0,att_offset),"1"),IF(ev_split="Equal Split",ev_cost/MAX(1,COUNTA(Roster!$A$5:$A$204)),ev_cost/MAX(1,attendees))),"N/A"))</f>
        <v/>
      </c>
    </row>
    <row r="903" ht="19.5" customHeight="1">
      <c r="A903" s="50"/>
      <c r="B903" s="53"/>
      <c r="C903" s="53"/>
      <c r="D903" s="53"/>
      <c r="E903" s="53"/>
      <c r="F903" s="55"/>
      <c r="G903" s="53"/>
      <c r="H903" s="53"/>
      <c r="I903" s="53"/>
      <c r="J903" s="44" t="str">
        <f t="array" ref="J903">IF(G903="","",IFERROR(LET(ev_cost,INDEX(Events!$G$5:$G$506,MATCH(G903,Events!$A$5:$A$506,0)),ev_split,INDEX(Events!$I$5:$I$506,MATCH(G903,Events!$A$5:$A$506,0)),att_offset,MATCH(G903,Attendance!$B$3:$AY$3,0),attendees,COUNTIF(INDEX(Attendance!$B$7:$AY$206,0,att_offset),"1"),IF(ev_split="Equal Split",ev_cost/MAX(1,COUNTA(Roster!$A$5:$A$204)),ev_cost/MAX(1,attendees))),"N/A"))</f>
        <v/>
      </c>
    </row>
    <row r="904" ht="19.5" customHeight="1">
      <c r="A904" s="46"/>
      <c r="B904" s="49"/>
      <c r="C904" s="49"/>
      <c r="D904" s="49"/>
      <c r="E904" s="49"/>
      <c r="F904" s="54"/>
      <c r="G904" s="49"/>
      <c r="H904" s="49"/>
      <c r="I904" s="49"/>
      <c r="J904" s="44" t="str">
        <f t="array" ref="J904">IF(G904="","",IFERROR(LET(ev_cost,INDEX(Events!$G$5:$G$506,MATCH(G904,Events!$A$5:$A$506,0)),ev_split,INDEX(Events!$I$5:$I$506,MATCH(G904,Events!$A$5:$A$506,0)),att_offset,MATCH(G904,Attendance!$B$3:$AY$3,0),attendees,COUNTIF(INDEX(Attendance!$B$7:$AY$206,0,att_offset),"1"),IF(ev_split="Equal Split",ev_cost/MAX(1,COUNTA(Roster!$A$5:$A$204)),ev_cost/MAX(1,attendees))),"N/A"))</f>
        <v/>
      </c>
    </row>
    <row r="905" ht="19.5" customHeight="1">
      <c r="A905" s="50"/>
      <c r="B905" s="53"/>
      <c r="C905" s="53"/>
      <c r="D905" s="53"/>
      <c r="E905" s="53"/>
      <c r="F905" s="55"/>
      <c r="G905" s="53"/>
      <c r="H905" s="53"/>
      <c r="I905" s="53"/>
      <c r="J905" s="44" t="str">
        <f t="array" ref="J905">IF(G905="","",IFERROR(LET(ev_cost,INDEX(Events!$G$5:$G$506,MATCH(G905,Events!$A$5:$A$506,0)),ev_split,INDEX(Events!$I$5:$I$506,MATCH(G905,Events!$A$5:$A$506,0)),att_offset,MATCH(G905,Attendance!$B$3:$AY$3,0),attendees,COUNTIF(INDEX(Attendance!$B$7:$AY$206,0,att_offset),"1"),IF(ev_split="Equal Split",ev_cost/MAX(1,COUNTA(Roster!$A$5:$A$204)),ev_cost/MAX(1,attendees))),"N/A"))</f>
        <v/>
      </c>
    </row>
    <row r="906" ht="19.5" customHeight="1">
      <c r="A906" s="46"/>
      <c r="B906" s="49"/>
      <c r="C906" s="49"/>
      <c r="D906" s="49"/>
      <c r="E906" s="49"/>
      <c r="F906" s="54"/>
      <c r="G906" s="49"/>
      <c r="H906" s="49"/>
      <c r="I906" s="49"/>
      <c r="J906" s="44" t="str">
        <f t="array" ref="J906">IF(G906="","",IFERROR(LET(ev_cost,INDEX(Events!$G$5:$G$506,MATCH(G906,Events!$A$5:$A$506,0)),ev_split,INDEX(Events!$I$5:$I$506,MATCH(G906,Events!$A$5:$A$506,0)),att_offset,MATCH(G906,Attendance!$B$3:$AY$3,0),attendees,COUNTIF(INDEX(Attendance!$B$7:$AY$206,0,att_offset),"1"),IF(ev_split="Equal Split",ev_cost/MAX(1,COUNTA(Roster!$A$5:$A$204)),ev_cost/MAX(1,attendees))),"N/A"))</f>
        <v/>
      </c>
    </row>
    <row r="907" ht="19.5" customHeight="1">
      <c r="A907" s="50"/>
      <c r="B907" s="53"/>
      <c r="C907" s="53"/>
      <c r="D907" s="53"/>
      <c r="E907" s="53"/>
      <c r="F907" s="55"/>
      <c r="G907" s="53"/>
      <c r="H907" s="53"/>
      <c r="I907" s="53"/>
      <c r="J907" s="44" t="str">
        <f t="array" ref="J907">IF(G907="","",IFERROR(LET(ev_cost,INDEX(Events!$G$5:$G$506,MATCH(G907,Events!$A$5:$A$506,0)),ev_split,INDEX(Events!$I$5:$I$506,MATCH(G907,Events!$A$5:$A$506,0)),att_offset,MATCH(G907,Attendance!$B$3:$AY$3,0),attendees,COUNTIF(INDEX(Attendance!$B$7:$AY$206,0,att_offset),"1"),IF(ev_split="Equal Split",ev_cost/MAX(1,COUNTA(Roster!$A$5:$A$204)),ev_cost/MAX(1,attendees))),"N/A"))</f>
        <v/>
      </c>
    </row>
    <row r="908" ht="19.5" customHeight="1">
      <c r="A908" s="46"/>
      <c r="B908" s="49"/>
      <c r="C908" s="49"/>
      <c r="D908" s="49"/>
      <c r="E908" s="49"/>
      <c r="F908" s="54"/>
      <c r="G908" s="49"/>
      <c r="H908" s="49"/>
      <c r="I908" s="49"/>
      <c r="J908" s="44" t="str">
        <f t="array" ref="J908">IF(G908="","",IFERROR(LET(ev_cost,INDEX(Events!$G$5:$G$506,MATCH(G908,Events!$A$5:$A$506,0)),ev_split,INDEX(Events!$I$5:$I$506,MATCH(G908,Events!$A$5:$A$506,0)),att_offset,MATCH(G908,Attendance!$B$3:$AY$3,0),attendees,COUNTIF(INDEX(Attendance!$B$7:$AY$206,0,att_offset),"1"),IF(ev_split="Equal Split",ev_cost/MAX(1,COUNTA(Roster!$A$5:$A$204)),ev_cost/MAX(1,attendees))),"N/A"))</f>
        <v/>
      </c>
    </row>
    <row r="909" ht="19.5" customHeight="1">
      <c r="A909" s="50"/>
      <c r="B909" s="53"/>
      <c r="C909" s="53"/>
      <c r="D909" s="53"/>
      <c r="E909" s="53"/>
      <c r="F909" s="55"/>
      <c r="G909" s="53"/>
      <c r="H909" s="53"/>
      <c r="I909" s="53"/>
      <c r="J909" s="44" t="str">
        <f t="array" ref="J909">IF(G909="","",IFERROR(LET(ev_cost,INDEX(Events!$G$5:$G$506,MATCH(G909,Events!$A$5:$A$506,0)),ev_split,INDEX(Events!$I$5:$I$506,MATCH(G909,Events!$A$5:$A$506,0)),att_offset,MATCH(G909,Attendance!$B$3:$AY$3,0),attendees,COUNTIF(INDEX(Attendance!$B$7:$AY$206,0,att_offset),"1"),IF(ev_split="Equal Split",ev_cost/MAX(1,COUNTA(Roster!$A$5:$A$204)),ev_cost/MAX(1,attendees))),"N/A"))</f>
        <v/>
      </c>
    </row>
    <row r="910" ht="19.5" customHeight="1">
      <c r="A910" s="46"/>
      <c r="B910" s="49"/>
      <c r="C910" s="49"/>
      <c r="D910" s="49"/>
      <c r="E910" s="49"/>
      <c r="F910" s="54"/>
      <c r="G910" s="49"/>
      <c r="H910" s="49"/>
      <c r="I910" s="49"/>
      <c r="J910" s="44" t="str">
        <f t="array" ref="J910">IF(G910="","",IFERROR(LET(ev_cost,INDEX(Events!$G$5:$G$506,MATCH(G910,Events!$A$5:$A$506,0)),ev_split,INDEX(Events!$I$5:$I$506,MATCH(G910,Events!$A$5:$A$506,0)),att_offset,MATCH(G910,Attendance!$B$3:$AY$3,0),attendees,COUNTIF(INDEX(Attendance!$B$7:$AY$206,0,att_offset),"1"),IF(ev_split="Equal Split",ev_cost/MAX(1,COUNTA(Roster!$A$5:$A$204)),ev_cost/MAX(1,attendees))),"N/A"))</f>
        <v/>
      </c>
    </row>
    <row r="911" ht="19.5" customHeight="1">
      <c r="A911" s="50"/>
      <c r="B911" s="53"/>
      <c r="C911" s="53"/>
      <c r="D911" s="53"/>
      <c r="E911" s="53"/>
      <c r="F911" s="55"/>
      <c r="G911" s="53"/>
      <c r="H911" s="53"/>
      <c r="I911" s="53"/>
      <c r="J911" s="44" t="str">
        <f t="array" ref="J911">IF(G911="","",IFERROR(LET(ev_cost,INDEX(Events!$G$5:$G$506,MATCH(G911,Events!$A$5:$A$506,0)),ev_split,INDEX(Events!$I$5:$I$506,MATCH(G911,Events!$A$5:$A$506,0)),att_offset,MATCH(G911,Attendance!$B$3:$AY$3,0),attendees,COUNTIF(INDEX(Attendance!$B$7:$AY$206,0,att_offset),"1"),IF(ev_split="Equal Split",ev_cost/MAX(1,COUNTA(Roster!$A$5:$A$204)),ev_cost/MAX(1,attendees))),"N/A"))</f>
        <v/>
      </c>
    </row>
    <row r="912" ht="19.5" customHeight="1">
      <c r="A912" s="46"/>
      <c r="B912" s="49"/>
      <c r="C912" s="49"/>
      <c r="D912" s="49"/>
      <c r="E912" s="49"/>
      <c r="F912" s="54"/>
      <c r="G912" s="49"/>
      <c r="H912" s="49"/>
      <c r="I912" s="49"/>
      <c r="J912" s="44" t="str">
        <f t="array" ref="J912">IF(G912="","",IFERROR(LET(ev_cost,INDEX(Events!$G$5:$G$506,MATCH(G912,Events!$A$5:$A$506,0)),ev_split,INDEX(Events!$I$5:$I$506,MATCH(G912,Events!$A$5:$A$506,0)),att_offset,MATCH(G912,Attendance!$B$3:$AY$3,0),attendees,COUNTIF(INDEX(Attendance!$B$7:$AY$206,0,att_offset),"1"),IF(ev_split="Equal Split",ev_cost/MAX(1,COUNTA(Roster!$A$5:$A$204)),ev_cost/MAX(1,attendees))),"N/A"))</f>
        <v/>
      </c>
    </row>
    <row r="913" ht="19.5" customHeight="1">
      <c r="A913" s="50"/>
      <c r="B913" s="53"/>
      <c r="C913" s="53"/>
      <c r="D913" s="53"/>
      <c r="E913" s="53"/>
      <c r="F913" s="55"/>
      <c r="G913" s="53"/>
      <c r="H913" s="53"/>
      <c r="I913" s="53"/>
      <c r="J913" s="44" t="str">
        <f t="array" ref="J913">IF(G913="","",IFERROR(LET(ev_cost,INDEX(Events!$G$5:$G$506,MATCH(G913,Events!$A$5:$A$506,0)),ev_split,INDEX(Events!$I$5:$I$506,MATCH(G913,Events!$A$5:$A$506,0)),att_offset,MATCH(G913,Attendance!$B$3:$AY$3,0),attendees,COUNTIF(INDEX(Attendance!$B$7:$AY$206,0,att_offset),"1"),IF(ev_split="Equal Split",ev_cost/MAX(1,COUNTA(Roster!$A$5:$A$204)),ev_cost/MAX(1,attendees))),"N/A"))</f>
        <v/>
      </c>
    </row>
    <row r="914" ht="19.5" customHeight="1">
      <c r="A914" s="46"/>
      <c r="B914" s="49"/>
      <c r="C914" s="49"/>
      <c r="D914" s="49"/>
      <c r="E914" s="49"/>
      <c r="F914" s="54"/>
      <c r="G914" s="49"/>
      <c r="H914" s="49"/>
      <c r="I914" s="49"/>
      <c r="J914" s="44" t="str">
        <f t="array" ref="J914">IF(G914="","",IFERROR(LET(ev_cost,INDEX(Events!$G$5:$G$506,MATCH(G914,Events!$A$5:$A$506,0)),ev_split,INDEX(Events!$I$5:$I$506,MATCH(G914,Events!$A$5:$A$506,0)),att_offset,MATCH(G914,Attendance!$B$3:$AY$3,0),attendees,COUNTIF(INDEX(Attendance!$B$7:$AY$206,0,att_offset),"1"),IF(ev_split="Equal Split",ev_cost/MAX(1,COUNTA(Roster!$A$5:$A$204)),ev_cost/MAX(1,attendees))),"N/A"))</f>
        <v/>
      </c>
    </row>
    <row r="915" ht="19.5" customHeight="1">
      <c r="A915" s="50"/>
      <c r="B915" s="53"/>
      <c r="C915" s="53"/>
      <c r="D915" s="53"/>
      <c r="E915" s="53"/>
      <c r="F915" s="55"/>
      <c r="G915" s="53"/>
      <c r="H915" s="53"/>
      <c r="I915" s="53"/>
      <c r="J915" s="44" t="str">
        <f t="array" ref="J915">IF(G915="","",IFERROR(LET(ev_cost,INDEX(Events!$G$5:$G$506,MATCH(G915,Events!$A$5:$A$506,0)),ev_split,INDEX(Events!$I$5:$I$506,MATCH(G915,Events!$A$5:$A$506,0)),att_offset,MATCH(G915,Attendance!$B$3:$AY$3,0),attendees,COUNTIF(INDEX(Attendance!$B$7:$AY$206,0,att_offset),"1"),IF(ev_split="Equal Split",ev_cost/MAX(1,COUNTA(Roster!$A$5:$A$204)),ev_cost/MAX(1,attendees))),"N/A"))</f>
        <v/>
      </c>
    </row>
    <row r="916" ht="19.5" customHeight="1">
      <c r="A916" s="46"/>
      <c r="B916" s="49"/>
      <c r="C916" s="49"/>
      <c r="D916" s="49"/>
      <c r="E916" s="49"/>
      <c r="F916" s="54"/>
      <c r="G916" s="49"/>
      <c r="H916" s="49"/>
      <c r="I916" s="49"/>
      <c r="J916" s="44" t="str">
        <f t="array" ref="J916">IF(G916="","",IFERROR(LET(ev_cost,INDEX(Events!$G$5:$G$506,MATCH(G916,Events!$A$5:$A$506,0)),ev_split,INDEX(Events!$I$5:$I$506,MATCH(G916,Events!$A$5:$A$506,0)),att_offset,MATCH(G916,Attendance!$B$3:$AY$3,0),attendees,COUNTIF(INDEX(Attendance!$B$7:$AY$206,0,att_offset),"1"),IF(ev_split="Equal Split",ev_cost/MAX(1,COUNTA(Roster!$A$5:$A$204)),ev_cost/MAX(1,attendees))),"N/A"))</f>
        <v/>
      </c>
    </row>
    <row r="917" ht="19.5" customHeight="1">
      <c r="A917" s="50"/>
      <c r="B917" s="53"/>
      <c r="C917" s="53"/>
      <c r="D917" s="53"/>
      <c r="E917" s="53"/>
      <c r="F917" s="55"/>
      <c r="G917" s="53"/>
      <c r="H917" s="53"/>
      <c r="I917" s="53"/>
      <c r="J917" s="44" t="str">
        <f t="array" ref="J917">IF(G917="","",IFERROR(LET(ev_cost,INDEX(Events!$G$5:$G$506,MATCH(G917,Events!$A$5:$A$506,0)),ev_split,INDEX(Events!$I$5:$I$506,MATCH(G917,Events!$A$5:$A$506,0)),att_offset,MATCH(G917,Attendance!$B$3:$AY$3,0),attendees,COUNTIF(INDEX(Attendance!$B$7:$AY$206,0,att_offset),"1"),IF(ev_split="Equal Split",ev_cost/MAX(1,COUNTA(Roster!$A$5:$A$204)),ev_cost/MAX(1,attendees))),"N/A"))</f>
        <v/>
      </c>
    </row>
    <row r="918" ht="19.5" customHeight="1">
      <c r="A918" s="46"/>
      <c r="B918" s="49"/>
      <c r="C918" s="49"/>
      <c r="D918" s="49"/>
      <c r="E918" s="49"/>
      <c r="F918" s="54"/>
      <c r="G918" s="49"/>
      <c r="H918" s="49"/>
      <c r="I918" s="49"/>
      <c r="J918" s="44" t="str">
        <f t="array" ref="J918">IF(G918="","",IFERROR(LET(ev_cost,INDEX(Events!$G$5:$G$506,MATCH(G918,Events!$A$5:$A$506,0)),ev_split,INDEX(Events!$I$5:$I$506,MATCH(G918,Events!$A$5:$A$506,0)),att_offset,MATCH(G918,Attendance!$B$3:$AY$3,0),attendees,COUNTIF(INDEX(Attendance!$B$7:$AY$206,0,att_offset),"1"),IF(ev_split="Equal Split",ev_cost/MAX(1,COUNTA(Roster!$A$5:$A$204)),ev_cost/MAX(1,attendees))),"N/A"))</f>
        <v/>
      </c>
    </row>
    <row r="919" ht="19.5" customHeight="1">
      <c r="A919" s="50"/>
      <c r="B919" s="53"/>
      <c r="C919" s="53"/>
      <c r="D919" s="53"/>
      <c r="E919" s="53"/>
      <c r="F919" s="55"/>
      <c r="G919" s="53"/>
      <c r="H919" s="53"/>
      <c r="I919" s="53"/>
      <c r="J919" s="44" t="str">
        <f t="array" ref="J919">IF(G919="","",IFERROR(LET(ev_cost,INDEX(Events!$G$5:$G$506,MATCH(G919,Events!$A$5:$A$506,0)),ev_split,INDEX(Events!$I$5:$I$506,MATCH(G919,Events!$A$5:$A$506,0)),att_offset,MATCH(G919,Attendance!$B$3:$AY$3,0),attendees,COUNTIF(INDEX(Attendance!$B$7:$AY$206,0,att_offset),"1"),IF(ev_split="Equal Split",ev_cost/MAX(1,COUNTA(Roster!$A$5:$A$204)),ev_cost/MAX(1,attendees))),"N/A"))</f>
        <v/>
      </c>
    </row>
    <row r="920" ht="19.5" customHeight="1">
      <c r="A920" s="46"/>
      <c r="B920" s="49"/>
      <c r="C920" s="49"/>
      <c r="D920" s="49"/>
      <c r="E920" s="49"/>
      <c r="F920" s="54"/>
      <c r="G920" s="49"/>
      <c r="H920" s="49"/>
      <c r="I920" s="49"/>
      <c r="J920" s="44" t="str">
        <f t="array" ref="J920">IF(G920="","",IFERROR(LET(ev_cost,INDEX(Events!$G$5:$G$506,MATCH(G920,Events!$A$5:$A$506,0)),ev_split,INDEX(Events!$I$5:$I$506,MATCH(G920,Events!$A$5:$A$506,0)),att_offset,MATCH(G920,Attendance!$B$3:$AY$3,0),attendees,COUNTIF(INDEX(Attendance!$B$7:$AY$206,0,att_offset),"1"),IF(ev_split="Equal Split",ev_cost/MAX(1,COUNTA(Roster!$A$5:$A$204)),ev_cost/MAX(1,attendees))),"N/A"))</f>
        <v/>
      </c>
    </row>
    <row r="921" ht="19.5" customHeight="1">
      <c r="A921" s="50"/>
      <c r="B921" s="53"/>
      <c r="C921" s="53"/>
      <c r="D921" s="53"/>
      <c r="E921" s="53"/>
      <c r="F921" s="55"/>
      <c r="G921" s="53"/>
      <c r="H921" s="53"/>
      <c r="I921" s="53"/>
      <c r="J921" s="44" t="str">
        <f t="array" ref="J921">IF(G921="","",IFERROR(LET(ev_cost,INDEX(Events!$G$5:$G$506,MATCH(G921,Events!$A$5:$A$506,0)),ev_split,INDEX(Events!$I$5:$I$506,MATCH(G921,Events!$A$5:$A$506,0)),att_offset,MATCH(G921,Attendance!$B$3:$AY$3,0),attendees,COUNTIF(INDEX(Attendance!$B$7:$AY$206,0,att_offset),"1"),IF(ev_split="Equal Split",ev_cost/MAX(1,COUNTA(Roster!$A$5:$A$204)),ev_cost/MAX(1,attendees))),"N/A"))</f>
        <v/>
      </c>
    </row>
    <row r="922" ht="19.5" customHeight="1">
      <c r="A922" s="46"/>
      <c r="B922" s="49"/>
      <c r="C922" s="49"/>
      <c r="D922" s="49"/>
      <c r="E922" s="49"/>
      <c r="F922" s="54"/>
      <c r="G922" s="49"/>
      <c r="H922" s="49"/>
      <c r="I922" s="49"/>
      <c r="J922" s="44" t="str">
        <f t="array" ref="J922">IF(G922="","",IFERROR(LET(ev_cost,INDEX(Events!$G$5:$G$506,MATCH(G922,Events!$A$5:$A$506,0)),ev_split,INDEX(Events!$I$5:$I$506,MATCH(G922,Events!$A$5:$A$506,0)),att_offset,MATCH(G922,Attendance!$B$3:$AY$3,0),attendees,COUNTIF(INDEX(Attendance!$B$7:$AY$206,0,att_offset),"1"),IF(ev_split="Equal Split",ev_cost/MAX(1,COUNTA(Roster!$A$5:$A$204)),ev_cost/MAX(1,attendees))),"N/A"))</f>
        <v/>
      </c>
    </row>
    <row r="923" ht="19.5" customHeight="1">
      <c r="A923" s="50"/>
      <c r="B923" s="53"/>
      <c r="C923" s="53"/>
      <c r="D923" s="53"/>
      <c r="E923" s="53"/>
      <c r="F923" s="55"/>
      <c r="G923" s="53"/>
      <c r="H923" s="53"/>
      <c r="I923" s="53"/>
      <c r="J923" s="44" t="str">
        <f t="array" ref="J923">IF(G923="","",IFERROR(LET(ev_cost,INDEX(Events!$G$5:$G$506,MATCH(G923,Events!$A$5:$A$506,0)),ev_split,INDEX(Events!$I$5:$I$506,MATCH(G923,Events!$A$5:$A$506,0)),att_offset,MATCH(G923,Attendance!$B$3:$AY$3,0),attendees,COUNTIF(INDEX(Attendance!$B$7:$AY$206,0,att_offset),"1"),IF(ev_split="Equal Split",ev_cost/MAX(1,COUNTA(Roster!$A$5:$A$204)),ev_cost/MAX(1,attendees))),"N/A"))</f>
        <v/>
      </c>
    </row>
    <row r="924" ht="19.5" customHeight="1">
      <c r="A924" s="46"/>
      <c r="B924" s="49"/>
      <c r="C924" s="49"/>
      <c r="D924" s="49"/>
      <c r="E924" s="49"/>
      <c r="F924" s="54"/>
      <c r="G924" s="49"/>
      <c r="H924" s="49"/>
      <c r="I924" s="49"/>
      <c r="J924" s="44" t="str">
        <f t="array" ref="J924">IF(G924="","",IFERROR(LET(ev_cost,INDEX(Events!$G$5:$G$506,MATCH(G924,Events!$A$5:$A$506,0)),ev_split,INDEX(Events!$I$5:$I$506,MATCH(G924,Events!$A$5:$A$506,0)),att_offset,MATCH(G924,Attendance!$B$3:$AY$3,0),attendees,COUNTIF(INDEX(Attendance!$B$7:$AY$206,0,att_offset),"1"),IF(ev_split="Equal Split",ev_cost/MAX(1,COUNTA(Roster!$A$5:$A$204)),ev_cost/MAX(1,attendees))),"N/A"))</f>
        <v/>
      </c>
    </row>
    <row r="925" ht="19.5" customHeight="1">
      <c r="A925" s="50"/>
      <c r="B925" s="53"/>
      <c r="C925" s="53"/>
      <c r="D925" s="53"/>
      <c r="E925" s="53"/>
      <c r="F925" s="55"/>
      <c r="G925" s="53"/>
      <c r="H925" s="53"/>
      <c r="I925" s="53"/>
      <c r="J925" s="44" t="str">
        <f t="array" ref="J925">IF(G925="","",IFERROR(LET(ev_cost,INDEX(Events!$G$5:$G$506,MATCH(G925,Events!$A$5:$A$506,0)),ev_split,INDEX(Events!$I$5:$I$506,MATCH(G925,Events!$A$5:$A$506,0)),att_offset,MATCH(G925,Attendance!$B$3:$AY$3,0),attendees,COUNTIF(INDEX(Attendance!$B$7:$AY$206,0,att_offset),"1"),IF(ev_split="Equal Split",ev_cost/MAX(1,COUNTA(Roster!$A$5:$A$204)),ev_cost/MAX(1,attendees))),"N/A"))</f>
        <v/>
      </c>
    </row>
    <row r="926" ht="19.5" customHeight="1">
      <c r="A926" s="46"/>
      <c r="B926" s="49"/>
      <c r="C926" s="49"/>
      <c r="D926" s="49"/>
      <c r="E926" s="49"/>
      <c r="F926" s="54"/>
      <c r="G926" s="49"/>
      <c r="H926" s="49"/>
      <c r="I926" s="49"/>
      <c r="J926" s="44" t="str">
        <f t="array" ref="J926">IF(G926="","",IFERROR(LET(ev_cost,INDEX(Events!$G$5:$G$506,MATCH(G926,Events!$A$5:$A$506,0)),ev_split,INDEX(Events!$I$5:$I$506,MATCH(G926,Events!$A$5:$A$506,0)),att_offset,MATCH(G926,Attendance!$B$3:$AY$3,0),attendees,COUNTIF(INDEX(Attendance!$B$7:$AY$206,0,att_offset),"1"),IF(ev_split="Equal Split",ev_cost/MAX(1,COUNTA(Roster!$A$5:$A$204)),ev_cost/MAX(1,attendees))),"N/A"))</f>
        <v/>
      </c>
    </row>
    <row r="927" ht="19.5" customHeight="1">
      <c r="A927" s="50"/>
      <c r="B927" s="53"/>
      <c r="C927" s="53"/>
      <c r="D927" s="53"/>
      <c r="E927" s="53"/>
      <c r="F927" s="55"/>
      <c r="G927" s="53"/>
      <c r="H927" s="53"/>
      <c r="I927" s="53"/>
      <c r="J927" s="44" t="str">
        <f t="array" ref="J927">IF(G927="","",IFERROR(LET(ev_cost,INDEX(Events!$G$5:$G$506,MATCH(G927,Events!$A$5:$A$506,0)),ev_split,INDEX(Events!$I$5:$I$506,MATCH(G927,Events!$A$5:$A$506,0)),att_offset,MATCH(G927,Attendance!$B$3:$AY$3,0),attendees,COUNTIF(INDEX(Attendance!$B$7:$AY$206,0,att_offset),"1"),IF(ev_split="Equal Split",ev_cost/MAX(1,COUNTA(Roster!$A$5:$A$204)),ev_cost/MAX(1,attendees))),"N/A"))</f>
        <v/>
      </c>
    </row>
    <row r="928" ht="19.5" customHeight="1">
      <c r="A928" s="46"/>
      <c r="B928" s="49"/>
      <c r="C928" s="49"/>
      <c r="D928" s="49"/>
      <c r="E928" s="49"/>
      <c r="F928" s="54"/>
      <c r="G928" s="49"/>
      <c r="H928" s="49"/>
      <c r="I928" s="49"/>
      <c r="J928" s="44" t="str">
        <f t="array" ref="J928">IF(G928="","",IFERROR(LET(ev_cost,INDEX(Events!$G$5:$G$506,MATCH(G928,Events!$A$5:$A$506,0)),ev_split,INDEX(Events!$I$5:$I$506,MATCH(G928,Events!$A$5:$A$506,0)),att_offset,MATCH(G928,Attendance!$B$3:$AY$3,0),attendees,COUNTIF(INDEX(Attendance!$B$7:$AY$206,0,att_offset),"1"),IF(ev_split="Equal Split",ev_cost/MAX(1,COUNTA(Roster!$A$5:$A$204)),ev_cost/MAX(1,attendees))),"N/A"))</f>
        <v/>
      </c>
    </row>
    <row r="929" ht="19.5" customHeight="1">
      <c r="A929" s="50"/>
      <c r="B929" s="53"/>
      <c r="C929" s="53"/>
      <c r="D929" s="53"/>
      <c r="E929" s="53"/>
      <c r="F929" s="55"/>
      <c r="G929" s="53"/>
      <c r="H929" s="53"/>
      <c r="I929" s="53"/>
      <c r="J929" s="44" t="str">
        <f t="array" ref="J929">IF(G929="","",IFERROR(LET(ev_cost,INDEX(Events!$G$5:$G$506,MATCH(G929,Events!$A$5:$A$506,0)),ev_split,INDEX(Events!$I$5:$I$506,MATCH(G929,Events!$A$5:$A$506,0)),att_offset,MATCH(G929,Attendance!$B$3:$AY$3,0),attendees,COUNTIF(INDEX(Attendance!$B$7:$AY$206,0,att_offset),"1"),IF(ev_split="Equal Split",ev_cost/MAX(1,COUNTA(Roster!$A$5:$A$204)),ev_cost/MAX(1,attendees))),"N/A"))</f>
        <v/>
      </c>
    </row>
    <row r="930" ht="19.5" customHeight="1">
      <c r="A930" s="46"/>
      <c r="B930" s="49"/>
      <c r="C930" s="49"/>
      <c r="D930" s="49"/>
      <c r="E930" s="49"/>
      <c r="F930" s="54"/>
      <c r="G930" s="49"/>
      <c r="H930" s="49"/>
      <c r="I930" s="49"/>
      <c r="J930" s="44" t="str">
        <f t="array" ref="J930">IF(G930="","",IFERROR(LET(ev_cost,INDEX(Events!$G$5:$G$506,MATCH(G930,Events!$A$5:$A$506,0)),ev_split,INDEX(Events!$I$5:$I$506,MATCH(G930,Events!$A$5:$A$506,0)),att_offset,MATCH(G930,Attendance!$B$3:$AY$3,0),attendees,COUNTIF(INDEX(Attendance!$B$7:$AY$206,0,att_offset),"1"),IF(ev_split="Equal Split",ev_cost/MAX(1,COUNTA(Roster!$A$5:$A$204)),ev_cost/MAX(1,attendees))),"N/A"))</f>
        <v/>
      </c>
    </row>
    <row r="931" ht="19.5" customHeight="1">
      <c r="A931" s="50"/>
      <c r="B931" s="53"/>
      <c r="C931" s="53"/>
      <c r="D931" s="53"/>
      <c r="E931" s="53"/>
      <c r="F931" s="55"/>
      <c r="G931" s="53"/>
      <c r="H931" s="53"/>
      <c r="I931" s="53"/>
      <c r="J931" s="44" t="str">
        <f t="array" ref="J931">IF(G931="","",IFERROR(LET(ev_cost,INDEX(Events!$G$5:$G$506,MATCH(G931,Events!$A$5:$A$506,0)),ev_split,INDEX(Events!$I$5:$I$506,MATCH(G931,Events!$A$5:$A$506,0)),att_offset,MATCH(G931,Attendance!$B$3:$AY$3,0),attendees,COUNTIF(INDEX(Attendance!$B$7:$AY$206,0,att_offset),"1"),IF(ev_split="Equal Split",ev_cost/MAX(1,COUNTA(Roster!$A$5:$A$204)),ev_cost/MAX(1,attendees))),"N/A"))</f>
        <v/>
      </c>
    </row>
    <row r="932" ht="19.5" customHeight="1">
      <c r="A932" s="46"/>
      <c r="B932" s="49"/>
      <c r="C932" s="49"/>
      <c r="D932" s="49"/>
      <c r="E932" s="49"/>
      <c r="F932" s="54"/>
      <c r="G932" s="49"/>
      <c r="H932" s="49"/>
      <c r="I932" s="49"/>
      <c r="J932" s="44" t="str">
        <f t="array" ref="J932">IF(G932="","",IFERROR(LET(ev_cost,INDEX(Events!$G$5:$G$506,MATCH(G932,Events!$A$5:$A$506,0)),ev_split,INDEX(Events!$I$5:$I$506,MATCH(G932,Events!$A$5:$A$506,0)),att_offset,MATCH(G932,Attendance!$B$3:$AY$3,0),attendees,COUNTIF(INDEX(Attendance!$B$7:$AY$206,0,att_offset),"1"),IF(ev_split="Equal Split",ev_cost/MAX(1,COUNTA(Roster!$A$5:$A$204)),ev_cost/MAX(1,attendees))),"N/A"))</f>
        <v/>
      </c>
    </row>
    <row r="933" ht="19.5" customHeight="1">
      <c r="A933" s="50"/>
      <c r="B933" s="53"/>
      <c r="C933" s="53"/>
      <c r="D933" s="53"/>
      <c r="E933" s="53"/>
      <c r="F933" s="55"/>
      <c r="G933" s="53"/>
      <c r="H933" s="53"/>
      <c r="I933" s="53"/>
      <c r="J933" s="44" t="str">
        <f t="array" ref="J933">IF(G933="","",IFERROR(LET(ev_cost,INDEX(Events!$G$5:$G$506,MATCH(G933,Events!$A$5:$A$506,0)),ev_split,INDEX(Events!$I$5:$I$506,MATCH(G933,Events!$A$5:$A$506,0)),att_offset,MATCH(G933,Attendance!$B$3:$AY$3,0),attendees,COUNTIF(INDEX(Attendance!$B$7:$AY$206,0,att_offset),"1"),IF(ev_split="Equal Split",ev_cost/MAX(1,COUNTA(Roster!$A$5:$A$204)),ev_cost/MAX(1,attendees))),"N/A"))</f>
        <v/>
      </c>
    </row>
    <row r="934" ht="19.5" customHeight="1">
      <c r="A934" s="46"/>
      <c r="B934" s="49"/>
      <c r="C934" s="49"/>
      <c r="D934" s="49"/>
      <c r="E934" s="49"/>
      <c r="F934" s="54"/>
      <c r="G934" s="49"/>
      <c r="H934" s="49"/>
      <c r="I934" s="49"/>
      <c r="J934" s="44" t="str">
        <f t="array" ref="J934">IF(G934="","",IFERROR(LET(ev_cost,INDEX(Events!$G$5:$G$506,MATCH(G934,Events!$A$5:$A$506,0)),ev_split,INDEX(Events!$I$5:$I$506,MATCH(G934,Events!$A$5:$A$506,0)),att_offset,MATCH(G934,Attendance!$B$3:$AY$3,0),attendees,COUNTIF(INDEX(Attendance!$B$7:$AY$206,0,att_offset),"1"),IF(ev_split="Equal Split",ev_cost/MAX(1,COUNTA(Roster!$A$5:$A$204)),ev_cost/MAX(1,attendees))),"N/A"))</f>
        <v/>
      </c>
    </row>
    <row r="935" ht="19.5" customHeight="1">
      <c r="A935" s="50"/>
      <c r="B935" s="53"/>
      <c r="C935" s="53"/>
      <c r="D935" s="53"/>
      <c r="E935" s="53"/>
      <c r="F935" s="55"/>
      <c r="G935" s="53"/>
      <c r="H935" s="53"/>
      <c r="I935" s="53"/>
      <c r="J935" s="44" t="str">
        <f t="array" ref="J935">IF(G935="","",IFERROR(LET(ev_cost,INDEX(Events!$G$5:$G$506,MATCH(G935,Events!$A$5:$A$506,0)),ev_split,INDEX(Events!$I$5:$I$506,MATCH(G935,Events!$A$5:$A$506,0)),att_offset,MATCH(G935,Attendance!$B$3:$AY$3,0),attendees,COUNTIF(INDEX(Attendance!$B$7:$AY$206,0,att_offset),"1"),IF(ev_split="Equal Split",ev_cost/MAX(1,COUNTA(Roster!$A$5:$A$204)),ev_cost/MAX(1,attendees))),"N/A"))</f>
        <v/>
      </c>
    </row>
    <row r="936" ht="19.5" customHeight="1">
      <c r="A936" s="46"/>
      <c r="B936" s="49"/>
      <c r="C936" s="49"/>
      <c r="D936" s="49"/>
      <c r="E936" s="49"/>
      <c r="F936" s="54"/>
      <c r="G936" s="49"/>
      <c r="H936" s="49"/>
      <c r="I936" s="49"/>
      <c r="J936" s="44" t="str">
        <f t="array" ref="J936">IF(G936="","",IFERROR(LET(ev_cost,INDEX(Events!$G$5:$G$506,MATCH(G936,Events!$A$5:$A$506,0)),ev_split,INDEX(Events!$I$5:$I$506,MATCH(G936,Events!$A$5:$A$506,0)),att_offset,MATCH(G936,Attendance!$B$3:$AY$3,0),attendees,COUNTIF(INDEX(Attendance!$B$7:$AY$206,0,att_offset),"1"),IF(ev_split="Equal Split",ev_cost/MAX(1,COUNTA(Roster!$A$5:$A$204)),ev_cost/MAX(1,attendees))),"N/A"))</f>
        <v/>
      </c>
    </row>
    <row r="937" ht="19.5" customHeight="1">
      <c r="A937" s="50"/>
      <c r="B937" s="53"/>
      <c r="C937" s="53"/>
      <c r="D937" s="53"/>
      <c r="E937" s="53"/>
      <c r="F937" s="55"/>
      <c r="G937" s="53"/>
      <c r="H937" s="53"/>
      <c r="I937" s="53"/>
      <c r="J937" s="44" t="str">
        <f t="array" ref="J937">IF(G937="","",IFERROR(LET(ev_cost,INDEX(Events!$G$5:$G$506,MATCH(G937,Events!$A$5:$A$506,0)),ev_split,INDEX(Events!$I$5:$I$506,MATCH(G937,Events!$A$5:$A$506,0)),att_offset,MATCH(G937,Attendance!$B$3:$AY$3,0),attendees,COUNTIF(INDEX(Attendance!$B$7:$AY$206,0,att_offset),"1"),IF(ev_split="Equal Split",ev_cost/MAX(1,COUNTA(Roster!$A$5:$A$204)),ev_cost/MAX(1,attendees))),"N/A"))</f>
        <v/>
      </c>
    </row>
    <row r="938" ht="19.5" customHeight="1">
      <c r="A938" s="46"/>
      <c r="B938" s="49"/>
      <c r="C938" s="49"/>
      <c r="D938" s="49"/>
      <c r="E938" s="49"/>
      <c r="F938" s="54"/>
      <c r="G938" s="49"/>
      <c r="H938" s="49"/>
      <c r="I938" s="49"/>
      <c r="J938" s="44" t="str">
        <f t="array" ref="J938">IF(G938="","",IFERROR(LET(ev_cost,INDEX(Events!$G$5:$G$506,MATCH(G938,Events!$A$5:$A$506,0)),ev_split,INDEX(Events!$I$5:$I$506,MATCH(G938,Events!$A$5:$A$506,0)),att_offset,MATCH(G938,Attendance!$B$3:$AY$3,0),attendees,COUNTIF(INDEX(Attendance!$B$7:$AY$206,0,att_offset),"1"),IF(ev_split="Equal Split",ev_cost/MAX(1,COUNTA(Roster!$A$5:$A$204)),ev_cost/MAX(1,attendees))),"N/A"))</f>
        <v/>
      </c>
    </row>
    <row r="939" ht="19.5" customHeight="1">
      <c r="A939" s="50"/>
      <c r="B939" s="53"/>
      <c r="C939" s="53"/>
      <c r="D939" s="53"/>
      <c r="E939" s="53"/>
      <c r="F939" s="55"/>
      <c r="G939" s="53"/>
      <c r="H939" s="53"/>
      <c r="I939" s="53"/>
      <c r="J939" s="44" t="str">
        <f t="array" ref="J939">IF(G939="","",IFERROR(LET(ev_cost,INDEX(Events!$G$5:$G$506,MATCH(G939,Events!$A$5:$A$506,0)),ev_split,INDEX(Events!$I$5:$I$506,MATCH(G939,Events!$A$5:$A$506,0)),att_offset,MATCH(G939,Attendance!$B$3:$AY$3,0),attendees,COUNTIF(INDEX(Attendance!$B$7:$AY$206,0,att_offset),"1"),IF(ev_split="Equal Split",ev_cost/MAX(1,COUNTA(Roster!$A$5:$A$204)),ev_cost/MAX(1,attendees))),"N/A"))</f>
        <v/>
      </c>
    </row>
    <row r="940" ht="19.5" customHeight="1">
      <c r="A940" s="46"/>
      <c r="B940" s="49"/>
      <c r="C940" s="49"/>
      <c r="D940" s="49"/>
      <c r="E940" s="49"/>
      <c r="F940" s="54"/>
      <c r="G940" s="49"/>
      <c r="H940" s="49"/>
      <c r="I940" s="49"/>
      <c r="J940" s="44" t="str">
        <f t="array" ref="J940">IF(G940="","",IFERROR(LET(ev_cost,INDEX(Events!$G$5:$G$506,MATCH(G940,Events!$A$5:$A$506,0)),ev_split,INDEX(Events!$I$5:$I$506,MATCH(G940,Events!$A$5:$A$506,0)),att_offset,MATCH(G940,Attendance!$B$3:$AY$3,0),attendees,COUNTIF(INDEX(Attendance!$B$7:$AY$206,0,att_offset),"1"),IF(ev_split="Equal Split",ev_cost/MAX(1,COUNTA(Roster!$A$5:$A$204)),ev_cost/MAX(1,attendees))),"N/A"))</f>
        <v/>
      </c>
    </row>
    <row r="941" ht="19.5" customHeight="1">
      <c r="A941" s="50"/>
      <c r="B941" s="53"/>
      <c r="C941" s="53"/>
      <c r="D941" s="53"/>
      <c r="E941" s="53"/>
      <c r="F941" s="55"/>
      <c r="G941" s="53"/>
      <c r="H941" s="53"/>
      <c r="I941" s="53"/>
      <c r="J941" s="44" t="str">
        <f t="array" ref="J941">IF(G941="","",IFERROR(LET(ev_cost,INDEX(Events!$G$5:$G$506,MATCH(G941,Events!$A$5:$A$506,0)),ev_split,INDEX(Events!$I$5:$I$506,MATCH(G941,Events!$A$5:$A$506,0)),att_offset,MATCH(G941,Attendance!$B$3:$AY$3,0),attendees,COUNTIF(INDEX(Attendance!$B$7:$AY$206,0,att_offset),"1"),IF(ev_split="Equal Split",ev_cost/MAX(1,COUNTA(Roster!$A$5:$A$204)),ev_cost/MAX(1,attendees))),"N/A"))</f>
        <v/>
      </c>
    </row>
    <row r="942" ht="19.5" customHeight="1">
      <c r="A942" s="46"/>
      <c r="B942" s="49"/>
      <c r="C942" s="49"/>
      <c r="D942" s="49"/>
      <c r="E942" s="49"/>
      <c r="F942" s="54"/>
      <c r="G942" s="49"/>
      <c r="H942" s="49"/>
      <c r="I942" s="49"/>
      <c r="J942" s="44" t="str">
        <f t="array" ref="J942">IF(G942="","",IFERROR(LET(ev_cost,INDEX(Events!$G$5:$G$506,MATCH(G942,Events!$A$5:$A$506,0)),ev_split,INDEX(Events!$I$5:$I$506,MATCH(G942,Events!$A$5:$A$506,0)),att_offset,MATCH(G942,Attendance!$B$3:$AY$3,0),attendees,COUNTIF(INDEX(Attendance!$B$7:$AY$206,0,att_offset),"1"),IF(ev_split="Equal Split",ev_cost/MAX(1,COUNTA(Roster!$A$5:$A$204)),ev_cost/MAX(1,attendees))),"N/A"))</f>
        <v/>
      </c>
    </row>
    <row r="943" ht="19.5" customHeight="1">
      <c r="A943" s="50"/>
      <c r="B943" s="53"/>
      <c r="C943" s="53"/>
      <c r="D943" s="53"/>
      <c r="E943" s="53"/>
      <c r="F943" s="55"/>
      <c r="G943" s="53"/>
      <c r="H943" s="53"/>
      <c r="I943" s="53"/>
      <c r="J943" s="44" t="str">
        <f t="array" ref="J943">IF(G943="","",IFERROR(LET(ev_cost,INDEX(Events!$G$5:$G$506,MATCH(G943,Events!$A$5:$A$506,0)),ev_split,INDEX(Events!$I$5:$I$506,MATCH(G943,Events!$A$5:$A$506,0)),att_offset,MATCH(G943,Attendance!$B$3:$AY$3,0),attendees,COUNTIF(INDEX(Attendance!$B$7:$AY$206,0,att_offset),"1"),IF(ev_split="Equal Split",ev_cost/MAX(1,COUNTA(Roster!$A$5:$A$204)),ev_cost/MAX(1,attendees))),"N/A"))</f>
        <v/>
      </c>
    </row>
    <row r="944" ht="19.5" customHeight="1">
      <c r="A944" s="46"/>
      <c r="B944" s="49"/>
      <c r="C944" s="49"/>
      <c r="D944" s="49"/>
      <c r="E944" s="49"/>
      <c r="F944" s="54"/>
      <c r="G944" s="49"/>
      <c r="H944" s="49"/>
      <c r="I944" s="49"/>
      <c r="J944" s="44" t="str">
        <f t="array" ref="J944">IF(G944="","",IFERROR(LET(ev_cost,INDEX(Events!$G$5:$G$506,MATCH(G944,Events!$A$5:$A$506,0)),ev_split,INDEX(Events!$I$5:$I$506,MATCH(G944,Events!$A$5:$A$506,0)),att_offset,MATCH(G944,Attendance!$B$3:$AY$3,0),attendees,COUNTIF(INDEX(Attendance!$B$7:$AY$206,0,att_offset),"1"),IF(ev_split="Equal Split",ev_cost/MAX(1,COUNTA(Roster!$A$5:$A$204)),ev_cost/MAX(1,attendees))),"N/A"))</f>
        <v/>
      </c>
    </row>
    <row r="945" ht="19.5" customHeight="1">
      <c r="A945" s="50"/>
      <c r="B945" s="53"/>
      <c r="C945" s="53"/>
      <c r="D945" s="53"/>
      <c r="E945" s="53"/>
      <c r="F945" s="55"/>
      <c r="G945" s="53"/>
      <c r="H945" s="53"/>
      <c r="I945" s="53"/>
      <c r="J945" s="44" t="str">
        <f t="array" ref="J945">IF(G945="","",IFERROR(LET(ev_cost,INDEX(Events!$G$5:$G$506,MATCH(G945,Events!$A$5:$A$506,0)),ev_split,INDEX(Events!$I$5:$I$506,MATCH(G945,Events!$A$5:$A$506,0)),att_offset,MATCH(G945,Attendance!$B$3:$AY$3,0),attendees,COUNTIF(INDEX(Attendance!$B$7:$AY$206,0,att_offset),"1"),IF(ev_split="Equal Split",ev_cost/MAX(1,COUNTA(Roster!$A$5:$A$204)),ev_cost/MAX(1,attendees))),"N/A"))</f>
        <v/>
      </c>
    </row>
    <row r="946" ht="19.5" customHeight="1">
      <c r="A946" s="46"/>
      <c r="B946" s="49"/>
      <c r="C946" s="49"/>
      <c r="D946" s="49"/>
      <c r="E946" s="49"/>
      <c r="F946" s="54"/>
      <c r="G946" s="49"/>
      <c r="H946" s="49"/>
      <c r="I946" s="49"/>
      <c r="J946" s="44" t="str">
        <f t="array" ref="J946">IF(G946="","",IFERROR(LET(ev_cost,INDEX(Events!$G$5:$G$506,MATCH(G946,Events!$A$5:$A$506,0)),ev_split,INDEX(Events!$I$5:$I$506,MATCH(G946,Events!$A$5:$A$506,0)),att_offset,MATCH(G946,Attendance!$B$3:$AY$3,0),attendees,COUNTIF(INDEX(Attendance!$B$7:$AY$206,0,att_offset),"1"),IF(ev_split="Equal Split",ev_cost/MAX(1,COUNTA(Roster!$A$5:$A$204)),ev_cost/MAX(1,attendees))),"N/A"))</f>
        <v/>
      </c>
    </row>
    <row r="947" ht="19.5" customHeight="1">
      <c r="A947" s="50"/>
      <c r="B947" s="53"/>
      <c r="C947" s="53"/>
      <c r="D947" s="53"/>
      <c r="E947" s="53"/>
      <c r="F947" s="55"/>
      <c r="G947" s="53"/>
      <c r="H947" s="53"/>
      <c r="I947" s="53"/>
      <c r="J947" s="44" t="str">
        <f t="array" ref="J947">IF(G947="","",IFERROR(LET(ev_cost,INDEX(Events!$G$5:$G$506,MATCH(G947,Events!$A$5:$A$506,0)),ev_split,INDEX(Events!$I$5:$I$506,MATCH(G947,Events!$A$5:$A$506,0)),att_offset,MATCH(G947,Attendance!$B$3:$AY$3,0),attendees,COUNTIF(INDEX(Attendance!$B$7:$AY$206,0,att_offset),"1"),IF(ev_split="Equal Split",ev_cost/MAX(1,COUNTA(Roster!$A$5:$A$204)),ev_cost/MAX(1,attendees))),"N/A"))</f>
        <v/>
      </c>
    </row>
    <row r="948" ht="19.5" customHeight="1">
      <c r="A948" s="46"/>
      <c r="B948" s="49"/>
      <c r="C948" s="49"/>
      <c r="D948" s="49"/>
      <c r="E948" s="49"/>
      <c r="F948" s="54"/>
      <c r="G948" s="49"/>
      <c r="H948" s="49"/>
      <c r="I948" s="49"/>
      <c r="J948" s="44" t="str">
        <f t="array" ref="J948">IF(G948="","",IFERROR(LET(ev_cost,INDEX(Events!$G$5:$G$506,MATCH(G948,Events!$A$5:$A$506,0)),ev_split,INDEX(Events!$I$5:$I$506,MATCH(G948,Events!$A$5:$A$506,0)),att_offset,MATCH(G948,Attendance!$B$3:$AY$3,0),attendees,COUNTIF(INDEX(Attendance!$B$7:$AY$206,0,att_offset),"1"),IF(ev_split="Equal Split",ev_cost/MAX(1,COUNTA(Roster!$A$5:$A$204)),ev_cost/MAX(1,attendees))),"N/A"))</f>
        <v/>
      </c>
    </row>
    <row r="949" ht="19.5" customHeight="1">
      <c r="A949" s="50"/>
      <c r="B949" s="53"/>
      <c r="C949" s="53"/>
      <c r="D949" s="53"/>
      <c r="E949" s="53"/>
      <c r="F949" s="55"/>
      <c r="G949" s="53"/>
      <c r="H949" s="53"/>
      <c r="I949" s="53"/>
      <c r="J949" s="44" t="str">
        <f t="array" ref="J949">IF(G949="","",IFERROR(LET(ev_cost,INDEX(Events!$G$5:$G$506,MATCH(G949,Events!$A$5:$A$506,0)),ev_split,INDEX(Events!$I$5:$I$506,MATCH(G949,Events!$A$5:$A$506,0)),att_offset,MATCH(G949,Attendance!$B$3:$AY$3,0),attendees,COUNTIF(INDEX(Attendance!$B$7:$AY$206,0,att_offset),"1"),IF(ev_split="Equal Split",ev_cost/MAX(1,COUNTA(Roster!$A$5:$A$204)),ev_cost/MAX(1,attendees))),"N/A"))</f>
        <v/>
      </c>
    </row>
    <row r="950" ht="19.5" customHeight="1">
      <c r="A950" s="46"/>
      <c r="B950" s="49"/>
      <c r="C950" s="49"/>
      <c r="D950" s="49"/>
      <c r="E950" s="49"/>
      <c r="F950" s="54"/>
      <c r="G950" s="49"/>
      <c r="H950" s="49"/>
      <c r="I950" s="49"/>
      <c r="J950" s="44" t="str">
        <f t="array" ref="J950">IF(G950="","",IFERROR(LET(ev_cost,INDEX(Events!$G$5:$G$506,MATCH(G950,Events!$A$5:$A$506,0)),ev_split,INDEX(Events!$I$5:$I$506,MATCH(G950,Events!$A$5:$A$506,0)),att_offset,MATCH(G950,Attendance!$B$3:$AY$3,0),attendees,COUNTIF(INDEX(Attendance!$B$7:$AY$206,0,att_offset),"1"),IF(ev_split="Equal Split",ev_cost/MAX(1,COUNTA(Roster!$A$5:$A$204)),ev_cost/MAX(1,attendees))),"N/A"))</f>
        <v/>
      </c>
    </row>
    <row r="951" ht="19.5" customHeight="1">
      <c r="A951" s="50"/>
      <c r="B951" s="53"/>
      <c r="C951" s="53"/>
      <c r="D951" s="53"/>
      <c r="E951" s="53"/>
      <c r="F951" s="55"/>
      <c r="G951" s="53"/>
      <c r="H951" s="53"/>
      <c r="I951" s="53"/>
      <c r="J951" s="44" t="str">
        <f t="array" ref="J951">IF(G951="","",IFERROR(LET(ev_cost,INDEX(Events!$G$5:$G$506,MATCH(G951,Events!$A$5:$A$506,0)),ev_split,INDEX(Events!$I$5:$I$506,MATCH(G951,Events!$A$5:$A$506,0)),att_offset,MATCH(G951,Attendance!$B$3:$AY$3,0),attendees,COUNTIF(INDEX(Attendance!$B$7:$AY$206,0,att_offset),"1"),IF(ev_split="Equal Split",ev_cost/MAX(1,COUNTA(Roster!$A$5:$A$204)),ev_cost/MAX(1,attendees))),"N/A"))</f>
        <v/>
      </c>
    </row>
    <row r="952" ht="19.5" customHeight="1">
      <c r="A952" s="46"/>
      <c r="B952" s="49"/>
      <c r="C952" s="49"/>
      <c r="D952" s="49"/>
      <c r="E952" s="49"/>
      <c r="F952" s="54"/>
      <c r="G952" s="49"/>
      <c r="H952" s="49"/>
      <c r="I952" s="49"/>
      <c r="J952" s="44" t="str">
        <f t="array" ref="J952">IF(G952="","",IFERROR(LET(ev_cost,INDEX(Events!$G$5:$G$506,MATCH(G952,Events!$A$5:$A$506,0)),ev_split,INDEX(Events!$I$5:$I$506,MATCH(G952,Events!$A$5:$A$506,0)),att_offset,MATCH(G952,Attendance!$B$3:$AY$3,0),attendees,COUNTIF(INDEX(Attendance!$B$7:$AY$206,0,att_offset),"1"),IF(ev_split="Equal Split",ev_cost/MAX(1,COUNTA(Roster!$A$5:$A$204)),ev_cost/MAX(1,attendees))),"N/A"))</f>
        <v/>
      </c>
    </row>
    <row r="953" ht="19.5" customHeight="1">
      <c r="A953" s="50"/>
      <c r="B953" s="53"/>
      <c r="C953" s="53"/>
      <c r="D953" s="53"/>
      <c r="E953" s="53"/>
      <c r="F953" s="55"/>
      <c r="G953" s="53"/>
      <c r="H953" s="53"/>
      <c r="I953" s="53"/>
      <c r="J953" s="44" t="str">
        <f t="array" ref="J953">IF(G953="","",IFERROR(LET(ev_cost,INDEX(Events!$G$5:$G$506,MATCH(G953,Events!$A$5:$A$506,0)),ev_split,INDEX(Events!$I$5:$I$506,MATCH(G953,Events!$A$5:$A$506,0)),att_offset,MATCH(G953,Attendance!$B$3:$AY$3,0),attendees,COUNTIF(INDEX(Attendance!$B$7:$AY$206,0,att_offset),"1"),IF(ev_split="Equal Split",ev_cost/MAX(1,COUNTA(Roster!$A$5:$A$204)),ev_cost/MAX(1,attendees))),"N/A"))</f>
        <v/>
      </c>
    </row>
    <row r="954" ht="19.5" customHeight="1">
      <c r="A954" s="46"/>
      <c r="B954" s="49"/>
      <c r="C954" s="49"/>
      <c r="D954" s="49"/>
      <c r="E954" s="49"/>
      <c r="F954" s="54"/>
      <c r="G954" s="49"/>
      <c r="H954" s="49"/>
      <c r="I954" s="49"/>
      <c r="J954" s="44" t="str">
        <f t="array" ref="J954">IF(G954="","",IFERROR(LET(ev_cost,INDEX(Events!$G$5:$G$506,MATCH(G954,Events!$A$5:$A$506,0)),ev_split,INDEX(Events!$I$5:$I$506,MATCH(G954,Events!$A$5:$A$506,0)),att_offset,MATCH(G954,Attendance!$B$3:$AY$3,0),attendees,COUNTIF(INDEX(Attendance!$B$7:$AY$206,0,att_offset),"1"),IF(ev_split="Equal Split",ev_cost/MAX(1,COUNTA(Roster!$A$5:$A$204)),ev_cost/MAX(1,attendees))),"N/A"))</f>
        <v/>
      </c>
    </row>
    <row r="955" ht="19.5" customHeight="1">
      <c r="A955" s="50"/>
      <c r="B955" s="53"/>
      <c r="C955" s="53"/>
      <c r="D955" s="53"/>
      <c r="E955" s="53"/>
      <c r="F955" s="55"/>
      <c r="G955" s="53"/>
      <c r="H955" s="53"/>
      <c r="I955" s="53"/>
      <c r="J955" s="44" t="str">
        <f t="array" ref="J955">IF(G955="","",IFERROR(LET(ev_cost,INDEX(Events!$G$5:$G$506,MATCH(G955,Events!$A$5:$A$506,0)),ev_split,INDEX(Events!$I$5:$I$506,MATCH(G955,Events!$A$5:$A$506,0)),att_offset,MATCH(G955,Attendance!$B$3:$AY$3,0),attendees,COUNTIF(INDEX(Attendance!$B$7:$AY$206,0,att_offset),"1"),IF(ev_split="Equal Split",ev_cost/MAX(1,COUNTA(Roster!$A$5:$A$204)),ev_cost/MAX(1,attendees))),"N/A"))</f>
        <v/>
      </c>
    </row>
    <row r="956" ht="19.5" customHeight="1">
      <c r="A956" s="46"/>
      <c r="B956" s="49"/>
      <c r="C956" s="49"/>
      <c r="D956" s="49"/>
      <c r="E956" s="49"/>
      <c r="F956" s="54"/>
      <c r="G956" s="49"/>
      <c r="H956" s="49"/>
      <c r="I956" s="49"/>
      <c r="J956" s="44" t="str">
        <f t="array" ref="J956">IF(G956="","",IFERROR(LET(ev_cost,INDEX(Events!$G$5:$G$506,MATCH(G956,Events!$A$5:$A$506,0)),ev_split,INDEX(Events!$I$5:$I$506,MATCH(G956,Events!$A$5:$A$506,0)),att_offset,MATCH(G956,Attendance!$B$3:$AY$3,0),attendees,COUNTIF(INDEX(Attendance!$B$7:$AY$206,0,att_offset),"1"),IF(ev_split="Equal Split",ev_cost/MAX(1,COUNTA(Roster!$A$5:$A$204)),ev_cost/MAX(1,attendees))),"N/A"))</f>
        <v/>
      </c>
    </row>
    <row r="957" ht="19.5" customHeight="1">
      <c r="A957" s="50"/>
      <c r="B957" s="53"/>
      <c r="C957" s="53"/>
      <c r="D957" s="53"/>
      <c r="E957" s="53"/>
      <c r="F957" s="55"/>
      <c r="G957" s="53"/>
      <c r="H957" s="53"/>
      <c r="I957" s="53"/>
      <c r="J957" s="44" t="str">
        <f t="array" ref="J957">IF(G957="","",IFERROR(LET(ev_cost,INDEX(Events!$G$5:$G$506,MATCH(G957,Events!$A$5:$A$506,0)),ev_split,INDEX(Events!$I$5:$I$506,MATCH(G957,Events!$A$5:$A$506,0)),att_offset,MATCH(G957,Attendance!$B$3:$AY$3,0),attendees,COUNTIF(INDEX(Attendance!$B$7:$AY$206,0,att_offset),"1"),IF(ev_split="Equal Split",ev_cost/MAX(1,COUNTA(Roster!$A$5:$A$204)),ev_cost/MAX(1,attendees))),"N/A"))</f>
        <v/>
      </c>
    </row>
    <row r="958" ht="19.5" customHeight="1">
      <c r="A958" s="46"/>
      <c r="B958" s="49"/>
      <c r="C958" s="49"/>
      <c r="D958" s="49"/>
      <c r="E958" s="49"/>
      <c r="F958" s="54"/>
      <c r="G958" s="49"/>
      <c r="H958" s="49"/>
      <c r="I958" s="49"/>
      <c r="J958" s="44" t="str">
        <f t="array" ref="J958">IF(G958="","",IFERROR(LET(ev_cost,INDEX(Events!$G$5:$G$506,MATCH(G958,Events!$A$5:$A$506,0)),ev_split,INDEX(Events!$I$5:$I$506,MATCH(G958,Events!$A$5:$A$506,0)),att_offset,MATCH(G958,Attendance!$B$3:$AY$3,0),attendees,COUNTIF(INDEX(Attendance!$B$7:$AY$206,0,att_offset),"1"),IF(ev_split="Equal Split",ev_cost/MAX(1,COUNTA(Roster!$A$5:$A$204)),ev_cost/MAX(1,attendees))),"N/A"))</f>
        <v/>
      </c>
    </row>
    <row r="959" ht="19.5" customHeight="1">
      <c r="A959" s="50"/>
      <c r="B959" s="53"/>
      <c r="C959" s="53"/>
      <c r="D959" s="53"/>
      <c r="E959" s="53"/>
      <c r="F959" s="55"/>
      <c r="G959" s="53"/>
      <c r="H959" s="53"/>
      <c r="I959" s="53"/>
      <c r="J959" s="44" t="str">
        <f t="array" ref="J959">IF(G959="","",IFERROR(LET(ev_cost,INDEX(Events!$G$5:$G$506,MATCH(G959,Events!$A$5:$A$506,0)),ev_split,INDEX(Events!$I$5:$I$506,MATCH(G959,Events!$A$5:$A$506,0)),att_offset,MATCH(G959,Attendance!$B$3:$AY$3,0),attendees,COUNTIF(INDEX(Attendance!$B$7:$AY$206,0,att_offset),"1"),IF(ev_split="Equal Split",ev_cost/MAX(1,COUNTA(Roster!$A$5:$A$204)),ev_cost/MAX(1,attendees))),"N/A"))</f>
        <v/>
      </c>
    </row>
    <row r="960" ht="19.5" customHeight="1">
      <c r="A960" s="46"/>
      <c r="B960" s="49"/>
      <c r="C960" s="49"/>
      <c r="D960" s="49"/>
      <c r="E960" s="49"/>
      <c r="F960" s="54"/>
      <c r="G960" s="49"/>
      <c r="H960" s="49"/>
      <c r="I960" s="49"/>
      <c r="J960" s="44" t="str">
        <f t="array" ref="J960">IF(G960="","",IFERROR(LET(ev_cost,INDEX(Events!$G$5:$G$506,MATCH(G960,Events!$A$5:$A$506,0)),ev_split,INDEX(Events!$I$5:$I$506,MATCH(G960,Events!$A$5:$A$506,0)),att_offset,MATCH(G960,Attendance!$B$3:$AY$3,0),attendees,COUNTIF(INDEX(Attendance!$B$7:$AY$206,0,att_offset),"1"),IF(ev_split="Equal Split",ev_cost/MAX(1,COUNTA(Roster!$A$5:$A$204)),ev_cost/MAX(1,attendees))),"N/A"))</f>
        <v/>
      </c>
    </row>
    <row r="961" ht="19.5" customHeight="1">
      <c r="A961" s="50"/>
      <c r="B961" s="53"/>
      <c r="C961" s="53"/>
      <c r="D961" s="53"/>
      <c r="E961" s="53"/>
      <c r="F961" s="55"/>
      <c r="G961" s="53"/>
      <c r="H961" s="53"/>
      <c r="I961" s="53"/>
      <c r="J961" s="44" t="str">
        <f t="array" ref="J961">IF(G961="","",IFERROR(LET(ev_cost,INDEX(Events!$G$5:$G$506,MATCH(G961,Events!$A$5:$A$506,0)),ev_split,INDEX(Events!$I$5:$I$506,MATCH(G961,Events!$A$5:$A$506,0)),att_offset,MATCH(G961,Attendance!$B$3:$AY$3,0),attendees,COUNTIF(INDEX(Attendance!$B$7:$AY$206,0,att_offset),"1"),IF(ev_split="Equal Split",ev_cost/MAX(1,COUNTA(Roster!$A$5:$A$204)),ev_cost/MAX(1,attendees))),"N/A"))</f>
        <v/>
      </c>
    </row>
    <row r="962" ht="19.5" customHeight="1">
      <c r="A962" s="46"/>
      <c r="B962" s="49"/>
      <c r="C962" s="49"/>
      <c r="D962" s="49"/>
      <c r="E962" s="49"/>
      <c r="F962" s="54"/>
      <c r="G962" s="49"/>
      <c r="H962" s="49"/>
      <c r="I962" s="49"/>
      <c r="J962" s="44" t="str">
        <f t="array" ref="J962">IF(G962="","",IFERROR(LET(ev_cost,INDEX(Events!$G$5:$G$506,MATCH(G962,Events!$A$5:$A$506,0)),ev_split,INDEX(Events!$I$5:$I$506,MATCH(G962,Events!$A$5:$A$506,0)),att_offset,MATCH(G962,Attendance!$B$3:$AY$3,0),attendees,COUNTIF(INDEX(Attendance!$B$7:$AY$206,0,att_offset),"1"),IF(ev_split="Equal Split",ev_cost/MAX(1,COUNTA(Roster!$A$5:$A$204)),ev_cost/MAX(1,attendees))),"N/A"))</f>
        <v/>
      </c>
    </row>
    <row r="963" ht="19.5" customHeight="1">
      <c r="A963" s="50"/>
      <c r="B963" s="53"/>
      <c r="C963" s="53"/>
      <c r="D963" s="53"/>
      <c r="E963" s="53"/>
      <c r="F963" s="55"/>
      <c r="G963" s="53"/>
      <c r="H963" s="53"/>
      <c r="I963" s="53"/>
      <c r="J963" s="44" t="str">
        <f t="array" ref="J963">IF(G963="","",IFERROR(LET(ev_cost,INDEX(Events!$G$5:$G$506,MATCH(G963,Events!$A$5:$A$506,0)),ev_split,INDEX(Events!$I$5:$I$506,MATCH(G963,Events!$A$5:$A$506,0)),att_offset,MATCH(G963,Attendance!$B$3:$AY$3,0),attendees,COUNTIF(INDEX(Attendance!$B$7:$AY$206,0,att_offset),"1"),IF(ev_split="Equal Split",ev_cost/MAX(1,COUNTA(Roster!$A$5:$A$204)),ev_cost/MAX(1,attendees))),"N/A"))</f>
        <v/>
      </c>
    </row>
    <row r="964" ht="19.5" customHeight="1">
      <c r="A964" s="46"/>
      <c r="B964" s="49"/>
      <c r="C964" s="49"/>
      <c r="D964" s="49"/>
      <c r="E964" s="49"/>
      <c r="F964" s="54"/>
      <c r="G964" s="49"/>
      <c r="H964" s="49"/>
      <c r="I964" s="49"/>
      <c r="J964" s="44" t="str">
        <f t="array" ref="J964">IF(G964="","",IFERROR(LET(ev_cost,INDEX(Events!$G$5:$G$506,MATCH(G964,Events!$A$5:$A$506,0)),ev_split,INDEX(Events!$I$5:$I$506,MATCH(G964,Events!$A$5:$A$506,0)),att_offset,MATCH(G964,Attendance!$B$3:$AY$3,0),attendees,COUNTIF(INDEX(Attendance!$B$7:$AY$206,0,att_offset),"1"),IF(ev_split="Equal Split",ev_cost/MAX(1,COUNTA(Roster!$A$5:$A$204)),ev_cost/MAX(1,attendees))),"N/A"))</f>
        <v/>
      </c>
    </row>
    <row r="965" ht="19.5" customHeight="1">
      <c r="A965" s="50"/>
      <c r="B965" s="53"/>
      <c r="C965" s="53"/>
      <c r="D965" s="53"/>
      <c r="E965" s="53"/>
      <c r="F965" s="55"/>
      <c r="G965" s="53"/>
      <c r="H965" s="53"/>
      <c r="I965" s="53"/>
      <c r="J965" s="44" t="str">
        <f t="array" ref="J965">IF(G965="","",IFERROR(LET(ev_cost,INDEX(Events!$G$5:$G$506,MATCH(G965,Events!$A$5:$A$506,0)),ev_split,INDEX(Events!$I$5:$I$506,MATCH(G965,Events!$A$5:$A$506,0)),att_offset,MATCH(G965,Attendance!$B$3:$AY$3,0),attendees,COUNTIF(INDEX(Attendance!$B$7:$AY$206,0,att_offset),"1"),IF(ev_split="Equal Split",ev_cost/MAX(1,COUNTA(Roster!$A$5:$A$204)),ev_cost/MAX(1,attendees))),"N/A"))</f>
        <v/>
      </c>
    </row>
    <row r="966" ht="19.5" customHeight="1">
      <c r="A966" s="46"/>
      <c r="B966" s="49"/>
      <c r="C966" s="49"/>
      <c r="D966" s="49"/>
      <c r="E966" s="49"/>
      <c r="F966" s="54"/>
      <c r="G966" s="49"/>
      <c r="H966" s="49"/>
      <c r="I966" s="49"/>
      <c r="J966" s="44" t="str">
        <f t="array" ref="J966">IF(G966="","",IFERROR(LET(ev_cost,INDEX(Events!$G$5:$G$506,MATCH(G966,Events!$A$5:$A$506,0)),ev_split,INDEX(Events!$I$5:$I$506,MATCH(G966,Events!$A$5:$A$506,0)),att_offset,MATCH(G966,Attendance!$B$3:$AY$3,0),attendees,COUNTIF(INDEX(Attendance!$B$7:$AY$206,0,att_offset),"1"),IF(ev_split="Equal Split",ev_cost/MAX(1,COUNTA(Roster!$A$5:$A$204)),ev_cost/MAX(1,attendees))),"N/A"))</f>
        <v/>
      </c>
    </row>
    <row r="967" ht="19.5" customHeight="1">
      <c r="A967" s="50"/>
      <c r="B967" s="53"/>
      <c r="C967" s="53"/>
      <c r="D967" s="53"/>
      <c r="E967" s="53"/>
      <c r="F967" s="55"/>
      <c r="G967" s="53"/>
      <c r="H967" s="53"/>
      <c r="I967" s="53"/>
      <c r="J967" s="44" t="str">
        <f t="array" ref="J967">IF(G967="","",IFERROR(LET(ev_cost,INDEX(Events!$G$5:$G$506,MATCH(G967,Events!$A$5:$A$506,0)),ev_split,INDEX(Events!$I$5:$I$506,MATCH(G967,Events!$A$5:$A$506,0)),att_offset,MATCH(G967,Attendance!$B$3:$AY$3,0),attendees,COUNTIF(INDEX(Attendance!$B$7:$AY$206,0,att_offset),"1"),IF(ev_split="Equal Split",ev_cost/MAX(1,COUNTA(Roster!$A$5:$A$204)),ev_cost/MAX(1,attendees))),"N/A"))</f>
        <v/>
      </c>
    </row>
    <row r="968" ht="19.5" customHeight="1">
      <c r="A968" s="46"/>
      <c r="B968" s="49"/>
      <c r="C968" s="49"/>
      <c r="D968" s="49"/>
      <c r="E968" s="49"/>
      <c r="F968" s="54"/>
      <c r="G968" s="49"/>
      <c r="H968" s="49"/>
      <c r="I968" s="49"/>
      <c r="J968" s="44" t="str">
        <f t="array" ref="J968">IF(G968="","",IFERROR(LET(ev_cost,INDEX(Events!$G$5:$G$506,MATCH(G968,Events!$A$5:$A$506,0)),ev_split,INDEX(Events!$I$5:$I$506,MATCH(G968,Events!$A$5:$A$506,0)),att_offset,MATCH(G968,Attendance!$B$3:$AY$3,0),attendees,COUNTIF(INDEX(Attendance!$B$7:$AY$206,0,att_offset),"1"),IF(ev_split="Equal Split",ev_cost/MAX(1,COUNTA(Roster!$A$5:$A$204)),ev_cost/MAX(1,attendees))),"N/A"))</f>
        <v/>
      </c>
    </row>
    <row r="969" ht="19.5" customHeight="1">
      <c r="A969" s="50"/>
      <c r="B969" s="53"/>
      <c r="C969" s="53"/>
      <c r="D969" s="53"/>
      <c r="E969" s="53"/>
      <c r="F969" s="55"/>
      <c r="G969" s="53"/>
      <c r="H969" s="53"/>
      <c r="I969" s="53"/>
      <c r="J969" s="44" t="str">
        <f t="array" ref="J969">IF(G969="","",IFERROR(LET(ev_cost,INDEX(Events!$G$5:$G$506,MATCH(G969,Events!$A$5:$A$506,0)),ev_split,INDEX(Events!$I$5:$I$506,MATCH(G969,Events!$A$5:$A$506,0)),att_offset,MATCH(G969,Attendance!$B$3:$AY$3,0),attendees,COUNTIF(INDEX(Attendance!$B$7:$AY$206,0,att_offset),"1"),IF(ev_split="Equal Split",ev_cost/MAX(1,COUNTA(Roster!$A$5:$A$204)),ev_cost/MAX(1,attendees))),"N/A"))</f>
        <v/>
      </c>
    </row>
    <row r="970" ht="19.5" customHeight="1">
      <c r="A970" s="46"/>
      <c r="B970" s="49"/>
      <c r="C970" s="49"/>
      <c r="D970" s="49"/>
      <c r="E970" s="49"/>
      <c r="F970" s="54"/>
      <c r="G970" s="49"/>
      <c r="H970" s="49"/>
      <c r="I970" s="49"/>
      <c r="J970" s="44" t="str">
        <f t="array" ref="J970">IF(G970="","",IFERROR(LET(ev_cost,INDEX(Events!$G$5:$G$506,MATCH(G970,Events!$A$5:$A$506,0)),ev_split,INDEX(Events!$I$5:$I$506,MATCH(G970,Events!$A$5:$A$506,0)),att_offset,MATCH(G970,Attendance!$B$3:$AY$3,0),attendees,COUNTIF(INDEX(Attendance!$B$7:$AY$206,0,att_offset),"1"),IF(ev_split="Equal Split",ev_cost/MAX(1,COUNTA(Roster!$A$5:$A$204)),ev_cost/MAX(1,attendees))),"N/A"))</f>
        <v/>
      </c>
    </row>
    <row r="971" ht="19.5" customHeight="1">
      <c r="A971" s="50"/>
      <c r="B971" s="53"/>
      <c r="C971" s="53"/>
      <c r="D971" s="53"/>
      <c r="E971" s="53"/>
      <c r="F971" s="55"/>
      <c r="G971" s="53"/>
      <c r="H971" s="53"/>
      <c r="I971" s="53"/>
      <c r="J971" s="44" t="str">
        <f t="array" ref="J971">IF(G971="","",IFERROR(LET(ev_cost,INDEX(Events!$G$5:$G$506,MATCH(G971,Events!$A$5:$A$506,0)),ev_split,INDEX(Events!$I$5:$I$506,MATCH(G971,Events!$A$5:$A$506,0)),att_offset,MATCH(G971,Attendance!$B$3:$AY$3,0),attendees,COUNTIF(INDEX(Attendance!$B$7:$AY$206,0,att_offset),"1"),IF(ev_split="Equal Split",ev_cost/MAX(1,COUNTA(Roster!$A$5:$A$204)),ev_cost/MAX(1,attendees))),"N/A"))</f>
        <v/>
      </c>
    </row>
    <row r="972" ht="19.5" customHeight="1">
      <c r="A972" s="46"/>
      <c r="B972" s="49"/>
      <c r="C972" s="49"/>
      <c r="D972" s="49"/>
      <c r="E972" s="49"/>
      <c r="F972" s="54"/>
      <c r="G972" s="49"/>
      <c r="H972" s="49"/>
      <c r="I972" s="49"/>
      <c r="J972" s="44" t="str">
        <f t="array" ref="J972">IF(G972="","",IFERROR(LET(ev_cost,INDEX(Events!$G$5:$G$506,MATCH(G972,Events!$A$5:$A$506,0)),ev_split,INDEX(Events!$I$5:$I$506,MATCH(G972,Events!$A$5:$A$506,0)),att_offset,MATCH(G972,Attendance!$B$3:$AY$3,0),attendees,COUNTIF(INDEX(Attendance!$B$7:$AY$206,0,att_offset),"1"),IF(ev_split="Equal Split",ev_cost/MAX(1,COUNTA(Roster!$A$5:$A$204)),ev_cost/MAX(1,attendees))),"N/A"))</f>
        <v/>
      </c>
    </row>
    <row r="973" ht="19.5" customHeight="1">
      <c r="A973" s="50"/>
      <c r="B973" s="53"/>
      <c r="C973" s="53"/>
      <c r="D973" s="53"/>
      <c r="E973" s="53"/>
      <c r="F973" s="55"/>
      <c r="G973" s="53"/>
      <c r="H973" s="53"/>
      <c r="I973" s="53"/>
      <c r="J973" s="44" t="str">
        <f t="array" ref="J973">IF(G973="","",IFERROR(LET(ev_cost,INDEX(Events!$G$5:$G$506,MATCH(G973,Events!$A$5:$A$506,0)),ev_split,INDEX(Events!$I$5:$I$506,MATCH(G973,Events!$A$5:$A$506,0)),att_offset,MATCH(G973,Attendance!$B$3:$AY$3,0),attendees,COUNTIF(INDEX(Attendance!$B$7:$AY$206,0,att_offset),"1"),IF(ev_split="Equal Split",ev_cost/MAX(1,COUNTA(Roster!$A$5:$A$204)),ev_cost/MAX(1,attendees))),"N/A"))</f>
        <v/>
      </c>
    </row>
    <row r="974" ht="19.5" customHeight="1">
      <c r="A974" s="46"/>
      <c r="B974" s="49"/>
      <c r="C974" s="49"/>
      <c r="D974" s="49"/>
      <c r="E974" s="49"/>
      <c r="F974" s="54"/>
      <c r="G974" s="49"/>
      <c r="H974" s="49"/>
      <c r="I974" s="49"/>
      <c r="J974" s="44" t="str">
        <f t="array" ref="J974">IF(G974="","",IFERROR(LET(ev_cost,INDEX(Events!$G$5:$G$506,MATCH(G974,Events!$A$5:$A$506,0)),ev_split,INDEX(Events!$I$5:$I$506,MATCH(G974,Events!$A$5:$A$506,0)),att_offset,MATCH(G974,Attendance!$B$3:$AY$3,0),attendees,COUNTIF(INDEX(Attendance!$B$7:$AY$206,0,att_offset),"1"),IF(ev_split="Equal Split",ev_cost/MAX(1,COUNTA(Roster!$A$5:$A$204)),ev_cost/MAX(1,attendees))),"N/A"))</f>
        <v/>
      </c>
    </row>
    <row r="975" ht="19.5" customHeight="1">
      <c r="A975" s="50"/>
      <c r="B975" s="53"/>
      <c r="C975" s="53"/>
      <c r="D975" s="53"/>
      <c r="E975" s="53"/>
      <c r="F975" s="55"/>
      <c r="G975" s="53"/>
      <c r="H975" s="53"/>
      <c r="I975" s="53"/>
      <c r="J975" s="44" t="str">
        <f t="array" ref="J975">IF(G975="","",IFERROR(LET(ev_cost,INDEX(Events!$G$5:$G$506,MATCH(G975,Events!$A$5:$A$506,0)),ev_split,INDEX(Events!$I$5:$I$506,MATCH(G975,Events!$A$5:$A$506,0)),att_offset,MATCH(G975,Attendance!$B$3:$AY$3,0),attendees,COUNTIF(INDEX(Attendance!$B$7:$AY$206,0,att_offset),"1"),IF(ev_split="Equal Split",ev_cost/MAX(1,COUNTA(Roster!$A$5:$A$204)),ev_cost/MAX(1,attendees))),"N/A"))</f>
        <v/>
      </c>
    </row>
    <row r="976" ht="19.5" customHeight="1">
      <c r="A976" s="46"/>
      <c r="B976" s="49"/>
      <c r="C976" s="49"/>
      <c r="D976" s="49"/>
      <c r="E976" s="49"/>
      <c r="F976" s="54"/>
      <c r="G976" s="49"/>
      <c r="H976" s="49"/>
      <c r="I976" s="49"/>
      <c r="J976" s="44" t="str">
        <f t="array" ref="J976">IF(G976="","",IFERROR(LET(ev_cost,INDEX(Events!$G$5:$G$506,MATCH(G976,Events!$A$5:$A$506,0)),ev_split,INDEX(Events!$I$5:$I$506,MATCH(G976,Events!$A$5:$A$506,0)),att_offset,MATCH(G976,Attendance!$B$3:$AY$3,0),attendees,COUNTIF(INDEX(Attendance!$B$7:$AY$206,0,att_offset),"1"),IF(ev_split="Equal Split",ev_cost/MAX(1,COUNTA(Roster!$A$5:$A$204)),ev_cost/MAX(1,attendees))),"N/A"))</f>
        <v/>
      </c>
    </row>
    <row r="977" ht="19.5" customHeight="1">
      <c r="A977" s="50"/>
      <c r="B977" s="53"/>
      <c r="C977" s="53"/>
      <c r="D977" s="53"/>
      <c r="E977" s="53"/>
      <c r="F977" s="55"/>
      <c r="G977" s="53"/>
      <c r="H977" s="53"/>
      <c r="I977" s="53"/>
      <c r="J977" s="44" t="str">
        <f t="array" ref="J977">IF(G977="","",IFERROR(LET(ev_cost,INDEX(Events!$G$5:$G$506,MATCH(G977,Events!$A$5:$A$506,0)),ev_split,INDEX(Events!$I$5:$I$506,MATCH(G977,Events!$A$5:$A$506,0)),att_offset,MATCH(G977,Attendance!$B$3:$AY$3,0),attendees,COUNTIF(INDEX(Attendance!$B$7:$AY$206,0,att_offset),"1"),IF(ev_split="Equal Split",ev_cost/MAX(1,COUNTA(Roster!$A$5:$A$204)),ev_cost/MAX(1,attendees))),"N/A"))</f>
        <v/>
      </c>
    </row>
    <row r="978" ht="19.5" customHeight="1">
      <c r="A978" s="46"/>
      <c r="B978" s="49"/>
      <c r="C978" s="49"/>
      <c r="D978" s="49"/>
      <c r="E978" s="49"/>
      <c r="F978" s="54"/>
      <c r="G978" s="49"/>
      <c r="H978" s="49"/>
      <c r="I978" s="49"/>
      <c r="J978" s="44" t="str">
        <f t="array" ref="J978">IF(G978="","",IFERROR(LET(ev_cost,INDEX(Events!$G$5:$G$506,MATCH(G978,Events!$A$5:$A$506,0)),ev_split,INDEX(Events!$I$5:$I$506,MATCH(G978,Events!$A$5:$A$506,0)),att_offset,MATCH(G978,Attendance!$B$3:$AY$3,0),attendees,COUNTIF(INDEX(Attendance!$B$7:$AY$206,0,att_offset),"1"),IF(ev_split="Equal Split",ev_cost/MAX(1,COUNTA(Roster!$A$5:$A$204)),ev_cost/MAX(1,attendees))),"N/A"))</f>
        <v/>
      </c>
    </row>
    <row r="979" ht="19.5" customHeight="1">
      <c r="A979" s="50"/>
      <c r="B979" s="53"/>
      <c r="C979" s="53"/>
      <c r="D979" s="53"/>
      <c r="E979" s="53"/>
      <c r="F979" s="55"/>
      <c r="G979" s="53"/>
      <c r="H979" s="53"/>
      <c r="I979" s="53"/>
      <c r="J979" s="44" t="str">
        <f t="array" ref="J979">IF(G979="","",IFERROR(LET(ev_cost,INDEX(Events!$G$5:$G$506,MATCH(G979,Events!$A$5:$A$506,0)),ev_split,INDEX(Events!$I$5:$I$506,MATCH(G979,Events!$A$5:$A$506,0)),att_offset,MATCH(G979,Attendance!$B$3:$AY$3,0),attendees,COUNTIF(INDEX(Attendance!$B$7:$AY$206,0,att_offset),"1"),IF(ev_split="Equal Split",ev_cost/MAX(1,COUNTA(Roster!$A$5:$A$204)),ev_cost/MAX(1,attendees))),"N/A"))</f>
        <v/>
      </c>
    </row>
    <row r="980" ht="19.5" customHeight="1">
      <c r="A980" s="46"/>
      <c r="B980" s="49"/>
      <c r="C980" s="49"/>
      <c r="D980" s="49"/>
      <c r="E980" s="49"/>
      <c r="F980" s="54"/>
      <c r="G980" s="49"/>
      <c r="H980" s="49"/>
      <c r="I980" s="49"/>
      <c r="J980" s="44" t="str">
        <f t="array" ref="J980">IF(G980="","",IFERROR(LET(ev_cost,INDEX(Events!$G$5:$G$506,MATCH(G980,Events!$A$5:$A$506,0)),ev_split,INDEX(Events!$I$5:$I$506,MATCH(G980,Events!$A$5:$A$506,0)),att_offset,MATCH(G980,Attendance!$B$3:$AY$3,0),attendees,COUNTIF(INDEX(Attendance!$B$7:$AY$206,0,att_offset),"1"),IF(ev_split="Equal Split",ev_cost/MAX(1,COUNTA(Roster!$A$5:$A$204)),ev_cost/MAX(1,attendees))),"N/A"))</f>
        <v/>
      </c>
    </row>
    <row r="981" ht="19.5" customHeight="1">
      <c r="A981" s="50"/>
      <c r="B981" s="53"/>
      <c r="C981" s="53"/>
      <c r="D981" s="53"/>
      <c r="E981" s="53"/>
      <c r="F981" s="55"/>
      <c r="G981" s="53"/>
      <c r="H981" s="53"/>
      <c r="I981" s="53"/>
      <c r="J981" s="44" t="str">
        <f t="array" ref="J981">IF(G981="","",IFERROR(LET(ev_cost,INDEX(Events!$G$5:$G$506,MATCH(G981,Events!$A$5:$A$506,0)),ev_split,INDEX(Events!$I$5:$I$506,MATCH(G981,Events!$A$5:$A$506,0)),att_offset,MATCH(G981,Attendance!$B$3:$AY$3,0),attendees,COUNTIF(INDEX(Attendance!$B$7:$AY$206,0,att_offset),"1"),IF(ev_split="Equal Split",ev_cost/MAX(1,COUNTA(Roster!$A$5:$A$204)),ev_cost/MAX(1,attendees))),"N/A"))</f>
        <v/>
      </c>
    </row>
    <row r="982" ht="19.5" customHeight="1">
      <c r="A982" s="46"/>
      <c r="B982" s="49"/>
      <c r="C982" s="49"/>
      <c r="D982" s="49"/>
      <c r="E982" s="49"/>
      <c r="F982" s="54"/>
      <c r="G982" s="49"/>
      <c r="H982" s="49"/>
      <c r="I982" s="49"/>
      <c r="J982" s="44" t="str">
        <f t="array" ref="J982">IF(G982="","",IFERROR(LET(ev_cost,INDEX(Events!$G$5:$G$506,MATCH(G982,Events!$A$5:$A$506,0)),ev_split,INDEX(Events!$I$5:$I$506,MATCH(G982,Events!$A$5:$A$506,0)),att_offset,MATCH(G982,Attendance!$B$3:$AY$3,0),attendees,COUNTIF(INDEX(Attendance!$B$7:$AY$206,0,att_offset),"1"),IF(ev_split="Equal Split",ev_cost/MAX(1,COUNTA(Roster!$A$5:$A$204)),ev_cost/MAX(1,attendees))),"N/A"))</f>
        <v/>
      </c>
    </row>
    <row r="983" ht="19.5" customHeight="1">
      <c r="A983" s="50"/>
      <c r="B983" s="53"/>
      <c r="C983" s="53"/>
      <c r="D983" s="53"/>
      <c r="E983" s="53"/>
      <c r="F983" s="55"/>
      <c r="G983" s="53"/>
      <c r="H983" s="53"/>
      <c r="I983" s="53"/>
      <c r="J983" s="44" t="str">
        <f t="array" ref="J983">IF(G983="","",IFERROR(LET(ev_cost,INDEX(Events!$G$5:$G$506,MATCH(G983,Events!$A$5:$A$506,0)),ev_split,INDEX(Events!$I$5:$I$506,MATCH(G983,Events!$A$5:$A$506,0)),att_offset,MATCH(G983,Attendance!$B$3:$AY$3,0),attendees,COUNTIF(INDEX(Attendance!$B$7:$AY$206,0,att_offset),"1"),IF(ev_split="Equal Split",ev_cost/MAX(1,COUNTA(Roster!$A$5:$A$204)),ev_cost/MAX(1,attendees))),"N/A"))</f>
        <v/>
      </c>
    </row>
    <row r="984" ht="19.5" customHeight="1">
      <c r="A984" s="46"/>
      <c r="B984" s="49"/>
      <c r="C984" s="49"/>
      <c r="D984" s="49"/>
      <c r="E984" s="49"/>
      <c r="F984" s="54"/>
      <c r="G984" s="49"/>
      <c r="H984" s="49"/>
      <c r="I984" s="49"/>
      <c r="J984" s="44" t="str">
        <f t="array" ref="J984">IF(G984="","",IFERROR(LET(ev_cost,INDEX(Events!$G$5:$G$506,MATCH(G984,Events!$A$5:$A$506,0)),ev_split,INDEX(Events!$I$5:$I$506,MATCH(G984,Events!$A$5:$A$506,0)),att_offset,MATCH(G984,Attendance!$B$3:$AY$3,0),attendees,COUNTIF(INDEX(Attendance!$B$7:$AY$206,0,att_offset),"1"),IF(ev_split="Equal Split",ev_cost/MAX(1,COUNTA(Roster!$A$5:$A$204)),ev_cost/MAX(1,attendees))),"N/A"))</f>
        <v/>
      </c>
    </row>
    <row r="985" ht="19.5" customHeight="1">
      <c r="A985" s="50"/>
      <c r="B985" s="53"/>
      <c r="C985" s="53"/>
      <c r="D985" s="53"/>
      <c r="E985" s="53"/>
      <c r="F985" s="55"/>
      <c r="G985" s="53"/>
      <c r="H985" s="53"/>
      <c r="I985" s="53"/>
      <c r="J985" s="44" t="str">
        <f t="array" ref="J985">IF(G985="","",IFERROR(LET(ev_cost,INDEX(Events!$G$5:$G$506,MATCH(G985,Events!$A$5:$A$506,0)),ev_split,INDEX(Events!$I$5:$I$506,MATCH(G985,Events!$A$5:$A$506,0)),att_offset,MATCH(G985,Attendance!$B$3:$AY$3,0),attendees,COUNTIF(INDEX(Attendance!$B$7:$AY$206,0,att_offset),"1"),IF(ev_split="Equal Split",ev_cost/MAX(1,COUNTA(Roster!$A$5:$A$204)),ev_cost/MAX(1,attendees))),"N/A"))</f>
        <v/>
      </c>
    </row>
    <row r="986" ht="19.5" customHeight="1">
      <c r="A986" s="46"/>
      <c r="B986" s="49"/>
      <c r="C986" s="49"/>
      <c r="D986" s="49"/>
      <c r="E986" s="49"/>
      <c r="F986" s="54"/>
      <c r="G986" s="49"/>
      <c r="H986" s="49"/>
      <c r="I986" s="49"/>
      <c r="J986" s="44" t="str">
        <f t="array" ref="J986">IF(G986="","",IFERROR(LET(ev_cost,INDEX(Events!$G$5:$G$506,MATCH(G986,Events!$A$5:$A$506,0)),ev_split,INDEX(Events!$I$5:$I$506,MATCH(G986,Events!$A$5:$A$506,0)),att_offset,MATCH(G986,Attendance!$B$3:$AY$3,0),attendees,COUNTIF(INDEX(Attendance!$B$7:$AY$206,0,att_offset),"1"),IF(ev_split="Equal Split",ev_cost/MAX(1,COUNTA(Roster!$A$5:$A$204)),ev_cost/MAX(1,attendees))),"N/A"))</f>
        <v/>
      </c>
    </row>
    <row r="987" ht="19.5" customHeight="1">
      <c r="A987" s="50"/>
      <c r="B987" s="53"/>
      <c r="C987" s="53"/>
      <c r="D987" s="53"/>
      <c r="E987" s="53"/>
      <c r="F987" s="55"/>
      <c r="G987" s="53"/>
      <c r="H987" s="53"/>
      <c r="I987" s="53"/>
      <c r="J987" s="44" t="str">
        <f t="array" ref="J987">IF(G987="","",IFERROR(LET(ev_cost,INDEX(Events!$G$5:$G$506,MATCH(G987,Events!$A$5:$A$506,0)),ev_split,INDEX(Events!$I$5:$I$506,MATCH(G987,Events!$A$5:$A$506,0)),att_offset,MATCH(G987,Attendance!$B$3:$AY$3,0),attendees,COUNTIF(INDEX(Attendance!$B$7:$AY$206,0,att_offset),"1"),IF(ev_split="Equal Split",ev_cost/MAX(1,COUNTA(Roster!$A$5:$A$204)),ev_cost/MAX(1,attendees))),"N/A"))</f>
        <v/>
      </c>
    </row>
    <row r="988" ht="19.5" customHeight="1">
      <c r="A988" s="46"/>
      <c r="B988" s="49"/>
      <c r="C988" s="49"/>
      <c r="D988" s="49"/>
      <c r="E988" s="49"/>
      <c r="F988" s="54"/>
      <c r="G988" s="49"/>
      <c r="H988" s="49"/>
      <c r="I988" s="49"/>
      <c r="J988" s="44" t="str">
        <f t="array" ref="J988">IF(G988="","",IFERROR(LET(ev_cost,INDEX(Events!$G$5:$G$506,MATCH(G988,Events!$A$5:$A$506,0)),ev_split,INDEX(Events!$I$5:$I$506,MATCH(G988,Events!$A$5:$A$506,0)),att_offset,MATCH(G988,Attendance!$B$3:$AY$3,0),attendees,COUNTIF(INDEX(Attendance!$B$7:$AY$206,0,att_offset),"1"),IF(ev_split="Equal Split",ev_cost/MAX(1,COUNTA(Roster!$A$5:$A$204)),ev_cost/MAX(1,attendees))),"N/A"))</f>
        <v/>
      </c>
    </row>
    <row r="989" ht="19.5" customHeight="1">
      <c r="A989" s="50"/>
      <c r="B989" s="53"/>
      <c r="C989" s="53"/>
      <c r="D989" s="53"/>
      <c r="E989" s="53"/>
      <c r="F989" s="55"/>
      <c r="G989" s="53"/>
      <c r="H989" s="53"/>
      <c r="I989" s="53"/>
      <c r="J989" s="44" t="str">
        <f t="array" ref="J989">IF(G989="","",IFERROR(LET(ev_cost,INDEX(Events!$G$5:$G$506,MATCH(G989,Events!$A$5:$A$506,0)),ev_split,INDEX(Events!$I$5:$I$506,MATCH(G989,Events!$A$5:$A$506,0)),att_offset,MATCH(G989,Attendance!$B$3:$AY$3,0),attendees,COUNTIF(INDEX(Attendance!$B$7:$AY$206,0,att_offset),"1"),IF(ev_split="Equal Split",ev_cost/MAX(1,COUNTA(Roster!$A$5:$A$204)),ev_cost/MAX(1,attendees))),"N/A"))</f>
        <v/>
      </c>
    </row>
    <row r="990" ht="19.5" customHeight="1">
      <c r="A990" s="46"/>
      <c r="B990" s="49"/>
      <c r="C990" s="49"/>
      <c r="D990" s="49"/>
      <c r="E990" s="49"/>
      <c r="F990" s="54"/>
      <c r="G990" s="49"/>
      <c r="H990" s="49"/>
      <c r="I990" s="49"/>
      <c r="J990" s="44" t="str">
        <f t="array" ref="J990">IF(G990="","",IFERROR(LET(ev_cost,INDEX(Events!$G$5:$G$506,MATCH(G990,Events!$A$5:$A$506,0)),ev_split,INDEX(Events!$I$5:$I$506,MATCH(G990,Events!$A$5:$A$506,0)),att_offset,MATCH(G990,Attendance!$B$3:$AY$3,0),attendees,COUNTIF(INDEX(Attendance!$B$7:$AY$206,0,att_offset),"1"),IF(ev_split="Equal Split",ev_cost/MAX(1,COUNTA(Roster!$A$5:$A$204)),ev_cost/MAX(1,attendees))),"N/A"))</f>
        <v/>
      </c>
    </row>
    <row r="991" ht="19.5" customHeight="1">
      <c r="A991" s="50"/>
      <c r="B991" s="53"/>
      <c r="C991" s="53"/>
      <c r="D991" s="53"/>
      <c r="E991" s="53"/>
      <c r="F991" s="55"/>
      <c r="G991" s="53"/>
      <c r="H991" s="53"/>
      <c r="I991" s="53"/>
      <c r="J991" s="44" t="str">
        <f t="array" ref="J991">IF(G991="","",IFERROR(LET(ev_cost,INDEX(Events!$G$5:$G$506,MATCH(G991,Events!$A$5:$A$506,0)),ev_split,INDEX(Events!$I$5:$I$506,MATCH(G991,Events!$A$5:$A$506,0)),att_offset,MATCH(G991,Attendance!$B$3:$AY$3,0),attendees,COUNTIF(INDEX(Attendance!$B$7:$AY$206,0,att_offset),"1"),IF(ev_split="Equal Split",ev_cost/MAX(1,COUNTA(Roster!$A$5:$A$204)),ev_cost/MAX(1,attendees))),"N/A"))</f>
        <v/>
      </c>
    </row>
    <row r="992" ht="19.5" customHeight="1">
      <c r="A992" s="46"/>
      <c r="B992" s="49"/>
      <c r="C992" s="49"/>
      <c r="D992" s="49"/>
      <c r="E992" s="49"/>
      <c r="F992" s="54"/>
      <c r="G992" s="49"/>
      <c r="H992" s="49"/>
      <c r="I992" s="49"/>
      <c r="J992" s="44" t="str">
        <f t="array" ref="J992">IF(G992="","",IFERROR(LET(ev_cost,INDEX(Events!$G$5:$G$506,MATCH(G992,Events!$A$5:$A$506,0)),ev_split,INDEX(Events!$I$5:$I$506,MATCH(G992,Events!$A$5:$A$506,0)),att_offset,MATCH(G992,Attendance!$B$3:$AY$3,0),attendees,COUNTIF(INDEX(Attendance!$B$7:$AY$206,0,att_offset),"1"),IF(ev_split="Equal Split",ev_cost/MAX(1,COUNTA(Roster!$A$5:$A$204)),ev_cost/MAX(1,attendees))),"N/A"))</f>
        <v/>
      </c>
    </row>
    <row r="993" ht="19.5" customHeight="1">
      <c r="A993" s="50"/>
      <c r="B993" s="53"/>
      <c r="C993" s="53"/>
      <c r="D993" s="53"/>
      <c r="E993" s="53"/>
      <c r="F993" s="55"/>
      <c r="G993" s="53"/>
      <c r="H993" s="53"/>
      <c r="I993" s="53"/>
      <c r="J993" s="44" t="str">
        <f t="array" ref="J993">IF(G993="","",IFERROR(LET(ev_cost,INDEX(Events!$G$5:$G$506,MATCH(G993,Events!$A$5:$A$506,0)),ev_split,INDEX(Events!$I$5:$I$506,MATCH(G993,Events!$A$5:$A$506,0)),att_offset,MATCH(G993,Attendance!$B$3:$AY$3,0),attendees,COUNTIF(INDEX(Attendance!$B$7:$AY$206,0,att_offset),"1"),IF(ev_split="Equal Split",ev_cost/MAX(1,COUNTA(Roster!$A$5:$A$204)),ev_cost/MAX(1,attendees))),"N/A"))</f>
        <v/>
      </c>
    </row>
    <row r="994" ht="19.5" customHeight="1">
      <c r="A994" s="46"/>
      <c r="B994" s="49"/>
      <c r="C994" s="49"/>
      <c r="D994" s="49"/>
      <c r="E994" s="49"/>
      <c r="F994" s="54"/>
      <c r="G994" s="49"/>
      <c r="H994" s="49"/>
      <c r="I994" s="49"/>
      <c r="J994" s="44" t="str">
        <f t="array" ref="J994">IF(G994="","",IFERROR(LET(ev_cost,INDEX(Events!$G$5:$G$506,MATCH(G994,Events!$A$5:$A$506,0)),ev_split,INDEX(Events!$I$5:$I$506,MATCH(G994,Events!$A$5:$A$506,0)),att_offset,MATCH(G994,Attendance!$B$3:$AY$3,0),attendees,COUNTIF(INDEX(Attendance!$B$7:$AY$206,0,att_offset),"1"),IF(ev_split="Equal Split",ev_cost/MAX(1,COUNTA(Roster!$A$5:$A$204)),ev_cost/MAX(1,attendees))),"N/A"))</f>
        <v/>
      </c>
    </row>
    <row r="995" ht="19.5" customHeight="1">
      <c r="A995" s="50"/>
      <c r="B995" s="53"/>
      <c r="C995" s="53"/>
      <c r="D995" s="53"/>
      <c r="E995" s="53"/>
      <c r="F995" s="55"/>
      <c r="G995" s="53"/>
      <c r="H995" s="53"/>
      <c r="I995" s="53"/>
      <c r="J995" s="44" t="str">
        <f t="array" ref="J995">IF(G995="","",IFERROR(LET(ev_cost,INDEX(Events!$G$5:$G$506,MATCH(G995,Events!$A$5:$A$506,0)),ev_split,INDEX(Events!$I$5:$I$506,MATCH(G995,Events!$A$5:$A$506,0)),att_offset,MATCH(G995,Attendance!$B$3:$AY$3,0),attendees,COUNTIF(INDEX(Attendance!$B$7:$AY$206,0,att_offset),"1"),IF(ev_split="Equal Split",ev_cost/MAX(1,COUNTA(Roster!$A$5:$A$204)),ev_cost/MAX(1,attendees))),"N/A"))</f>
        <v/>
      </c>
    </row>
    <row r="996" ht="19.5" customHeight="1">
      <c r="A996" s="46"/>
      <c r="B996" s="49"/>
      <c r="C996" s="49"/>
      <c r="D996" s="49"/>
      <c r="E996" s="49"/>
      <c r="F996" s="54"/>
      <c r="G996" s="49"/>
      <c r="H996" s="49"/>
      <c r="I996" s="49"/>
      <c r="J996" s="44" t="str">
        <f t="array" ref="J996">IF(G996="","",IFERROR(LET(ev_cost,INDEX(Events!$G$5:$G$506,MATCH(G996,Events!$A$5:$A$506,0)),ev_split,INDEX(Events!$I$5:$I$506,MATCH(G996,Events!$A$5:$A$506,0)),att_offset,MATCH(G996,Attendance!$B$3:$AY$3,0),attendees,COUNTIF(INDEX(Attendance!$B$7:$AY$206,0,att_offset),"1"),IF(ev_split="Equal Split",ev_cost/MAX(1,COUNTA(Roster!$A$5:$A$204)),ev_cost/MAX(1,attendees))),"N/A"))</f>
        <v/>
      </c>
    </row>
  </sheetData>
  <mergeCells count="1">
    <mergeCell ref="A1:I1"/>
  </mergeCells>
  <dataValidations>
    <dataValidation type="list" allowBlank="1" sqref="C7:C996">
      <formula1>"Dues,Tournament Fee,Field Fee,Hotel,Travel,Equipment,Fundraiser Income,Sponsorship,Refund,Other"</formula1>
    </dataValidation>
    <dataValidation type="list" allowBlank="1" sqref="D7:D996">
      <formula1>"Income,Expense,Fundraiser"</formula1>
    </dataValidation>
    <dataValidation type="list" allowBlank="1" sqref="G7:G996">
      <formula1>Events!$A$5:$A$506</formula1>
    </dataValidation>
    <dataValidation type="list" allowBlank="1" sqref="I7:I996">
      <formula1>"Cleared,Pending,Disputed"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18.0"/>
    <col customWidth="1" min="4" max="4" width="24.0"/>
    <col customWidth="1" min="5" max="6" width="18.0"/>
    <col customWidth="1" min="7" max="7" width="16.0"/>
    <col customWidth="1" min="8" max="8" width="20.0"/>
    <col customWidth="1" min="9" max="26" width="8.71"/>
  </cols>
  <sheetData>
    <row r="1" ht="37.5" customHeight="1">
      <c r="A1" s="14" t="s">
        <v>114</v>
      </c>
      <c r="B1" s="15"/>
      <c r="C1" s="15"/>
      <c r="D1" s="15"/>
      <c r="E1" s="15"/>
      <c r="F1" s="15"/>
      <c r="G1" s="15"/>
      <c r="H1" s="16"/>
    </row>
    <row r="2" ht="13.5" customHeight="1">
      <c r="G2" s="56"/>
      <c r="H2" s="56"/>
    </row>
    <row r="3" ht="21.75" customHeight="1">
      <c r="A3" s="57" t="s">
        <v>115</v>
      </c>
      <c r="B3" s="57" t="s">
        <v>116</v>
      </c>
      <c r="C3" s="57" t="s">
        <v>117</v>
      </c>
      <c r="D3" s="57" t="s">
        <v>118</v>
      </c>
      <c r="E3" s="57" t="s">
        <v>119</v>
      </c>
      <c r="F3" s="56"/>
      <c r="G3" s="56"/>
      <c r="H3" s="56"/>
    </row>
    <row r="4" ht="21.75" customHeight="1">
      <c r="A4" s="58">
        <f>SUMIF(E7:E206,"&gt;0",E7:E206)</f>
        <v>2269.230769</v>
      </c>
      <c r="B4" s="58">
        <f>SUMIF(E7:E206,"&lt;0",E7:E206)</f>
        <v>-1979.230769</v>
      </c>
      <c r="C4" s="58">
        <f>SUM(E7:E206)</f>
        <v>290</v>
      </c>
      <c r="D4" s="59">
        <f>COUNTIF(F7:F206,"Settled")</f>
        <v>8</v>
      </c>
      <c r="E4" s="59">
        <f>COUNTIF(F7:F206,"Unsettled")</f>
        <v>26</v>
      </c>
      <c r="F4" s="56"/>
      <c r="G4" s="56"/>
      <c r="H4" s="56"/>
    </row>
    <row r="5" ht="7.5" customHeight="1">
      <c r="G5" s="56"/>
      <c r="H5" s="56"/>
    </row>
    <row r="6" ht="21.75" customHeight="1">
      <c r="A6" s="4" t="s">
        <v>86</v>
      </c>
      <c r="B6" s="4" t="s">
        <v>120</v>
      </c>
      <c r="C6" s="4" t="s">
        <v>121</v>
      </c>
      <c r="D6" s="4" t="s">
        <v>122</v>
      </c>
      <c r="E6" s="4" t="s">
        <v>123</v>
      </c>
      <c r="F6" s="4" t="s">
        <v>5</v>
      </c>
      <c r="G6" s="56"/>
      <c r="H6" s="56"/>
    </row>
    <row r="7" ht="19.5" customHeight="1">
      <c r="A7" s="27" t="str">
        <f>IF(Roster!$A$5&lt;&gt;"",Roster!$A$5,"")</f>
        <v>At</v>
      </c>
      <c r="B7" s="27">
        <f t="array" ref="B7">IF(A7&lt;&gt;"",IFERROR(INDEX(Roster!$B$5:$B$204,MATCH(A7,Roster!$A$5:$A$204,0)),0)+IFERROR(SUMPRODUCT((INDEX(Attendance!$B$7:$AY$206,MATCH(A7,Attendance!$A$7:$A$206,0),0)=1)*Attendance!$B$4:$AY$4),0),"")</f>
        <v>90.76923077</v>
      </c>
      <c r="C7" s="60">
        <f>IF(A7&lt;&gt;"",SUMIFS(Transactions!$F$7:$F$996,Transactions!$D$7:$D$996,"Income",Transactions!$E$7:$E$996,A7),"")</f>
        <v>0</v>
      </c>
      <c r="D7" s="60">
        <f>IF(A7&lt;&gt;"",SUMIFS(Transactions!$F$7:$F$996,Transactions!$D$7:$D$996,"Expense",Transactions!$E$7:$E$996,A7),"")</f>
        <v>0</v>
      </c>
      <c r="E7" s="58">
        <f t="shared" ref="E7:E206" si="1">IF(A7&lt;&gt;"",B7-C7-D7,"")</f>
        <v>90.76923077</v>
      </c>
      <c r="F7" s="58" t="str">
        <f t="shared" ref="F7:F206" si="2">IF(A7&lt;&gt;"",IF(E7=0,"Settled","Unsettled"),"")</f>
        <v>Unsettled</v>
      </c>
      <c r="G7" s="61"/>
      <c r="H7" s="56"/>
    </row>
    <row r="8" ht="19.5" customHeight="1">
      <c r="A8" s="27" t="str">
        <f>IF(Roster!$A$6&lt;&gt;"",Roster!$A$6,"")</f>
        <v>Alex Warrington</v>
      </c>
      <c r="B8" s="27">
        <f t="array" ref="B8">IF(A8&lt;&gt;"",IFERROR(INDEX(Roster!$B$5:$B$204,MATCH(A8,Roster!$A$5:$A$204,0)),0)+IFERROR(SUMPRODUCT((INDEX(Attendance!$B$7:$AY$206,MATCH(A8,Attendance!$A$7:$A$206,0),0)=1)*Attendance!$B$4:$AY$4),0),"")</f>
        <v>90.76923077</v>
      </c>
      <c r="C8" s="60">
        <f>IF(A8&lt;&gt;"",SUMIFS(Transactions!$F$7:$F$996,Transactions!$D$7:$D$996,"Income",Transactions!$E$7:$E$996,A8),"")</f>
        <v>0</v>
      </c>
      <c r="D8" s="60">
        <f>IF(A8&lt;&gt;"",SUMIFS(Transactions!$F$7:$F$996,Transactions!$D$7:$D$996,"Expense",Transactions!$E$7:$E$996,A8),"")</f>
        <v>0</v>
      </c>
      <c r="E8" s="58">
        <f t="shared" si="1"/>
        <v>90.76923077</v>
      </c>
      <c r="F8" s="58" t="str">
        <f t="shared" si="2"/>
        <v>Unsettled</v>
      </c>
      <c r="G8" s="61"/>
      <c r="H8" s="56"/>
    </row>
    <row r="9" ht="19.5" customHeight="1">
      <c r="A9" s="27" t="str">
        <f>IF(Roster!$A$7&lt;&gt;"",Roster!$A$7,"")</f>
        <v>Chris Wohl</v>
      </c>
      <c r="B9" s="27">
        <f t="array" ref="B9">IF(A9&lt;&gt;"",IFERROR(INDEX(Roster!$B$5:$B$204,MATCH(A9,Roster!$A$5:$A$204,0)),0)+IFERROR(SUMPRODUCT((INDEX(Attendance!$B$7:$AY$206,MATCH(A9,Attendance!$A$7:$A$206,0),0)=1)*Attendance!$B$4:$AY$4),0),"")</f>
        <v>90.76923077</v>
      </c>
      <c r="C9" s="60">
        <f>IF(A9&lt;&gt;"",SUMIFS(Transactions!$F$7:$F$996,Transactions!$D$7:$D$996,"Income",Transactions!$E$7:$E$996,A9),"")</f>
        <v>0</v>
      </c>
      <c r="D9" s="60">
        <f>IF(A9&lt;&gt;"",SUMIFS(Transactions!$F$7:$F$996,Transactions!$D$7:$D$996,"Expense",Transactions!$E$7:$E$996,A9),"")</f>
        <v>0</v>
      </c>
      <c r="E9" s="58">
        <f t="shared" si="1"/>
        <v>90.76923077</v>
      </c>
      <c r="F9" s="58" t="str">
        <f t="shared" si="2"/>
        <v>Unsettled</v>
      </c>
      <c r="G9" s="61"/>
      <c r="H9" s="56"/>
    </row>
    <row r="10" ht="19.5" customHeight="1">
      <c r="A10" s="27" t="str">
        <f>IF(Roster!$A$8&lt;&gt;"",Roster!$A$8,"")</f>
        <v>Darra Reppermund</v>
      </c>
      <c r="B10" s="27">
        <f t="array" ref="B10">IF(A10&lt;&gt;"",IFERROR(INDEX(Roster!$B$5:$B$204,MATCH(A10,Roster!$A$5:$A$204,0)),0)+IFERROR(SUMPRODUCT((INDEX(Attendance!$B$7:$AY$206,MATCH(A10,Attendance!$A$7:$A$206,0),0)=1)*Attendance!$B$4:$AY$4),0),"")</f>
        <v>90.76923077</v>
      </c>
      <c r="C10" s="60">
        <f>IF(A10&lt;&gt;"",SUMIFS(Transactions!$F$7:$F$996,Transactions!$D$7:$D$996,"Income",Transactions!$E$7:$E$996,A10),"")</f>
        <v>0</v>
      </c>
      <c r="D10" s="60">
        <f>IF(A10&lt;&gt;"",SUMIFS(Transactions!$F$7:$F$996,Transactions!$D$7:$D$996,"Expense",Transactions!$E$7:$E$996,A10),"")</f>
        <v>0</v>
      </c>
      <c r="E10" s="58">
        <f t="shared" si="1"/>
        <v>90.76923077</v>
      </c>
      <c r="F10" s="58" t="str">
        <f t="shared" si="2"/>
        <v>Unsettled</v>
      </c>
      <c r="G10" s="61"/>
      <c r="H10" s="56"/>
    </row>
    <row r="11" ht="19.5" customHeight="1">
      <c r="A11" s="27" t="str">
        <f>IF(Roster!$A$9&lt;&gt;"",Roster!$A$9,"")</f>
        <v>Dylan Best</v>
      </c>
      <c r="B11" s="27">
        <f t="array" ref="B11">IF(A11&lt;&gt;"",IFERROR(INDEX(Roster!$B$5:$B$204,MATCH(A11,Roster!$A$5:$A$204,0)),0)+IFERROR(SUMPRODUCT((INDEX(Attendance!$B$7:$AY$206,MATCH(A11,Attendance!$A$7:$A$206,0),0)=1)*Attendance!$B$4:$AY$4),0),"")</f>
        <v>90.76923077</v>
      </c>
      <c r="C11" s="60">
        <f>IF(A11&lt;&gt;"",SUMIFS(Transactions!$F$7:$F$996,Transactions!$D$7:$D$996,"Income",Transactions!$E$7:$E$996,A11),"")</f>
        <v>0</v>
      </c>
      <c r="D11" s="60">
        <f>IF(A11&lt;&gt;"",SUMIFS(Transactions!$F$7:$F$996,Transactions!$D$7:$D$996,"Expense",Transactions!$E$7:$E$996,A11),"")</f>
        <v>0</v>
      </c>
      <c r="E11" s="58">
        <f t="shared" si="1"/>
        <v>90.76923077</v>
      </c>
      <c r="F11" s="58" t="str">
        <f t="shared" si="2"/>
        <v>Unsettled</v>
      </c>
      <c r="G11" s="61"/>
      <c r="H11" s="56"/>
    </row>
    <row r="12" ht="19.5" customHeight="1">
      <c r="A12" s="62" t="str">
        <f>IF(Roster!$A$10&lt;&gt;"",Roster!$A$10,"")</f>
        <v>Griffin O'Neal-Freeman</v>
      </c>
      <c r="B12" s="62">
        <f t="array" ref="B12">IF(A12&lt;&gt;"",IFERROR(INDEX(Roster!$B$5:$B$204,MATCH(A12,Roster!$A$5:$A$204,0)),0)+IFERROR(SUMPRODUCT((INDEX(Attendance!$B$7:$AY$206,MATCH(A12,Attendance!$A$7:$A$206,0),0)=1)*Attendance!$B$4:$AY$4),0),"")</f>
        <v>90.76923077</v>
      </c>
      <c r="C12" s="63">
        <f>IF(A12&lt;&gt;"",SUMIFS(Transactions!$F$7:$F$996,Transactions!$D$7:$D$996,"Income",Transactions!$E$7:$E$996,A12),"")</f>
        <v>0</v>
      </c>
      <c r="D12" s="63">
        <f>IF(A12&lt;&gt;"",SUMIFS(Transactions!$F$7:$F$996,Transactions!$D$7:$D$996,"Expense",Transactions!$E$7:$E$996,A12),"")</f>
        <v>0</v>
      </c>
      <c r="E12" s="64">
        <f t="shared" si="1"/>
        <v>90.76923077</v>
      </c>
      <c r="F12" s="64" t="str">
        <f t="shared" si="2"/>
        <v>Unsettled</v>
      </c>
      <c r="G12" s="61"/>
      <c r="H12" s="56"/>
    </row>
    <row r="13" ht="19.5" customHeight="1">
      <c r="A13" s="27" t="str">
        <f>IF(Roster!$A$11&lt;&gt;"",Roster!$A$11,"")</f>
        <v>Haley Young</v>
      </c>
      <c r="B13" s="27">
        <f t="array" ref="B13">IF(A13&lt;&gt;"",IFERROR(INDEX(Roster!$B$5:$B$204,MATCH(A13,Roster!$A$5:$A$204,0)),0)+IFERROR(SUMPRODUCT((INDEX(Attendance!$B$7:$AY$206,MATCH(A13,Attendance!$A$7:$A$206,0),0)=1)*Attendance!$B$4:$AY$4),0),"")</f>
        <v>90.76923077</v>
      </c>
      <c r="C13" s="60">
        <f>IF(A13&lt;&gt;"",SUMIFS(Transactions!$F$7:$F$996,Transactions!$D$7:$D$996,"Income",Transactions!$E$7:$E$996,A13),"")</f>
        <v>0</v>
      </c>
      <c r="D13" s="60">
        <f>IF(A13&lt;&gt;"",SUMIFS(Transactions!$F$7:$F$996,Transactions!$D$7:$D$996,"Expense",Transactions!$E$7:$E$996,A13),"")</f>
        <v>0</v>
      </c>
      <c r="E13" s="58">
        <f t="shared" si="1"/>
        <v>90.76923077</v>
      </c>
      <c r="F13" s="58" t="str">
        <f t="shared" si="2"/>
        <v>Unsettled</v>
      </c>
      <c r="G13" s="61"/>
      <c r="H13" s="56"/>
    </row>
    <row r="14" ht="19.5" customHeight="1">
      <c r="A14" s="62" t="str">
        <f>IF(Roster!$A$12&lt;&gt;"",Roster!$A$12,"")</f>
        <v>Harry Park</v>
      </c>
      <c r="B14" s="62">
        <f t="array" ref="B14">IF(A14&lt;&gt;"",IFERROR(INDEX(Roster!$B$5:$B$204,MATCH(A14,Roster!$A$5:$A$204,0)),0)+IFERROR(SUMPRODUCT((INDEX(Attendance!$B$7:$AY$206,MATCH(A14,Attendance!$A$7:$A$206,0),0)=1)*Attendance!$B$4:$AY$4),0),"")</f>
        <v>90.76923077</v>
      </c>
      <c r="C14" s="63">
        <f>IF(A14&lt;&gt;"",SUMIFS(Transactions!$F$7:$F$996,Transactions!$D$7:$D$996,"Income",Transactions!$E$7:$E$996,A14),"")</f>
        <v>0</v>
      </c>
      <c r="D14" s="63">
        <f>IF(A14&lt;&gt;"",SUMIFS(Transactions!$F$7:$F$996,Transactions!$D$7:$D$996,"Expense",Transactions!$E$7:$E$996,A14),"")</f>
        <v>0</v>
      </c>
      <c r="E14" s="64">
        <f t="shared" si="1"/>
        <v>90.76923077</v>
      </c>
      <c r="F14" s="64" t="str">
        <f t="shared" si="2"/>
        <v>Unsettled</v>
      </c>
      <c r="G14" s="61"/>
      <c r="H14" s="56"/>
    </row>
    <row r="15" ht="19.5" customHeight="1">
      <c r="A15" s="27" t="str">
        <f>IF(Roster!$A$13&lt;&gt;"",Roster!$A$13,"")</f>
        <v>Ian Piper</v>
      </c>
      <c r="B15" s="27">
        <f t="array" ref="B15">IF(A15&lt;&gt;"",IFERROR(INDEX(Roster!$B$5:$B$204,MATCH(A15,Roster!$A$5:$A$204,0)),0)+IFERROR(SUMPRODUCT((INDEX(Attendance!$B$7:$AY$206,MATCH(A15,Attendance!$A$7:$A$206,0),0)=1)*Attendance!$B$4:$AY$4),0),"")</f>
        <v>90.76923077</v>
      </c>
      <c r="C15" s="60">
        <f>IF(A15&lt;&gt;"",SUMIFS(Transactions!$F$7:$F$996,Transactions!$D$7:$D$996,"Income",Transactions!$E$7:$E$996,A15),"")</f>
        <v>0</v>
      </c>
      <c r="D15" s="60">
        <f>IF(A15&lt;&gt;"",SUMIFS(Transactions!$F$7:$F$996,Transactions!$D$7:$D$996,"Expense",Transactions!$E$7:$E$996,A15),"")</f>
        <v>0</v>
      </c>
      <c r="E15" s="58">
        <f t="shared" si="1"/>
        <v>90.76923077</v>
      </c>
      <c r="F15" s="58" t="str">
        <f t="shared" si="2"/>
        <v>Unsettled</v>
      </c>
      <c r="G15" s="61"/>
      <c r="H15" s="56"/>
    </row>
    <row r="16" ht="19.5" customHeight="1">
      <c r="A16" s="62" t="str">
        <f>IF(Roster!$A$14&lt;&gt;"",Roster!$A$14,"")</f>
        <v>Jake Murray</v>
      </c>
      <c r="B16" s="62">
        <f t="array" ref="B16">IF(A16&lt;&gt;"",IFERROR(INDEX(Roster!$B$5:$B$204,MATCH(A16,Roster!$A$5:$A$204,0)),0)+IFERROR(SUMPRODUCT((INDEX(Attendance!$B$7:$AY$206,MATCH(A16,Attendance!$A$7:$A$206,0),0)=1)*Attendance!$B$4:$AY$4),0),"")</f>
        <v>90.76923077</v>
      </c>
      <c r="C16" s="63">
        <f>IF(A16&lt;&gt;"",SUMIFS(Transactions!$F$7:$F$996,Transactions!$D$7:$D$996,"Income",Transactions!$E$7:$E$996,A16),"")</f>
        <v>0</v>
      </c>
      <c r="D16" s="63">
        <f>IF(A16&lt;&gt;"",SUMIFS(Transactions!$F$7:$F$996,Transactions!$D$7:$D$996,"Expense",Transactions!$E$7:$E$996,A16),"")</f>
        <v>2070</v>
      </c>
      <c r="E16" s="64">
        <f t="shared" si="1"/>
        <v>-1979.230769</v>
      </c>
      <c r="F16" s="64" t="str">
        <f t="shared" si="2"/>
        <v>Unsettled</v>
      </c>
      <c r="G16" s="61"/>
      <c r="H16" s="56"/>
    </row>
    <row r="17" ht="19.5" customHeight="1">
      <c r="A17" s="27" t="str">
        <f>IF(Roster!$A$15&lt;&gt;"",Roster!$A$15,"")</f>
        <v>Jenna Nold</v>
      </c>
      <c r="B17" s="27">
        <f t="array" ref="B17">IF(A17&lt;&gt;"",IFERROR(INDEX(Roster!$B$5:$B$204,MATCH(A17,Roster!$A$5:$A$204,0)),0)+IFERROR(SUMPRODUCT((INDEX(Attendance!$B$7:$AY$206,MATCH(A17,Attendance!$A$7:$A$206,0),0)=1)*Attendance!$B$4:$AY$4),0),"")</f>
        <v>90.76923077</v>
      </c>
      <c r="C17" s="60">
        <f>IF(A17&lt;&gt;"",SUMIFS(Transactions!$F$7:$F$996,Transactions!$D$7:$D$996,"Income",Transactions!$E$7:$E$996,A17),"")</f>
        <v>0</v>
      </c>
      <c r="D17" s="60">
        <f>IF(A17&lt;&gt;"",SUMIFS(Transactions!$F$7:$F$996,Transactions!$D$7:$D$996,"Expense",Transactions!$E$7:$E$996,A17),"")</f>
        <v>0</v>
      </c>
      <c r="E17" s="58">
        <f t="shared" si="1"/>
        <v>90.76923077</v>
      </c>
      <c r="F17" s="58" t="str">
        <f t="shared" si="2"/>
        <v>Unsettled</v>
      </c>
      <c r="G17" s="61"/>
      <c r="H17" s="56"/>
    </row>
    <row r="18" ht="19.5" customHeight="1">
      <c r="A18" s="62" t="str">
        <f>IF(Roster!$A$16&lt;&gt;"",Roster!$A$16,"")</f>
        <v>Jimmy Towle</v>
      </c>
      <c r="B18" s="62">
        <f t="array" ref="B18">IF(A18&lt;&gt;"",IFERROR(INDEX(Roster!$B$5:$B$204,MATCH(A18,Roster!$A$5:$A$204,0)),0)+IFERROR(SUMPRODUCT((INDEX(Attendance!$B$7:$AY$206,MATCH(A18,Attendance!$A$7:$A$206,0),0)=1)*Attendance!$B$4:$AY$4),0),"")</f>
        <v>0</v>
      </c>
      <c r="C18" s="63">
        <f>IF(A18&lt;&gt;"",SUMIFS(Transactions!$F$7:$F$996,Transactions!$D$7:$D$996,"Income",Transactions!$E$7:$E$996,A18),"")</f>
        <v>0</v>
      </c>
      <c r="D18" s="63">
        <f>IF(A18&lt;&gt;"",SUMIFS(Transactions!$F$7:$F$996,Transactions!$D$7:$D$996,"Expense",Transactions!$E$7:$E$996,A18),"")</f>
        <v>0</v>
      </c>
      <c r="E18" s="64">
        <f t="shared" si="1"/>
        <v>0</v>
      </c>
      <c r="F18" s="64" t="str">
        <f t="shared" si="2"/>
        <v>Settled</v>
      </c>
      <c r="G18" s="61"/>
      <c r="H18" s="56"/>
    </row>
    <row r="19" ht="19.5" customHeight="1">
      <c r="A19" s="27" t="str">
        <f>IF(Roster!$A$17&lt;&gt;"",Roster!$A$17,"")</f>
        <v>Kailey Rugani</v>
      </c>
      <c r="B19" s="27">
        <f t="array" ref="B19">IF(A19&lt;&gt;"",IFERROR(INDEX(Roster!$B$5:$B$204,MATCH(A19,Roster!$A$5:$A$204,0)),0)+IFERROR(SUMPRODUCT((INDEX(Attendance!$B$7:$AY$206,MATCH(A19,Attendance!$A$7:$A$206,0),0)=1)*Attendance!$B$4:$AY$4),0),"")</f>
        <v>90.76923077</v>
      </c>
      <c r="C19" s="60">
        <f>IF(A19&lt;&gt;"",SUMIFS(Transactions!$F$7:$F$996,Transactions!$D$7:$D$996,"Income",Transactions!$E$7:$E$996,A19),"")</f>
        <v>0</v>
      </c>
      <c r="D19" s="60">
        <f>IF(A19&lt;&gt;"",SUMIFS(Transactions!$F$7:$F$996,Transactions!$D$7:$D$996,"Expense",Transactions!$E$7:$E$996,A19),"")</f>
        <v>0</v>
      </c>
      <c r="E19" s="58">
        <f t="shared" si="1"/>
        <v>90.76923077</v>
      </c>
      <c r="F19" s="58" t="str">
        <f t="shared" si="2"/>
        <v>Unsettled</v>
      </c>
      <c r="G19" s="61"/>
      <c r="H19" s="56"/>
    </row>
    <row r="20" ht="19.5" customHeight="1">
      <c r="A20" s="62" t="str">
        <f>IF(Roster!$A$18&lt;&gt;"",Roster!$A$18,"")</f>
        <v>Kasey Schock</v>
      </c>
      <c r="B20" s="62">
        <f t="array" ref="B20">IF(A20&lt;&gt;"",IFERROR(INDEX(Roster!$B$5:$B$204,MATCH(A20,Roster!$A$5:$A$204,0)),0)+IFERROR(SUMPRODUCT((INDEX(Attendance!$B$7:$AY$206,MATCH(A20,Attendance!$A$7:$A$206,0),0)=1)*Attendance!$B$4:$AY$4),0),"")</f>
        <v>90.76923077</v>
      </c>
      <c r="C20" s="63">
        <f>IF(A20&lt;&gt;"",SUMIFS(Transactions!$F$7:$F$996,Transactions!$D$7:$D$996,"Income",Transactions!$E$7:$E$996,A20),"")</f>
        <v>0</v>
      </c>
      <c r="D20" s="63">
        <f>IF(A20&lt;&gt;"",SUMIFS(Transactions!$F$7:$F$996,Transactions!$D$7:$D$996,"Expense",Transactions!$E$7:$E$996,A20),"")</f>
        <v>0</v>
      </c>
      <c r="E20" s="64">
        <f t="shared" si="1"/>
        <v>90.76923077</v>
      </c>
      <c r="F20" s="64" t="str">
        <f t="shared" si="2"/>
        <v>Unsettled</v>
      </c>
      <c r="G20" s="61"/>
      <c r="H20" s="56"/>
    </row>
    <row r="21" ht="19.5" customHeight="1">
      <c r="A21" s="27" t="str">
        <f>IF(Roster!$A$19&lt;&gt;"",Roster!$A$19,"")</f>
        <v>Kevin Nicholl</v>
      </c>
      <c r="B21" s="27">
        <f t="array" ref="B21">IF(A21&lt;&gt;"",IFERROR(INDEX(Roster!$B$5:$B$204,MATCH(A21,Roster!$A$5:$A$204,0)),0)+IFERROR(SUMPRODUCT((INDEX(Attendance!$B$7:$AY$206,MATCH(A21,Attendance!$A$7:$A$206,0),0)=1)*Attendance!$B$4:$AY$4),0),"")</f>
        <v>90.76923077</v>
      </c>
      <c r="C21" s="60">
        <f>IF(A21&lt;&gt;"",SUMIFS(Transactions!$F$7:$F$996,Transactions!$D$7:$D$996,"Income",Transactions!$E$7:$E$996,A21),"")</f>
        <v>0</v>
      </c>
      <c r="D21" s="60">
        <f>IF(A21&lt;&gt;"",SUMIFS(Transactions!$F$7:$F$996,Transactions!$D$7:$D$996,"Expense",Transactions!$E$7:$E$996,A21),"")</f>
        <v>0</v>
      </c>
      <c r="E21" s="58">
        <f t="shared" si="1"/>
        <v>90.76923077</v>
      </c>
      <c r="F21" s="58" t="str">
        <f t="shared" si="2"/>
        <v>Unsettled</v>
      </c>
      <c r="G21" s="61"/>
      <c r="H21" s="56"/>
    </row>
    <row r="22" ht="19.5" customHeight="1">
      <c r="A22" s="62" t="str">
        <f>IF(Roster!$A$20&lt;&gt;"",Roster!$A$20,"")</f>
        <v>Kit Asterin</v>
      </c>
      <c r="B22" s="62">
        <f t="array" ref="B22">IF(A22&lt;&gt;"",IFERROR(INDEX(Roster!$B$5:$B$204,MATCH(A22,Roster!$A$5:$A$204,0)),0)+IFERROR(SUMPRODUCT((INDEX(Attendance!$B$7:$AY$206,MATCH(A22,Attendance!$A$7:$A$206,0),0)=1)*Attendance!$B$4:$AY$4),0),"")</f>
        <v>90.76923077</v>
      </c>
      <c r="C22" s="63">
        <f>IF(A22&lt;&gt;"",SUMIFS(Transactions!$F$7:$F$996,Transactions!$D$7:$D$996,"Income",Transactions!$E$7:$E$996,A22),"")</f>
        <v>0</v>
      </c>
      <c r="D22" s="63">
        <f>IF(A22&lt;&gt;"",SUMIFS(Transactions!$F$7:$F$996,Transactions!$D$7:$D$996,"Expense",Transactions!$E$7:$E$996,A22),"")</f>
        <v>0</v>
      </c>
      <c r="E22" s="64">
        <f t="shared" si="1"/>
        <v>90.76923077</v>
      </c>
      <c r="F22" s="64" t="str">
        <f t="shared" si="2"/>
        <v>Unsettled</v>
      </c>
      <c r="G22" s="61"/>
      <c r="H22" s="56"/>
    </row>
    <row r="23" ht="19.5" customHeight="1">
      <c r="A23" s="27" t="str">
        <f>IF(Roster!$A$21&lt;&gt;"",Roster!$A$21,"")</f>
        <v>Kristin Dudley</v>
      </c>
      <c r="B23" s="27">
        <f t="array" ref="B23">IF(A23&lt;&gt;"",IFERROR(INDEX(Roster!$B$5:$B$204,MATCH(A23,Roster!$A$5:$A$204,0)),0)+IFERROR(SUMPRODUCT((INDEX(Attendance!$B$7:$AY$206,MATCH(A23,Attendance!$A$7:$A$206,0),0)=1)*Attendance!$B$4:$AY$4),0),"")</f>
        <v>90.76923077</v>
      </c>
      <c r="C23" s="60">
        <f>IF(A23&lt;&gt;"",SUMIFS(Transactions!$F$7:$F$996,Transactions!$D$7:$D$996,"Income",Transactions!$E$7:$E$996,A23),"")</f>
        <v>0</v>
      </c>
      <c r="D23" s="60">
        <f>IF(A23&lt;&gt;"",SUMIFS(Transactions!$F$7:$F$996,Transactions!$D$7:$D$996,"Expense",Transactions!$E$7:$E$996,A23),"")</f>
        <v>0</v>
      </c>
      <c r="E23" s="58">
        <f t="shared" si="1"/>
        <v>90.76923077</v>
      </c>
      <c r="F23" s="58" t="str">
        <f t="shared" si="2"/>
        <v>Unsettled</v>
      </c>
      <c r="G23" s="61"/>
      <c r="H23" s="56"/>
    </row>
    <row r="24" ht="19.5" customHeight="1">
      <c r="A24" s="62" t="str">
        <f>IF(Roster!$A$22&lt;&gt;"",Roster!$A$22,"")</f>
        <v>Lexie Thomas</v>
      </c>
      <c r="B24" s="62">
        <f t="array" ref="B24">IF(A24&lt;&gt;"",IFERROR(INDEX(Roster!$B$5:$B$204,MATCH(A24,Roster!$A$5:$A$204,0)),0)+IFERROR(SUMPRODUCT((INDEX(Attendance!$B$7:$AY$206,MATCH(A24,Attendance!$A$7:$A$206,0),0)=1)*Attendance!$B$4:$AY$4),0),"")</f>
        <v>90.76923077</v>
      </c>
      <c r="C24" s="63">
        <f>IF(A24&lt;&gt;"",SUMIFS(Transactions!$F$7:$F$996,Transactions!$D$7:$D$996,"Income",Transactions!$E$7:$E$996,A24),"")</f>
        <v>0</v>
      </c>
      <c r="D24" s="63">
        <f>IF(A24&lt;&gt;"",SUMIFS(Transactions!$F$7:$F$996,Transactions!$D$7:$D$996,"Expense",Transactions!$E$7:$E$996,A24),"")</f>
        <v>0</v>
      </c>
      <c r="E24" s="64">
        <f t="shared" si="1"/>
        <v>90.76923077</v>
      </c>
      <c r="F24" s="64" t="str">
        <f t="shared" si="2"/>
        <v>Unsettled</v>
      </c>
      <c r="G24" s="61"/>
      <c r="H24" s="56"/>
    </row>
    <row r="25" ht="19.5" customHeight="1">
      <c r="A25" s="27" t="str">
        <f>IF(Roster!$A$23&lt;&gt;"",Roster!$A$23,"")</f>
        <v>Lucas Jones</v>
      </c>
      <c r="B25" s="27">
        <f t="array" ref="B25">IF(A25&lt;&gt;"",IFERROR(INDEX(Roster!$B$5:$B$204,MATCH(A25,Roster!$A$5:$A$204,0)),0)+IFERROR(SUMPRODUCT((INDEX(Attendance!$B$7:$AY$206,MATCH(A25,Attendance!$A$7:$A$206,0),0)=1)*Attendance!$B$4:$AY$4),0),"")</f>
        <v>0</v>
      </c>
      <c r="C25" s="60">
        <f>IF(A25&lt;&gt;"",SUMIFS(Transactions!$F$7:$F$996,Transactions!$D$7:$D$996,"Income",Transactions!$E$7:$E$996,A25),"")</f>
        <v>0</v>
      </c>
      <c r="D25" s="60">
        <f>IF(A25&lt;&gt;"",SUMIFS(Transactions!$F$7:$F$996,Transactions!$D$7:$D$996,"Expense",Transactions!$E$7:$E$996,A25),"")</f>
        <v>0</v>
      </c>
      <c r="E25" s="58">
        <f t="shared" si="1"/>
        <v>0</v>
      </c>
      <c r="F25" s="58" t="str">
        <f t="shared" si="2"/>
        <v>Settled</v>
      </c>
      <c r="G25" s="61"/>
      <c r="H25" s="56"/>
    </row>
    <row r="26" ht="19.5" customHeight="1">
      <c r="A26" s="62" t="str">
        <f>IF(Roster!$A$24&lt;&gt;"",Roster!$A$24,"")</f>
        <v>Lucius Christie</v>
      </c>
      <c r="B26" s="62">
        <f t="array" ref="B26">IF(A26&lt;&gt;"",IFERROR(INDEX(Roster!$B$5:$B$204,MATCH(A26,Roster!$A$5:$A$204,0)),0)+IFERROR(SUMPRODUCT((INDEX(Attendance!$B$7:$AY$206,MATCH(A26,Attendance!$A$7:$A$206,0),0)=1)*Attendance!$B$4:$AY$4),0),"")</f>
        <v>90.76923077</v>
      </c>
      <c r="C26" s="63">
        <f>IF(A26&lt;&gt;"",SUMIFS(Transactions!$F$7:$F$996,Transactions!$D$7:$D$996,"Income",Transactions!$E$7:$E$996,A26),"")</f>
        <v>0</v>
      </c>
      <c r="D26" s="63">
        <f>IF(A26&lt;&gt;"",SUMIFS(Transactions!$F$7:$F$996,Transactions!$D$7:$D$996,"Expense",Transactions!$E$7:$E$996,A26),"")</f>
        <v>0</v>
      </c>
      <c r="E26" s="64">
        <f t="shared" si="1"/>
        <v>90.76923077</v>
      </c>
      <c r="F26" s="64" t="str">
        <f t="shared" si="2"/>
        <v>Unsettled</v>
      </c>
      <c r="G26" s="61"/>
      <c r="H26" s="56"/>
    </row>
    <row r="27" ht="19.5" customHeight="1">
      <c r="A27" s="27" t="str">
        <f>IF(Roster!$A$25&lt;&gt;"",Roster!$A$25,"")</f>
        <v>Patrick McMullen</v>
      </c>
      <c r="B27" s="27">
        <f t="array" ref="B27">IF(A27&lt;&gt;"",IFERROR(INDEX(Roster!$B$5:$B$204,MATCH(A27,Roster!$A$5:$A$204,0)),0)+IFERROR(SUMPRODUCT((INDEX(Attendance!$B$7:$AY$206,MATCH(A27,Attendance!$A$7:$A$206,0),0)=1)*Attendance!$B$4:$AY$4),0),"")</f>
        <v>90.76923077</v>
      </c>
      <c r="C27" s="60">
        <f>IF(A27&lt;&gt;"",SUMIFS(Transactions!$F$7:$F$996,Transactions!$D$7:$D$996,"Income",Transactions!$E$7:$E$996,A27),"")</f>
        <v>0</v>
      </c>
      <c r="D27" s="60">
        <f>IF(A27&lt;&gt;"",SUMIFS(Transactions!$F$7:$F$996,Transactions!$D$7:$D$996,"Expense",Transactions!$E$7:$E$996,A27),"")</f>
        <v>0</v>
      </c>
      <c r="E27" s="58">
        <f t="shared" si="1"/>
        <v>90.76923077</v>
      </c>
      <c r="F27" s="58" t="str">
        <f t="shared" si="2"/>
        <v>Unsettled</v>
      </c>
      <c r="G27" s="61"/>
      <c r="H27" s="56"/>
    </row>
    <row r="28" ht="19.5" customHeight="1">
      <c r="A28" s="62" t="str">
        <f>IF(Roster!$A$26&lt;&gt;"",Roster!$A$26,"")</f>
        <v>Rachel Graber</v>
      </c>
      <c r="B28" s="62">
        <f t="array" ref="B28">IF(A28&lt;&gt;"",IFERROR(INDEX(Roster!$B$5:$B$204,MATCH(A28,Roster!$A$5:$A$204,0)),0)+IFERROR(SUMPRODUCT((INDEX(Attendance!$B$7:$AY$206,MATCH(A28,Attendance!$A$7:$A$206,0),0)=1)*Attendance!$B$4:$AY$4),0),"")</f>
        <v>90.76923077</v>
      </c>
      <c r="C28" s="63">
        <f>IF(A28&lt;&gt;"",SUMIFS(Transactions!$F$7:$F$996,Transactions!$D$7:$D$996,"Income",Transactions!$E$7:$E$996,A28),"")</f>
        <v>0</v>
      </c>
      <c r="D28" s="63">
        <f>IF(A28&lt;&gt;"",SUMIFS(Transactions!$F$7:$F$996,Transactions!$D$7:$D$996,"Expense",Transactions!$E$7:$E$996,A28),"")</f>
        <v>0</v>
      </c>
      <c r="E28" s="64">
        <f t="shared" si="1"/>
        <v>90.76923077</v>
      </c>
      <c r="F28" s="64" t="str">
        <f t="shared" si="2"/>
        <v>Unsettled</v>
      </c>
      <c r="G28" s="61"/>
      <c r="H28" s="56"/>
    </row>
    <row r="29" ht="19.5" customHeight="1">
      <c r="A29" s="27" t="str">
        <f>IF(Roster!$A$27&lt;&gt;"",Roster!$A$27,"")</f>
        <v>Ryan Kindell</v>
      </c>
      <c r="B29" s="27">
        <f t="array" ref="B29">IF(A29&lt;&gt;"",IFERROR(INDEX(Roster!$B$5:$B$204,MATCH(A29,Roster!$A$5:$A$204,0)),0)+IFERROR(SUMPRODUCT((INDEX(Attendance!$B$7:$AY$206,MATCH(A29,Attendance!$A$7:$A$206,0),0)=1)*Attendance!$B$4:$AY$4),0),"")</f>
        <v>90.76923077</v>
      </c>
      <c r="C29" s="60">
        <f>IF(A29&lt;&gt;"",SUMIFS(Transactions!$F$7:$F$996,Transactions!$D$7:$D$996,"Income",Transactions!$E$7:$E$996,A29),"")</f>
        <v>0</v>
      </c>
      <c r="D29" s="60">
        <f>IF(A29&lt;&gt;"",SUMIFS(Transactions!$F$7:$F$996,Transactions!$D$7:$D$996,"Expense",Transactions!$E$7:$E$996,A29),"")</f>
        <v>0</v>
      </c>
      <c r="E29" s="58">
        <f t="shared" si="1"/>
        <v>90.76923077</v>
      </c>
      <c r="F29" s="58" t="str">
        <f t="shared" si="2"/>
        <v>Unsettled</v>
      </c>
      <c r="G29" s="61"/>
      <c r="H29" s="56"/>
    </row>
    <row r="30" ht="19.5" customHeight="1">
      <c r="A30" s="62" t="str">
        <f>IF(Roster!$A$28&lt;&gt;"",Roster!$A$28,"")</f>
        <v>Ryan Ward</v>
      </c>
      <c r="B30" s="62">
        <f t="array" ref="B30">IF(A30&lt;&gt;"",IFERROR(INDEX(Roster!$B$5:$B$204,MATCH(A30,Roster!$A$5:$A$204,0)),0)+IFERROR(SUMPRODUCT((INDEX(Attendance!$B$7:$AY$206,MATCH(A30,Attendance!$A$7:$A$206,0),0)=1)*Attendance!$B$4:$AY$4),0),"")</f>
        <v>90.76923077</v>
      </c>
      <c r="C30" s="63">
        <f>IF(A30&lt;&gt;"",SUMIFS(Transactions!$F$7:$F$996,Transactions!$D$7:$D$996,"Income",Transactions!$E$7:$E$996,A30),"")</f>
        <v>0</v>
      </c>
      <c r="D30" s="63">
        <f>IF(A30&lt;&gt;"",SUMIFS(Transactions!$F$7:$F$996,Transactions!$D$7:$D$996,"Expense",Transactions!$E$7:$E$996,A30),"")</f>
        <v>0</v>
      </c>
      <c r="E30" s="64">
        <f t="shared" si="1"/>
        <v>90.76923077</v>
      </c>
      <c r="F30" s="64" t="str">
        <f t="shared" si="2"/>
        <v>Unsettled</v>
      </c>
      <c r="G30" s="61"/>
      <c r="H30" s="56"/>
    </row>
    <row r="31" ht="19.5" customHeight="1">
      <c r="A31" s="27" t="str">
        <f>IF(Roster!$A$29&lt;&gt;"",Roster!$A$29,"")</f>
        <v>Sam Gombiner</v>
      </c>
      <c r="B31" s="27">
        <f t="array" ref="B31">IF(A31&lt;&gt;"",IFERROR(INDEX(Roster!$B$5:$B$204,MATCH(A31,Roster!$A$5:$A$204,0)),0)+IFERROR(SUMPRODUCT((INDEX(Attendance!$B$7:$AY$206,MATCH(A31,Attendance!$A$7:$A$206,0),0)=1)*Attendance!$B$4:$AY$4),0),"")</f>
        <v>0</v>
      </c>
      <c r="C31" s="60">
        <f>IF(A31&lt;&gt;"",SUMIFS(Transactions!$F$7:$F$996,Transactions!$D$7:$D$996,"Income",Transactions!$E$7:$E$996,A31),"")</f>
        <v>0</v>
      </c>
      <c r="D31" s="60">
        <f>IF(A31&lt;&gt;"",SUMIFS(Transactions!$F$7:$F$996,Transactions!$D$7:$D$996,"Expense",Transactions!$E$7:$E$996,A31),"")</f>
        <v>0</v>
      </c>
      <c r="E31" s="58">
        <f t="shared" si="1"/>
        <v>0</v>
      </c>
      <c r="F31" s="58" t="str">
        <f t="shared" si="2"/>
        <v>Settled</v>
      </c>
      <c r="G31" s="61"/>
      <c r="H31" s="56"/>
    </row>
    <row r="32" ht="19.5" customHeight="1">
      <c r="A32" s="62" t="str">
        <f>IF(Roster!$A$30&lt;&gt;"",Roster!$A$30,"")</f>
        <v>Sarah Kingsley-Hart</v>
      </c>
      <c r="B32" s="62">
        <f t="array" ref="B32">IF(A32&lt;&gt;"",IFERROR(INDEX(Roster!$B$5:$B$204,MATCH(A32,Roster!$A$5:$A$204,0)),0)+IFERROR(SUMPRODUCT((INDEX(Attendance!$B$7:$AY$206,MATCH(A32,Attendance!$A$7:$A$206,0),0)=1)*Attendance!$B$4:$AY$4),0),"")</f>
        <v>90.76923077</v>
      </c>
      <c r="C32" s="63">
        <f>IF(A32&lt;&gt;"",SUMIFS(Transactions!$F$7:$F$996,Transactions!$D$7:$D$996,"Income",Transactions!$E$7:$E$996,A32),"")</f>
        <v>0</v>
      </c>
      <c r="D32" s="63">
        <f>IF(A32&lt;&gt;"",SUMIFS(Transactions!$F$7:$F$996,Transactions!$D$7:$D$996,"Expense",Transactions!$E$7:$E$996,A32),"")</f>
        <v>0</v>
      </c>
      <c r="E32" s="64">
        <f t="shared" si="1"/>
        <v>90.76923077</v>
      </c>
      <c r="F32" s="64" t="str">
        <f t="shared" si="2"/>
        <v>Unsettled</v>
      </c>
      <c r="G32" s="61"/>
      <c r="H32" s="56"/>
    </row>
    <row r="33" ht="19.5" customHeight="1">
      <c r="A33" s="27" t="str">
        <f>IF(Roster!$A$31&lt;&gt;"",Roster!$A$31,"")</f>
        <v>Sarah Lynch</v>
      </c>
      <c r="B33" s="27">
        <f t="array" ref="B33">IF(A33&lt;&gt;"",IFERROR(INDEX(Roster!$B$5:$B$204,MATCH(A33,Roster!$A$5:$A$204,0)),0)+IFERROR(SUMPRODUCT((INDEX(Attendance!$B$7:$AY$206,MATCH(A33,Attendance!$A$7:$A$206,0),0)=1)*Attendance!$B$4:$AY$4),0),"")</f>
        <v>90.76923077</v>
      </c>
      <c r="C33" s="60">
        <f>IF(A33&lt;&gt;"",SUMIFS(Transactions!$F$7:$F$996,Transactions!$D$7:$D$996,"Income",Transactions!$E$7:$E$996,A33),"")</f>
        <v>0</v>
      </c>
      <c r="D33" s="60">
        <f>IF(A33&lt;&gt;"",SUMIFS(Transactions!$F$7:$F$996,Transactions!$D$7:$D$996,"Expense",Transactions!$E$7:$E$996,A33),"")</f>
        <v>0</v>
      </c>
      <c r="E33" s="58">
        <f t="shared" si="1"/>
        <v>90.76923077</v>
      </c>
      <c r="F33" s="58" t="str">
        <f t="shared" si="2"/>
        <v>Unsettled</v>
      </c>
      <c r="G33" s="61"/>
      <c r="H33" s="56"/>
    </row>
    <row r="34" ht="19.5" customHeight="1">
      <c r="A34" s="62" t="str">
        <f>IF(Roster!$A$32&lt;&gt;"",Roster!$A$32,"")</f>
        <v>Shani Rosenthal</v>
      </c>
      <c r="B34" s="62">
        <f t="array" ref="B34">IF(A34&lt;&gt;"",IFERROR(INDEX(Roster!$B$5:$B$204,MATCH(A34,Roster!$A$5:$A$204,0)),0)+IFERROR(SUMPRODUCT((INDEX(Attendance!$B$7:$AY$206,MATCH(A34,Attendance!$A$7:$A$206,0),0)=1)*Attendance!$B$4:$AY$4),0),"")</f>
        <v>90.76923077</v>
      </c>
      <c r="C34" s="63">
        <f>IF(A34&lt;&gt;"",SUMIFS(Transactions!$F$7:$F$996,Transactions!$D$7:$D$996,"Income",Transactions!$E$7:$E$996,A34),"")</f>
        <v>0</v>
      </c>
      <c r="D34" s="63">
        <f>IF(A34&lt;&gt;"",SUMIFS(Transactions!$F$7:$F$996,Transactions!$D$7:$D$996,"Expense",Transactions!$E$7:$E$996,A34),"")</f>
        <v>0</v>
      </c>
      <c r="E34" s="64">
        <f t="shared" si="1"/>
        <v>90.76923077</v>
      </c>
      <c r="F34" s="64" t="str">
        <f t="shared" si="2"/>
        <v>Unsettled</v>
      </c>
      <c r="G34" s="61"/>
      <c r="H34" s="56"/>
    </row>
    <row r="35" ht="19.5" customHeight="1">
      <c r="A35" s="27" t="str">
        <f>IF(Roster!$A$33&lt;&gt;"",Roster!$A$33,"")</f>
        <v>Vivian Shen</v>
      </c>
      <c r="B35" s="27">
        <f t="array" ref="B35">IF(A35&lt;&gt;"",IFERROR(INDEX(Roster!$B$5:$B$204,MATCH(A35,Roster!$A$5:$A$204,0)),0)+IFERROR(SUMPRODUCT((INDEX(Attendance!$B$7:$AY$206,MATCH(A35,Attendance!$A$7:$A$206,0),0)=1)*Attendance!$B$4:$AY$4),0),"")</f>
        <v>90.76923077</v>
      </c>
      <c r="C35" s="60">
        <f>IF(A35&lt;&gt;"",SUMIFS(Transactions!$F$7:$F$996,Transactions!$D$7:$D$996,"Income",Transactions!$E$7:$E$996,A35),"")</f>
        <v>0</v>
      </c>
      <c r="D35" s="60">
        <f>IF(A35&lt;&gt;"",SUMIFS(Transactions!$F$7:$F$996,Transactions!$D$7:$D$996,"Expense",Transactions!$E$7:$E$996,A35),"")</f>
        <v>0</v>
      </c>
      <c r="E35" s="58">
        <f t="shared" si="1"/>
        <v>90.76923077</v>
      </c>
      <c r="F35" s="58" t="str">
        <f t="shared" si="2"/>
        <v>Unsettled</v>
      </c>
      <c r="G35" s="61"/>
      <c r="H35" s="56"/>
    </row>
    <row r="36" ht="19.5" customHeight="1">
      <c r="A36" s="62" t="str">
        <f>IF(Roster!$A$34&lt;&gt;"",Roster!$A$34,"")</f>
        <v>Zach Esakof</v>
      </c>
      <c r="B36" s="62">
        <f t="array" ref="B36">IF(A36&lt;&gt;"",IFERROR(INDEX(Roster!$B$5:$B$204,MATCH(A36,Roster!$A$5:$A$204,0)),0)+IFERROR(SUMPRODUCT((INDEX(Attendance!$B$7:$AY$206,MATCH(A36,Attendance!$A$7:$A$206,0),0)=1)*Attendance!$B$4:$AY$4),0),"")</f>
        <v>0</v>
      </c>
      <c r="C36" s="63">
        <f>IF(A36&lt;&gt;"",SUMIFS(Transactions!$F$7:$F$996,Transactions!$D$7:$D$996,"Income",Transactions!$E$7:$E$996,A36),"")</f>
        <v>0</v>
      </c>
      <c r="D36" s="63">
        <f>IF(A36&lt;&gt;"",SUMIFS(Transactions!$F$7:$F$996,Transactions!$D$7:$D$996,"Expense",Transactions!$E$7:$E$996,A36),"")</f>
        <v>0</v>
      </c>
      <c r="E36" s="64">
        <f t="shared" si="1"/>
        <v>0</v>
      </c>
      <c r="F36" s="64" t="str">
        <f t="shared" si="2"/>
        <v>Settled</v>
      </c>
      <c r="G36" s="61"/>
      <c r="H36" s="56"/>
    </row>
    <row r="37" ht="19.5" customHeight="1">
      <c r="A37" s="27" t="str">
        <f>IF(Roster!$A$35&lt;&gt;"",Roster!$A$35,"")</f>
        <v>Annette Kukunas-Piper</v>
      </c>
      <c r="B37" s="27">
        <f t="array" ref="B37">IF(A37&lt;&gt;"",IFERROR(INDEX(Roster!$B$5:$B$204,MATCH(A37,Roster!$A$5:$A$204,0)),0)+IFERROR(SUMPRODUCT((INDEX(Attendance!$B$7:$AY$206,MATCH(A37,Attendance!$A$7:$A$206,0),0)=1)*Attendance!$B$4:$AY$4),0),"")</f>
        <v>0</v>
      </c>
      <c r="C37" s="60">
        <f>IF(A37&lt;&gt;"",SUMIFS(Transactions!$F$7:$F$996,Transactions!$D$7:$D$996,"Income",Transactions!$E$7:$E$996,A37),"")</f>
        <v>0</v>
      </c>
      <c r="D37" s="60">
        <f>IF(A37&lt;&gt;"",SUMIFS(Transactions!$F$7:$F$996,Transactions!$D$7:$D$996,"Expense",Transactions!$E$7:$E$996,A37),"")</f>
        <v>0</v>
      </c>
      <c r="E37" s="58">
        <f t="shared" si="1"/>
        <v>0</v>
      </c>
      <c r="F37" s="58" t="str">
        <f t="shared" si="2"/>
        <v>Settled</v>
      </c>
      <c r="G37" s="61"/>
      <c r="H37" s="56"/>
    </row>
    <row r="38" ht="19.5" customHeight="1">
      <c r="A38" s="62" t="str">
        <f>IF(Roster!$A$36&lt;&gt;"",Roster!$A$36,"")</f>
        <v>Matt Duffy</v>
      </c>
      <c r="B38" s="62">
        <f t="array" ref="B38">IF(A38&lt;&gt;"",IFERROR(INDEX(Roster!$B$5:$B$204,MATCH(A38,Roster!$A$5:$A$204,0)),0)+IFERROR(SUMPRODUCT((INDEX(Attendance!$B$7:$AY$206,MATCH(A38,Attendance!$A$7:$A$206,0),0)=1)*Attendance!$B$4:$AY$4),0),"")</f>
        <v>0</v>
      </c>
      <c r="C38" s="63">
        <f>IF(A38&lt;&gt;"",SUMIFS(Transactions!$F$7:$F$996,Transactions!$D$7:$D$996,"Income",Transactions!$E$7:$E$996,A38),"")</f>
        <v>0</v>
      </c>
      <c r="D38" s="63">
        <f>IF(A38&lt;&gt;"",SUMIFS(Transactions!$F$7:$F$996,Transactions!$D$7:$D$996,"Expense",Transactions!$E$7:$E$996,A38),"")</f>
        <v>0</v>
      </c>
      <c r="E38" s="64">
        <f t="shared" si="1"/>
        <v>0</v>
      </c>
      <c r="F38" s="64" t="str">
        <f t="shared" si="2"/>
        <v>Settled</v>
      </c>
      <c r="G38" s="61"/>
      <c r="H38" s="56"/>
    </row>
    <row r="39" ht="19.5" customHeight="1">
      <c r="A39" s="27" t="str">
        <f>IF(Roster!$A$37&lt;&gt;"",Roster!$A$37,"")</f>
        <v>Ryan Birchard</v>
      </c>
      <c r="B39" s="27">
        <f t="array" ref="B39">IF(A39&lt;&gt;"",IFERROR(INDEX(Roster!$B$5:$B$204,MATCH(A39,Roster!$A$5:$A$204,0)),0)+IFERROR(SUMPRODUCT((INDEX(Attendance!$B$7:$AY$206,MATCH(A39,Attendance!$A$7:$A$206,0),0)=1)*Attendance!$B$4:$AY$4),0),"")</f>
        <v>0</v>
      </c>
      <c r="C39" s="60">
        <f>IF(A39&lt;&gt;"",SUMIFS(Transactions!$F$7:$F$996,Transactions!$D$7:$D$996,"Income",Transactions!$E$7:$E$996,A39),"")</f>
        <v>0</v>
      </c>
      <c r="D39" s="60">
        <f>IF(A39&lt;&gt;"",SUMIFS(Transactions!$F$7:$F$996,Transactions!$D$7:$D$996,"Expense",Transactions!$E$7:$E$996,A39),"")</f>
        <v>0</v>
      </c>
      <c r="E39" s="58">
        <f t="shared" si="1"/>
        <v>0</v>
      </c>
      <c r="F39" s="58" t="str">
        <f t="shared" si="2"/>
        <v>Settled</v>
      </c>
      <c r="G39" s="61"/>
      <c r="H39" s="56"/>
    </row>
    <row r="40" ht="19.5" customHeight="1">
      <c r="A40" s="62" t="str">
        <f>IF(Roster!$A$38&lt;&gt;"",Roster!$A$38,"")</f>
        <v>Nick Blair</v>
      </c>
      <c r="B40" s="62">
        <f t="array" ref="B40">IF(A40&lt;&gt;"",IFERROR(INDEX(Roster!$B$5:$B$204,MATCH(A40,Roster!$A$5:$A$204,0)),0)+IFERROR(SUMPRODUCT((INDEX(Attendance!$B$7:$AY$206,MATCH(A40,Attendance!$A$7:$A$206,0),0)=1)*Attendance!$B$4:$AY$4),0),"")</f>
        <v>0</v>
      </c>
      <c r="C40" s="63">
        <f>IF(A40&lt;&gt;"",SUMIFS(Transactions!$F$7:$F$996,Transactions!$D$7:$D$996,"Income",Transactions!$E$7:$E$996,A40),"")</f>
        <v>0</v>
      </c>
      <c r="D40" s="63">
        <f>IF(A40&lt;&gt;"",SUMIFS(Transactions!$F$7:$F$996,Transactions!$D$7:$D$996,"Expense",Transactions!$E$7:$E$996,A40),"")</f>
        <v>0</v>
      </c>
      <c r="E40" s="64">
        <f t="shared" si="1"/>
        <v>0</v>
      </c>
      <c r="F40" s="64" t="str">
        <f t="shared" si="2"/>
        <v>Settled</v>
      </c>
      <c r="G40" s="61"/>
      <c r="H40" s="56"/>
    </row>
    <row r="41" ht="19.5" customHeight="1">
      <c r="A41" s="27" t="str">
        <f>IF(Roster!$A$39&lt;&gt;"",Roster!$A$39,"")</f>
        <v/>
      </c>
      <c r="B41" s="27" t="str">
        <f t="array" ref="B41">IF(A41&lt;&gt;"",IFERROR(INDEX(Roster!$B$5:$B$204,MATCH(A41,Roster!$A$5:$A$204,0)),0)+IFERROR(SUMPRODUCT((INDEX(Attendance!$B$7:$AY$206,MATCH(A41,Attendance!$A$7:$A$206,0),0)=1)*Attendance!$B$4:$AY$4),0),"")</f>
        <v/>
      </c>
      <c r="C41" s="60" t="str">
        <f>IF(A41&lt;&gt;"",SUMIFS(Transactions!$F$7:$F$996,Transactions!$D$7:$D$996,"Income",Transactions!$E$7:$E$996,A41),"")</f>
        <v/>
      </c>
      <c r="D41" s="60" t="str">
        <f>IF(A41&lt;&gt;"",SUMIFS(Transactions!$F$7:$F$996,Transactions!$D$7:$D$996,"Expense",Transactions!$E$7:$E$996,A41),"")</f>
        <v/>
      </c>
      <c r="E41" s="58" t="str">
        <f t="shared" si="1"/>
        <v/>
      </c>
      <c r="F41" s="58" t="str">
        <f t="shared" si="2"/>
        <v/>
      </c>
      <c r="G41" s="61"/>
      <c r="H41" s="56"/>
    </row>
    <row r="42" ht="19.5" customHeight="1">
      <c r="A42" s="62" t="str">
        <f>IF(Roster!$A$40&lt;&gt;"",Roster!$A$40,"")</f>
        <v/>
      </c>
      <c r="B42" s="62" t="str">
        <f t="array" ref="B42">IF(A42&lt;&gt;"",IFERROR(INDEX(Roster!$B$5:$B$204,MATCH(A42,Roster!$A$5:$A$204,0)),0)+IFERROR(SUMPRODUCT((INDEX(Attendance!$B$7:$AY$206,MATCH(A42,Attendance!$A$7:$A$206,0),0)=1)*Attendance!$B$4:$AY$4),0),"")</f>
        <v/>
      </c>
      <c r="C42" s="63" t="str">
        <f>IF(A42&lt;&gt;"",SUMIFS(Transactions!$F$7:$F$996,Transactions!$D$7:$D$996,"Income",Transactions!$E$7:$E$996,A42),"")</f>
        <v/>
      </c>
      <c r="D42" s="63" t="str">
        <f>IF(A42&lt;&gt;"",SUMIFS(Transactions!$F$7:$F$996,Transactions!$D$7:$D$996,"Expense",Transactions!$E$7:$E$996,A42),"")</f>
        <v/>
      </c>
      <c r="E42" s="64" t="str">
        <f t="shared" si="1"/>
        <v/>
      </c>
      <c r="F42" s="64" t="str">
        <f t="shared" si="2"/>
        <v/>
      </c>
      <c r="G42" s="61"/>
      <c r="H42" s="56"/>
    </row>
    <row r="43" ht="19.5" customHeight="1">
      <c r="A43" s="27" t="str">
        <f>IF(Roster!$A$41&lt;&gt;"",Roster!$A$41,"")</f>
        <v/>
      </c>
      <c r="B43" s="27" t="str">
        <f t="array" ref="B43">IF(A43&lt;&gt;"",IFERROR(INDEX(Roster!$B$5:$B$204,MATCH(A43,Roster!$A$5:$A$204,0)),0)+IFERROR(SUMPRODUCT((INDEX(Attendance!$B$7:$AY$206,MATCH(A43,Attendance!$A$7:$A$206,0),0)=1)*Attendance!$B$4:$AY$4),0),"")</f>
        <v/>
      </c>
      <c r="C43" s="60" t="str">
        <f>IF(A43&lt;&gt;"",SUMIFS(Transactions!$F$7:$F$996,Transactions!$D$7:$D$996,"Income",Transactions!$E$7:$E$996,A43),"")</f>
        <v/>
      </c>
      <c r="D43" s="60" t="str">
        <f>IF(A43&lt;&gt;"",SUMIFS(Transactions!$F$7:$F$996,Transactions!$D$7:$D$996,"Expense",Transactions!$E$7:$E$996,A43),"")</f>
        <v/>
      </c>
      <c r="E43" s="58" t="str">
        <f t="shared" si="1"/>
        <v/>
      </c>
      <c r="F43" s="58" t="str">
        <f t="shared" si="2"/>
        <v/>
      </c>
      <c r="G43" s="61"/>
      <c r="H43" s="56"/>
    </row>
    <row r="44" ht="19.5" customHeight="1">
      <c r="A44" s="62" t="str">
        <f>IF(Roster!$A$42&lt;&gt;"",Roster!$A$42,"")</f>
        <v/>
      </c>
      <c r="B44" s="62" t="str">
        <f t="array" ref="B44">IF(A44&lt;&gt;"",IFERROR(INDEX(Roster!$B$5:$B$204,MATCH(A44,Roster!$A$5:$A$204,0)),0)+IFERROR(SUMPRODUCT((INDEX(Attendance!$B$7:$AY$206,MATCH(A44,Attendance!$A$7:$A$206,0),0)=1)*Attendance!$B$4:$AY$4),0),"")</f>
        <v/>
      </c>
      <c r="C44" s="63" t="str">
        <f>IF(A44&lt;&gt;"",SUMIFS(Transactions!$F$7:$F$996,Transactions!$D$7:$D$996,"Income",Transactions!$E$7:$E$996,A44),"")</f>
        <v/>
      </c>
      <c r="D44" s="63" t="str">
        <f>IF(A44&lt;&gt;"",SUMIFS(Transactions!$F$7:$F$996,Transactions!$D$7:$D$996,"Expense",Transactions!$E$7:$E$996,A44),"")</f>
        <v/>
      </c>
      <c r="E44" s="64" t="str">
        <f t="shared" si="1"/>
        <v/>
      </c>
      <c r="F44" s="64" t="str">
        <f t="shared" si="2"/>
        <v/>
      </c>
      <c r="G44" s="61"/>
      <c r="H44" s="56"/>
    </row>
    <row r="45" ht="19.5" customHeight="1">
      <c r="A45" s="27" t="str">
        <f>IF(Roster!$A$43&lt;&gt;"",Roster!$A$43,"")</f>
        <v/>
      </c>
      <c r="B45" s="27" t="str">
        <f t="array" ref="B45">IF(A45&lt;&gt;"",IFERROR(INDEX(Roster!$B$5:$B$204,MATCH(A45,Roster!$A$5:$A$204,0)),0)+IFERROR(SUMPRODUCT((INDEX(Attendance!$B$7:$AY$206,MATCH(A45,Attendance!$A$7:$A$206,0),0)=1)*Attendance!$B$4:$AY$4),0),"")</f>
        <v/>
      </c>
      <c r="C45" s="60" t="str">
        <f>IF(A45&lt;&gt;"",SUMIFS(Transactions!$F$7:$F$996,Transactions!$D$7:$D$996,"Income",Transactions!$E$7:$E$996,A45),"")</f>
        <v/>
      </c>
      <c r="D45" s="60" t="str">
        <f>IF(A45&lt;&gt;"",SUMIFS(Transactions!$F$7:$F$996,Transactions!$D$7:$D$996,"Expense",Transactions!$E$7:$E$996,A45),"")</f>
        <v/>
      </c>
      <c r="E45" s="58" t="str">
        <f t="shared" si="1"/>
        <v/>
      </c>
      <c r="F45" s="58" t="str">
        <f t="shared" si="2"/>
        <v/>
      </c>
      <c r="G45" s="61"/>
      <c r="H45" s="56"/>
    </row>
    <row r="46" ht="19.5" customHeight="1">
      <c r="A46" s="62" t="str">
        <f>IF(Roster!$A$44&lt;&gt;"",Roster!$A$44,"")</f>
        <v/>
      </c>
      <c r="B46" s="62" t="str">
        <f t="array" ref="B46">IF(A46&lt;&gt;"",IFERROR(INDEX(Roster!$B$5:$B$204,MATCH(A46,Roster!$A$5:$A$204,0)),0)+IFERROR(SUMPRODUCT((INDEX(Attendance!$B$7:$AY$206,MATCH(A46,Attendance!$A$7:$A$206,0),0)=1)*Attendance!$B$4:$AY$4),0),"")</f>
        <v/>
      </c>
      <c r="C46" s="63" t="str">
        <f>IF(A46&lt;&gt;"",SUMIFS(Transactions!$F$7:$F$996,Transactions!$D$7:$D$996,"Income",Transactions!$E$7:$E$996,A46),"")</f>
        <v/>
      </c>
      <c r="D46" s="63" t="str">
        <f>IF(A46&lt;&gt;"",SUMIFS(Transactions!$F$7:$F$996,Transactions!$D$7:$D$996,"Expense",Transactions!$E$7:$E$996,A46),"")</f>
        <v/>
      </c>
      <c r="E46" s="64" t="str">
        <f t="shared" si="1"/>
        <v/>
      </c>
      <c r="F46" s="64" t="str">
        <f t="shared" si="2"/>
        <v/>
      </c>
      <c r="G46" s="61"/>
      <c r="H46" s="56"/>
    </row>
    <row r="47" ht="19.5" customHeight="1">
      <c r="A47" s="27" t="str">
        <f>IF(Roster!$A$45&lt;&gt;"",Roster!$A$45,"")</f>
        <v/>
      </c>
      <c r="B47" s="27" t="str">
        <f t="array" ref="B47">IF(A47&lt;&gt;"",IFERROR(INDEX(Roster!$B$5:$B$204,MATCH(A47,Roster!$A$5:$A$204,0)),0)+IFERROR(SUMPRODUCT((INDEX(Attendance!$B$7:$AY$206,MATCH(A47,Attendance!$A$7:$A$206,0),0)=1)*Attendance!$B$4:$AY$4),0),"")</f>
        <v/>
      </c>
      <c r="C47" s="60" t="str">
        <f>IF(A47&lt;&gt;"",SUMIFS(Transactions!$F$7:$F$996,Transactions!$D$7:$D$996,"Income",Transactions!$E$7:$E$996,A47),"")</f>
        <v/>
      </c>
      <c r="D47" s="60" t="str">
        <f>IF(A47&lt;&gt;"",SUMIFS(Transactions!$F$7:$F$996,Transactions!$D$7:$D$996,"Expense",Transactions!$E$7:$E$996,A47),"")</f>
        <v/>
      </c>
      <c r="E47" s="58" t="str">
        <f t="shared" si="1"/>
        <v/>
      </c>
      <c r="F47" s="58" t="str">
        <f t="shared" si="2"/>
        <v/>
      </c>
      <c r="G47" s="61"/>
      <c r="H47" s="56"/>
    </row>
    <row r="48" ht="19.5" customHeight="1">
      <c r="A48" s="62" t="str">
        <f>IF(Roster!$A$46&lt;&gt;"",Roster!$A$46,"")</f>
        <v/>
      </c>
      <c r="B48" s="62" t="str">
        <f t="array" ref="B48">IF(A48&lt;&gt;"",IFERROR(INDEX(Roster!$B$5:$B$204,MATCH(A48,Roster!$A$5:$A$204,0)),0)+IFERROR(SUMPRODUCT((INDEX(Attendance!$B$7:$AY$206,MATCH(A48,Attendance!$A$7:$A$206,0),0)=1)*Attendance!$B$4:$AY$4),0),"")</f>
        <v/>
      </c>
      <c r="C48" s="63" t="str">
        <f>IF(A48&lt;&gt;"",SUMIFS(Transactions!$F$7:$F$996,Transactions!$D$7:$D$996,"Income",Transactions!$E$7:$E$996,A48),"")</f>
        <v/>
      </c>
      <c r="D48" s="63" t="str">
        <f>IF(A48&lt;&gt;"",SUMIFS(Transactions!$F$7:$F$996,Transactions!$D$7:$D$996,"Expense",Transactions!$E$7:$E$996,A48),"")</f>
        <v/>
      </c>
      <c r="E48" s="64" t="str">
        <f t="shared" si="1"/>
        <v/>
      </c>
      <c r="F48" s="64" t="str">
        <f t="shared" si="2"/>
        <v/>
      </c>
      <c r="G48" s="61"/>
      <c r="H48" s="56"/>
    </row>
    <row r="49" ht="19.5" customHeight="1">
      <c r="A49" s="27" t="str">
        <f>IF(Roster!$A$47&lt;&gt;"",Roster!$A$47,"")</f>
        <v/>
      </c>
      <c r="B49" s="27" t="str">
        <f t="array" ref="B49">IF(A49&lt;&gt;"",IFERROR(INDEX(Roster!$B$5:$B$204,MATCH(A49,Roster!$A$5:$A$204,0)),0)+IFERROR(SUMPRODUCT((INDEX(Attendance!$B$7:$AY$206,MATCH(A49,Attendance!$A$7:$A$206,0),0)=1)*Attendance!$B$4:$AY$4),0),"")</f>
        <v/>
      </c>
      <c r="C49" s="60" t="str">
        <f>IF(A49&lt;&gt;"",SUMIFS(Transactions!$F$7:$F$996,Transactions!$D$7:$D$996,"Income",Transactions!$E$7:$E$996,A49),"")</f>
        <v/>
      </c>
      <c r="D49" s="60" t="str">
        <f>IF(A49&lt;&gt;"",SUMIFS(Transactions!$F$7:$F$996,Transactions!$D$7:$D$996,"Expense",Transactions!$E$7:$E$996,A49),"")</f>
        <v/>
      </c>
      <c r="E49" s="58" t="str">
        <f t="shared" si="1"/>
        <v/>
      </c>
      <c r="F49" s="58" t="str">
        <f t="shared" si="2"/>
        <v/>
      </c>
      <c r="G49" s="61"/>
      <c r="H49" s="56"/>
    </row>
    <row r="50" ht="19.5" customHeight="1">
      <c r="A50" s="62" t="str">
        <f>IF(Roster!$A$48&lt;&gt;"",Roster!$A$48,"")</f>
        <v/>
      </c>
      <c r="B50" s="62" t="str">
        <f t="array" ref="B50">IF(A50&lt;&gt;"",IFERROR(INDEX(Roster!$B$5:$B$204,MATCH(A50,Roster!$A$5:$A$204,0)),0)+IFERROR(SUMPRODUCT((INDEX(Attendance!$B$7:$AY$206,MATCH(A50,Attendance!$A$7:$A$206,0),0)=1)*Attendance!$B$4:$AY$4),0),"")</f>
        <v/>
      </c>
      <c r="C50" s="63" t="str">
        <f>IF(A50&lt;&gt;"",SUMIFS(Transactions!$F$7:$F$996,Transactions!$D$7:$D$996,"Income",Transactions!$E$7:$E$996,A50),"")</f>
        <v/>
      </c>
      <c r="D50" s="63" t="str">
        <f>IF(A50&lt;&gt;"",SUMIFS(Transactions!$F$7:$F$996,Transactions!$D$7:$D$996,"Expense",Transactions!$E$7:$E$996,A50),"")</f>
        <v/>
      </c>
      <c r="E50" s="64" t="str">
        <f t="shared" si="1"/>
        <v/>
      </c>
      <c r="F50" s="64" t="str">
        <f t="shared" si="2"/>
        <v/>
      </c>
      <c r="G50" s="61"/>
      <c r="H50" s="56"/>
    </row>
    <row r="51" ht="19.5" customHeight="1">
      <c r="A51" s="27" t="str">
        <f>IF(Roster!$A$49&lt;&gt;"",Roster!$A$49,"")</f>
        <v/>
      </c>
      <c r="B51" s="27" t="str">
        <f t="array" ref="B51">IF(A51&lt;&gt;"",IFERROR(INDEX(Roster!$B$5:$B$204,MATCH(A51,Roster!$A$5:$A$204,0)),0)+IFERROR(SUMPRODUCT((INDEX(Attendance!$B$7:$AY$206,MATCH(A51,Attendance!$A$7:$A$206,0),0)=1)*Attendance!$B$4:$AY$4),0),"")</f>
        <v/>
      </c>
      <c r="C51" s="60" t="str">
        <f>IF(A51&lt;&gt;"",SUMIFS(Transactions!$F$7:$F$996,Transactions!$D$7:$D$996,"Income",Transactions!$E$7:$E$996,A51),"")</f>
        <v/>
      </c>
      <c r="D51" s="60" t="str">
        <f>IF(A51&lt;&gt;"",SUMIFS(Transactions!$F$7:$F$996,Transactions!$D$7:$D$996,"Expense",Transactions!$E$7:$E$996,A51),"")</f>
        <v/>
      </c>
      <c r="E51" s="58" t="str">
        <f t="shared" si="1"/>
        <v/>
      </c>
      <c r="F51" s="58" t="str">
        <f t="shared" si="2"/>
        <v/>
      </c>
      <c r="G51" s="61"/>
      <c r="H51" s="56"/>
    </row>
    <row r="52" ht="19.5" customHeight="1">
      <c r="A52" s="62" t="str">
        <f>IF(Roster!$A$50&lt;&gt;"",Roster!$A$50,"")</f>
        <v/>
      </c>
      <c r="B52" s="62" t="str">
        <f t="array" ref="B52">IF(A52&lt;&gt;"",IFERROR(INDEX(Roster!$B$5:$B$204,MATCH(A52,Roster!$A$5:$A$204,0)),0)+IFERROR(SUMPRODUCT((INDEX(Attendance!$B$7:$AY$206,MATCH(A52,Attendance!$A$7:$A$206,0),0)=1)*Attendance!$B$4:$AY$4),0),"")</f>
        <v/>
      </c>
      <c r="C52" s="63" t="str">
        <f>IF(A52&lt;&gt;"",SUMIFS(Transactions!$F$7:$F$996,Transactions!$D$7:$D$996,"Income",Transactions!$E$7:$E$996,A52),"")</f>
        <v/>
      </c>
      <c r="D52" s="63" t="str">
        <f>IF(A52&lt;&gt;"",SUMIFS(Transactions!$F$7:$F$996,Transactions!$D$7:$D$996,"Expense",Transactions!$E$7:$E$996,A52),"")</f>
        <v/>
      </c>
      <c r="E52" s="64" t="str">
        <f t="shared" si="1"/>
        <v/>
      </c>
      <c r="F52" s="64" t="str">
        <f t="shared" si="2"/>
        <v/>
      </c>
      <c r="G52" s="61"/>
      <c r="H52" s="56"/>
    </row>
    <row r="53" ht="19.5" customHeight="1">
      <c r="A53" s="27" t="str">
        <f>IF(Roster!$A$51&lt;&gt;"",Roster!$A$51,"")</f>
        <v/>
      </c>
      <c r="B53" s="27" t="str">
        <f t="array" ref="B53">IF(A53&lt;&gt;"",IFERROR(INDEX(Roster!$B$5:$B$204,MATCH(A53,Roster!$A$5:$A$204,0)),0)+IFERROR(SUMPRODUCT((INDEX(Attendance!$B$7:$AY$206,MATCH(A53,Attendance!$A$7:$A$206,0),0)=1)*Attendance!$B$4:$AY$4),0),"")</f>
        <v/>
      </c>
      <c r="C53" s="60" t="str">
        <f>IF(A53&lt;&gt;"",SUMIFS(Transactions!$F$7:$F$996,Transactions!$D$7:$D$996,"Income",Transactions!$E$7:$E$996,A53),"")</f>
        <v/>
      </c>
      <c r="D53" s="60" t="str">
        <f>IF(A53&lt;&gt;"",SUMIFS(Transactions!$F$7:$F$996,Transactions!$D$7:$D$996,"Expense",Transactions!$E$7:$E$996,A53),"")</f>
        <v/>
      </c>
      <c r="E53" s="58" t="str">
        <f t="shared" si="1"/>
        <v/>
      </c>
      <c r="F53" s="58" t="str">
        <f t="shared" si="2"/>
        <v/>
      </c>
      <c r="G53" s="61"/>
      <c r="H53" s="56"/>
    </row>
    <row r="54" ht="19.5" customHeight="1">
      <c r="A54" s="62" t="str">
        <f>IF(Roster!$A$52&lt;&gt;"",Roster!$A$52,"")</f>
        <v/>
      </c>
      <c r="B54" s="62" t="str">
        <f t="array" ref="B54">IF(A54&lt;&gt;"",IFERROR(INDEX(Roster!$B$5:$B$204,MATCH(A54,Roster!$A$5:$A$204,0)),0)+IFERROR(SUMPRODUCT((INDEX(Attendance!$B$7:$AY$206,MATCH(A54,Attendance!$A$7:$A$206,0),0)=1)*Attendance!$B$4:$AY$4),0),"")</f>
        <v/>
      </c>
      <c r="C54" s="63" t="str">
        <f>IF(A54&lt;&gt;"",SUMIFS(Transactions!$F$7:$F$996,Transactions!$D$7:$D$996,"Income",Transactions!$E$7:$E$996,A54),"")</f>
        <v/>
      </c>
      <c r="D54" s="63" t="str">
        <f>IF(A54&lt;&gt;"",SUMIFS(Transactions!$F$7:$F$996,Transactions!$D$7:$D$996,"Expense",Transactions!$E$7:$E$996,A54),"")</f>
        <v/>
      </c>
      <c r="E54" s="64" t="str">
        <f t="shared" si="1"/>
        <v/>
      </c>
      <c r="F54" s="64" t="str">
        <f t="shared" si="2"/>
        <v/>
      </c>
      <c r="G54" s="61"/>
      <c r="H54" s="56"/>
    </row>
    <row r="55" ht="19.5" customHeight="1">
      <c r="A55" s="27" t="str">
        <f>IF(Roster!$A$53&lt;&gt;"",Roster!$A$53,"")</f>
        <v/>
      </c>
      <c r="B55" s="27" t="str">
        <f t="array" ref="B55">IF(A55&lt;&gt;"",IFERROR(INDEX(Roster!$B$5:$B$204,MATCH(A55,Roster!$A$5:$A$204,0)),0)+IFERROR(SUMPRODUCT((INDEX(Attendance!$B$7:$AY$206,MATCH(A55,Attendance!$A$7:$A$206,0),0)=1)*Attendance!$B$4:$AY$4),0),"")</f>
        <v/>
      </c>
      <c r="C55" s="60" t="str">
        <f>IF(A55&lt;&gt;"",SUMIFS(Transactions!$F$7:$F$996,Transactions!$D$7:$D$996,"Income",Transactions!$E$7:$E$996,A55),"")</f>
        <v/>
      </c>
      <c r="D55" s="60" t="str">
        <f>IF(A55&lt;&gt;"",SUMIFS(Transactions!$F$7:$F$996,Transactions!$D$7:$D$996,"Expense",Transactions!$E$7:$E$996,A55),"")</f>
        <v/>
      </c>
      <c r="E55" s="58" t="str">
        <f t="shared" si="1"/>
        <v/>
      </c>
      <c r="F55" s="58" t="str">
        <f t="shared" si="2"/>
        <v/>
      </c>
      <c r="G55" s="61"/>
      <c r="H55" s="56"/>
    </row>
    <row r="56" ht="19.5" customHeight="1">
      <c r="A56" s="62" t="str">
        <f>IF(Roster!$A$54&lt;&gt;"",Roster!$A$54,"")</f>
        <v/>
      </c>
      <c r="B56" s="62" t="str">
        <f t="array" ref="B56">IF(A56&lt;&gt;"",IFERROR(INDEX(Roster!$B$5:$B$204,MATCH(A56,Roster!$A$5:$A$204,0)),0)+IFERROR(SUMPRODUCT((INDEX(Attendance!$B$7:$AY$206,MATCH(A56,Attendance!$A$7:$A$206,0),0)=1)*Attendance!$B$4:$AY$4),0),"")</f>
        <v/>
      </c>
      <c r="C56" s="63" t="str">
        <f>IF(A56&lt;&gt;"",SUMIFS(Transactions!$F$7:$F$996,Transactions!$D$7:$D$996,"Income",Transactions!$E$7:$E$996,A56),"")</f>
        <v/>
      </c>
      <c r="D56" s="63" t="str">
        <f>IF(A56&lt;&gt;"",SUMIFS(Transactions!$F$7:$F$996,Transactions!$D$7:$D$996,"Expense",Transactions!$E$7:$E$996,A56),"")</f>
        <v/>
      </c>
      <c r="E56" s="64" t="str">
        <f t="shared" si="1"/>
        <v/>
      </c>
      <c r="F56" s="64" t="str">
        <f t="shared" si="2"/>
        <v/>
      </c>
      <c r="G56" s="61"/>
      <c r="H56" s="56"/>
    </row>
    <row r="57" ht="19.5" customHeight="1">
      <c r="A57" s="27" t="str">
        <f>IF(Roster!$A$55&lt;&gt;"",Roster!$A$55,"")</f>
        <v/>
      </c>
      <c r="B57" s="27" t="str">
        <f t="array" ref="B57">IF(A57&lt;&gt;"",IFERROR(INDEX(Roster!$B$5:$B$204,MATCH(A57,Roster!$A$5:$A$204,0)),0)+IFERROR(SUMPRODUCT((INDEX(Attendance!$B$7:$AY$206,MATCH(A57,Attendance!$A$7:$A$206,0),0)=1)*Attendance!$B$4:$AY$4),0),"")</f>
        <v/>
      </c>
      <c r="C57" s="60" t="str">
        <f>IF(A57&lt;&gt;"",SUMIFS(Transactions!$F$7:$F$996,Transactions!$D$7:$D$996,"Income",Transactions!$E$7:$E$996,A57),"")</f>
        <v/>
      </c>
      <c r="D57" s="60" t="str">
        <f>IF(A57&lt;&gt;"",SUMIFS(Transactions!$F$7:$F$996,Transactions!$D$7:$D$996,"Expense",Transactions!$E$7:$E$996,A57),"")</f>
        <v/>
      </c>
      <c r="E57" s="58" t="str">
        <f t="shared" si="1"/>
        <v/>
      </c>
      <c r="F57" s="58" t="str">
        <f t="shared" si="2"/>
        <v/>
      </c>
      <c r="G57" s="61"/>
      <c r="H57" s="56"/>
    </row>
    <row r="58" ht="19.5" customHeight="1">
      <c r="A58" s="62" t="str">
        <f>IF(Roster!$A$56&lt;&gt;"",Roster!$A$56,"")</f>
        <v/>
      </c>
      <c r="B58" s="62" t="str">
        <f t="array" ref="B58">IF(A58&lt;&gt;"",IFERROR(INDEX(Roster!$B$5:$B$204,MATCH(A58,Roster!$A$5:$A$204,0)),0)+IFERROR(SUMPRODUCT((INDEX(Attendance!$B$7:$AY$206,MATCH(A58,Attendance!$A$7:$A$206,0),0)=1)*Attendance!$B$4:$AY$4),0),"")</f>
        <v/>
      </c>
      <c r="C58" s="63" t="str">
        <f>IF(A58&lt;&gt;"",SUMIFS(Transactions!$F$7:$F$996,Transactions!$D$7:$D$996,"Income",Transactions!$E$7:$E$996,A58),"")</f>
        <v/>
      </c>
      <c r="D58" s="63" t="str">
        <f>IF(A58&lt;&gt;"",SUMIFS(Transactions!$F$7:$F$996,Transactions!$D$7:$D$996,"Expense",Transactions!$E$7:$E$996,A58),"")</f>
        <v/>
      </c>
      <c r="E58" s="64" t="str">
        <f t="shared" si="1"/>
        <v/>
      </c>
      <c r="F58" s="64" t="str">
        <f t="shared" si="2"/>
        <v/>
      </c>
      <c r="G58" s="61"/>
      <c r="H58" s="56"/>
    </row>
    <row r="59" ht="19.5" customHeight="1">
      <c r="A59" s="27" t="str">
        <f>IF(Roster!$A$57&lt;&gt;"",Roster!$A$57,"")</f>
        <v/>
      </c>
      <c r="B59" s="27" t="str">
        <f t="array" ref="B59">IF(A59&lt;&gt;"",IFERROR(INDEX(Roster!$B$5:$B$204,MATCH(A59,Roster!$A$5:$A$204,0)),0)+IFERROR(SUMPRODUCT((INDEX(Attendance!$B$7:$AY$206,MATCH(A59,Attendance!$A$7:$A$206,0),0)=1)*Attendance!$B$4:$AY$4),0),"")</f>
        <v/>
      </c>
      <c r="C59" s="60" t="str">
        <f>IF(A59&lt;&gt;"",SUMIFS(Transactions!$F$7:$F$996,Transactions!$D$7:$D$996,"Income",Transactions!$E$7:$E$996,A59),"")</f>
        <v/>
      </c>
      <c r="D59" s="60" t="str">
        <f>IF(A59&lt;&gt;"",SUMIFS(Transactions!$F$7:$F$996,Transactions!$D$7:$D$996,"Expense",Transactions!$E$7:$E$996,A59),"")</f>
        <v/>
      </c>
      <c r="E59" s="58" t="str">
        <f t="shared" si="1"/>
        <v/>
      </c>
      <c r="F59" s="58" t="str">
        <f t="shared" si="2"/>
        <v/>
      </c>
      <c r="G59" s="61"/>
      <c r="H59" s="56"/>
    </row>
    <row r="60" ht="19.5" customHeight="1">
      <c r="A60" s="62" t="str">
        <f>IF(Roster!$A$58&lt;&gt;"",Roster!$A$58,"")</f>
        <v/>
      </c>
      <c r="B60" s="62" t="str">
        <f t="array" ref="B60">IF(A60&lt;&gt;"",IFERROR(INDEX(Roster!$B$5:$B$204,MATCH(A60,Roster!$A$5:$A$204,0)),0)+IFERROR(SUMPRODUCT((INDEX(Attendance!$B$7:$AY$206,MATCH(A60,Attendance!$A$7:$A$206,0),0)=1)*Attendance!$B$4:$AY$4),0),"")</f>
        <v/>
      </c>
      <c r="C60" s="63" t="str">
        <f>IF(A60&lt;&gt;"",SUMIFS(Transactions!$F$7:$F$996,Transactions!$D$7:$D$996,"Income",Transactions!$E$7:$E$996,A60),"")</f>
        <v/>
      </c>
      <c r="D60" s="63" t="str">
        <f>IF(A60&lt;&gt;"",SUMIFS(Transactions!$F$7:$F$996,Transactions!$D$7:$D$996,"Expense",Transactions!$E$7:$E$996,A60),"")</f>
        <v/>
      </c>
      <c r="E60" s="64" t="str">
        <f t="shared" si="1"/>
        <v/>
      </c>
      <c r="F60" s="64" t="str">
        <f t="shared" si="2"/>
        <v/>
      </c>
      <c r="G60" s="61"/>
      <c r="H60" s="56"/>
    </row>
    <row r="61" ht="19.5" customHeight="1">
      <c r="A61" s="27" t="str">
        <f>IF(Roster!$A$59&lt;&gt;"",Roster!$A$59,"")</f>
        <v/>
      </c>
      <c r="B61" s="27" t="str">
        <f t="array" ref="B61">IF(A61&lt;&gt;"",IFERROR(INDEX(Roster!$B$5:$B$204,MATCH(A61,Roster!$A$5:$A$204,0)),0)+IFERROR(SUMPRODUCT((INDEX(Attendance!$B$7:$AY$206,MATCH(A61,Attendance!$A$7:$A$206,0),0)=1)*Attendance!$B$4:$AY$4),0),"")</f>
        <v/>
      </c>
      <c r="C61" s="60" t="str">
        <f>IF(A61&lt;&gt;"",SUMIFS(Transactions!$F$7:$F$996,Transactions!$D$7:$D$996,"Income",Transactions!$E$7:$E$996,A61),"")</f>
        <v/>
      </c>
      <c r="D61" s="60" t="str">
        <f>IF(A61&lt;&gt;"",SUMIFS(Transactions!$F$7:$F$996,Transactions!$D$7:$D$996,"Expense",Transactions!$E$7:$E$996,A61),"")</f>
        <v/>
      </c>
      <c r="E61" s="58" t="str">
        <f t="shared" si="1"/>
        <v/>
      </c>
      <c r="F61" s="58" t="str">
        <f t="shared" si="2"/>
        <v/>
      </c>
      <c r="G61" s="61"/>
      <c r="H61" s="56"/>
    </row>
    <row r="62" ht="19.5" customHeight="1">
      <c r="A62" s="62" t="str">
        <f>IF(Roster!$A$60&lt;&gt;"",Roster!$A$60,"")</f>
        <v/>
      </c>
      <c r="B62" s="62" t="str">
        <f t="array" ref="B62">IF(A62&lt;&gt;"",IFERROR(INDEX(Roster!$B$5:$B$204,MATCH(A62,Roster!$A$5:$A$204,0)),0)+IFERROR(SUMPRODUCT((INDEX(Attendance!$B$7:$AY$206,MATCH(A62,Attendance!$A$7:$A$206,0),0)=1)*Attendance!$B$4:$AY$4),0),"")</f>
        <v/>
      </c>
      <c r="C62" s="63" t="str">
        <f>IF(A62&lt;&gt;"",SUMIFS(Transactions!$F$7:$F$996,Transactions!$D$7:$D$996,"Income",Transactions!$E$7:$E$996,A62),"")</f>
        <v/>
      </c>
      <c r="D62" s="63" t="str">
        <f>IF(A62&lt;&gt;"",SUMIFS(Transactions!$F$7:$F$996,Transactions!$D$7:$D$996,"Expense",Transactions!$E$7:$E$996,A62),"")</f>
        <v/>
      </c>
      <c r="E62" s="64" t="str">
        <f t="shared" si="1"/>
        <v/>
      </c>
      <c r="F62" s="64" t="str">
        <f t="shared" si="2"/>
        <v/>
      </c>
      <c r="G62" s="61"/>
      <c r="H62" s="56"/>
    </row>
    <row r="63" ht="19.5" customHeight="1">
      <c r="A63" s="27" t="str">
        <f>IF(Roster!$A$61&lt;&gt;"",Roster!$A$61,"")</f>
        <v/>
      </c>
      <c r="B63" s="27" t="str">
        <f t="array" ref="B63">IF(A63&lt;&gt;"",IFERROR(INDEX(Roster!$B$5:$B$204,MATCH(A63,Roster!$A$5:$A$204,0)),0)+IFERROR(SUMPRODUCT((INDEX(Attendance!$B$7:$AY$206,MATCH(A63,Attendance!$A$7:$A$206,0),0)=1)*Attendance!$B$4:$AY$4),0),"")</f>
        <v/>
      </c>
      <c r="C63" s="60" t="str">
        <f>IF(A63&lt;&gt;"",SUMIFS(Transactions!$F$7:$F$996,Transactions!$D$7:$D$996,"Income",Transactions!$E$7:$E$996,A63),"")</f>
        <v/>
      </c>
      <c r="D63" s="60" t="str">
        <f>IF(A63&lt;&gt;"",SUMIFS(Transactions!$F$7:$F$996,Transactions!$D$7:$D$996,"Expense",Transactions!$E$7:$E$996,A63),"")</f>
        <v/>
      </c>
      <c r="E63" s="58" t="str">
        <f t="shared" si="1"/>
        <v/>
      </c>
      <c r="F63" s="58" t="str">
        <f t="shared" si="2"/>
        <v/>
      </c>
      <c r="G63" s="61"/>
      <c r="H63" s="56"/>
    </row>
    <row r="64" ht="19.5" customHeight="1">
      <c r="A64" s="62" t="str">
        <f>IF(Roster!$A$62&lt;&gt;"",Roster!$A$62,"")</f>
        <v/>
      </c>
      <c r="B64" s="62" t="str">
        <f t="array" ref="B64">IF(A64&lt;&gt;"",IFERROR(INDEX(Roster!$B$5:$B$204,MATCH(A64,Roster!$A$5:$A$204,0)),0)+IFERROR(SUMPRODUCT((INDEX(Attendance!$B$7:$AY$206,MATCH(A64,Attendance!$A$7:$A$206,0),0)=1)*Attendance!$B$4:$AY$4),0),"")</f>
        <v/>
      </c>
      <c r="C64" s="63" t="str">
        <f>IF(A64&lt;&gt;"",SUMIFS(Transactions!$F$7:$F$996,Transactions!$D$7:$D$996,"Income",Transactions!$E$7:$E$996,A64),"")</f>
        <v/>
      </c>
      <c r="D64" s="63" t="str">
        <f>IF(A64&lt;&gt;"",SUMIFS(Transactions!$F$7:$F$996,Transactions!$D$7:$D$996,"Expense",Transactions!$E$7:$E$996,A64),"")</f>
        <v/>
      </c>
      <c r="E64" s="64" t="str">
        <f t="shared" si="1"/>
        <v/>
      </c>
      <c r="F64" s="64" t="str">
        <f t="shared" si="2"/>
        <v/>
      </c>
      <c r="G64" s="61"/>
      <c r="H64" s="56"/>
    </row>
    <row r="65" ht="19.5" customHeight="1">
      <c r="A65" s="27" t="str">
        <f>IF(Roster!$A$63&lt;&gt;"",Roster!$A$63,"")</f>
        <v/>
      </c>
      <c r="B65" s="27" t="str">
        <f t="array" ref="B65">IF(A65&lt;&gt;"",IFERROR(INDEX(Roster!$B$5:$B$204,MATCH(A65,Roster!$A$5:$A$204,0)),0)+IFERROR(SUMPRODUCT((INDEX(Attendance!$B$7:$AY$206,MATCH(A65,Attendance!$A$7:$A$206,0),0)=1)*Attendance!$B$4:$AY$4),0),"")</f>
        <v/>
      </c>
      <c r="C65" s="60" t="str">
        <f>IF(A65&lt;&gt;"",SUMIFS(Transactions!$F$7:$F$996,Transactions!$D$7:$D$996,"Income",Transactions!$E$7:$E$996,A65),"")</f>
        <v/>
      </c>
      <c r="D65" s="60" t="str">
        <f>IF(A65&lt;&gt;"",SUMIFS(Transactions!$F$7:$F$996,Transactions!$D$7:$D$996,"Expense",Transactions!$E$7:$E$996,A65),"")</f>
        <v/>
      </c>
      <c r="E65" s="58" t="str">
        <f t="shared" si="1"/>
        <v/>
      </c>
      <c r="F65" s="58" t="str">
        <f t="shared" si="2"/>
        <v/>
      </c>
      <c r="G65" s="61"/>
      <c r="H65" s="56"/>
    </row>
    <row r="66" ht="19.5" customHeight="1">
      <c r="A66" s="62" t="str">
        <f>IF(Roster!$A$64&lt;&gt;"",Roster!$A$64,"")</f>
        <v/>
      </c>
      <c r="B66" s="62" t="str">
        <f t="array" ref="B66">IF(A66&lt;&gt;"",IFERROR(INDEX(Roster!$B$5:$B$204,MATCH(A66,Roster!$A$5:$A$204,0)),0)+IFERROR(SUMPRODUCT((INDEX(Attendance!$B$7:$AY$206,MATCH(A66,Attendance!$A$7:$A$206,0),0)=1)*Attendance!$B$4:$AY$4),0),"")</f>
        <v/>
      </c>
      <c r="C66" s="63" t="str">
        <f>IF(A66&lt;&gt;"",SUMIFS(Transactions!$F$7:$F$996,Transactions!$D$7:$D$996,"Income",Transactions!$E$7:$E$996,A66),"")</f>
        <v/>
      </c>
      <c r="D66" s="63" t="str">
        <f>IF(A66&lt;&gt;"",SUMIFS(Transactions!$F$7:$F$996,Transactions!$D$7:$D$996,"Expense",Transactions!$E$7:$E$996,A66),"")</f>
        <v/>
      </c>
      <c r="E66" s="64" t="str">
        <f t="shared" si="1"/>
        <v/>
      </c>
      <c r="F66" s="64" t="str">
        <f t="shared" si="2"/>
        <v/>
      </c>
      <c r="G66" s="61"/>
      <c r="H66" s="56"/>
    </row>
    <row r="67" ht="19.5" customHeight="1">
      <c r="A67" s="27" t="str">
        <f>IF(Roster!$A$65&lt;&gt;"",Roster!$A$65,"")</f>
        <v/>
      </c>
      <c r="B67" s="27" t="str">
        <f t="array" ref="B67">IF(A67&lt;&gt;"",IFERROR(INDEX(Roster!$B$5:$B$204,MATCH(A67,Roster!$A$5:$A$204,0)),0)+IFERROR(SUMPRODUCT((INDEX(Attendance!$B$7:$AY$206,MATCH(A67,Attendance!$A$7:$A$206,0),0)=1)*Attendance!$B$4:$AY$4),0),"")</f>
        <v/>
      </c>
      <c r="C67" s="60" t="str">
        <f>IF(A67&lt;&gt;"",SUMIFS(Transactions!$F$7:$F$996,Transactions!$D$7:$D$996,"Income",Transactions!$E$7:$E$996,A67),"")</f>
        <v/>
      </c>
      <c r="D67" s="60" t="str">
        <f>IF(A67&lt;&gt;"",SUMIFS(Transactions!$F$7:$F$996,Transactions!$D$7:$D$996,"Expense",Transactions!$E$7:$E$996,A67),"")</f>
        <v/>
      </c>
      <c r="E67" s="58" t="str">
        <f t="shared" si="1"/>
        <v/>
      </c>
      <c r="F67" s="58" t="str">
        <f t="shared" si="2"/>
        <v/>
      </c>
      <c r="G67" s="61"/>
      <c r="H67" s="56"/>
    </row>
    <row r="68" ht="19.5" customHeight="1">
      <c r="A68" s="62" t="str">
        <f>IF(Roster!$A$66&lt;&gt;"",Roster!$A$66,"")</f>
        <v/>
      </c>
      <c r="B68" s="62" t="str">
        <f t="array" ref="B68">IF(A68&lt;&gt;"",IFERROR(INDEX(Roster!$B$5:$B$204,MATCH(A68,Roster!$A$5:$A$204,0)),0)+IFERROR(SUMPRODUCT((INDEX(Attendance!$B$7:$AY$206,MATCH(A68,Attendance!$A$7:$A$206,0),0)=1)*Attendance!$B$4:$AY$4),0),"")</f>
        <v/>
      </c>
      <c r="C68" s="63" t="str">
        <f>IF(A68&lt;&gt;"",SUMIFS(Transactions!$F$7:$F$996,Transactions!$D$7:$D$996,"Income",Transactions!$E$7:$E$996,A68),"")</f>
        <v/>
      </c>
      <c r="D68" s="63" t="str">
        <f>IF(A68&lt;&gt;"",SUMIFS(Transactions!$F$7:$F$996,Transactions!$D$7:$D$996,"Expense",Transactions!$E$7:$E$996,A68),"")</f>
        <v/>
      </c>
      <c r="E68" s="64" t="str">
        <f t="shared" si="1"/>
        <v/>
      </c>
      <c r="F68" s="64" t="str">
        <f t="shared" si="2"/>
        <v/>
      </c>
      <c r="G68" s="61"/>
      <c r="H68" s="56"/>
    </row>
    <row r="69" ht="19.5" customHeight="1">
      <c r="A69" s="27" t="str">
        <f>IF(Roster!$A$67&lt;&gt;"",Roster!$A$67,"")</f>
        <v/>
      </c>
      <c r="B69" s="27" t="str">
        <f t="array" ref="B69">IF(A69&lt;&gt;"",IFERROR(INDEX(Roster!$B$5:$B$204,MATCH(A69,Roster!$A$5:$A$204,0)),0)+IFERROR(SUMPRODUCT((INDEX(Attendance!$B$7:$AY$206,MATCH(A69,Attendance!$A$7:$A$206,0),0)=1)*Attendance!$B$4:$AY$4),0),"")</f>
        <v/>
      </c>
      <c r="C69" s="60" t="str">
        <f>IF(A69&lt;&gt;"",SUMIFS(Transactions!$F$7:$F$996,Transactions!$D$7:$D$996,"Income",Transactions!$E$7:$E$996,A69),"")</f>
        <v/>
      </c>
      <c r="D69" s="60" t="str">
        <f>IF(A69&lt;&gt;"",SUMIFS(Transactions!$F$7:$F$996,Transactions!$D$7:$D$996,"Expense",Transactions!$E$7:$E$996,A69),"")</f>
        <v/>
      </c>
      <c r="E69" s="58" t="str">
        <f t="shared" si="1"/>
        <v/>
      </c>
      <c r="F69" s="58" t="str">
        <f t="shared" si="2"/>
        <v/>
      </c>
      <c r="G69" s="61"/>
      <c r="H69" s="56"/>
    </row>
    <row r="70" ht="19.5" customHeight="1">
      <c r="A70" s="62" t="str">
        <f>IF(Roster!$A$68&lt;&gt;"",Roster!$A$68,"")</f>
        <v/>
      </c>
      <c r="B70" s="62" t="str">
        <f t="array" ref="B70">IF(A70&lt;&gt;"",IFERROR(INDEX(Roster!$B$5:$B$204,MATCH(A70,Roster!$A$5:$A$204,0)),0)+IFERROR(SUMPRODUCT((INDEX(Attendance!$B$7:$AY$206,MATCH(A70,Attendance!$A$7:$A$206,0),0)=1)*Attendance!$B$4:$AY$4),0),"")</f>
        <v/>
      </c>
      <c r="C70" s="63" t="str">
        <f>IF(A70&lt;&gt;"",SUMIFS(Transactions!$F$7:$F$996,Transactions!$D$7:$D$996,"Income",Transactions!$E$7:$E$996,A70),"")</f>
        <v/>
      </c>
      <c r="D70" s="63" t="str">
        <f>IF(A70&lt;&gt;"",SUMIFS(Transactions!$F$7:$F$996,Transactions!$D$7:$D$996,"Expense",Transactions!$E$7:$E$996,A70),"")</f>
        <v/>
      </c>
      <c r="E70" s="64" t="str">
        <f t="shared" si="1"/>
        <v/>
      </c>
      <c r="F70" s="64" t="str">
        <f t="shared" si="2"/>
        <v/>
      </c>
      <c r="G70" s="61"/>
      <c r="H70" s="56"/>
    </row>
    <row r="71" ht="19.5" customHeight="1">
      <c r="A71" s="27" t="str">
        <f>IF(Roster!$A$69&lt;&gt;"",Roster!$A$69,"")</f>
        <v/>
      </c>
      <c r="B71" s="27" t="str">
        <f t="array" ref="B71">IF(A71&lt;&gt;"",IFERROR(INDEX(Roster!$B$5:$B$204,MATCH(A71,Roster!$A$5:$A$204,0)),0)+IFERROR(SUMPRODUCT((INDEX(Attendance!$B$7:$AY$206,MATCH(A71,Attendance!$A$7:$A$206,0),0)=1)*Attendance!$B$4:$AY$4),0),"")</f>
        <v/>
      </c>
      <c r="C71" s="60" t="str">
        <f>IF(A71&lt;&gt;"",SUMIFS(Transactions!$F$7:$F$996,Transactions!$D$7:$D$996,"Income",Transactions!$E$7:$E$996,A71),"")</f>
        <v/>
      </c>
      <c r="D71" s="60" t="str">
        <f>IF(A71&lt;&gt;"",SUMIFS(Transactions!$F$7:$F$996,Transactions!$D$7:$D$996,"Expense",Transactions!$E$7:$E$996,A71),"")</f>
        <v/>
      </c>
      <c r="E71" s="58" t="str">
        <f t="shared" si="1"/>
        <v/>
      </c>
      <c r="F71" s="58" t="str">
        <f t="shared" si="2"/>
        <v/>
      </c>
      <c r="G71" s="61"/>
      <c r="H71" s="56"/>
    </row>
    <row r="72" ht="19.5" customHeight="1">
      <c r="A72" s="62" t="str">
        <f>IF(Roster!$A$70&lt;&gt;"",Roster!$A$70,"")</f>
        <v/>
      </c>
      <c r="B72" s="62" t="str">
        <f t="array" ref="B72">IF(A72&lt;&gt;"",IFERROR(INDEX(Roster!$B$5:$B$204,MATCH(A72,Roster!$A$5:$A$204,0)),0)+IFERROR(SUMPRODUCT((INDEX(Attendance!$B$7:$AY$206,MATCH(A72,Attendance!$A$7:$A$206,0),0)=1)*Attendance!$B$4:$AY$4),0),"")</f>
        <v/>
      </c>
      <c r="C72" s="63" t="str">
        <f>IF(A72&lt;&gt;"",SUMIFS(Transactions!$F$7:$F$996,Transactions!$D$7:$D$996,"Income",Transactions!$E$7:$E$996,A72),"")</f>
        <v/>
      </c>
      <c r="D72" s="63" t="str">
        <f>IF(A72&lt;&gt;"",SUMIFS(Transactions!$F$7:$F$996,Transactions!$D$7:$D$996,"Expense",Transactions!$E$7:$E$996,A72),"")</f>
        <v/>
      </c>
      <c r="E72" s="64" t="str">
        <f t="shared" si="1"/>
        <v/>
      </c>
      <c r="F72" s="64" t="str">
        <f t="shared" si="2"/>
        <v/>
      </c>
      <c r="G72" s="61"/>
      <c r="H72" s="56"/>
    </row>
    <row r="73" ht="19.5" customHeight="1">
      <c r="A73" s="27" t="str">
        <f>IF(Roster!$A$71&lt;&gt;"",Roster!$A$71,"")</f>
        <v/>
      </c>
      <c r="B73" s="27" t="str">
        <f t="array" ref="B73">IF(A73&lt;&gt;"",IFERROR(INDEX(Roster!$B$5:$B$204,MATCH(A73,Roster!$A$5:$A$204,0)),0)+IFERROR(SUMPRODUCT((INDEX(Attendance!$B$7:$AY$206,MATCH(A73,Attendance!$A$7:$A$206,0),0)=1)*Attendance!$B$4:$AY$4),0),"")</f>
        <v/>
      </c>
      <c r="C73" s="60" t="str">
        <f>IF(A73&lt;&gt;"",SUMIFS(Transactions!$F$7:$F$996,Transactions!$D$7:$D$996,"Income",Transactions!$E$7:$E$996,A73),"")</f>
        <v/>
      </c>
      <c r="D73" s="60" t="str">
        <f>IF(A73&lt;&gt;"",SUMIFS(Transactions!$F$7:$F$996,Transactions!$D$7:$D$996,"Expense",Transactions!$E$7:$E$996,A73),"")</f>
        <v/>
      </c>
      <c r="E73" s="58" t="str">
        <f t="shared" si="1"/>
        <v/>
      </c>
      <c r="F73" s="58" t="str">
        <f t="shared" si="2"/>
        <v/>
      </c>
      <c r="G73" s="61"/>
      <c r="H73" s="56"/>
    </row>
    <row r="74" ht="19.5" customHeight="1">
      <c r="A74" s="62" t="str">
        <f>IF(Roster!$A$72&lt;&gt;"",Roster!$A$72,"")</f>
        <v/>
      </c>
      <c r="B74" s="62" t="str">
        <f t="array" ref="B74">IF(A74&lt;&gt;"",IFERROR(INDEX(Roster!$B$5:$B$204,MATCH(A74,Roster!$A$5:$A$204,0)),0)+IFERROR(SUMPRODUCT((INDEX(Attendance!$B$7:$AY$206,MATCH(A74,Attendance!$A$7:$A$206,0),0)=1)*Attendance!$B$4:$AY$4),0),"")</f>
        <v/>
      </c>
      <c r="C74" s="63" t="str">
        <f>IF(A74&lt;&gt;"",SUMIFS(Transactions!$F$7:$F$996,Transactions!$D$7:$D$996,"Income",Transactions!$E$7:$E$996,A74),"")</f>
        <v/>
      </c>
      <c r="D74" s="63" t="str">
        <f>IF(A74&lt;&gt;"",SUMIFS(Transactions!$F$7:$F$996,Transactions!$D$7:$D$996,"Expense",Transactions!$E$7:$E$996,A74),"")</f>
        <v/>
      </c>
      <c r="E74" s="64" t="str">
        <f t="shared" si="1"/>
        <v/>
      </c>
      <c r="F74" s="64" t="str">
        <f t="shared" si="2"/>
        <v/>
      </c>
      <c r="G74" s="61"/>
      <c r="H74" s="56"/>
    </row>
    <row r="75" ht="19.5" customHeight="1">
      <c r="A75" s="27" t="str">
        <f>IF(Roster!$A$73&lt;&gt;"",Roster!$A$73,"")</f>
        <v/>
      </c>
      <c r="B75" s="27" t="str">
        <f t="array" ref="B75">IF(A75&lt;&gt;"",IFERROR(INDEX(Roster!$B$5:$B$204,MATCH(A75,Roster!$A$5:$A$204,0)),0)+IFERROR(SUMPRODUCT((INDEX(Attendance!$B$7:$AY$206,MATCH(A75,Attendance!$A$7:$A$206,0),0)=1)*Attendance!$B$4:$AY$4),0),"")</f>
        <v/>
      </c>
      <c r="C75" s="60" t="str">
        <f>IF(A75&lt;&gt;"",SUMIFS(Transactions!$F$7:$F$996,Transactions!$D$7:$D$996,"Income",Transactions!$E$7:$E$996,A75),"")</f>
        <v/>
      </c>
      <c r="D75" s="60" t="str">
        <f>IF(A75&lt;&gt;"",SUMIFS(Transactions!$F$7:$F$996,Transactions!$D$7:$D$996,"Expense",Transactions!$E$7:$E$996,A75),"")</f>
        <v/>
      </c>
      <c r="E75" s="58" t="str">
        <f t="shared" si="1"/>
        <v/>
      </c>
      <c r="F75" s="58" t="str">
        <f t="shared" si="2"/>
        <v/>
      </c>
      <c r="G75" s="61"/>
      <c r="H75" s="56"/>
    </row>
    <row r="76" ht="19.5" customHeight="1">
      <c r="A76" s="62" t="str">
        <f>IF(Roster!$A$74&lt;&gt;"",Roster!$A$74,"")</f>
        <v/>
      </c>
      <c r="B76" s="62" t="str">
        <f t="array" ref="B76">IF(A76&lt;&gt;"",IFERROR(INDEX(Roster!$B$5:$B$204,MATCH(A76,Roster!$A$5:$A$204,0)),0)+IFERROR(SUMPRODUCT((INDEX(Attendance!$B$7:$AY$206,MATCH(A76,Attendance!$A$7:$A$206,0),0)=1)*Attendance!$B$4:$AY$4),0),"")</f>
        <v/>
      </c>
      <c r="C76" s="63" t="str">
        <f>IF(A76&lt;&gt;"",SUMIFS(Transactions!$F$7:$F$996,Transactions!$D$7:$D$996,"Income",Transactions!$E$7:$E$996,A76),"")</f>
        <v/>
      </c>
      <c r="D76" s="63" t="str">
        <f>IF(A76&lt;&gt;"",SUMIFS(Transactions!$F$7:$F$996,Transactions!$D$7:$D$996,"Expense",Transactions!$E$7:$E$996,A76),"")</f>
        <v/>
      </c>
      <c r="E76" s="64" t="str">
        <f t="shared" si="1"/>
        <v/>
      </c>
      <c r="F76" s="64" t="str">
        <f t="shared" si="2"/>
        <v/>
      </c>
      <c r="G76" s="61"/>
      <c r="H76" s="56"/>
    </row>
    <row r="77" ht="19.5" customHeight="1">
      <c r="A77" s="27" t="str">
        <f>IF(Roster!$A$75&lt;&gt;"",Roster!$A$75,"")</f>
        <v/>
      </c>
      <c r="B77" s="27" t="str">
        <f t="array" ref="B77">IF(A77&lt;&gt;"",IFERROR(INDEX(Roster!$B$5:$B$204,MATCH(A77,Roster!$A$5:$A$204,0)),0)+IFERROR(SUMPRODUCT((INDEX(Attendance!$B$7:$AY$206,MATCH(A77,Attendance!$A$7:$A$206,0),0)=1)*Attendance!$B$4:$AY$4),0),"")</f>
        <v/>
      </c>
      <c r="C77" s="60" t="str">
        <f>IF(A77&lt;&gt;"",SUMIFS(Transactions!$F$7:$F$996,Transactions!$D$7:$D$996,"Income",Transactions!$E$7:$E$996,A77),"")</f>
        <v/>
      </c>
      <c r="D77" s="60" t="str">
        <f>IF(A77&lt;&gt;"",SUMIFS(Transactions!$F$7:$F$996,Transactions!$D$7:$D$996,"Expense",Transactions!$E$7:$E$996,A77),"")</f>
        <v/>
      </c>
      <c r="E77" s="58" t="str">
        <f t="shared" si="1"/>
        <v/>
      </c>
      <c r="F77" s="58" t="str">
        <f t="shared" si="2"/>
        <v/>
      </c>
      <c r="G77" s="61"/>
      <c r="H77" s="56"/>
    </row>
    <row r="78" ht="19.5" customHeight="1">
      <c r="A78" s="62" t="str">
        <f>IF(Roster!$A$76&lt;&gt;"",Roster!$A$76,"")</f>
        <v/>
      </c>
      <c r="B78" s="62" t="str">
        <f t="array" ref="B78">IF(A78&lt;&gt;"",IFERROR(INDEX(Roster!$B$5:$B$204,MATCH(A78,Roster!$A$5:$A$204,0)),0)+IFERROR(SUMPRODUCT((INDEX(Attendance!$B$7:$AY$206,MATCH(A78,Attendance!$A$7:$A$206,0),0)=1)*Attendance!$B$4:$AY$4),0),"")</f>
        <v/>
      </c>
      <c r="C78" s="63" t="str">
        <f>IF(A78&lt;&gt;"",SUMIFS(Transactions!$F$7:$F$996,Transactions!$D$7:$D$996,"Income",Transactions!$E$7:$E$996,A78),"")</f>
        <v/>
      </c>
      <c r="D78" s="63" t="str">
        <f>IF(A78&lt;&gt;"",SUMIFS(Transactions!$F$7:$F$996,Transactions!$D$7:$D$996,"Expense",Transactions!$E$7:$E$996,A78),"")</f>
        <v/>
      </c>
      <c r="E78" s="64" t="str">
        <f t="shared" si="1"/>
        <v/>
      </c>
      <c r="F78" s="64" t="str">
        <f t="shared" si="2"/>
        <v/>
      </c>
      <c r="G78" s="61"/>
      <c r="H78" s="56"/>
    </row>
    <row r="79" ht="19.5" customHeight="1">
      <c r="A79" s="27" t="str">
        <f>IF(Roster!$A$77&lt;&gt;"",Roster!$A$77,"")</f>
        <v/>
      </c>
      <c r="B79" s="27" t="str">
        <f t="array" ref="B79">IF(A79&lt;&gt;"",IFERROR(INDEX(Roster!$B$5:$B$204,MATCH(A79,Roster!$A$5:$A$204,0)),0)+IFERROR(SUMPRODUCT((INDEX(Attendance!$B$7:$AY$206,MATCH(A79,Attendance!$A$7:$A$206,0),0)=1)*Attendance!$B$4:$AY$4),0),"")</f>
        <v/>
      </c>
      <c r="C79" s="60" t="str">
        <f>IF(A79&lt;&gt;"",SUMIFS(Transactions!$F$7:$F$996,Transactions!$D$7:$D$996,"Income",Transactions!$E$7:$E$996,A79),"")</f>
        <v/>
      </c>
      <c r="D79" s="60" t="str">
        <f>IF(A79&lt;&gt;"",SUMIFS(Transactions!$F$7:$F$996,Transactions!$D$7:$D$996,"Expense",Transactions!$E$7:$E$996,A79),"")</f>
        <v/>
      </c>
      <c r="E79" s="58" t="str">
        <f t="shared" si="1"/>
        <v/>
      </c>
      <c r="F79" s="58" t="str">
        <f t="shared" si="2"/>
        <v/>
      </c>
      <c r="G79" s="61"/>
      <c r="H79" s="56"/>
    </row>
    <row r="80" ht="19.5" customHeight="1">
      <c r="A80" s="62" t="str">
        <f>IF(Roster!$A$78&lt;&gt;"",Roster!$A$78,"")</f>
        <v/>
      </c>
      <c r="B80" s="62" t="str">
        <f t="array" ref="B80">IF(A80&lt;&gt;"",IFERROR(INDEX(Roster!$B$5:$B$204,MATCH(A80,Roster!$A$5:$A$204,0)),0)+IFERROR(SUMPRODUCT((INDEX(Attendance!$B$7:$AY$206,MATCH(A80,Attendance!$A$7:$A$206,0),0)=1)*Attendance!$B$4:$AY$4),0),"")</f>
        <v/>
      </c>
      <c r="C80" s="63" t="str">
        <f>IF(A80&lt;&gt;"",SUMIFS(Transactions!$F$7:$F$996,Transactions!$D$7:$D$996,"Income",Transactions!$E$7:$E$996,A80),"")</f>
        <v/>
      </c>
      <c r="D80" s="63" t="str">
        <f>IF(A80&lt;&gt;"",SUMIFS(Transactions!$F$7:$F$996,Transactions!$D$7:$D$996,"Expense",Transactions!$E$7:$E$996,A80),"")</f>
        <v/>
      </c>
      <c r="E80" s="64" t="str">
        <f t="shared" si="1"/>
        <v/>
      </c>
      <c r="F80" s="64" t="str">
        <f t="shared" si="2"/>
        <v/>
      </c>
      <c r="G80" s="61"/>
      <c r="H80" s="56"/>
    </row>
    <row r="81" ht="19.5" customHeight="1">
      <c r="A81" s="27" t="str">
        <f>IF(Roster!$A$79&lt;&gt;"",Roster!$A$79,"")</f>
        <v/>
      </c>
      <c r="B81" s="27" t="str">
        <f t="array" ref="B81">IF(A81&lt;&gt;"",IFERROR(INDEX(Roster!$B$5:$B$204,MATCH(A81,Roster!$A$5:$A$204,0)),0)+IFERROR(SUMPRODUCT((INDEX(Attendance!$B$7:$AY$206,MATCH(A81,Attendance!$A$7:$A$206,0),0)=1)*Attendance!$B$4:$AY$4),0),"")</f>
        <v/>
      </c>
      <c r="C81" s="60" t="str">
        <f>IF(A81&lt;&gt;"",SUMIFS(Transactions!$F$7:$F$996,Transactions!$D$7:$D$996,"Income",Transactions!$E$7:$E$996,A81),"")</f>
        <v/>
      </c>
      <c r="D81" s="60" t="str">
        <f>IF(A81&lt;&gt;"",SUMIFS(Transactions!$F$7:$F$996,Transactions!$D$7:$D$996,"Expense",Transactions!$E$7:$E$996,A81),"")</f>
        <v/>
      </c>
      <c r="E81" s="58" t="str">
        <f t="shared" si="1"/>
        <v/>
      </c>
      <c r="F81" s="58" t="str">
        <f t="shared" si="2"/>
        <v/>
      </c>
      <c r="G81" s="61"/>
      <c r="H81" s="56"/>
    </row>
    <row r="82" ht="19.5" customHeight="1">
      <c r="A82" s="62" t="str">
        <f>IF(Roster!$A$80&lt;&gt;"",Roster!$A$80,"")</f>
        <v/>
      </c>
      <c r="B82" s="62" t="str">
        <f t="array" ref="B82">IF(A82&lt;&gt;"",IFERROR(INDEX(Roster!$B$5:$B$204,MATCH(A82,Roster!$A$5:$A$204,0)),0)+IFERROR(SUMPRODUCT((INDEX(Attendance!$B$7:$AY$206,MATCH(A82,Attendance!$A$7:$A$206,0),0)=1)*Attendance!$B$4:$AY$4),0),"")</f>
        <v/>
      </c>
      <c r="C82" s="63" t="str">
        <f>IF(A82&lt;&gt;"",SUMIFS(Transactions!$F$7:$F$996,Transactions!$D$7:$D$996,"Income",Transactions!$E$7:$E$996,A82),"")</f>
        <v/>
      </c>
      <c r="D82" s="63" t="str">
        <f>IF(A82&lt;&gt;"",SUMIFS(Transactions!$F$7:$F$996,Transactions!$D$7:$D$996,"Expense",Transactions!$E$7:$E$996,A82),"")</f>
        <v/>
      </c>
      <c r="E82" s="64" t="str">
        <f t="shared" si="1"/>
        <v/>
      </c>
      <c r="F82" s="64" t="str">
        <f t="shared" si="2"/>
        <v/>
      </c>
      <c r="G82" s="61"/>
      <c r="H82" s="56"/>
    </row>
    <row r="83" ht="19.5" customHeight="1">
      <c r="A83" s="27" t="str">
        <f>IF(Roster!$A$81&lt;&gt;"",Roster!$A$81,"")</f>
        <v/>
      </c>
      <c r="B83" s="27" t="str">
        <f t="array" ref="B83">IF(A83&lt;&gt;"",IFERROR(INDEX(Roster!$B$5:$B$204,MATCH(A83,Roster!$A$5:$A$204,0)),0)+IFERROR(SUMPRODUCT((INDEX(Attendance!$B$7:$AY$206,MATCH(A83,Attendance!$A$7:$A$206,0),0)=1)*Attendance!$B$4:$AY$4),0),"")</f>
        <v/>
      </c>
      <c r="C83" s="60" t="str">
        <f>IF(A83&lt;&gt;"",SUMIFS(Transactions!$F$7:$F$996,Transactions!$D$7:$D$996,"Income",Transactions!$E$7:$E$996,A83),"")</f>
        <v/>
      </c>
      <c r="D83" s="60" t="str">
        <f>IF(A83&lt;&gt;"",SUMIFS(Transactions!$F$7:$F$996,Transactions!$D$7:$D$996,"Expense",Transactions!$E$7:$E$996,A83),"")</f>
        <v/>
      </c>
      <c r="E83" s="58" t="str">
        <f t="shared" si="1"/>
        <v/>
      </c>
      <c r="F83" s="58" t="str">
        <f t="shared" si="2"/>
        <v/>
      </c>
      <c r="G83" s="61"/>
      <c r="H83" s="56"/>
    </row>
    <row r="84" ht="19.5" customHeight="1">
      <c r="A84" s="62" t="str">
        <f>IF(Roster!$A$82&lt;&gt;"",Roster!$A$82,"")</f>
        <v/>
      </c>
      <c r="B84" s="62" t="str">
        <f t="array" ref="B84">IF(A84&lt;&gt;"",IFERROR(INDEX(Roster!$B$5:$B$204,MATCH(A84,Roster!$A$5:$A$204,0)),0)+IFERROR(SUMPRODUCT((INDEX(Attendance!$B$7:$AY$206,MATCH(A84,Attendance!$A$7:$A$206,0),0)=1)*Attendance!$B$4:$AY$4),0),"")</f>
        <v/>
      </c>
      <c r="C84" s="63" t="str">
        <f>IF(A84&lt;&gt;"",SUMIFS(Transactions!$F$7:$F$996,Transactions!$D$7:$D$996,"Income",Transactions!$E$7:$E$996,A84),"")</f>
        <v/>
      </c>
      <c r="D84" s="63" t="str">
        <f>IF(A84&lt;&gt;"",SUMIFS(Transactions!$F$7:$F$996,Transactions!$D$7:$D$996,"Expense",Transactions!$E$7:$E$996,A84),"")</f>
        <v/>
      </c>
      <c r="E84" s="64" t="str">
        <f t="shared" si="1"/>
        <v/>
      </c>
      <c r="F84" s="64" t="str">
        <f t="shared" si="2"/>
        <v/>
      </c>
      <c r="G84" s="61"/>
      <c r="H84" s="56"/>
    </row>
    <row r="85" ht="19.5" customHeight="1">
      <c r="A85" s="27" t="str">
        <f>IF(Roster!$A$83&lt;&gt;"",Roster!$A$83,"")</f>
        <v/>
      </c>
      <c r="B85" s="27" t="str">
        <f t="array" ref="B85">IF(A85&lt;&gt;"",IFERROR(INDEX(Roster!$B$5:$B$204,MATCH(A85,Roster!$A$5:$A$204,0)),0)+IFERROR(SUMPRODUCT((INDEX(Attendance!$B$7:$AY$206,MATCH(A85,Attendance!$A$7:$A$206,0),0)=1)*Attendance!$B$4:$AY$4),0),"")</f>
        <v/>
      </c>
      <c r="C85" s="60" t="str">
        <f>IF(A85&lt;&gt;"",SUMIFS(Transactions!$F$7:$F$996,Transactions!$D$7:$D$996,"Income",Transactions!$E$7:$E$996,A85),"")</f>
        <v/>
      </c>
      <c r="D85" s="60" t="str">
        <f>IF(A85&lt;&gt;"",SUMIFS(Transactions!$F$7:$F$996,Transactions!$D$7:$D$996,"Expense",Transactions!$E$7:$E$996,A85),"")</f>
        <v/>
      </c>
      <c r="E85" s="58" t="str">
        <f t="shared" si="1"/>
        <v/>
      </c>
      <c r="F85" s="58" t="str">
        <f t="shared" si="2"/>
        <v/>
      </c>
      <c r="G85" s="61"/>
      <c r="H85" s="56"/>
    </row>
    <row r="86" ht="19.5" customHeight="1">
      <c r="A86" s="62" t="str">
        <f>IF(Roster!$A$84&lt;&gt;"",Roster!$A$84,"")</f>
        <v/>
      </c>
      <c r="B86" s="62" t="str">
        <f t="array" ref="B86">IF(A86&lt;&gt;"",IFERROR(INDEX(Roster!$B$5:$B$204,MATCH(A86,Roster!$A$5:$A$204,0)),0)+IFERROR(SUMPRODUCT((INDEX(Attendance!$B$7:$AY$206,MATCH(A86,Attendance!$A$7:$A$206,0),0)=1)*Attendance!$B$4:$AY$4),0),"")</f>
        <v/>
      </c>
      <c r="C86" s="63" t="str">
        <f>IF(A86&lt;&gt;"",SUMIFS(Transactions!$F$7:$F$996,Transactions!$D$7:$D$996,"Income",Transactions!$E$7:$E$996,A86),"")</f>
        <v/>
      </c>
      <c r="D86" s="63" t="str">
        <f>IF(A86&lt;&gt;"",SUMIFS(Transactions!$F$7:$F$996,Transactions!$D$7:$D$996,"Expense",Transactions!$E$7:$E$996,A86),"")</f>
        <v/>
      </c>
      <c r="E86" s="64" t="str">
        <f t="shared" si="1"/>
        <v/>
      </c>
      <c r="F86" s="64" t="str">
        <f t="shared" si="2"/>
        <v/>
      </c>
      <c r="G86" s="61"/>
      <c r="H86" s="56"/>
    </row>
    <row r="87" ht="19.5" customHeight="1">
      <c r="A87" s="27" t="str">
        <f>IF(Roster!$A$85&lt;&gt;"",Roster!$A$85,"")</f>
        <v/>
      </c>
      <c r="B87" s="27" t="str">
        <f t="array" ref="B87">IF(A87&lt;&gt;"",IFERROR(INDEX(Roster!$B$5:$B$204,MATCH(A87,Roster!$A$5:$A$204,0)),0)+IFERROR(SUMPRODUCT((INDEX(Attendance!$B$7:$AY$206,MATCH(A87,Attendance!$A$7:$A$206,0),0)=1)*Attendance!$B$4:$AY$4),0),"")</f>
        <v/>
      </c>
      <c r="C87" s="60" t="str">
        <f>IF(A87&lt;&gt;"",SUMIFS(Transactions!$F$7:$F$996,Transactions!$D$7:$D$996,"Income",Transactions!$E$7:$E$996,A87),"")</f>
        <v/>
      </c>
      <c r="D87" s="60" t="str">
        <f>IF(A87&lt;&gt;"",SUMIFS(Transactions!$F$7:$F$996,Transactions!$D$7:$D$996,"Expense",Transactions!$E$7:$E$996,A87),"")</f>
        <v/>
      </c>
      <c r="E87" s="58" t="str">
        <f t="shared" si="1"/>
        <v/>
      </c>
      <c r="F87" s="58" t="str">
        <f t="shared" si="2"/>
        <v/>
      </c>
      <c r="G87" s="61"/>
      <c r="H87" s="56"/>
    </row>
    <row r="88" ht="19.5" customHeight="1">
      <c r="A88" s="62" t="str">
        <f>IF(Roster!$A$86&lt;&gt;"",Roster!$A$86,"")</f>
        <v/>
      </c>
      <c r="B88" s="62" t="str">
        <f t="array" ref="B88">IF(A88&lt;&gt;"",IFERROR(INDEX(Roster!$B$5:$B$204,MATCH(A88,Roster!$A$5:$A$204,0)),0)+IFERROR(SUMPRODUCT((INDEX(Attendance!$B$7:$AY$206,MATCH(A88,Attendance!$A$7:$A$206,0),0)=1)*Attendance!$B$4:$AY$4),0),"")</f>
        <v/>
      </c>
      <c r="C88" s="63" t="str">
        <f>IF(A88&lt;&gt;"",SUMIFS(Transactions!$F$7:$F$996,Transactions!$D$7:$D$996,"Income",Transactions!$E$7:$E$996,A88),"")</f>
        <v/>
      </c>
      <c r="D88" s="63" t="str">
        <f>IF(A88&lt;&gt;"",SUMIFS(Transactions!$F$7:$F$996,Transactions!$D$7:$D$996,"Expense",Transactions!$E$7:$E$996,A88),"")</f>
        <v/>
      </c>
      <c r="E88" s="64" t="str">
        <f t="shared" si="1"/>
        <v/>
      </c>
      <c r="F88" s="64" t="str">
        <f t="shared" si="2"/>
        <v/>
      </c>
      <c r="G88" s="61"/>
      <c r="H88" s="56"/>
    </row>
    <row r="89" ht="19.5" customHeight="1">
      <c r="A89" s="27" t="str">
        <f>IF(Roster!$A$87&lt;&gt;"",Roster!$A$87,"")</f>
        <v/>
      </c>
      <c r="B89" s="27" t="str">
        <f t="array" ref="B89">IF(A89&lt;&gt;"",IFERROR(INDEX(Roster!$B$5:$B$204,MATCH(A89,Roster!$A$5:$A$204,0)),0)+IFERROR(SUMPRODUCT((INDEX(Attendance!$B$7:$AY$206,MATCH(A89,Attendance!$A$7:$A$206,0),0)=1)*Attendance!$B$4:$AY$4),0),"")</f>
        <v/>
      </c>
      <c r="C89" s="60" t="str">
        <f>IF(A89&lt;&gt;"",SUMIFS(Transactions!$F$7:$F$996,Transactions!$D$7:$D$996,"Income",Transactions!$E$7:$E$996,A89),"")</f>
        <v/>
      </c>
      <c r="D89" s="60" t="str">
        <f>IF(A89&lt;&gt;"",SUMIFS(Transactions!$F$7:$F$996,Transactions!$D$7:$D$996,"Expense",Transactions!$E$7:$E$996,A89),"")</f>
        <v/>
      </c>
      <c r="E89" s="58" t="str">
        <f t="shared" si="1"/>
        <v/>
      </c>
      <c r="F89" s="58" t="str">
        <f t="shared" si="2"/>
        <v/>
      </c>
      <c r="G89" s="61"/>
      <c r="H89" s="56"/>
    </row>
    <row r="90" ht="19.5" customHeight="1">
      <c r="A90" s="62" t="str">
        <f>IF(Roster!$A$88&lt;&gt;"",Roster!$A$88,"")</f>
        <v/>
      </c>
      <c r="B90" s="62" t="str">
        <f t="array" ref="B90">IF(A90&lt;&gt;"",IFERROR(INDEX(Roster!$B$5:$B$204,MATCH(A90,Roster!$A$5:$A$204,0)),0)+IFERROR(SUMPRODUCT((INDEX(Attendance!$B$7:$AY$206,MATCH(A90,Attendance!$A$7:$A$206,0),0)=1)*Attendance!$B$4:$AY$4),0),"")</f>
        <v/>
      </c>
      <c r="C90" s="63" t="str">
        <f>IF(A90&lt;&gt;"",SUMIFS(Transactions!$F$7:$F$996,Transactions!$D$7:$D$996,"Income",Transactions!$E$7:$E$996,A90),"")</f>
        <v/>
      </c>
      <c r="D90" s="63" t="str">
        <f>IF(A90&lt;&gt;"",SUMIFS(Transactions!$F$7:$F$996,Transactions!$D$7:$D$996,"Expense",Transactions!$E$7:$E$996,A90),"")</f>
        <v/>
      </c>
      <c r="E90" s="64" t="str">
        <f t="shared" si="1"/>
        <v/>
      </c>
      <c r="F90" s="64" t="str">
        <f t="shared" si="2"/>
        <v/>
      </c>
      <c r="G90" s="61"/>
      <c r="H90" s="56"/>
    </row>
    <row r="91" ht="19.5" customHeight="1">
      <c r="A91" s="27" t="str">
        <f>IF(Roster!$A$89&lt;&gt;"",Roster!$A$89,"")</f>
        <v/>
      </c>
      <c r="B91" s="27" t="str">
        <f t="array" ref="B91">IF(A91&lt;&gt;"",IFERROR(INDEX(Roster!$B$5:$B$204,MATCH(A91,Roster!$A$5:$A$204,0)),0)+IFERROR(SUMPRODUCT((INDEX(Attendance!$B$7:$AY$206,MATCH(A91,Attendance!$A$7:$A$206,0),0)=1)*Attendance!$B$4:$AY$4),0),"")</f>
        <v/>
      </c>
      <c r="C91" s="60" t="str">
        <f>IF(A91&lt;&gt;"",SUMIFS(Transactions!$F$7:$F$996,Transactions!$D$7:$D$996,"Income",Transactions!$E$7:$E$996,A91),"")</f>
        <v/>
      </c>
      <c r="D91" s="60" t="str">
        <f>IF(A91&lt;&gt;"",SUMIFS(Transactions!$F$7:$F$996,Transactions!$D$7:$D$996,"Expense",Transactions!$E$7:$E$996,A91),"")</f>
        <v/>
      </c>
      <c r="E91" s="58" t="str">
        <f t="shared" si="1"/>
        <v/>
      </c>
      <c r="F91" s="58" t="str">
        <f t="shared" si="2"/>
        <v/>
      </c>
      <c r="G91" s="61"/>
      <c r="H91" s="56"/>
    </row>
    <row r="92" ht="19.5" customHeight="1">
      <c r="A92" s="62" t="str">
        <f>IF(Roster!$A$90&lt;&gt;"",Roster!$A$90,"")</f>
        <v/>
      </c>
      <c r="B92" s="62" t="str">
        <f t="array" ref="B92">IF(A92&lt;&gt;"",IFERROR(INDEX(Roster!$B$5:$B$204,MATCH(A92,Roster!$A$5:$A$204,0)),0)+IFERROR(SUMPRODUCT((INDEX(Attendance!$B$7:$AY$206,MATCH(A92,Attendance!$A$7:$A$206,0),0)=1)*Attendance!$B$4:$AY$4),0),"")</f>
        <v/>
      </c>
      <c r="C92" s="63" t="str">
        <f>IF(A92&lt;&gt;"",SUMIFS(Transactions!$F$7:$F$996,Transactions!$D$7:$D$996,"Income",Transactions!$E$7:$E$996,A92),"")</f>
        <v/>
      </c>
      <c r="D92" s="63" t="str">
        <f>IF(A92&lt;&gt;"",SUMIFS(Transactions!$F$7:$F$996,Transactions!$D$7:$D$996,"Expense",Transactions!$E$7:$E$996,A92),"")</f>
        <v/>
      </c>
      <c r="E92" s="64" t="str">
        <f t="shared" si="1"/>
        <v/>
      </c>
      <c r="F92" s="64" t="str">
        <f t="shared" si="2"/>
        <v/>
      </c>
      <c r="G92" s="61"/>
      <c r="H92" s="56"/>
    </row>
    <row r="93" ht="19.5" customHeight="1">
      <c r="A93" s="27" t="str">
        <f>IF(Roster!$A$91&lt;&gt;"",Roster!$A$91,"")</f>
        <v/>
      </c>
      <c r="B93" s="27" t="str">
        <f t="array" ref="B93">IF(A93&lt;&gt;"",IFERROR(INDEX(Roster!$B$5:$B$204,MATCH(A93,Roster!$A$5:$A$204,0)),0)+IFERROR(SUMPRODUCT((INDEX(Attendance!$B$7:$AY$206,MATCH(A93,Attendance!$A$7:$A$206,0),0)=1)*Attendance!$B$4:$AY$4),0),"")</f>
        <v/>
      </c>
      <c r="C93" s="60" t="str">
        <f>IF(A93&lt;&gt;"",SUMIFS(Transactions!$F$7:$F$996,Transactions!$D$7:$D$996,"Income",Transactions!$E$7:$E$996,A93),"")</f>
        <v/>
      </c>
      <c r="D93" s="60" t="str">
        <f>IF(A93&lt;&gt;"",SUMIFS(Transactions!$F$7:$F$996,Transactions!$D$7:$D$996,"Expense",Transactions!$E$7:$E$996,A93),"")</f>
        <v/>
      </c>
      <c r="E93" s="58" t="str">
        <f t="shared" si="1"/>
        <v/>
      </c>
      <c r="F93" s="58" t="str">
        <f t="shared" si="2"/>
        <v/>
      </c>
      <c r="G93" s="61"/>
      <c r="H93" s="56"/>
    </row>
    <row r="94" ht="19.5" customHeight="1">
      <c r="A94" s="62" t="str">
        <f>IF(Roster!$A$92&lt;&gt;"",Roster!$A$92,"")</f>
        <v/>
      </c>
      <c r="B94" s="62" t="str">
        <f t="array" ref="B94">IF(A94&lt;&gt;"",IFERROR(INDEX(Roster!$B$5:$B$204,MATCH(A94,Roster!$A$5:$A$204,0)),0)+IFERROR(SUMPRODUCT((INDEX(Attendance!$B$7:$AY$206,MATCH(A94,Attendance!$A$7:$A$206,0),0)=1)*Attendance!$B$4:$AY$4),0),"")</f>
        <v/>
      </c>
      <c r="C94" s="63" t="str">
        <f>IF(A94&lt;&gt;"",SUMIFS(Transactions!$F$7:$F$996,Transactions!$D$7:$D$996,"Income",Transactions!$E$7:$E$996,A94),"")</f>
        <v/>
      </c>
      <c r="D94" s="63" t="str">
        <f>IF(A94&lt;&gt;"",SUMIFS(Transactions!$F$7:$F$996,Transactions!$D$7:$D$996,"Expense",Transactions!$E$7:$E$996,A94),"")</f>
        <v/>
      </c>
      <c r="E94" s="64" t="str">
        <f t="shared" si="1"/>
        <v/>
      </c>
      <c r="F94" s="64" t="str">
        <f t="shared" si="2"/>
        <v/>
      </c>
      <c r="G94" s="61"/>
      <c r="H94" s="56"/>
    </row>
    <row r="95" ht="19.5" customHeight="1">
      <c r="A95" s="27" t="str">
        <f>IF(Roster!$A$93&lt;&gt;"",Roster!$A$93,"")</f>
        <v/>
      </c>
      <c r="B95" s="27" t="str">
        <f t="array" ref="B95">IF(A95&lt;&gt;"",IFERROR(INDEX(Roster!$B$5:$B$204,MATCH(A95,Roster!$A$5:$A$204,0)),0)+IFERROR(SUMPRODUCT((INDEX(Attendance!$B$7:$AY$206,MATCH(A95,Attendance!$A$7:$A$206,0),0)=1)*Attendance!$B$4:$AY$4),0),"")</f>
        <v/>
      </c>
      <c r="C95" s="60" t="str">
        <f>IF(A95&lt;&gt;"",SUMIFS(Transactions!$F$7:$F$996,Transactions!$D$7:$D$996,"Income",Transactions!$E$7:$E$996,A95),"")</f>
        <v/>
      </c>
      <c r="D95" s="60" t="str">
        <f>IF(A95&lt;&gt;"",SUMIFS(Transactions!$F$7:$F$996,Transactions!$D$7:$D$996,"Expense",Transactions!$E$7:$E$996,A95),"")</f>
        <v/>
      </c>
      <c r="E95" s="58" t="str">
        <f t="shared" si="1"/>
        <v/>
      </c>
      <c r="F95" s="58" t="str">
        <f t="shared" si="2"/>
        <v/>
      </c>
      <c r="G95" s="61"/>
      <c r="H95" s="56"/>
    </row>
    <row r="96" ht="19.5" customHeight="1">
      <c r="A96" s="62" t="str">
        <f>IF(Roster!$A$94&lt;&gt;"",Roster!$A$94,"")</f>
        <v/>
      </c>
      <c r="B96" s="62" t="str">
        <f t="array" ref="B96">IF(A96&lt;&gt;"",IFERROR(INDEX(Roster!$B$5:$B$204,MATCH(A96,Roster!$A$5:$A$204,0)),0)+IFERROR(SUMPRODUCT((INDEX(Attendance!$B$7:$AY$206,MATCH(A96,Attendance!$A$7:$A$206,0),0)=1)*Attendance!$B$4:$AY$4),0),"")</f>
        <v/>
      </c>
      <c r="C96" s="63" t="str">
        <f>IF(A96&lt;&gt;"",SUMIFS(Transactions!$F$7:$F$996,Transactions!$D$7:$D$996,"Income",Transactions!$E$7:$E$996,A96),"")</f>
        <v/>
      </c>
      <c r="D96" s="63" t="str">
        <f>IF(A96&lt;&gt;"",SUMIFS(Transactions!$F$7:$F$996,Transactions!$D$7:$D$996,"Expense",Transactions!$E$7:$E$996,A96),"")</f>
        <v/>
      </c>
      <c r="E96" s="64" t="str">
        <f t="shared" si="1"/>
        <v/>
      </c>
      <c r="F96" s="64" t="str">
        <f t="shared" si="2"/>
        <v/>
      </c>
      <c r="G96" s="61"/>
      <c r="H96" s="56"/>
    </row>
    <row r="97" ht="19.5" customHeight="1">
      <c r="A97" s="27" t="str">
        <f>IF(Roster!$A$95&lt;&gt;"",Roster!$A$95,"")</f>
        <v/>
      </c>
      <c r="B97" s="27" t="str">
        <f t="array" ref="B97">IF(A97&lt;&gt;"",IFERROR(INDEX(Roster!$B$5:$B$204,MATCH(A97,Roster!$A$5:$A$204,0)),0)+IFERROR(SUMPRODUCT((INDEX(Attendance!$B$7:$AY$206,MATCH(A97,Attendance!$A$7:$A$206,0),0)=1)*Attendance!$B$4:$AY$4),0),"")</f>
        <v/>
      </c>
      <c r="C97" s="60" t="str">
        <f>IF(A97&lt;&gt;"",SUMIFS(Transactions!$F$7:$F$996,Transactions!$D$7:$D$996,"Income",Transactions!$E$7:$E$996,A97),"")</f>
        <v/>
      </c>
      <c r="D97" s="60" t="str">
        <f>IF(A97&lt;&gt;"",SUMIFS(Transactions!$F$7:$F$996,Transactions!$D$7:$D$996,"Expense",Transactions!$E$7:$E$996,A97),"")</f>
        <v/>
      </c>
      <c r="E97" s="58" t="str">
        <f t="shared" si="1"/>
        <v/>
      </c>
      <c r="F97" s="58" t="str">
        <f t="shared" si="2"/>
        <v/>
      </c>
      <c r="G97" s="61"/>
      <c r="H97" s="56"/>
    </row>
    <row r="98" ht="19.5" customHeight="1">
      <c r="A98" s="62" t="str">
        <f>IF(Roster!$A$96&lt;&gt;"",Roster!$A$96,"")</f>
        <v/>
      </c>
      <c r="B98" s="62" t="str">
        <f t="array" ref="B98">IF(A98&lt;&gt;"",IFERROR(INDEX(Roster!$B$5:$B$204,MATCH(A98,Roster!$A$5:$A$204,0)),0)+IFERROR(SUMPRODUCT((INDEX(Attendance!$B$7:$AY$206,MATCH(A98,Attendance!$A$7:$A$206,0),0)=1)*Attendance!$B$4:$AY$4),0),"")</f>
        <v/>
      </c>
      <c r="C98" s="63" t="str">
        <f>IF(A98&lt;&gt;"",SUMIFS(Transactions!$F$7:$F$996,Transactions!$D$7:$D$996,"Income",Transactions!$E$7:$E$996,A98),"")</f>
        <v/>
      </c>
      <c r="D98" s="63" t="str">
        <f>IF(A98&lt;&gt;"",SUMIFS(Transactions!$F$7:$F$996,Transactions!$D$7:$D$996,"Expense",Transactions!$E$7:$E$996,A98),"")</f>
        <v/>
      </c>
      <c r="E98" s="64" t="str">
        <f t="shared" si="1"/>
        <v/>
      </c>
      <c r="F98" s="64" t="str">
        <f t="shared" si="2"/>
        <v/>
      </c>
      <c r="G98" s="61"/>
      <c r="H98" s="56"/>
    </row>
    <row r="99" ht="19.5" customHeight="1">
      <c r="A99" s="27" t="str">
        <f>IF(Roster!$A$97&lt;&gt;"",Roster!$A$97,"")</f>
        <v/>
      </c>
      <c r="B99" s="27" t="str">
        <f t="array" ref="B99">IF(A99&lt;&gt;"",IFERROR(INDEX(Roster!$B$5:$B$204,MATCH(A99,Roster!$A$5:$A$204,0)),0)+IFERROR(SUMPRODUCT((INDEX(Attendance!$B$7:$AY$206,MATCH(A99,Attendance!$A$7:$A$206,0),0)=1)*Attendance!$B$4:$AY$4),0),"")</f>
        <v/>
      </c>
      <c r="C99" s="60" t="str">
        <f>IF(A99&lt;&gt;"",SUMIFS(Transactions!$F$7:$F$996,Transactions!$D$7:$D$996,"Income",Transactions!$E$7:$E$996,A99),"")</f>
        <v/>
      </c>
      <c r="D99" s="60" t="str">
        <f>IF(A99&lt;&gt;"",SUMIFS(Transactions!$F$7:$F$996,Transactions!$D$7:$D$996,"Expense",Transactions!$E$7:$E$996,A99),"")</f>
        <v/>
      </c>
      <c r="E99" s="58" t="str">
        <f t="shared" si="1"/>
        <v/>
      </c>
      <c r="F99" s="58" t="str">
        <f t="shared" si="2"/>
        <v/>
      </c>
      <c r="G99" s="61"/>
      <c r="H99" s="56"/>
    </row>
    <row r="100" ht="19.5" customHeight="1">
      <c r="A100" s="62" t="str">
        <f>IF(Roster!$A$98&lt;&gt;"",Roster!$A$98,"")</f>
        <v/>
      </c>
      <c r="B100" s="62" t="str">
        <f t="array" ref="B100">IF(A100&lt;&gt;"",IFERROR(INDEX(Roster!$B$5:$B$204,MATCH(A100,Roster!$A$5:$A$204,0)),0)+IFERROR(SUMPRODUCT((INDEX(Attendance!$B$7:$AY$206,MATCH(A100,Attendance!$A$7:$A$206,0),0)=1)*Attendance!$B$4:$AY$4),0),"")</f>
        <v/>
      </c>
      <c r="C100" s="63" t="str">
        <f>IF(A100&lt;&gt;"",SUMIFS(Transactions!$F$7:$F$996,Transactions!$D$7:$D$996,"Income",Transactions!$E$7:$E$996,A100),"")</f>
        <v/>
      </c>
      <c r="D100" s="63" t="str">
        <f>IF(A100&lt;&gt;"",SUMIFS(Transactions!$F$7:$F$996,Transactions!$D$7:$D$996,"Expense",Transactions!$E$7:$E$996,A100),"")</f>
        <v/>
      </c>
      <c r="E100" s="64" t="str">
        <f t="shared" si="1"/>
        <v/>
      </c>
      <c r="F100" s="64" t="str">
        <f t="shared" si="2"/>
        <v/>
      </c>
      <c r="G100" s="61"/>
      <c r="H100" s="56"/>
    </row>
    <row r="101" ht="19.5" customHeight="1">
      <c r="A101" s="27" t="str">
        <f>IF(Roster!$A$99&lt;&gt;"",Roster!$A$99,"")</f>
        <v/>
      </c>
      <c r="B101" s="27" t="str">
        <f t="array" ref="B101">IF(A101&lt;&gt;"",IFERROR(INDEX(Roster!$B$5:$B$204,MATCH(A101,Roster!$A$5:$A$204,0)),0)+IFERROR(SUMPRODUCT((INDEX(Attendance!$B$7:$AY$206,MATCH(A101,Attendance!$A$7:$A$206,0),0)=1)*Attendance!$B$4:$AY$4),0),"")</f>
        <v/>
      </c>
      <c r="C101" s="60" t="str">
        <f>IF(A101&lt;&gt;"",SUMIFS(Transactions!$F$7:$F$996,Transactions!$D$7:$D$996,"Income",Transactions!$E$7:$E$996,A101),"")</f>
        <v/>
      </c>
      <c r="D101" s="60" t="str">
        <f>IF(A101&lt;&gt;"",SUMIFS(Transactions!$F$7:$F$996,Transactions!$D$7:$D$996,"Expense",Transactions!$E$7:$E$996,A101),"")</f>
        <v/>
      </c>
      <c r="E101" s="58" t="str">
        <f t="shared" si="1"/>
        <v/>
      </c>
      <c r="F101" s="58" t="str">
        <f t="shared" si="2"/>
        <v/>
      </c>
      <c r="G101" s="61"/>
      <c r="H101" s="56"/>
    </row>
    <row r="102" ht="19.5" customHeight="1">
      <c r="A102" s="62" t="str">
        <f>IF(Roster!$A$100&lt;&gt;"",Roster!$A$100,"")</f>
        <v/>
      </c>
      <c r="B102" s="62" t="str">
        <f t="array" ref="B102">IF(A102&lt;&gt;"",IFERROR(INDEX(Roster!$B$5:$B$204,MATCH(A102,Roster!$A$5:$A$204,0)),0)+IFERROR(SUMPRODUCT((INDEX(Attendance!$B$7:$AY$206,MATCH(A102,Attendance!$A$7:$A$206,0),0)=1)*Attendance!$B$4:$AY$4),0),"")</f>
        <v/>
      </c>
      <c r="C102" s="63" t="str">
        <f>IF(A102&lt;&gt;"",SUMIFS(Transactions!$F$7:$F$996,Transactions!$D$7:$D$996,"Income",Transactions!$E$7:$E$996,A102),"")</f>
        <v/>
      </c>
      <c r="D102" s="63" t="str">
        <f>IF(A102&lt;&gt;"",SUMIFS(Transactions!$F$7:$F$996,Transactions!$D$7:$D$996,"Expense",Transactions!$E$7:$E$996,A102),"")</f>
        <v/>
      </c>
      <c r="E102" s="64" t="str">
        <f t="shared" si="1"/>
        <v/>
      </c>
      <c r="F102" s="64" t="str">
        <f t="shared" si="2"/>
        <v/>
      </c>
      <c r="G102" s="61"/>
      <c r="H102" s="56"/>
    </row>
    <row r="103" ht="19.5" customHeight="1">
      <c r="A103" s="27" t="str">
        <f>IF(Roster!$A$101&lt;&gt;"",Roster!$A$101,"")</f>
        <v/>
      </c>
      <c r="B103" s="27" t="str">
        <f t="array" ref="B103">IF(A103&lt;&gt;"",IFERROR(INDEX(Roster!$B$5:$B$204,MATCH(A103,Roster!$A$5:$A$204,0)),0)+IFERROR(SUMPRODUCT((INDEX(Attendance!$B$7:$AY$206,MATCH(A103,Attendance!$A$7:$A$206,0),0)=1)*Attendance!$B$4:$AY$4),0),"")</f>
        <v/>
      </c>
      <c r="C103" s="60" t="str">
        <f>IF(A103&lt;&gt;"",SUMIFS(Transactions!$F$7:$F$996,Transactions!$D$7:$D$996,"Income",Transactions!$E$7:$E$996,A103),"")</f>
        <v/>
      </c>
      <c r="D103" s="60" t="str">
        <f>IF(A103&lt;&gt;"",SUMIFS(Transactions!$F$7:$F$996,Transactions!$D$7:$D$996,"Expense",Transactions!$E$7:$E$996,A103),"")</f>
        <v/>
      </c>
      <c r="E103" s="58" t="str">
        <f t="shared" si="1"/>
        <v/>
      </c>
      <c r="F103" s="58" t="str">
        <f t="shared" si="2"/>
        <v/>
      </c>
      <c r="G103" s="61"/>
      <c r="H103" s="56"/>
    </row>
    <row r="104" ht="19.5" customHeight="1">
      <c r="A104" s="62" t="str">
        <f>IF(Roster!$A$102&lt;&gt;"",Roster!$A$102,"")</f>
        <v/>
      </c>
      <c r="B104" s="62" t="str">
        <f t="array" ref="B104">IF(A104&lt;&gt;"",IFERROR(INDEX(Roster!$B$5:$B$204,MATCH(A104,Roster!$A$5:$A$204,0)),0)+IFERROR(SUMPRODUCT((INDEX(Attendance!$B$7:$AY$206,MATCH(A104,Attendance!$A$7:$A$206,0),0)=1)*Attendance!$B$4:$AY$4),0),"")</f>
        <v/>
      </c>
      <c r="C104" s="63" t="str">
        <f>IF(A104&lt;&gt;"",SUMIFS(Transactions!$F$7:$F$996,Transactions!$D$7:$D$996,"Income",Transactions!$E$7:$E$996,A104),"")</f>
        <v/>
      </c>
      <c r="D104" s="63" t="str">
        <f>IF(A104&lt;&gt;"",SUMIFS(Transactions!$F$7:$F$996,Transactions!$D$7:$D$996,"Expense",Transactions!$E$7:$E$996,A104),"")</f>
        <v/>
      </c>
      <c r="E104" s="64" t="str">
        <f t="shared" si="1"/>
        <v/>
      </c>
      <c r="F104" s="64" t="str">
        <f t="shared" si="2"/>
        <v/>
      </c>
      <c r="G104" s="61"/>
      <c r="H104" s="56"/>
    </row>
    <row r="105" ht="19.5" customHeight="1">
      <c r="A105" s="27" t="str">
        <f>IF(Roster!$A$103&lt;&gt;"",Roster!$A$103,"")</f>
        <v/>
      </c>
      <c r="B105" s="27" t="str">
        <f t="array" ref="B105">IF(A105&lt;&gt;"",IFERROR(INDEX(Roster!$B$5:$B$204,MATCH(A105,Roster!$A$5:$A$204,0)),0)+IFERROR(SUMPRODUCT((INDEX(Attendance!$B$7:$AY$206,MATCH(A105,Attendance!$A$7:$A$206,0),0)=1)*Attendance!$B$4:$AY$4),0),"")</f>
        <v/>
      </c>
      <c r="C105" s="60" t="str">
        <f>IF(A105&lt;&gt;"",SUMIFS(Transactions!$F$7:$F$996,Transactions!$D$7:$D$996,"Income",Transactions!$E$7:$E$996,A105),"")</f>
        <v/>
      </c>
      <c r="D105" s="60" t="str">
        <f>IF(A105&lt;&gt;"",SUMIFS(Transactions!$F$7:$F$996,Transactions!$D$7:$D$996,"Expense",Transactions!$E$7:$E$996,A105),"")</f>
        <v/>
      </c>
      <c r="E105" s="58" t="str">
        <f t="shared" si="1"/>
        <v/>
      </c>
      <c r="F105" s="58" t="str">
        <f t="shared" si="2"/>
        <v/>
      </c>
      <c r="G105" s="61"/>
      <c r="H105" s="56"/>
    </row>
    <row r="106" ht="19.5" customHeight="1">
      <c r="A106" s="62" t="str">
        <f>IF(Roster!$A$104&lt;&gt;"",Roster!$A$104,"")</f>
        <v/>
      </c>
      <c r="B106" s="62" t="str">
        <f t="array" ref="B106">IF(A106&lt;&gt;"",IFERROR(INDEX(Roster!$B$5:$B$204,MATCH(A106,Roster!$A$5:$A$204,0)),0)+IFERROR(SUMPRODUCT((INDEX(Attendance!$B$7:$AY$206,MATCH(A106,Attendance!$A$7:$A$206,0),0)=1)*Attendance!$B$4:$AY$4),0),"")</f>
        <v/>
      </c>
      <c r="C106" s="63" t="str">
        <f>IF(A106&lt;&gt;"",SUMIFS(Transactions!$F$7:$F$996,Transactions!$D$7:$D$996,"Income",Transactions!$E$7:$E$996,A106),"")</f>
        <v/>
      </c>
      <c r="D106" s="63" t="str">
        <f>IF(A106&lt;&gt;"",SUMIFS(Transactions!$F$7:$F$996,Transactions!$D$7:$D$996,"Expense",Transactions!$E$7:$E$996,A106),"")</f>
        <v/>
      </c>
      <c r="E106" s="64" t="str">
        <f t="shared" si="1"/>
        <v/>
      </c>
      <c r="F106" s="64" t="str">
        <f t="shared" si="2"/>
        <v/>
      </c>
      <c r="G106" s="61"/>
      <c r="H106" s="56"/>
    </row>
    <row r="107" ht="19.5" customHeight="1">
      <c r="A107" s="27" t="str">
        <f>IF(Roster!$A$105&lt;&gt;"",Roster!$A$105,"")</f>
        <v/>
      </c>
      <c r="B107" s="27" t="str">
        <f t="array" ref="B107">IF(A107&lt;&gt;"",IFERROR(INDEX(Roster!$B$5:$B$204,MATCH(A107,Roster!$A$5:$A$204,0)),0)+IFERROR(SUMPRODUCT((INDEX(Attendance!$B$7:$AY$206,MATCH(A107,Attendance!$A$7:$A$206,0),0)=1)*Attendance!$B$4:$AY$4),0),"")</f>
        <v/>
      </c>
      <c r="C107" s="60" t="str">
        <f>IF(A107&lt;&gt;"",SUMIFS(Transactions!$F$7:$F$996,Transactions!$D$7:$D$996,"Income",Transactions!$E$7:$E$996,A107),"")</f>
        <v/>
      </c>
      <c r="D107" s="60" t="str">
        <f>IF(A107&lt;&gt;"",SUMIFS(Transactions!$F$7:$F$996,Transactions!$D$7:$D$996,"Expense",Transactions!$E$7:$E$996,A107),"")</f>
        <v/>
      </c>
      <c r="E107" s="58" t="str">
        <f t="shared" si="1"/>
        <v/>
      </c>
      <c r="F107" s="58" t="str">
        <f t="shared" si="2"/>
        <v/>
      </c>
      <c r="G107" s="61"/>
      <c r="H107" s="56"/>
    </row>
    <row r="108" ht="19.5" customHeight="1">
      <c r="A108" s="62" t="str">
        <f>IF(Roster!$A$106&lt;&gt;"",Roster!$A$106,"")</f>
        <v/>
      </c>
      <c r="B108" s="62" t="str">
        <f t="array" ref="B108">IF(A108&lt;&gt;"",IFERROR(INDEX(Roster!$B$5:$B$204,MATCH(A108,Roster!$A$5:$A$204,0)),0)+IFERROR(SUMPRODUCT((INDEX(Attendance!$B$7:$AY$206,MATCH(A108,Attendance!$A$7:$A$206,0),0)=1)*Attendance!$B$4:$AY$4),0),"")</f>
        <v/>
      </c>
      <c r="C108" s="63" t="str">
        <f>IF(A108&lt;&gt;"",SUMIFS(Transactions!$F$7:$F$996,Transactions!$D$7:$D$996,"Income",Transactions!$E$7:$E$996,A108),"")</f>
        <v/>
      </c>
      <c r="D108" s="63" t="str">
        <f>IF(A108&lt;&gt;"",SUMIFS(Transactions!$F$7:$F$996,Transactions!$D$7:$D$996,"Expense",Transactions!$E$7:$E$996,A108),"")</f>
        <v/>
      </c>
      <c r="E108" s="64" t="str">
        <f t="shared" si="1"/>
        <v/>
      </c>
      <c r="F108" s="64" t="str">
        <f t="shared" si="2"/>
        <v/>
      </c>
      <c r="G108" s="61"/>
      <c r="H108" s="56"/>
    </row>
    <row r="109" ht="19.5" customHeight="1">
      <c r="A109" s="27" t="str">
        <f>IF(Roster!$A$107&lt;&gt;"",Roster!$A$107,"")</f>
        <v/>
      </c>
      <c r="B109" s="27" t="str">
        <f t="array" ref="B109">IF(A109&lt;&gt;"",IFERROR(INDEX(Roster!$B$5:$B$204,MATCH(A109,Roster!$A$5:$A$204,0)),0)+IFERROR(SUMPRODUCT((INDEX(Attendance!$B$7:$AY$206,MATCH(A109,Attendance!$A$7:$A$206,0),0)=1)*Attendance!$B$4:$AY$4),0),"")</f>
        <v/>
      </c>
      <c r="C109" s="60" t="str">
        <f>IF(A109&lt;&gt;"",SUMIFS(Transactions!$F$7:$F$996,Transactions!$D$7:$D$996,"Income",Transactions!$E$7:$E$996,A109),"")</f>
        <v/>
      </c>
      <c r="D109" s="60" t="str">
        <f>IF(A109&lt;&gt;"",SUMIFS(Transactions!$F$7:$F$996,Transactions!$D$7:$D$996,"Expense",Transactions!$E$7:$E$996,A109),"")</f>
        <v/>
      </c>
      <c r="E109" s="58" t="str">
        <f t="shared" si="1"/>
        <v/>
      </c>
      <c r="F109" s="58" t="str">
        <f t="shared" si="2"/>
        <v/>
      </c>
      <c r="G109" s="61"/>
      <c r="H109" s="56"/>
    </row>
    <row r="110" ht="19.5" customHeight="1">
      <c r="A110" s="62" t="str">
        <f>IF(Roster!$A$108&lt;&gt;"",Roster!$A$108,"")</f>
        <v/>
      </c>
      <c r="B110" s="62" t="str">
        <f t="array" ref="B110">IF(A110&lt;&gt;"",IFERROR(INDEX(Roster!$B$5:$B$204,MATCH(A110,Roster!$A$5:$A$204,0)),0)+IFERROR(SUMPRODUCT((INDEX(Attendance!$B$7:$AY$206,MATCH(A110,Attendance!$A$7:$A$206,0),0)=1)*Attendance!$B$4:$AY$4),0),"")</f>
        <v/>
      </c>
      <c r="C110" s="63" t="str">
        <f>IF(A110&lt;&gt;"",SUMIFS(Transactions!$F$7:$F$996,Transactions!$D$7:$D$996,"Income",Transactions!$E$7:$E$996,A110),"")</f>
        <v/>
      </c>
      <c r="D110" s="63" t="str">
        <f>IF(A110&lt;&gt;"",SUMIFS(Transactions!$F$7:$F$996,Transactions!$D$7:$D$996,"Expense",Transactions!$E$7:$E$996,A110),"")</f>
        <v/>
      </c>
      <c r="E110" s="64" t="str">
        <f t="shared" si="1"/>
        <v/>
      </c>
      <c r="F110" s="64" t="str">
        <f t="shared" si="2"/>
        <v/>
      </c>
      <c r="G110" s="61"/>
      <c r="H110" s="56"/>
    </row>
    <row r="111" ht="19.5" customHeight="1">
      <c r="A111" s="27" t="str">
        <f>IF(Roster!$A$109&lt;&gt;"",Roster!$A$109,"")</f>
        <v/>
      </c>
      <c r="B111" s="27" t="str">
        <f t="array" ref="B111">IF(A111&lt;&gt;"",IFERROR(INDEX(Roster!$B$5:$B$204,MATCH(A111,Roster!$A$5:$A$204,0)),0)+IFERROR(SUMPRODUCT((INDEX(Attendance!$B$7:$AY$206,MATCH(A111,Attendance!$A$7:$A$206,0),0)=1)*Attendance!$B$4:$AY$4),0),"")</f>
        <v/>
      </c>
      <c r="C111" s="60" t="str">
        <f>IF(A111&lt;&gt;"",SUMIFS(Transactions!$F$7:$F$996,Transactions!$D$7:$D$996,"Income",Transactions!$E$7:$E$996,A111),"")</f>
        <v/>
      </c>
      <c r="D111" s="60" t="str">
        <f>IF(A111&lt;&gt;"",SUMIFS(Transactions!$F$7:$F$996,Transactions!$D$7:$D$996,"Expense",Transactions!$E$7:$E$996,A111),"")</f>
        <v/>
      </c>
      <c r="E111" s="58" t="str">
        <f t="shared" si="1"/>
        <v/>
      </c>
      <c r="F111" s="58" t="str">
        <f t="shared" si="2"/>
        <v/>
      </c>
      <c r="G111" s="61"/>
      <c r="H111" s="56"/>
    </row>
    <row r="112" ht="19.5" customHeight="1">
      <c r="A112" s="62" t="str">
        <f>IF(Roster!$A$110&lt;&gt;"",Roster!$A$110,"")</f>
        <v/>
      </c>
      <c r="B112" s="62" t="str">
        <f t="array" ref="B112">IF(A112&lt;&gt;"",IFERROR(INDEX(Roster!$B$5:$B$204,MATCH(A112,Roster!$A$5:$A$204,0)),0)+IFERROR(SUMPRODUCT((INDEX(Attendance!$B$7:$AY$206,MATCH(A112,Attendance!$A$7:$A$206,0),0)=1)*Attendance!$B$4:$AY$4),0),"")</f>
        <v/>
      </c>
      <c r="C112" s="63" t="str">
        <f>IF(A112&lt;&gt;"",SUMIFS(Transactions!$F$7:$F$996,Transactions!$D$7:$D$996,"Income",Transactions!$E$7:$E$996,A112),"")</f>
        <v/>
      </c>
      <c r="D112" s="63" t="str">
        <f>IF(A112&lt;&gt;"",SUMIFS(Transactions!$F$7:$F$996,Transactions!$D$7:$D$996,"Expense",Transactions!$E$7:$E$996,A112),"")</f>
        <v/>
      </c>
      <c r="E112" s="64" t="str">
        <f t="shared" si="1"/>
        <v/>
      </c>
      <c r="F112" s="64" t="str">
        <f t="shared" si="2"/>
        <v/>
      </c>
      <c r="G112" s="61"/>
      <c r="H112" s="56"/>
    </row>
    <row r="113" ht="19.5" customHeight="1">
      <c r="A113" s="27" t="str">
        <f>IF(Roster!$A$111&lt;&gt;"",Roster!$A$111,"")</f>
        <v/>
      </c>
      <c r="B113" s="27" t="str">
        <f t="array" ref="B113">IF(A113&lt;&gt;"",IFERROR(INDEX(Roster!$B$5:$B$204,MATCH(A113,Roster!$A$5:$A$204,0)),0)+IFERROR(SUMPRODUCT((INDEX(Attendance!$B$7:$AY$206,MATCH(A113,Attendance!$A$7:$A$206,0),0)=1)*Attendance!$B$4:$AY$4),0),"")</f>
        <v/>
      </c>
      <c r="C113" s="60" t="str">
        <f>IF(A113&lt;&gt;"",SUMIFS(Transactions!$F$7:$F$996,Transactions!$D$7:$D$996,"Income",Transactions!$E$7:$E$996,A113),"")</f>
        <v/>
      </c>
      <c r="D113" s="60" t="str">
        <f>IF(A113&lt;&gt;"",SUMIFS(Transactions!$F$7:$F$996,Transactions!$D$7:$D$996,"Expense",Transactions!$E$7:$E$996,A113),"")</f>
        <v/>
      </c>
      <c r="E113" s="58" t="str">
        <f t="shared" si="1"/>
        <v/>
      </c>
      <c r="F113" s="58" t="str">
        <f t="shared" si="2"/>
        <v/>
      </c>
      <c r="G113" s="61"/>
      <c r="H113" s="56"/>
    </row>
    <row r="114" ht="19.5" customHeight="1">
      <c r="A114" s="62" t="str">
        <f>IF(Roster!$A$112&lt;&gt;"",Roster!$A$112,"")</f>
        <v/>
      </c>
      <c r="B114" s="62" t="str">
        <f t="array" ref="B114">IF(A114&lt;&gt;"",IFERROR(INDEX(Roster!$B$5:$B$204,MATCH(A114,Roster!$A$5:$A$204,0)),0)+IFERROR(SUMPRODUCT((INDEX(Attendance!$B$7:$AY$206,MATCH(A114,Attendance!$A$7:$A$206,0),0)=1)*Attendance!$B$4:$AY$4),0),"")</f>
        <v/>
      </c>
      <c r="C114" s="63" t="str">
        <f>IF(A114&lt;&gt;"",SUMIFS(Transactions!$F$7:$F$996,Transactions!$D$7:$D$996,"Income",Transactions!$E$7:$E$996,A114),"")</f>
        <v/>
      </c>
      <c r="D114" s="63" t="str">
        <f>IF(A114&lt;&gt;"",SUMIFS(Transactions!$F$7:$F$996,Transactions!$D$7:$D$996,"Expense",Transactions!$E$7:$E$996,A114),"")</f>
        <v/>
      </c>
      <c r="E114" s="64" t="str">
        <f t="shared" si="1"/>
        <v/>
      </c>
      <c r="F114" s="64" t="str">
        <f t="shared" si="2"/>
        <v/>
      </c>
      <c r="G114" s="61"/>
      <c r="H114" s="56"/>
    </row>
    <row r="115" ht="19.5" customHeight="1">
      <c r="A115" s="27" t="str">
        <f>IF(Roster!$A$113&lt;&gt;"",Roster!$A$113,"")</f>
        <v/>
      </c>
      <c r="B115" s="27" t="str">
        <f t="array" ref="B115">IF(A115&lt;&gt;"",IFERROR(INDEX(Roster!$B$5:$B$204,MATCH(A115,Roster!$A$5:$A$204,0)),0)+IFERROR(SUMPRODUCT((INDEX(Attendance!$B$7:$AY$206,MATCH(A115,Attendance!$A$7:$A$206,0),0)=1)*Attendance!$B$4:$AY$4),0),"")</f>
        <v/>
      </c>
      <c r="C115" s="60" t="str">
        <f>IF(A115&lt;&gt;"",SUMIFS(Transactions!$F$7:$F$996,Transactions!$D$7:$D$996,"Income",Transactions!$E$7:$E$996,A115),"")</f>
        <v/>
      </c>
      <c r="D115" s="60" t="str">
        <f>IF(A115&lt;&gt;"",SUMIFS(Transactions!$F$7:$F$996,Transactions!$D$7:$D$996,"Expense",Transactions!$E$7:$E$996,A115),"")</f>
        <v/>
      </c>
      <c r="E115" s="58" t="str">
        <f t="shared" si="1"/>
        <v/>
      </c>
      <c r="F115" s="58" t="str">
        <f t="shared" si="2"/>
        <v/>
      </c>
      <c r="G115" s="61"/>
      <c r="H115" s="56"/>
    </row>
    <row r="116" ht="19.5" customHeight="1">
      <c r="A116" s="62" t="str">
        <f>IF(Roster!$A$114&lt;&gt;"",Roster!$A$114,"")</f>
        <v/>
      </c>
      <c r="B116" s="62" t="str">
        <f t="array" ref="B116">IF(A116&lt;&gt;"",IFERROR(INDEX(Roster!$B$5:$B$204,MATCH(A116,Roster!$A$5:$A$204,0)),0)+IFERROR(SUMPRODUCT((INDEX(Attendance!$B$7:$AY$206,MATCH(A116,Attendance!$A$7:$A$206,0),0)=1)*Attendance!$B$4:$AY$4),0),"")</f>
        <v/>
      </c>
      <c r="C116" s="63" t="str">
        <f>IF(A116&lt;&gt;"",SUMIFS(Transactions!$F$7:$F$996,Transactions!$D$7:$D$996,"Income",Transactions!$E$7:$E$996,A116),"")</f>
        <v/>
      </c>
      <c r="D116" s="63" t="str">
        <f>IF(A116&lt;&gt;"",SUMIFS(Transactions!$F$7:$F$996,Transactions!$D$7:$D$996,"Expense",Transactions!$E$7:$E$996,A116),"")</f>
        <v/>
      </c>
      <c r="E116" s="64" t="str">
        <f t="shared" si="1"/>
        <v/>
      </c>
      <c r="F116" s="64" t="str">
        <f t="shared" si="2"/>
        <v/>
      </c>
      <c r="G116" s="61"/>
      <c r="H116" s="56"/>
    </row>
    <row r="117" ht="19.5" customHeight="1">
      <c r="A117" s="27" t="str">
        <f>IF(Roster!$A$115&lt;&gt;"",Roster!$A$115,"")</f>
        <v/>
      </c>
      <c r="B117" s="27" t="str">
        <f t="array" ref="B117">IF(A117&lt;&gt;"",IFERROR(INDEX(Roster!$B$5:$B$204,MATCH(A117,Roster!$A$5:$A$204,0)),0)+IFERROR(SUMPRODUCT((INDEX(Attendance!$B$7:$AY$206,MATCH(A117,Attendance!$A$7:$A$206,0),0)=1)*Attendance!$B$4:$AY$4),0),"")</f>
        <v/>
      </c>
      <c r="C117" s="60" t="str">
        <f>IF(A117&lt;&gt;"",SUMIFS(Transactions!$F$7:$F$996,Transactions!$D$7:$D$996,"Income",Transactions!$E$7:$E$996,A117),"")</f>
        <v/>
      </c>
      <c r="D117" s="60" t="str">
        <f>IF(A117&lt;&gt;"",SUMIFS(Transactions!$F$7:$F$996,Transactions!$D$7:$D$996,"Expense",Transactions!$E$7:$E$996,A117),"")</f>
        <v/>
      </c>
      <c r="E117" s="58" t="str">
        <f t="shared" si="1"/>
        <v/>
      </c>
      <c r="F117" s="58" t="str">
        <f t="shared" si="2"/>
        <v/>
      </c>
      <c r="G117" s="61"/>
      <c r="H117" s="56"/>
    </row>
    <row r="118" ht="19.5" customHeight="1">
      <c r="A118" s="62" t="str">
        <f>IF(Roster!$A$116&lt;&gt;"",Roster!$A$116,"")</f>
        <v/>
      </c>
      <c r="B118" s="62" t="str">
        <f t="array" ref="B118">IF(A118&lt;&gt;"",IFERROR(INDEX(Roster!$B$5:$B$204,MATCH(A118,Roster!$A$5:$A$204,0)),0)+IFERROR(SUMPRODUCT((INDEX(Attendance!$B$7:$AY$206,MATCH(A118,Attendance!$A$7:$A$206,0),0)=1)*Attendance!$B$4:$AY$4),0),"")</f>
        <v/>
      </c>
      <c r="C118" s="63" t="str">
        <f>IF(A118&lt;&gt;"",SUMIFS(Transactions!$F$7:$F$996,Transactions!$D$7:$D$996,"Income",Transactions!$E$7:$E$996,A118),"")</f>
        <v/>
      </c>
      <c r="D118" s="63" t="str">
        <f>IF(A118&lt;&gt;"",SUMIFS(Transactions!$F$7:$F$996,Transactions!$D$7:$D$996,"Expense",Transactions!$E$7:$E$996,A118),"")</f>
        <v/>
      </c>
      <c r="E118" s="64" t="str">
        <f t="shared" si="1"/>
        <v/>
      </c>
      <c r="F118" s="64" t="str">
        <f t="shared" si="2"/>
        <v/>
      </c>
      <c r="G118" s="61"/>
      <c r="H118" s="56"/>
    </row>
    <row r="119" ht="19.5" customHeight="1">
      <c r="A119" s="27" t="str">
        <f>IF(Roster!$A$117&lt;&gt;"",Roster!$A$117,"")</f>
        <v/>
      </c>
      <c r="B119" s="27" t="str">
        <f t="array" ref="B119">IF(A119&lt;&gt;"",IFERROR(INDEX(Roster!$B$5:$B$204,MATCH(A119,Roster!$A$5:$A$204,0)),0)+IFERROR(SUMPRODUCT((INDEX(Attendance!$B$7:$AY$206,MATCH(A119,Attendance!$A$7:$A$206,0),0)=1)*Attendance!$B$4:$AY$4),0),"")</f>
        <v/>
      </c>
      <c r="C119" s="60" t="str">
        <f>IF(A119&lt;&gt;"",SUMIFS(Transactions!$F$7:$F$996,Transactions!$D$7:$D$996,"Income",Transactions!$E$7:$E$996,A119),"")</f>
        <v/>
      </c>
      <c r="D119" s="60" t="str">
        <f>IF(A119&lt;&gt;"",SUMIFS(Transactions!$F$7:$F$996,Transactions!$D$7:$D$996,"Expense",Transactions!$E$7:$E$996,A119),"")</f>
        <v/>
      </c>
      <c r="E119" s="58" t="str">
        <f t="shared" si="1"/>
        <v/>
      </c>
      <c r="F119" s="58" t="str">
        <f t="shared" si="2"/>
        <v/>
      </c>
      <c r="G119" s="61"/>
      <c r="H119" s="56"/>
    </row>
    <row r="120" ht="19.5" customHeight="1">
      <c r="A120" s="62" t="str">
        <f>IF(Roster!$A$118&lt;&gt;"",Roster!$A$118,"")</f>
        <v/>
      </c>
      <c r="B120" s="62" t="str">
        <f t="array" ref="B120">IF(A120&lt;&gt;"",IFERROR(INDEX(Roster!$B$5:$B$204,MATCH(A120,Roster!$A$5:$A$204,0)),0)+IFERROR(SUMPRODUCT((INDEX(Attendance!$B$7:$AY$206,MATCH(A120,Attendance!$A$7:$A$206,0),0)=1)*Attendance!$B$4:$AY$4),0),"")</f>
        <v/>
      </c>
      <c r="C120" s="63" t="str">
        <f>IF(A120&lt;&gt;"",SUMIFS(Transactions!$F$7:$F$996,Transactions!$D$7:$D$996,"Income",Transactions!$E$7:$E$996,A120),"")</f>
        <v/>
      </c>
      <c r="D120" s="63" t="str">
        <f>IF(A120&lt;&gt;"",SUMIFS(Transactions!$F$7:$F$996,Transactions!$D$7:$D$996,"Expense",Transactions!$E$7:$E$996,A120),"")</f>
        <v/>
      </c>
      <c r="E120" s="64" t="str">
        <f t="shared" si="1"/>
        <v/>
      </c>
      <c r="F120" s="64" t="str">
        <f t="shared" si="2"/>
        <v/>
      </c>
      <c r="G120" s="61"/>
      <c r="H120" s="56"/>
    </row>
    <row r="121" ht="19.5" customHeight="1">
      <c r="A121" s="27" t="str">
        <f>IF(Roster!$A$119&lt;&gt;"",Roster!$A$119,"")</f>
        <v/>
      </c>
      <c r="B121" s="27" t="str">
        <f t="array" ref="B121">IF(A121&lt;&gt;"",IFERROR(INDEX(Roster!$B$5:$B$204,MATCH(A121,Roster!$A$5:$A$204,0)),0)+IFERROR(SUMPRODUCT((INDEX(Attendance!$B$7:$AY$206,MATCH(A121,Attendance!$A$7:$A$206,0),0)=1)*Attendance!$B$4:$AY$4),0),"")</f>
        <v/>
      </c>
      <c r="C121" s="60" t="str">
        <f>IF(A121&lt;&gt;"",SUMIFS(Transactions!$F$7:$F$996,Transactions!$D$7:$D$996,"Income",Transactions!$E$7:$E$996,A121),"")</f>
        <v/>
      </c>
      <c r="D121" s="60" t="str">
        <f>IF(A121&lt;&gt;"",SUMIFS(Transactions!$F$7:$F$996,Transactions!$D$7:$D$996,"Expense",Transactions!$E$7:$E$996,A121),"")</f>
        <v/>
      </c>
      <c r="E121" s="58" t="str">
        <f t="shared" si="1"/>
        <v/>
      </c>
      <c r="F121" s="58" t="str">
        <f t="shared" si="2"/>
        <v/>
      </c>
      <c r="G121" s="61"/>
      <c r="H121" s="56"/>
    </row>
    <row r="122" ht="19.5" customHeight="1">
      <c r="A122" s="62" t="str">
        <f>IF(Roster!$A$120&lt;&gt;"",Roster!$A$120,"")</f>
        <v/>
      </c>
      <c r="B122" s="62" t="str">
        <f t="array" ref="B122">IF(A122&lt;&gt;"",IFERROR(INDEX(Roster!$B$5:$B$204,MATCH(A122,Roster!$A$5:$A$204,0)),0)+IFERROR(SUMPRODUCT((INDEX(Attendance!$B$7:$AY$206,MATCH(A122,Attendance!$A$7:$A$206,0),0)=1)*Attendance!$B$4:$AY$4),0),"")</f>
        <v/>
      </c>
      <c r="C122" s="63" t="str">
        <f>IF(A122&lt;&gt;"",SUMIFS(Transactions!$F$7:$F$996,Transactions!$D$7:$D$996,"Income",Transactions!$E$7:$E$996,A122),"")</f>
        <v/>
      </c>
      <c r="D122" s="63" t="str">
        <f>IF(A122&lt;&gt;"",SUMIFS(Transactions!$F$7:$F$996,Transactions!$D$7:$D$996,"Expense",Transactions!$E$7:$E$996,A122),"")</f>
        <v/>
      </c>
      <c r="E122" s="64" t="str">
        <f t="shared" si="1"/>
        <v/>
      </c>
      <c r="F122" s="64" t="str">
        <f t="shared" si="2"/>
        <v/>
      </c>
      <c r="G122" s="61"/>
      <c r="H122" s="56"/>
    </row>
    <row r="123" ht="19.5" customHeight="1">
      <c r="A123" s="27" t="str">
        <f>IF(Roster!$A$121&lt;&gt;"",Roster!$A$121,"")</f>
        <v/>
      </c>
      <c r="B123" s="27" t="str">
        <f t="array" ref="B123">IF(A123&lt;&gt;"",IFERROR(INDEX(Roster!$B$5:$B$204,MATCH(A123,Roster!$A$5:$A$204,0)),0)+IFERROR(SUMPRODUCT((INDEX(Attendance!$B$7:$AY$206,MATCH(A123,Attendance!$A$7:$A$206,0),0)=1)*Attendance!$B$4:$AY$4),0),"")</f>
        <v/>
      </c>
      <c r="C123" s="60" t="str">
        <f>IF(A123&lt;&gt;"",SUMIFS(Transactions!$F$7:$F$996,Transactions!$D$7:$D$996,"Income",Transactions!$E$7:$E$996,A123),"")</f>
        <v/>
      </c>
      <c r="D123" s="60" t="str">
        <f>IF(A123&lt;&gt;"",SUMIFS(Transactions!$F$7:$F$996,Transactions!$D$7:$D$996,"Expense",Transactions!$E$7:$E$996,A123),"")</f>
        <v/>
      </c>
      <c r="E123" s="58" t="str">
        <f t="shared" si="1"/>
        <v/>
      </c>
      <c r="F123" s="58" t="str">
        <f t="shared" si="2"/>
        <v/>
      </c>
      <c r="G123" s="61"/>
      <c r="H123" s="56"/>
    </row>
    <row r="124" ht="19.5" customHeight="1">
      <c r="A124" s="62" t="str">
        <f>IF(Roster!$A$122&lt;&gt;"",Roster!$A$122,"")</f>
        <v/>
      </c>
      <c r="B124" s="62" t="str">
        <f t="array" ref="B124">IF(A124&lt;&gt;"",IFERROR(INDEX(Roster!$B$5:$B$204,MATCH(A124,Roster!$A$5:$A$204,0)),0)+IFERROR(SUMPRODUCT((INDEX(Attendance!$B$7:$AY$206,MATCH(A124,Attendance!$A$7:$A$206,0),0)=1)*Attendance!$B$4:$AY$4),0),"")</f>
        <v/>
      </c>
      <c r="C124" s="63" t="str">
        <f>IF(A124&lt;&gt;"",SUMIFS(Transactions!$F$7:$F$996,Transactions!$D$7:$D$996,"Income",Transactions!$E$7:$E$996,A124),"")</f>
        <v/>
      </c>
      <c r="D124" s="63" t="str">
        <f>IF(A124&lt;&gt;"",SUMIFS(Transactions!$F$7:$F$996,Transactions!$D$7:$D$996,"Expense",Transactions!$E$7:$E$996,A124),"")</f>
        <v/>
      </c>
      <c r="E124" s="64" t="str">
        <f t="shared" si="1"/>
        <v/>
      </c>
      <c r="F124" s="64" t="str">
        <f t="shared" si="2"/>
        <v/>
      </c>
      <c r="G124" s="61"/>
      <c r="H124" s="56"/>
    </row>
    <row r="125" ht="19.5" customHeight="1">
      <c r="A125" s="27" t="str">
        <f>IF(Roster!$A$123&lt;&gt;"",Roster!$A$123,"")</f>
        <v/>
      </c>
      <c r="B125" s="27" t="str">
        <f t="array" ref="B125">IF(A125&lt;&gt;"",IFERROR(INDEX(Roster!$B$5:$B$204,MATCH(A125,Roster!$A$5:$A$204,0)),0)+IFERROR(SUMPRODUCT((INDEX(Attendance!$B$7:$AY$206,MATCH(A125,Attendance!$A$7:$A$206,0),0)=1)*Attendance!$B$4:$AY$4),0),"")</f>
        <v/>
      </c>
      <c r="C125" s="60" t="str">
        <f>IF(A125&lt;&gt;"",SUMIFS(Transactions!$F$7:$F$996,Transactions!$D$7:$D$996,"Income",Transactions!$E$7:$E$996,A125),"")</f>
        <v/>
      </c>
      <c r="D125" s="60" t="str">
        <f>IF(A125&lt;&gt;"",SUMIFS(Transactions!$F$7:$F$996,Transactions!$D$7:$D$996,"Expense",Transactions!$E$7:$E$996,A125),"")</f>
        <v/>
      </c>
      <c r="E125" s="58" t="str">
        <f t="shared" si="1"/>
        <v/>
      </c>
      <c r="F125" s="58" t="str">
        <f t="shared" si="2"/>
        <v/>
      </c>
      <c r="G125" s="61"/>
      <c r="H125" s="56"/>
    </row>
    <row r="126" ht="19.5" customHeight="1">
      <c r="A126" s="62" t="str">
        <f>IF(Roster!$A$124&lt;&gt;"",Roster!$A$124,"")</f>
        <v/>
      </c>
      <c r="B126" s="62" t="str">
        <f t="array" ref="B126">IF(A126&lt;&gt;"",IFERROR(INDEX(Roster!$B$5:$B$204,MATCH(A126,Roster!$A$5:$A$204,0)),0)+IFERROR(SUMPRODUCT((INDEX(Attendance!$B$7:$AY$206,MATCH(A126,Attendance!$A$7:$A$206,0),0)=1)*Attendance!$B$4:$AY$4),0),"")</f>
        <v/>
      </c>
      <c r="C126" s="63" t="str">
        <f>IF(A126&lt;&gt;"",SUMIFS(Transactions!$F$7:$F$996,Transactions!$D$7:$D$996,"Income",Transactions!$E$7:$E$996,A126),"")</f>
        <v/>
      </c>
      <c r="D126" s="63" t="str">
        <f>IF(A126&lt;&gt;"",SUMIFS(Transactions!$F$7:$F$996,Transactions!$D$7:$D$996,"Expense",Transactions!$E$7:$E$996,A126),"")</f>
        <v/>
      </c>
      <c r="E126" s="64" t="str">
        <f t="shared" si="1"/>
        <v/>
      </c>
      <c r="F126" s="64" t="str">
        <f t="shared" si="2"/>
        <v/>
      </c>
      <c r="G126" s="61"/>
      <c r="H126" s="56"/>
    </row>
    <row r="127" ht="19.5" customHeight="1">
      <c r="A127" s="27" t="str">
        <f>IF(Roster!$A$125&lt;&gt;"",Roster!$A$125,"")</f>
        <v/>
      </c>
      <c r="B127" s="27" t="str">
        <f t="array" ref="B127">IF(A127&lt;&gt;"",IFERROR(INDEX(Roster!$B$5:$B$204,MATCH(A127,Roster!$A$5:$A$204,0)),0)+IFERROR(SUMPRODUCT((INDEX(Attendance!$B$7:$AY$206,MATCH(A127,Attendance!$A$7:$A$206,0),0)=1)*Attendance!$B$4:$AY$4),0),"")</f>
        <v/>
      </c>
      <c r="C127" s="60" t="str">
        <f>IF(A127&lt;&gt;"",SUMIFS(Transactions!$F$7:$F$996,Transactions!$D$7:$D$996,"Income",Transactions!$E$7:$E$996,A127),"")</f>
        <v/>
      </c>
      <c r="D127" s="60" t="str">
        <f>IF(A127&lt;&gt;"",SUMIFS(Transactions!$F$7:$F$996,Transactions!$D$7:$D$996,"Expense",Transactions!$E$7:$E$996,A127),"")</f>
        <v/>
      </c>
      <c r="E127" s="58" t="str">
        <f t="shared" si="1"/>
        <v/>
      </c>
      <c r="F127" s="58" t="str">
        <f t="shared" si="2"/>
        <v/>
      </c>
      <c r="G127" s="61"/>
      <c r="H127" s="56"/>
    </row>
    <row r="128" ht="19.5" customHeight="1">
      <c r="A128" s="62" t="str">
        <f>IF(Roster!$A$126&lt;&gt;"",Roster!$A$126,"")</f>
        <v/>
      </c>
      <c r="B128" s="62" t="str">
        <f t="array" ref="B128">IF(A128&lt;&gt;"",IFERROR(INDEX(Roster!$B$5:$B$204,MATCH(A128,Roster!$A$5:$A$204,0)),0)+IFERROR(SUMPRODUCT((INDEX(Attendance!$B$7:$AY$206,MATCH(A128,Attendance!$A$7:$A$206,0),0)=1)*Attendance!$B$4:$AY$4),0),"")</f>
        <v/>
      </c>
      <c r="C128" s="63" t="str">
        <f>IF(A128&lt;&gt;"",SUMIFS(Transactions!$F$7:$F$996,Transactions!$D$7:$D$996,"Income",Transactions!$E$7:$E$996,A128),"")</f>
        <v/>
      </c>
      <c r="D128" s="63" t="str">
        <f>IF(A128&lt;&gt;"",SUMIFS(Transactions!$F$7:$F$996,Transactions!$D$7:$D$996,"Expense",Transactions!$E$7:$E$996,A128),"")</f>
        <v/>
      </c>
      <c r="E128" s="64" t="str">
        <f t="shared" si="1"/>
        <v/>
      </c>
      <c r="F128" s="64" t="str">
        <f t="shared" si="2"/>
        <v/>
      </c>
      <c r="G128" s="61"/>
      <c r="H128" s="56"/>
    </row>
    <row r="129" ht="19.5" customHeight="1">
      <c r="A129" s="27" t="str">
        <f>IF(Roster!$A$127&lt;&gt;"",Roster!$A$127,"")</f>
        <v/>
      </c>
      <c r="B129" s="27" t="str">
        <f t="array" ref="B129">IF(A129&lt;&gt;"",IFERROR(INDEX(Roster!$B$5:$B$204,MATCH(A129,Roster!$A$5:$A$204,0)),0)+IFERROR(SUMPRODUCT((INDEX(Attendance!$B$7:$AY$206,MATCH(A129,Attendance!$A$7:$A$206,0),0)=1)*Attendance!$B$4:$AY$4),0),"")</f>
        <v/>
      </c>
      <c r="C129" s="60" t="str">
        <f>IF(A129&lt;&gt;"",SUMIFS(Transactions!$F$7:$F$996,Transactions!$D$7:$D$996,"Income",Transactions!$E$7:$E$996,A129),"")</f>
        <v/>
      </c>
      <c r="D129" s="60" t="str">
        <f>IF(A129&lt;&gt;"",SUMIFS(Transactions!$F$7:$F$996,Transactions!$D$7:$D$996,"Expense",Transactions!$E$7:$E$996,A129),"")</f>
        <v/>
      </c>
      <c r="E129" s="58" t="str">
        <f t="shared" si="1"/>
        <v/>
      </c>
      <c r="F129" s="58" t="str">
        <f t="shared" si="2"/>
        <v/>
      </c>
      <c r="G129" s="61"/>
      <c r="H129" s="56"/>
    </row>
    <row r="130" ht="19.5" customHeight="1">
      <c r="A130" s="62" t="str">
        <f>IF(Roster!$A$128&lt;&gt;"",Roster!$A$128,"")</f>
        <v/>
      </c>
      <c r="B130" s="62" t="str">
        <f t="array" ref="B130">IF(A130&lt;&gt;"",IFERROR(INDEX(Roster!$B$5:$B$204,MATCH(A130,Roster!$A$5:$A$204,0)),0)+IFERROR(SUMPRODUCT((INDEX(Attendance!$B$7:$AY$206,MATCH(A130,Attendance!$A$7:$A$206,0),0)=1)*Attendance!$B$4:$AY$4),0),"")</f>
        <v/>
      </c>
      <c r="C130" s="63" t="str">
        <f>IF(A130&lt;&gt;"",SUMIFS(Transactions!$F$7:$F$996,Transactions!$D$7:$D$996,"Income",Transactions!$E$7:$E$996,A130),"")</f>
        <v/>
      </c>
      <c r="D130" s="63" t="str">
        <f>IF(A130&lt;&gt;"",SUMIFS(Transactions!$F$7:$F$996,Transactions!$D$7:$D$996,"Expense",Transactions!$E$7:$E$996,A130),"")</f>
        <v/>
      </c>
      <c r="E130" s="64" t="str">
        <f t="shared" si="1"/>
        <v/>
      </c>
      <c r="F130" s="64" t="str">
        <f t="shared" si="2"/>
        <v/>
      </c>
      <c r="G130" s="61"/>
      <c r="H130" s="56"/>
    </row>
    <row r="131" ht="19.5" customHeight="1">
      <c r="A131" s="27" t="str">
        <f>IF(Roster!$A$129&lt;&gt;"",Roster!$A$129,"")</f>
        <v/>
      </c>
      <c r="B131" s="27" t="str">
        <f t="array" ref="B131">IF(A131&lt;&gt;"",IFERROR(INDEX(Roster!$B$5:$B$204,MATCH(A131,Roster!$A$5:$A$204,0)),0)+IFERROR(SUMPRODUCT((INDEX(Attendance!$B$7:$AY$206,MATCH(A131,Attendance!$A$7:$A$206,0),0)=1)*Attendance!$B$4:$AY$4),0),"")</f>
        <v/>
      </c>
      <c r="C131" s="60" t="str">
        <f>IF(A131&lt;&gt;"",SUMIFS(Transactions!$F$7:$F$996,Transactions!$D$7:$D$996,"Income",Transactions!$E$7:$E$996,A131),"")</f>
        <v/>
      </c>
      <c r="D131" s="60" t="str">
        <f>IF(A131&lt;&gt;"",SUMIFS(Transactions!$F$7:$F$996,Transactions!$D$7:$D$996,"Expense",Transactions!$E$7:$E$996,A131),"")</f>
        <v/>
      </c>
      <c r="E131" s="58" t="str">
        <f t="shared" si="1"/>
        <v/>
      </c>
      <c r="F131" s="58" t="str">
        <f t="shared" si="2"/>
        <v/>
      </c>
      <c r="G131" s="61"/>
      <c r="H131" s="56"/>
    </row>
    <row r="132" ht="19.5" customHeight="1">
      <c r="A132" s="62" t="str">
        <f>IF(Roster!$A$130&lt;&gt;"",Roster!$A$130,"")</f>
        <v/>
      </c>
      <c r="B132" s="62" t="str">
        <f t="array" ref="B132">IF(A132&lt;&gt;"",IFERROR(INDEX(Roster!$B$5:$B$204,MATCH(A132,Roster!$A$5:$A$204,0)),0)+IFERROR(SUMPRODUCT((INDEX(Attendance!$B$7:$AY$206,MATCH(A132,Attendance!$A$7:$A$206,0),0)=1)*Attendance!$B$4:$AY$4),0),"")</f>
        <v/>
      </c>
      <c r="C132" s="63" t="str">
        <f>IF(A132&lt;&gt;"",SUMIFS(Transactions!$F$7:$F$996,Transactions!$D$7:$D$996,"Income",Transactions!$E$7:$E$996,A132),"")</f>
        <v/>
      </c>
      <c r="D132" s="63" t="str">
        <f>IF(A132&lt;&gt;"",SUMIFS(Transactions!$F$7:$F$996,Transactions!$D$7:$D$996,"Expense",Transactions!$E$7:$E$996,A132),"")</f>
        <v/>
      </c>
      <c r="E132" s="64" t="str">
        <f t="shared" si="1"/>
        <v/>
      </c>
      <c r="F132" s="64" t="str">
        <f t="shared" si="2"/>
        <v/>
      </c>
      <c r="G132" s="61"/>
      <c r="H132" s="56"/>
    </row>
    <row r="133" ht="19.5" customHeight="1">
      <c r="A133" s="27" t="str">
        <f>IF(Roster!$A$131&lt;&gt;"",Roster!$A$131,"")</f>
        <v/>
      </c>
      <c r="B133" s="27" t="str">
        <f t="array" ref="B133">IF(A133&lt;&gt;"",IFERROR(INDEX(Roster!$B$5:$B$204,MATCH(A133,Roster!$A$5:$A$204,0)),0)+IFERROR(SUMPRODUCT((INDEX(Attendance!$B$7:$AY$206,MATCH(A133,Attendance!$A$7:$A$206,0),0)=1)*Attendance!$B$4:$AY$4),0),"")</f>
        <v/>
      </c>
      <c r="C133" s="60" t="str">
        <f>IF(A133&lt;&gt;"",SUMIFS(Transactions!$F$7:$F$996,Transactions!$D$7:$D$996,"Income",Transactions!$E$7:$E$996,A133),"")</f>
        <v/>
      </c>
      <c r="D133" s="60" t="str">
        <f>IF(A133&lt;&gt;"",SUMIFS(Transactions!$F$7:$F$996,Transactions!$D$7:$D$996,"Expense",Transactions!$E$7:$E$996,A133),"")</f>
        <v/>
      </c>
      <c r="E133" s="58" t="str">
        <f t="shared" si="1"/>
        <v/>
      </c>
      <c r="F133" s="58" t="str">
        <f t="shared" si="2"/>
        <v/>
      </c>
      <c r="G133" s="61"/>
      <c r="H133" s="56"/>
    </row>
    <row r="134" ht="19.5" customHeight="1">
      <c r="A134" s="62" t="str">
        <f>IF(Roster!$A$132&lt;&gt;"",Roster!$A$132,"")</f>
        <v/>
      </c>
      <c r="B134" s="62" t="str">
        <f t="array" ref="B134">IF(A134&lt;&gt;"",IFERROR(INDEX(Roster!$B$5:$B$204,MATCH(A134,Roster!$A$5:$A$204,0)),0)+IFERROR(SUMPRODUCT((INDEX(Attendance!$B$7:$AY$206,MATCH(A134,Attendance!$A$7:$A$206,0),0)=1)*Attendance!$B$4:$AY$4),0),"")</f>
        <v/>
      </c>
      <c r="C134" s="63" t="str">
        <f>IF(A134&lt;&gt;"",SUMIFS(Transactions!$F$7:$F$996,Transactions!$D$7:$D$996,"Income",Transactions!$E$7:$E$996,A134),"")</f>
        <v/>
      </c>
      <c r="D134" s="63" t="str">
        <f>IF(A134&lt;&gt;"",SUMIFS(Transactions!$F$7:$F$996,Transactions!$D$7:$D$996,"Expense",Transactions!$E$7:$E$996,A134),"")</f>
        <v/>
      </c>
      <c r="E134" s="64" t="str">
        <f t="shared" si="1"/>
        <v/>
      </c>
      <c r="F134" s="64" t="str">
        <f t="shared" si="2"/>
        <v/>
      </c>
      <c r="G134" s="61"/>
      <c r="H134" s="56"/>
    </row>
    <row r="135" ht="19.5" customHeight="1">
      <c r="A135" s="27" t="str">
        <f>IF(Roster!$A$133&lt;&gt;"",Roster!$A$133,"")</f>
        <v/>
      </c>
      <c r="B135" s="27" t="str">
        <f t="array" ref="B135">IF(A135&lt;&gt;"",IFERROR(INDEX(Roster!$B$5:$B$204,MATCH(A135,Roster!$A$5:$A$204,0)),0)+IFERROR(SUMPRODUCT((INDEX(Attendance!$B$7:$AY$206,MATCH(A135,Attendance!$A$7:$A$206,0),0)=1)*Attendance!$B$4:$AY$4),0),"")</f>
        <v/>
      </c>
      <c r="C135" s="60" t="str">
        <f>IF(A135&lt;&gt;"",SUMIFS(Transactions!$F$7:$F$996,Transactions!$D$7:$D$996,"Income",Transactions!$E$7:$E$996,A135),"")</f>
        <v/>
      </c>
      <c r="D135" s="60" t="str">
        <f>IF(A135&lt;&gt;"",SUMIFS(Transactions!$F$7:$F$996,Transactions!$D$7:$D$996,"Expense",Transactions!$E$7:$E$996,A135),"")</f>
        <v/>
      </c>
      <c r="E135" s="58" t="str">
        <f t="shared" si="1"/>
        <v/>
      </c>
      <c r="F135" s="58" t="str">
        <f t="shared" si="2"/>
        <v/>
      </c>
      <c r="G135" s="61"/>
      <c r="H135" s="56"/>
    </row>
    <row r="136" ht="19.5" customHeight="1">
      <c r="A136" s="62" t="str">
        <f>IF(Roster!$A$134&lt;&gt;"",Roster!$A$134,"")</f>
        <v/>
      </c>
      <c r="B136" s="62" t="str">
        <f t="array" ref="B136">IF(A136&lt;&gt;"",IFERROR(INDEX(Roster!$B$5:$B$204,MATCH(A136,Roster!$A$5:$A$204,0)),0)+IFERROR(SUMPRODUCT((INDEX(Attendance!$B$7:$AY$206,MATCH(A136,Attendance!$A$7:$A$206,0),0)=1)*Attendance!$B$4:$AY$4),0),"")</f>
        <v/>
      </c>
      <c r="C136" s="63" t="str">
        <f>IF(A136&lt;&gt;"",SUMIFS(Transactions!$F$7:$F$996,Transactions!$D$7:$D$996,"Income",Transactions!$E$7:$E$996,A136),"")</f>
        <v/>
      </c>
      <c r="D136" s="63" t="str">
        <f>IF(A136&lt;&gt;"",SUMIFS(Transactions!$F$7:$F$996,Transactions!$D$7:$D$996,"Expense",Transactions!$E$7:$E$996,A136),"")</f>
        <v/>
      </c>
      <c r="E136" s="64" t="str">
        <f t="shared" si="1"/>
        <v/>
      </c>
      <c r="F136" s="64" t="str">
        <f t="shared" si="2"/>
        <v/>
      </c>
      <c r="G136" s="61"/>
      <c r="H136" s="56"/>
    </row>
    <row r="137" ht="19.5" customHeight="1">
      <c r="A137" s="27" t="str">
        <f>IF(Roster!$A$135&lt;&gt;"",Roster!$A$135,"")</f>
        <v/>
      </c>
      <c r="B137" s="27" t="str">
        <f t="array" ref="B137">IF(A137&lt;&gt;"",IFERROR(INDEX(Roster!$B$5:$B$204,MATCH(A137,Roster!$A$5:$A$204,0)),0)+IFERROR(SUMPRODUCT((INDEX(Attendance!$B$7:$AY$206,MATCH(A137,Attendance!$A$7:$A$206,0),0)=1)*Attendance!$B$4:$AY$4),0),"")</f>
        <v/>
      </c>
      <c r="C137" s="60" t="str">
        <f>IF(A137&lt;&gt;"",SUMIFS(Transactions!$F$7:$F$996,Transactions!$D$7:$D$996,"Income",Transactions!$E$7:$E$996,A137),"")</f>
        <v/>
      </c>
      <c r="D137" s="60" t="str">
        <f>IF(A137&lt;&gt;"",SUMIFS(Transactions!$F$7:$F$996,Transactions!$D$7:$D$996,"Expense",Transactions!$E$7:$E$996,A137),"")</f>
        <v/>
      </c>
      <c r="E137" s="58" t="str">
        <f t="shared" si="1"/>
        <v/>
      </c>
      <c r="F137" s="58" t="str">
        <f t="shared" si="2"/>
        <v/>
      </c>
      <c r="G137" s="61"/>
      <c r="H137" s="56"/>
    </row>
    <row r="138" ht="19.5" customHeight="1">
      <c r="A138" s="62" t="str">
        <f>IF(Roster!$A$136&lt;&gt;"",Roster!$A$136,"")</f>
        <v/>
      </c>
      <c r="B138" s="62" t="str">
        <f t="array" ref="B138">IF(A138&lt;&gt;"",IFERROR(INDEX(Roster!$B$5:$B$204,MATCH(A138,Roster!$A$5:$A$204,0)),0)+IFERROR(SUMPRODUCT((INDEX(Attendance!$B$7:$AY$206,MATCH(A138,Attendance!$A$7:$A$206,0),0)=1)*Attendance!$B$4:$AY$4),0),"")</f>
        <v/>
      </c>
      <c r="C138" s="63" t="str">
        <f>IF(A138&lt;&gt;"",SUMIFS(Transactions!$F$7:$F$996,Transactions!$D$7:$D$996,"Income",Transactions!$E$7:$E$996,A138),"")</f>
        <v/>
      </c>
      <c r="D138" s="63" t="str">
        <f>IF(A138&lt;&gt;"",SUMIFS(Transactions!$F$7:$F$996,Transactions!$D$7:$D$996,"Expense",Transactions!$E$7:$E$996,A138),"")</f>
        <v/>
      </c>
      <c r="E138" s="64" t="str">
        <f t="shared" si="1"/>
        <v/>
      </c>
      <c r="F138" s="64" t="str">
        <f t="shared" si="2"/>
        <v/>
      </c>
      <c r="G138" s="61"/>
      <c r="H138" s="56"/>
    </row>
    <row r="139" ht="19.5" customHeight="1">
      <c r="A139" s="27" t="str">
        <f>IF(Roster!$A$137&lt;&gt;"",Roster!$A$137,"")</f>
        <v/>
      </c>
      <c r="B139" s="27" t="str">
        <f t="array" ref="B139">IF(A139&lt;&gt;"",IFERROR(INDEX(Roster!$B$5:$B$204,MATCH(A139,Roster!$A$5:$A$204,0)),0)+IFERROR(SUMPRODUCT((INDEX(Attendance!$B$7:$AY$206,MATCH(A139,Attendance!$A$7:$A$206,0),0)=1)*Attendance!$B$4:$AY$4),0),"")</f>
        <v/>
      </c>
      <c r="C139" s="60" t="str">
        <f>IF(A139&lt;&gt;"",SUMIFS(Transactions!$F$7:$F$996,Transactions!$D$7:$D$996,"Income",Transactions!$E$7:$E$996,A139),"")</f>
        <v/>
      </c>
      <c r="D139" s="60" t="str">
        <f>IF(A139&lt;&gt;"",SUMIFS(Transactions!$F$7:$F$996,Transactions!$D$7:$D$996,"Expense",Transactions!$E$7:$E$996,A139),"")</f>
        <v/>
      </c>
      <c r="E139" s="58" t="str">
        <f t="shared" si="1"/>
        <v/>
      </c>
      <c r="F139" s="58" t="str">
        <f t="shared" si="2"/>
        <v/>
      </c>
      <c r="G139" s="61"/>
      <c r="H139" s="56"/>
    </row>
    <row r="140" ht="19.5" customHeight="1">
      <c r="A140" s="62" t="str">
        <f>IF(Roster!$A$138&lt;&gt;"",Roster!$A$138,"")</f>
        <v/>
      </c>
      <c r="B140" s="62" t="str">
        <f t="array" ref="B140">IF(A140&lt;&gt;"",IFERROR(INDEX(Roster!$B$5:$B$204,MATCH(A140,Roster!$A$5:$A$204,0)),0)+IFERROR(SUMPRODUCT((INDEX(Attendance!$B$7:$AY$206,MATCH(A140,Attendance!$A$7:$A$206,0),0)=1)*Attendance!$B$4:$AY$4),0),"")</f>
        <v/>
      </c>
      <c r="C140" s="63" t="str">
        <f>IF(A140&lt;&gt;"",SUMIFS(Transactions!$F$7:$F$996,Transactions!$D$7:$D$996,"Income",Transactions!$E$7:$E$996,A140),"")</f>
        <v/>
      </c>
      <c r="D140" s="63" t="str">
        <f>IF(A140&lt;&gt;"",SUMIFS(Transactions!$F$7:$F$996,Transactions!$D$7:$D$996,"Expense",Transactions!$E$7:$E$996,A140),"")</f>
        <v/>
      </c>
      <c r="E140" s="64" t="str">
        <f t="shared" si="1"/>
        <v/>
      </c>
      <c r="F140" s="64" t="str">
        <f t="shared" si="2"/>
        <v/>
      </c>
      <c r="G140" s="61"/>
      <c r="H140" s="56"/>
    </row>
    <row r="141" ht="19.5" customHeight="1">
      <c r="A141" s="27" t="str">
        <f>IF(Roster!$A$139&lt;&gt;"",Roster!$A$139,"")</f>
        <v/>
      </c>
      <c r="B141" s="27" t="str">
        <f t="array" ref="B141">IF(A141&lt;&gt;"",IFERROR(INDEX(Roster!$B$5:$B$204,MATCH(A141,Roster!$A$5:$A$204,0)),0)+IFERROR(SUMPRODUCT((INDEX(Attendance!$B$7:$AY$206,MATCH(A141,Attendance!$A$7:$A$206,0),0)=1)*Attendance!$B$4:$AY$4),0),"")</f>
        <v/>
      </c>
      <c r="C141" s="60" t="str">
        <f>IF(A141&lt;&gt;"",SUMIFS(Transactions!$F$7:$F$996,Transactions!$D$7:$D$996,"Income",Transactions!$E$7:$E$996,A141),"")</f>
        <v/>
      </c>
      <c r="D141" s="60" t="str">
        <f>IF(A141&lt;&gt;"",SUMIFS(Transactions!$F$7:$F$996,Transactions!$D$7:$D$996,"Expense",Transactions!$E$7:$E$996,A141),"")</f>
        <v/>
      </c>
      <c r="E141" s="58" t="str">
        <f t="shared" si="1"/>
        <v/>
      </c>
      <c r="F141" s="58" t="str">
        <f t="shared" si="2"/>
        <v/>
      </c>
      <c r="G141" s="61"/>
      <c r="H141" s="56"/>
    </row>
    <row r="142" ht="19.5" customHeight="1">
      <c r="A142" s="62" t="str">
        <f>IF(Roster!$A$140&lt;&gt;"",Roster!$A$140,"")</f>
        <v/>
      </c>
      <c r="B142" s="62" t="str">
        <f t="array" ref="B142">IF(A142&lt;&gt;"",IFERROR(INDEX(Roster!$B$5:$B$204,MATCH(A142,Roster!$A$5:$A$204,0)),0)+IFERROR(SUMPRODUCT((INDEX(Attendance!$B$7:$AY$206,MATCH(A142,Attendance!$A$7:$A$206,0),0)=1)*Attendance!$B$4:$AY$4),0),"")</f>
        <v/>
      </c>
      <c r="C142" s="63" t="str">
        <f>IF(A142&lt;&gt;"",SUMIFS(Transactions!$F$7:$F$996,Transactions!$D$7:$D$996,"Income",Transactions!$E$7:$E$996,A142),"")</f>
        <v/>
      </c>
      <c r="D142" s="63" t="str">
        <f>IF(A142&lt;&gt;"",SUMIFS(Transactions!$F$7:$F$996,Transactions!$D$7:$D$996,"Expense",Transactions!$E$7:$E$996,A142),"")</f>
        <v/>
      </c>
      <c r="E142" s="64" t="str">
        <f t="shared" si="1"/>
        <v/>
      </c>
      <c r="F142" s="64" t="str">
        <f t="shared" si="2"/>
        <v/>
      </c>
      <c r="G142" s="61"/>
      <c r="H142" s="56"/>
    </row>
    <row r="143" ht="19.5" customHeight="1">
      <c r="A143" s="27" t="str">
        <f>IF(Roster!$A$141&lt;&gt;"",Roster!$A$141,"")</f>
        <v/>
      </c>
      <c r="B143" s="27" t="str">
        <f t="array" ref="B143">IF(A143&lt;&gt;"",IFERROR(INDEX(Roster!$B$5:$B$204,MATCH(A143,Roster!$A$5:$A$204,0)),0)+IFERROR(SUMPRODUCT((INDEX(Attendance!$B$7:$AY$206,MATCH(A143,Attendance!$A$7:$A$206,0),0)=1)*Attendance!$B$4:$AY$4),0),"")</f>
        <v/>
      </c>
      <c r="C143" s="60" t="str">
        <f>IF(A143&lt;&gt;"",SUMIFS(Transactions!$F$7:$F$996,Transactions!$D$7:$D$996,"Income",Transactions!$E$7:$E$996,A143),"")</f>
        <v/>
      </c>
      <c r="D143" s="60" t="str">
        <f>IF(A143&lt;&gt;"",SUMIFS(Transactions!$F$7:$F$996,Transactions!$D$7:$D$996,"Expense",Transactions!$E$7:$E$996,A143),"")</f>
        <v/>
      </c>
      <c r="E143" s="58" t="str">
        <f t="shared" si="1"/>
        <v/>
      </c>
      <c r="F143" s="58" t="str">
        <f t="shared" si="2"/>
        <v/>
      </c>
      <c r="G143" s="61"/>
      <c r="H143" s="56"/>
    </row>
    <row r="144" ht="19.5" customHeight="1">
      <c r="A144" s="62" t="str">
        <f>IF(Roster!$A$142&lt;&gt;"",Roster!$A$142,"")</f>
        <v/>
      </c>
      <c r="B144" s="62" t="str">
        <f t="array" ref="B144">IF(A144&lt;&gt;"",IFERROR(INDEX(Roster!$B$5:$B$204,MATCH(A144,Roster!$A$5:$A$204,0)),0)+IFERROR(SUMPRODUCT((INDEX(Attendance!$B$7:$AY$206,MATCH(A144,Attendance!$A$7:$A$206,0),0)=1)*Attendance!$B$4:$AY$4),0),"")</f>
        <v/>
      </c>
      <c r="C144" s="63" t="str">
        <f>IF(A144&lt;&gt;"",SUMIFS(Transactions!$F$7:$F$996,Transactions!$D$7:$D$996,"Income",Transactions!$E$7:$E$996,A144),"")</f>
        <v/>
      </c>
      <c r="D144" s="63" t="str">
        <f>IF(A144&lt;&gt;"",SUMIFS(Transactions!$F$7:$F$996,Transactions!$D$7:$D$996,"Expense",Transactions!$E$7:$E$996,A144),"")</f>
        <v/>
      </c>
      <c r="E144" s="64" t="str">
        <f t="shared" si="1"/>
        <v/>
      </c>
      <c r="F144" s="64" t="str">
        <f t="shared" si="2"/>
        <v/>
      </c>
      <c r="G144" s="61"/>
      <c r="H144" s="56"/>
    </row>
    <row r="145" ht="19.5" customHeight="1">
      <c r="A145" s="27" t="str">
        <f>IF(Roster!$A$143&lt;&gt;"",Roster!$A$143,"")</f>
        <v/>
      </c>
      <c r="B145" s="27" t="str">
        <f t="array" ref="B145">IF(A145&lt;&gt;"",IFERROR(INDEX(Roster!$B$5:$B$204,MATCH(A145,Roster!$A$5:$A$204,0)),0)+IFERROR(SUMPRODUCT((INDEX(Attendance!$B$7:$AY$206,MATCH(A145,Attendance!$A$7:$A$206,0),0)=1)*Attendance!$B$4:$AY$4),0),"")</f>
        <v/>
      </c>
      <c r="C145" s="60" t="str">
        <f>IF(A145&lt;&gt;"",SUMIFS(Transactions!$F$7:$F$996,Transactions!$D$7:$D$996,"Income",Transactions!$E$7:$E$996,A145),"")</f>
        <v/>
      </c>
      <c r="D145" s="60" t="str">
        <f>IF(A145&lt;&gt;"",SUMIFS(Transactions!$F$7:$F$996,Transactions!$D$7:$D$996,"Expense",Transactions!$E$7:$E$996,A145),"")</f>
        <v/>
      </c>
      <c r="E145" s="58" t="str">
        <f t="shared" si="1"/>
        <v/>
      </c>
      <c r="F145" s="58" t="str">
        <f t="shared" si="2"/>
        <v/>
      </c>
      <c r="G145" s="61"/>
      <c r="H145" s="56"/>
    </row>
    <row r="146" ht="19.5" customHeight="1">
      <c r="A146" s="62" t="str">
        <f>IF(Roster!$A$144&lt;&gt;"",Roster!$A$144,"")</f>
        <v/>
      </c>
      <c r="B146" s="62" t="str">
        <f t="array" ref="B146">IF(A146&lt;&gt;"",IFERROR(INDEX(Roster!$B$5:$B$204,MATCH(A146,Roster!$A$5:$A$204,0)),0)+IFERROR(SUMPRODUCT((INDEX(Attendance!$B$7:$AY$206,MATCH(A146,Attendance!$A$7:$A$206,0),0)=1)*Attendance!$B$4:$AY$4),0),"")</f>
        <v/>
      </c>
      <c r="C146" s="63" t="str">
        <f>IF(A146&lt;&gt;"",SUMIFS(Transactions!$F$7:$F$996,Transactions!$D$7:$D$996,"Income",Transactions!$E$7:$E$996,A146),"")</f>
        <v/>
      </c>
      <c r="D146" s="63" t="str">
        <f>IF(A146&lt;&gt;"",SUMIFS(Transactions!$F$7:$F$996,Transactions!$D$7:$D$996,"Expense",Transactions!$E$7:$E$996,A146),"")</f>
        <v/>
      </c>
      <c r="E146" s="64" t="str">
        <f t="shared" si="1"/>
        <v/>
      </c>
      <c r="F146" s="64" t="str">
        <f t="shared" si="2"/>
        <v/>
      </c>
      <c r="G146" s="61"/>
      <c r="H146" s="56"/>
    </row>
    <row r="147" ht="19.5" customHeight="1">
      <c r="A147" s="27" t="str">
        <f>IF(Roster!$A$145&lt;&gt;"",Roster!$A$145,"")</f>
        <v/>
      </c>
      <c r="B147" s="27" t="str">
        <f t="array" ref="B147">IF(A147&lt;&gt;"",IFERROR(INDEX(Roster!$B$5:$B$204,MATCH(A147,Roster!$A$5:$A$204,0)),0)+IFERROR(SUMPRODUCT((INDEX(Attendance!$B$7:$AY$206,MATCH(A147,Attendance!$A$7:$A$206,0),0)=1)*Attendance!$B$4:$AY$4),0),"")</f>
        <v/>
      </c>
      <c r="C147" s="60" t="str">
        <f>IF(A147&lt;&gt;"",SUMIFS(Transactions!$F$7:$F$996,Transactions!$D$7:$D$996,"Income",Transactions!$E$7:$E$996,A147),"")</f>
        <v/>
      </c>
      <c r="D147" s="60" t="str">
        <f>IF(A147&lt;&gt;"",SUMIFS(Transactions!$F$7:$F$996,Transactions!$D$7:$D$996,"Expense",Transactions!$E$7:$E$996,A147),"")</f>
        <v/>
      </c>
      <c r="E147" s="58" t="str">
        <f t="shared" si="1"/>
        <v/>
      </c>
      <c r="F147" s="58" t="str">
        <f t="shared" si="2"/>
        <v/>
      </c>
      <c r="G147" s="61"/>
      <c r="H147" s="56"/>
    </row>
    <row r="148" ht="19.5" customHeight="1">
      <c r="A148" s="62" t="str">
        <f>IF(Roster!$A$146&lt;&gt;"",Roster!$A$146,"")</f>
        <v/>
      </c>
      <c r="B148" s="62" t="str">
        <f t="array" ref="B148">IF(A148&lt;&gt;"",IFERROR(INDEX(Roster!$B$5:$B$204,MATCH(A148,Roster!$A$5:$A$204,0)),0)+IFERROR(SUMPRODUCT((INDEX(Attendance!$B$7:$AY$206,MATCH(A148,Attendance!$A$7:$A$206,0),0)=1)*Attendance!$B$4:$AY$4),0),"")</f>
        <v/>
      </c>
      <c r="C148" s="63" t="str">
        <f>IF(A148&lt;&gt;"",SUMIFS(Transactions!$F$7:$F$996,Transactions!$D$7:$D$996,"Income",Transactions!$E$7:$E$996,A148),"")</f>
        <v/>
      </c>
      <c r="D148" s="63" t="str">
        <f>IF(A148&lt;&gt;"",SUMIFS(Transactions!$F$7:$F$996,Transactions!$D$7:$D$996,"Expense",Transactions!$E$7:$E$996,A148),"")</f>
        <v/>
      </c>
      <c r="E148" s="64" t="str">
        <f t="shared" si="1"/>
        <v/>
      </c>
      <c r="F148" s="64" t="str">
        <f t="shared" si="2"/>
        <v/>
      </c>
      <c r="G148" s="61"/>
      <c r="H148" s="56"/>
    </row>
    <row r="149" ht="19.5" customHeight="1">
      <c r="A149" s="27" t="str">
        <f>IF(Roster!$A$147&lt;&gt;"",Roster!$A$147,"")</f>
        <v/>
      </c>
      <c r="B149" s="27" t="str">
        <f t="array" ref="B149">IF(A149&lt;&gt;"",IFERROR(INDEX(Roster!$B$5:$B$204,MATCH(A149,Roster!$A$5:$A$204,0)),0)+IFERROR(SUMPRODUCT((INDEX(Attendance!$B$7:$AY$206,MATCH(A149,Attendance!$A$7:$A$206,0),0)=1)*Attendance!$B$4:$AY$4),0),"")</f>
        <v/>
      </c>
      <c r="C149" s="60" t="str">
        <f>IF(A149&lt;&gt;"",SUMIFS(Transactions!$F$7:$F$996,Transactions!$D$7:$D$996,"Income",Transactions!$E$7:$E$996,A149),"")</f>
        <v/>
      </c>
      <c r="D149" s="60" t="str">
        <f>IF(A149&lt;&gt;"",SUMIFS(Transactions!$F$7:$F$996,Transactions!$D$7:$D$996,"Expense",Transactions!$E$7:$E$996,A149),"")</f>
        <v/>
      </c>
      <c r="E149" s="58" t="str">
        <f t="shared" si="1"/>
        <v/>
      </c>
      <c r="F149" s="58" t="str">
        <f t="shared" si="2"/>
        <v/>
      </c>
      <c r="G149" s="61"/>
      <c r="H149" s="56"/>
    </row>
    <row r="150" ht="19.5" customHeight="1">
      <c r="A150" s="62" t="str">
        <f>IF(Roster!$A$148&lt;&gt;"",Roster!$A$148,"")</f>
        <v/>
      </c>
      <c r="B150" s="62" t="str">
        <f t="array" ref="B150">IF(A150&lt;&gt;"",IFERROR(INDEX(Roster!$B$5:$B$204,MATCH(A150,Roster!$A$5:$A$204,0)),0)+IFERROR(SUMPRODUCT((INDEX(Attendance!$B$7:$AY$206,MATCH(A150,Attendance!$A$7:$A$206,0),0)=1)*Attendance!$B$4:$AY$4),0),"")</f>
        <v/>
      </c>
      <c r="C150" s="63" t="str">
        <f>IF(A150&lt;&gt;"",SUMIFS(Transactions!$F$7:$F$996,Transactions!$D$7:$D$996,"Income",Transactions!$E$7:$E$996,A150),"")</f>
        <v/>
      </c>
      <c r="D150" s="63" t="str">
        <f>IF(A150&lt;&gt;"",SUMIFS(Transactions!$F$7:$F$996,Transactions!$D$7:$D$996,"Expense",Transactions!$E$7:$E$996,A150),"")</f>
        <v/>
      </c>
      <c r="E150" s="64" t="str">
        <f t="shared" si="1"/>
        <v/>
      </c>
      <c r="F150" s="64" t="str">
        <f t="shared" si="2"/>
        <v/>
      </c>
      <c r="G150" s="61"/>
      <c r="H150" s="56"/>
    </row>
    <row r="151" ht="19.5" customHeight="1">
      <c r="A151" s="27" t="str">
        <f>IF(Roster!$A$149&lt;&gt;"",Roster!$A$149,"")</f>
        <v/>
      </c>
      <c r="B151" s="27" t="str">
        <f t="array" ref="B151">IF(A151&lt;&gt;"",IFERROR(INDEX(Roster!$B$5:$B$204,MATCH(A151,Roster!$A$5:$A$204,0)),0)+IFERROR(SUMPRODUCT((INDEX(Attendance!$B$7:$AY$206,MATCH(A151,Attendance!$A$7:$A$206,0),0)=1)*Attendance!$B$4:$AY$4),0),"")</f>
        <v/>
      </c>
      <c r="C151" s="60" t="str">
        <f>IF(A151&lt;&gt;"",SUMIFS(Transactions!$F$7:$F$996,Transactions!$D$7:$D$996,"Income",Transactions!$E$7:$E$996,A151),"")</f>
        <v/>
      </c>
      <c r="D151" s="60" t="str">
        <f>IF(A151&lt;&gt;"",SUMIFS(Transactions!$F$7:$F$996,Transactions!$D$7:$D$996,"Expense",Transactions!$E$7:$E$996,A151),"")</f>
        <v/>
      </c>
      <c r="E151" s="58" t="str">
        <f t="shared" si="1"/>
        <v/>
      </c>
      <c r="F151" s="58" t="str">
        <f t="shared" si="2"/>
        <v/>
      </c>
      <c r="G151" s="61"/>
      <c r="H151" s="56"/>
    </row>
    <row r="152" ht="19.5" customHeight="1">
      <c r="A152" s="62" t="str">
        <f>IF(Roster!$A$150&lt;&gt;"",Roster!$A$150,"")</f>
        <v/>
      </c>
      <c r="B152" s="62" t="str">
        <f t="array" ref="B152">IF(A152&lt;&gt;"",IFERROR(INDEX(Roster!$B$5:$B$204,MATCH(A152,Roster!$A$5:$A$204,0)),0)+IFERROR(SUMPRODUCT((INDEX(Attendance!$B$7:$AY$206,MATCH(A152,Attendance!$A$7:$A$206,0),0)=1)*Attendance!$B$4:$AY$4),0),"")</f>
        <v/>
      </c>
      <c r="C152" s="63" t="str">
        <f>IF(A152&lt;&gt;"",SUMIFS(Transactions!$F$7:$F$996,Transactions!$D$7:$D$996,"Income",Transactions!$E$7:$E$996,A152),"")</f>
        <v/>
      </c>
      <c r="D152" s="63" t="str">
        <f>IF(A152&lt;&gt;"",SUMIFS(Transactions!$F$7:$F$996,Transactions!$D$7:$D$996,"Expense",Transactions!$E$7:$E$996,A152),"")</f>
        <v/>
      </c>
      <c r="E152" s="64" t="str">
        <f t="shared" si="1"/>
        <v/>
      </c>
      <c r="F152" s="64" t="str">
        <f t="shared" si="2"/>
        <v/>
      </c>
      <c r="G152" s="61"/>
      <c r="H152" s="56"/>
    </row>
    <row r="153" ht="19.5" customHeight="1">
      <c r="A153" s="27" t="str">
        <f>IF(Roster!$A$151&lt;&gt;"",Roster!$A$151,"")</f>
        <v/>
      </c>
      <c r="B153" s="27" t="str">
        <f t="array" ref="B153">IF(A153&lt;&gt;"",IFERROR(INDEX(Roster!$B$5:$B$204,MATCH(A153,Roster!$A$5:$A$204,0)),0)+IFERROR(SUMPRODUCT((INDEX(Attendance!$B$7:$AY$206,MATCH(A153,Attendance!$A$7:$A$206,0),0)=1)*Attendance!$B$4:$AY$4),0),"")</f>
        <v/>
      </c>
      <c r="C153" s="60" t="str">
        <f>IF(A153&lt;&gt;"",SUMIFS(Transactions!$F$7:$F$996,Transactions!$D$7:$D$996,"Income",Transactions!$E$7:$E$996,A153),"")</f>
        <v/>
      </c>
      <c r="D153" s="60" t="str">
        <f>IF(A153&lt;&gt;"",SUMIFS(Transactions!$F$7:$F$996,Transactions!$D$7:$D$996,"Expense",Transactions!$E$7:$E$996,A153),"")</f>
        <v/>
      </c>
      <c r="E153" s="58" t="str">
        <f t="shared" si="1"/>
        <v/>
      </c>
      <c r="F153" s="58" t="str">
        <f t="shared" si="2"/>
        <v/>
      </c>
      <c r="G153" s="61"/>
      <c r="H153" s="56"/>
    </row>
    <row r="154" ht="19.5" customHeight="1">
      <c r="A154" s="62" t="str">
        <f>IF(Roster!$A$152&lt;&gt;"",Roster!$A$152,"")</f>
        <v/>
      </c>
      <c r="B154" s="62" t="str">
        <f t="array" ref="B154">IF(A154&lt;&gt;"",IFERROR(INDEX(Roster!$B$5:$B$204,MATCH(A154,Roster!$A$5:$A$204,0)),0)+IFERROR(SUMPRODUCT((INDEX(Attendance!$B$7:$AY$206,MATCH(A154,Attendance!$A$7:$A$206,0),0)=1)*Attendance!$B$4:$AY$4),0),"")</f>
        <v/>
      </c>
      <c r="C154" s="63" t="str">
        <f>IF(A154&lt;&gt;"",SUMIFS(Transactions!$F$7:$F$996,Transactions!$D$7:$D$996,"Income",Transactions!$E$7:$E$996,A154),"")</f>
        <v/>
      </c>
      <c r="D154" s="63" t="str">
        <f>IF(A154&lt;&gt;"",SUMIFS(Transactions!$F$7:$F$996,Transactions!$D$7:$D$996,"Expense",Transactions!$E$7:$E$996,A154),"")</f>
        <v/>
      </c>
      <c r="E154" s="64" t="str">
        <f t="shared" si="1"/>
        <v/>
      </c>
      <c r="F154" s="64" t="str">
        <f t="shared" si="2"/>
        <v/>
      </c>
      <c r="G154" s="61"/>
      <c r="H154" s="56"/>
    </row>
    <row r="155" ht="19.5" customHeight="1">
      <c r="A155" s="27" t="str">
        <f>IF(Roster!$A$153&lt;&gt;"",Roster!$A$153,"")</f>
        <v/>
      </c>
      <c r="B155" s="27" t="str">
        <f t="array" ref="B155">IF(A155&lt;&gt;"",IFERROR(INDEX(Roster!$B$5:$B$204,MATCH(A155,Roster!$A$5:$A$204,0)),0)+IFERROR(SUMPRODUCT((INDEX(Attendance!$B$7:$AY$206,MATCH(A155,Attendance!$A$7:$A$206,0),0)=1)*Attendance!$B$4:$AY$4),0),"")</f>
        <v/>
      </c>
      <c r="C155" s="60" t="str">
        <f>IF(A155&lt;&gt;"",SUMIFS(Transactions!$F$7:$F$996,Transactions!$D$7:$D$996,"Income",Transactions!$E$7:$E$996,A155),"")</f>
        <v/>
      </c>
      <c r="D155" s="60" t="str">
        <f>IF(A155&lt;&gt;"",SUMIFS(Transactions!$F$7:$F$996,Transactions!$D$7:$D$996,"Expense",Transactions!$E$7:$E$996,A155),"")</f>
        <v/>
      </c>
      <c r="E155" s="58" t="str">
        <f t="shared" si="1"/>
        <v/>
      </c>
      <c r="F155" s="58" t="str">
        <f t="shared" si="2"/>
        <v/>
      </c>
      <c r="G155" s="61"/>
      <c r="H155" s="56"/>
    </row>
    <row r="156" ht="19.5" customHeight="1">
      <c r="A156" s="62" t="str">
        <f>IF(Roster!$A$154&lt;&gt;"",Roster!$A$154,"")</f>
        <v/>
      </c>
      <c r="B156" s="62" t="str">
        <f t="array" ref="B156">IF(A156&lt;&gt;"",IFERROR(INDEX(Roster!$B$5:$B$204,MATCH(A156,Roster!$A$5:$A$204,0)),0)+IFERROR(SUMPRODUCT((INDEX(Attendance!$B$7:$AY$206,MATCH(A156,Attendance!$A$7:$A$206,0),0)=1)*Attendance!$B$4:$AY$4),0),"")</f>
        <v/>
      </c>
      <c r="C156" s="63" t="str">
        <f>IF(A156&lt;&gt;"",SUMIFS(Transactions!$F$7:$F$996,Transactions!$D$7:$D$996,"Income",Transactions!$E$7:$E$996,A156),"")</f>
        <v/>
      </c>
      <c r="D156" s="63" t="str">
        <f>IF(A156&lt;&gt;"",SUMIFS(Transactions!$F$7:$F$996,Transactions!$D$7:$D$996,"Expense",Transactions!$E$7:$E$996,A156),"")</f>
        <v/>
      </c>
      <c r="E156" s="64" t="str">
        <f t="shared" si="1"/>
        <v/>
      </c>
      <c r="F156" s="64" t="str">
        <f t="shared" si="2"/>
        <v/>
      </c>
      <c r="G156" s="61"/>
      <c r="H156" s="56"/>
    </row>
    <row r="157" ht="19.5" customHeight="1">
      <c r="A157" s="27" t="str">
        <f>IF(Roster!$A$155&lt;&gt;"",Roster!$A$155,"")</f>
        <v/>
      </c>
      <c r="B157" s="27" t="str">
        <f t="array" ref="B157">IF(A157&lt;&gt;"",IFERROR(INDEX(Roster!$B$5:$B$204,MATCH(A157,Roster!$A$5:$A$204,0)),0)+IFERROR(SUMPRODUCT((INDEX(Attendance!$B$7:$AY$206,MATCH(A157,Attendance!$A$7:$A$206,0),0)=1)*Attendance!$B$4:$AY$4),0),"")</f>
        <v/>
      </c>
      <c r="C157" s="60" t="str">
        <f>IF(A157&lt;&gt;"",SUMIFS(Transactions!$F$7:$F$996,Transactions!$D$7:$D$996,"Income",Transactions!$E$7:$E$996,A157),"")</f>
        <v/>
      </c>
      <c r="D157" s="60" t="str">
        <f>IF(A157&lt;&gt;"",SUMIFS(Transactions!$F$7:$F$996,Transactions!$D$7:$D$996,"Expense",Transactions!$E$7:$E$996,A157),"")</f>
        <v/>
      </c>
      <c r="E157" s="58" t="str">
        <f t="shared" si="1"/>
        <v/>
      </c>
      <c r="F157" s="58" t="str">
        <f t="shared" si="2"/>
        <v/>
      </c>
      <c r="G157" s="61"/>
      <c r="H157" s="56"/>
    </row>
    <row r="158" ht="19.5" customHeight="1">
      <c r="A158" s="62" t="str">
        <f>IF(Roster!$A$156&lt;&gt;"",Roster!$A$156,"")</f>
        <v/>
      </c>
      <c r="B158" s="62" t="str">
        <f t="array" ref="B158">IF(A158&lt;&gt;"",IFERROR(INDEX(Roster!$B$5:$B$204,MATCH(A158,Roster!$A$5:$A$204,0)),0)+IFERROR(SUMPRODUCT((INDEX(Attendance!$B$7:$AY$206,MATCH(A158,Attendance!$A$7:$A$206,0),0)=1)*Attendance!$B$4:$AY$4),0),"")</f>
        <v/>
      </c>
      <c r="C158" s="63" t="str">
        <f>IF(A158&lt;&gt;"",SUMIFS(Transactions!$F$7:$F$996,Transactions!$D$7:$D$996,"Income",Transactions!$E$7:$E$996,A158),"")</f>
        <v/>
      </c>
      <c r="D158" s="63" t="str">
        <f>IF(A158&lt;&gt;"",SUMIFS(Transactions!$F$7:$F$996,Transactions!$D$7:$D$996,"Expense",Transactions!$E$7:$E$996,A158),"")</f>
        <v/>
      </c>
      <c r="E158" s="64" t="str">
        <f t="shared" si="1"/>
        <v/>
      </c>
      <c r="F158" s="64" t="str">
        <f t="shared" si="2"/>
        <v/>
      </c>
      <c r="G158" s="61"/>
      <c r="H158" s="56"/>
    </row>
    <row r="159" ht="19.5" customHeight="1">
      <c r="A159" s="27" t="str">
        <f>IF(Roster!$A$157&lt;&gt;"",Roster!$A$157,"")</f>
        <v/>
      </c>
      <c r="B159" s="27" t="str">
        <f t="array" ref="B159">IF(A159&lt;&gt;"",IFERROR(INDEX(Roster!$B$5:$B$204,MATCH(A159,Roster!$A$5:$A$204,0)),0)+IFERROR(SUMPRODUCT((INDEX(Attendance!$B$7:$AY$206,MATCH(A159,Attendance!$A$7:$A$206,0),0)=1)*Attendance!$B$4:$AY$4),0),"")</f>
        <v/>
      </c>
      <c r="C159" s="60" t="str">
        <f>IF(A159&lt;&gt;"",SUMIFS(Transactions!$F$7:$F$996,Transactions!$D$7:$D$996,"Income",Transactions!$E$7:$E$996,A159),"")</f>
        <v/>
      </c>
      <c r="D159" s="60" t="str">
        <f>IF(A159&lt;&gt;"",SUMIFS(Transactions!$F$7:$F$996,Transactions!$D$7:$D$996,"Expense",Transactions!$E$7:$E$996,A159),"")</f>
        <v/>
      </c>
      <c r="E159" s="58" t="str">
        <f t="shared" si="1"/>
        <v/>
      </c>
      <c r="F159" s="58" t="str">
        <f t="shared" si="2"/>
        <v/>
      </c>
      <c r="G159" s="61"/>
      <c r="H159" s="56"/>
    </row>
    <row r="160" ht="19.5" customHeight="1">
      <c r="A160" s="62" t="str">
        <f>IF(Roster!$A$158&lt;&gt;"",Roster!$A$158,"")</f>
        <v/>
      </c>
      <c r="B160" s="62" t="str">
        <f t="array" ref="B160">IF(A160&lt;&gt;"",IFERROR(INDEX(Roster!$B$5:$B$204,MATCH(A160,Roster!$A$5:$A$204,0)),0)+IFERROR(SUMPRODUCT((INDEX(Attendance!$B$7:$AY$206,MATCH(A160,Attendance!$A$7:$A$206,0),0)=1)*Attendance!$B$4:$AY$4),0),"")</f>
        <v/>
      </c>
      <c r="C160" s="63" t="str">
        <f>IF(A160&lt;&gt;"",SUMIFS(Transactions!$F$7:$F$996,Transactions!$D$7:$D$996,"Income",Transactions!$E$7:$E$996,A160),"")</f>
        <v/>
      </c>
      <c r="D160" s="63" t="str">
        <f>IF(A160&lt;&gt;"",SUMIFS(Transactions!$F$7:$F$996,Transactions!$D$7:$D$996,"Expense",Transactions!$E$7:$E$996,A160),"")</f>
        <v/>
      </c>
      <c r="E160" s="64" t="str">
        <f t="shared" si="1"/>
        <v/>
      </c>
      <c r="F160" s="64" t="str">
        <f t="shared" si="2"/>
        <v/>
      </c>
      <c r="G160" s="61"/>
      <c r="H160" s="56"/>
    </row>
    <row r="161" ht="19.5" customHeight="1">
      <c r="A161" s="27" t="str">
        <f>IF(Roster!$A$159&lt;&gt;"",Roster!$A$159,"")</f>
        <v/>
      </c>
      <c r="B161" s="27" t="str">
        <f t="array" ref="B161">IF(A161&lt;&gt;"",IFERROR(INDEX(Roster!$B$5:$B$204,MATCH(A161,Roster!$A$5:$A$204,0)),0)+IFERROR(SUMPRODUCT((INDEX(Attendance!$B$7:$AY$206,MATCH(A161,Attendance!$A$7:$A$206,0),0)=1)*Attendance!$B$4:$AY$4),0),"")</f>
        <v/>
      </c>
      <c r="C161" s="60" t="str">
        <f>IF(A161&lt;&gt;"",SUMIFS(Transactions!$F$7:$F$996,Transactions!$D$7:$D$996,"Income",Transactions!$E$7:$E$996,A161),"")</f>
        <v/>
      </c>
      <c r="D161" s="60" t="str">
        <f>IF(A161&lt;&gt;"",SUMIFS(Transactions!$F$7:$F$996,Transactions!$D$7:$D$996,"Expense",Transactions!$E$7:$E$996,A161),"")</f>
        <v/>
      </c>
      <c r="E161" s="58" t="str">
        <f t="shared" si="1"/>
        <v/>
      </c>
      <c r="F161" s="58" t="str">
        <f t="shared" si="2"/>
        <v/>
      </c>
      <c r="G161" s="61"/>
      <c r="H161" s="56"/>
    </row>
    <row r="162" ht="19.5" customHeight="1">
      <c r="A162" s="62" t="str">
        <f>IF(Roster!$A$160&lt;&gt;"",Roster!$A$160,"")</f>
        <v/>
      </c>
      <c r="B162" s="62" t="str">
        <f t="array" ref="B162">IF(A162&lt;&gt;"",IFERROR(INDEX(Roster!$B$5:$B$204,MATCH(A162,Roster!$A$5:$A$204,0)),0)+IFERROR(SUMPRODUCT((INDEX(Attendance!$B$7:$AY$206,MATCH(A162,Attendance!$A$7:$A$206,0),0)=1)*Attendance!$B$4:$AY$4),0),"")</f>
        <v/>
      </c>
      <c r="C162" s="63" t="str">
        <f>IF(A162&lt;&gt;"",SUMIFS(Transactions!$F$7:$F$996,Transactions!$D$7:$D$996,"Income",Transactions!$E$7:$E$996,A162),"")</f>
        <v/>
      </c>
      <c r="D162" s="63" t="str">
        <f>IF(A162&lt;&gt;"",SUMIFS(Transactions!$F$7:$F$996,Transactions!$D$7:$D$996,"Expense",Transactions!$E$7:$E$996,A162),"")</f>
        <v/>
      </c>
      <c r="E162" s="64" t="str">
        <f t="shared" si="1"/>
        <v/>
      </c>
      <c r="F162" s="64" t="str">
        <f t="shared" si="2"/>
        <v/>
      </c>
      <c r="G162" s="61"/>
      <c r="H162" s="56"/>
    </row>
    <row r="163" ht="19.5" customHeight="1">
      <c r="A163" s="27" t="str">
        <f>IF(Roster!$A$161&lt;&gt;"",Roster!$A$161,"")</f>
        <v/>
      </c>
      <c r="B163" s="27" t="str">
        <f t="array" ref="B163">IF(A163&lt;&gt;"",IFERROR(INDEX(Roster!$B$5:$B$204,MATCH(A163,Roster!$A$5:$A$204,0)),0)+IFERROR(SUMPRODUCT((INDEX(Attendance!$B$7:$AY$206,MATCH(A163,Attendance!$A$7:$A$206,0),0)=1)*Attendance!$B$4:$AY$4),0),"")</f>
        <v/>
      </c>
      <c r="C163" s="60" t="str">
        <f>IF(A163&lt;&gt;"",SUMIFS(Transactions!$F$7:$F$996,Transactions!$D$7:$D$996,"Income",Transactions!$E$7:$E$996,A163),"")</f>
        <v/>
      </c>
      <c r="D163" s="60" t="str">
        <f>IF(A163&lt;&gt;"",SUMIFS(Transactions!$F$7:$F$996,Transactions!$D$7:$D$996,"Expense",Transactions!$E$7:$E$996,A163),"")</f>
        <v/>
      </c>
      <c r="E163" s="58" t="str">
        <f t="shared" si="1"/>
        <v/>
      </c>
      <c r="F163" s="58" t="str">
        <f t="shared" si="2"/>
        <v/>
      </c>
      <c r="G163" s="61"/>
      <c r="H163" s="56"/>
    </row>
    <row r="164" ht="19.5" customHeight="1">
      <c r="A164" s="62" t="str">
        <f>IF(Roster!$A$162&lt;&gt;"",Roster!$A$162,"")</f>
        <v/>
      </c>
      <c r="B164" s="62" t="str">
        <f t="array" ref="B164">IF(A164&lt;&gt;"",IFERROR(INDEX(Roster!$B$5:$B$204,MATCH(A164,Roster!$A$5:$A$204,0)),0)+IFERROR(SUMPRODUCT((INDEX(Attendance!$B$7:$AY$206,MATCH(A164,Attendance!$A$7:$A$206,0),0)=1)*Attendance!$B$4:$AY$4),0),"")</f>
        <v/>
      </c>
      <c r="C164" s="63" t="str">
        <f>IF(A164&lt;&gt;"",SUMIFS(Transactions!$F$7:$F$996,Transactions!$D$7:$D$996,"Income",Transactions!$E$7:$E$996,A164),"")</f>
        <v/>
      </c>
      <c r="D164" s="63" t="str">
        <f>IF(A164&lt;&gt;"",SUMIFS(Transactions!$F$7:$F$996,Transactions!$D$7:$D$996,"Expense",Transactions!$E$7:$E$996,A164),"")</f>
        <v/>
      </c>
      <c r="E164" s="64" t="str">
        <f t="shared" si="1"/>
        <v/>
      </c>
      <c r="F164" s="64" t="str">
        <f t="shared" si="2"/>
        <v/>
      </c>
      <c r="G164" s="61"/>
      <c r="H164" s="56"/>
    </row>
    <row r="165" ht="19.5" customHeight="1">
      <c r="A165" s="27" t="str">
        <f>IF(Roster!$A$163&lt;&gt;"",Roster!$A$163,"")</f>
        <v/>
      </c>
      <c r="B165" s="27" t="str">
        <f t="array" ref="B165">IF(A165&lt;&gt;"",IFERROR(INDEX(Roster!$B$5:$B$204,MATCH(A165,Roster!$A$5:$A$204,0)),0)+IFERROR(SUMPRODUCT((INDEX(Attendance!$B$7:$AY$206,MATCH(A165,Attendance!$A$7:$A$206,0),0)=1)*Attendance!$B$4:$AY$4),0),"")</f>
        <v/>
      </c>
      <c r="C165" s="60" t="str">
        <f>IF(A165&lt;&gt;"",SUMIFS(Transactions!$F$7:$F$996,Transactions!$D$7:$D$996,"Income",Transactions!$E$7:$E$996,A165),"")</f>
        <v/>
      </c>
      <c r="D165" s="60" t="str">
        <f>IF(A165&lt;&gt;"",SUMIFS(Transactions!$F$7:$F$996,Transactions!$D$7:$D$996,"Expense",Transactions!$E$7:$E$996,A165),"")</f>
        <v/>
      </c>
      <c r="E165" s="58" t="str">
        <f t="shared" si="1"/>
        <v/>
      </c>
      <c r="F165" s="58" t="str">
        <f t="shared" si="2"/>
        <v/>
      </c>
      <c r="G165" s="61"/>
      <c r="H165" s="56"/>
    </row>
    <row r="166" ht="19.5" customHeight="1">
      <c r="A166" s="62" t="str">
        <f>IF(Roster!$A$164&lt;&gt;"",Roster!$A$164,"")</f>
        <v/>
      </c>
      <c r="B166" s="62" t="str">
        <f t="array" ref="B166">IF(A166&lt;&gt;"",IFERROR(INDEX(Roster!$B$5:$B$204,MATCH(A166,Roster!$A$5:$A$204,0)),0)+IFERROR(SUMPRODUCT((INDEX(Attendance!$B$7:$AY$206,MATCH(A166,Attendance!$A$7:$A$206,0),0)=1)*Attendance!$B$4:$AY$4),0),"")</f>
        <v/>
      </c>
      <c r="C166" s="63" t="str">
        <f>IF(A166&lt;&gt;"",SUMIFS(Transactions!$F$7:$F$996,Transactions!$D$7:$D$996,"Income",Transactions!$E$7:$E$996,A166),"")</f>
        <v/>
      </c>
      <c r="D166" s="63" t="str">
        <f>IF(A166&lt;&gt;"",SUMIFS(Transactions!$F$7:$F$996,Transactions!$D$7:$D$996,"Expense",Transactions!$E$7:$E$996,A166),"")</f>
        <v/>
      </c>
      <c r="E166" s="64" t="str">
        <f t="shared" si="1"/>
        <v/>
      </c>
      <c r="F166" s="64" t="str">
        <f t="shared" si="2"/>
        <v/>
      </c>
      <c r="G166" s="61"/>
      <c r="H166" s="56"/>
    </row>
    <row r="167" ht="19.5" customHeight="1">
      <c r="A167" s="27" t="str">
        <f>IF(Roster!$A$165&lt;&gt;"",Roster!$A$165,"")</f>
        <v/>
      </c>
      <c r="B167" s="27" t="str">
        <f t="array" ref="B167">IF(A167&lt;&gt;"",IFERROR(INDEX(Roster!$B$5:$B$204,MATCH(A167,Roster!$A$5:$A$204,0)),0)+IFERROR(SUMPRODUCT((INDEX(Attendance!$B$7:$AY$206,MATCH(A167,Attendance!$A$7:$A$206,0),0)=1)*Attendance!$B$4:$AY$4),0),"")</f>
        <v/>
      </c>
      <c r="C167" s="60" t="str">
        <f>IF(A167&lt;&gt;"",SUMIFS(Transactions!$F$7:$F$996,Transactions!$D$7:$D$996,"Income",Transactions!$E$7:$E$996,A167),"")</f>
        <v/>
      </c>
      <c r="D167" s="60" t="str">
        <f>IF(A167&lt;&gt;"",SUMIFS(Transactions!$F$7:$F$996,Transactions!$D$7:$D$996,"Expense",Transactions!$E$7:$E$996,A167),"")</f>
        <v/>
      </c>
      <c r="E167" s="58" t="str">
        <f t="shared" si="1"/>
        <v/>
      </c>
      <c r="F167" s="58" t="str">
        <f t="shared" si="2"/>
        <v/>
      </c>
      <c r="G167" s="61"/>
      <c r="H167" s="56"/>
    </row>
    <row r="168" ht="19.5" customHeight="1">
      <c r="A168" s="62" t="str">
        <f>IF(Roster!$A$166&lt;&gt;"",Roster!$A$166,"")</f>
        <v/>
      </c>
      <c r="B168" s="62" t="str">
        <f t="array" ref="B168">IF(A168&lt;&gt;"",IFERROR(INDEX(Roster!$B$5:$B$204,MATCH(A168,Roster!$A$5:$A$204,0)),0)+IFERROR(SUMPRODUCT((INDEX(Attendance!$B$7:$AY$206,MATCH(A168,Attendance!$A$7:$A$206,0),0)=1)*Attendance!$B$4:$AY$4),0),"")</f>
        <v/>
      </c>
      <c r="C168" s="63" t="str">
        <f>IF(A168&lt;&gt;"",SUMIFS(Transactions!$F$7:$F$996,Transactions!$D$7:$D$996,"Income",Transactions!$E$7:$E$996,A168),"")</f>
        <v/>
      </c>
      <c r="D168" s="63" t="str">
        <f>IF(A168&lt;&gt;"",SUMIFS(Transactions!$F$7:$F$996,Transactions!$D$7:$D$996,"Expense",Transactions!$E$7:$E$996,A168),"")</f>
        <v/>
      </c>
      <c r="E168" s="64" t="str">
        <f t="shared" si="1"/>
        <v/>
      </c>
      <c r="F168" s="64" t="str">
        <f t="shared" si="2"/>
        <v/>
      </c>
      <c r="G168" s="61"/>
      <c r="H168" s="56"/>
    </row>
    <row r="169" ht="19.5" customHeight="1">
      <c r="A169" s="27" t="str">
        <f>IF(Roster!$A$167&lt;&gt;"",Roster!$A$167,"")</f>
        <v/>
      </c>
      <c r="B169" s="27" t="str">
        <f t="array" ref="B169">IF(A169&lt;&gt;"",IFERROR(INDEX(Roster!$B$5:$B$204,MATCH(A169,Roster!$A$5:$A$204,0)),0)+IFERROR(SUMPRODUCT((INDEX(Attendance!$B$7:$AY$206,MATCH(A169,Attendance!$A$7:$A$206,0),0)=1)*Attendance!$B$4:$AY$4),0),"")</f>
        <v/>
      </c>
      <c r="C169" s="60" t="str">
        <f>IF(A169&lt;&gt;"",SUMIFS(Transactions!$F$7:$F$996,Transactions!$D$7:$D$996,"Income",Transactions!$E$7:$E$996,A169),"")</f>
        <v/>
      </c>
      <c r="D169" s="60" t="str">
        <f>IF(A169&lt;&gt;"",SUMIFS(Transactions!$F$7:$F$996,Transactions!$D$7:$D$996,"Expense",Transactions!$E$7:$E$996,A169),"")</f>
        <v/>
      </c>
      <c r="E169" s="58" t="str">
        <f t="shared" si="1"/>
        <v/>
      </c>
      <c r="F169" s="58" t="str">
        <f t="shared" si="2"/>
        <v/>
      </c>
      <c r="G169" s="61"/>
      <c r="H169" s="56"/>
    </row>
    <row r="170" ht="19.5" customHeight="1">
      <c r="A170" s="62" t="str">
        <f>IF(Roster!$A$168&lt;&gt;"",Roster!$A$168,"")</f>
        <v/>
      </c>
      <c r="B170" s="62" t="str">
        <f t="array" ref="B170">IF(A170&lt;&gt;"",IFERROR(INDEX(Roster!$B$5:$B$204,MATCH(A170,Roster!$A$5:$A$204,0)),0)+IFERROR(SUMPRODUCT((INDEX(Attendance!$B$7:$AY$206,MATCH(A170,Attendance!$A$7:$A$206,0),0)=1)*Attendance!$B$4:$AY$4),0),"")</f>
        <v/>
      </c>
      <c r="C170" s="63" t="str">
        <f>IF(A170&lt;&gt;"",SUMIFS(Transactions!$F$7:$F$996,Transactions!$D$7:$D$996,"Income",Transactions!$E$7:$E$996,A170),"")</f>
        <v/>
      </c>
      <c r="D170" s="63" t="str">
        <f>IF(A170&lt;&gt;"",SUMIFS(Transactions!$F$7:$F$996,Transactions!$D$7:$D$996,"Expense",Transactions!$E$7:$E$996,A170),"")</f>
        <v/>
      </c>
      <c r="E170" s="64" t="str">
        <f t="shared" si="1"/>
        <v/>
      </c>
      <c r="F170" s="64" t="str">
        <f t="shared" si="2"/>
        <v/>
      </c>
      <c r="G170" s="61"/>
      <c r="H170" s="56"/>
    </row>
    <row r="171" ht="19.5" customHeight="1">
      <c r="A171" s="27" t="str">
        <f>IF(Roster!$A$169&lt;&gt;"",Roster!$A$169,"")</f>
        <v/>
      </c>
      <c r="B171" s="27" t="str">
        <f t="array" ref="B171">IF(A171&lt;&gt;"",IFERROR(INDEX(Roster!$B$5:$B$204,MATCH(A171,Roster!$A$5:$A$204,0)),0)+IFERROR(SUMPRODUCT((INDEX(Attendance!$B$7:$AY$206,MATCH(A171,Attendance!$A$7:$A$206,0),0)=1)*Attendance!$B$4:$AY$4),0),"")</f>
        <v/>
      </c>
      <c r="C171" s="60" t="str">
        <f>IF(A171&lt;&gt;"",SUMIFS(Transactions!$F$7:$F$996,Transactions!$D$7:$D$996,"Income",Transactions!$E$7:$E$996,A171),"")</f>
        <v/>
      </c>
      <c r="D171" s="60" t="str">
        <f>IF(A171&lt;&gt;"",SUMIFS(Transactions!$F$7:$F$996,Transactions!$D$7:$D$996,"Expense",Transactions!$E$7:$E$996,A171),"")</f>
        <v/>
      </c>
      <c r="E171" s="58" t="str">
        <f t="shared" si="1"/>
        <v/>
      </c>
      <c r="F171" s="58" t="str">
        <f t="shared" si="2"/>
        <v/>
      </c>
      <c r="G171" s="61"/>
      <c r="H171" s="56"/>
    </row>
    <row r="172" ht="19.5" customHeight="1">
      <c r="A172" s="62" t="str">
        <f>IF(Roster!$A$170&lt;&gt;"",Roster!$A$170,"")</f>
        <v/>
      </c>
      <c r="B172" s="62" t="str">
        <f t="array" ref="B172">IF(A172&lt;&gt;"",IFERROR(INDEX(Roster!$B$5:$B$204,MATCH(A172,Roster!$A$5:$A$204,0)),0)+IFERROR(SUMPRODUCT((INDEX(Attendance!$B$7:$AY$206,MATCH(A172,Attendance!$A$7:$A$206,0),0)=1)*Attendance!$B$4:$AY$4),0),"")</f>
        <v/>
      </c>
      <c r="C172" s="63" t="str">
        <f>IF(A172&lt;&gt;"",SUMIFS(Transactions!$F$7:$F$996,Transactions!$D$7:$D$996,"Income",Transactions!$E$7:$E$996,A172),"")</f>
        <v/>
      </c>
      <c r="D172" s="63" t="str">
        <f>IF(A172&lt;&gt;"",SUMIFS(Transactions!$F$7:$F$996,Transactions!$D$7:$D$996,"Expense",Transactions!$E$7:$E$996,A172),"")</f>
        <v/>
      </c>
      <c r="E172" s="64" t="str">
        <f t="shared" si="1"/>
        <v/>
      </c>
      <c r="F172" s="64" t="str">
        <f t="shared" si="2"/>
        <v/>
      </c>
      <c r="G172" s="61"/>
      <c r="H172" s="56"/>
    </row>
    <row r="173" ht="19.5" customHeight="1">
      <c r="A173" s="27" t="str">
        <f>IF(Roster!$A$171&lt;&gt;"",Roster!$A$171,"")</f>
        <v/>
      </c>
      <c r="B173" s="27" t="str">
        <f t="array" ref="B173">IF(A173&lt;&gt;"",IFERROR(INDEX(Roster!$B$5:$B$204,MATCH(A173,Roster!$A$5:$A$204,0)),0)+IFERROR(SUMPRODUCT((INDEX(Attendance!$B$7:$AY$206,MATCH(A173,Attendance!$A$7:$A$206,0),0)=1)*Attendance!$B$4:$AY$4),0),"")</f>
        <v/>
      </c>
      <c r="C173" s="60" t="str">
        <f>IF(A173&lt;&gt;"",SUMIFS(Transactions!$F$7:$F$996,Transactions!$D$7:$D$996,"Income",Transactions!$E$7:$E$996,A173),"")</f>
        <v/>
      </c>
      <c r="D173" s="60" t="str">
        <f>IF(A173&lt;&gt;"",SUMIFS(Transactions!$F$7:$F$996,Transactions!$D$7:$D$996,"Expense",Transactions!$E$7:$E$996,A173),"")</f>
        <v/>
      </c>
      <c r="E173" s="58" t="str">
        <f t="shared" si="1"/>
        <v/>
      </c>
      <c r="F173" s="58" t="str">
        <f t="shared" si="2"/>
        <v/>
      </c>
      <c r="G173" s="61"/>
      <c r="H173" s="56"/>
    </row>
    <row r="174" ht="19.5" customHeight="1">
      <c r="A174" s="62" t="str">
        <f>IF(Roster!$A$172&lt;&gt;"",Roster!$A$172,"")</f>
        <v/>
      </c>
      <c r="B174" s="62" t="str">
        <f t="array" ref="B174">IF(A174&lt;&gt;"",IFERROR(INDEX(Roster!$B$5:$B$204,MATCH(A174,Roster!$A$5:$A$204,0)),0)+IFERROR(SUMPRODUCT((INDEX(Attendance!$B$7:$AY$206,MATCH(A174,Attendance!$A$7:$A$206,0),0)=1)*Attendance!$B$4:$AY$4),0),"")</f>
        <v/>
      </c>
      <c r="C174" s="63" t="str">
        <f>IF(A174&lt;&gt;"",SUMIFS(Transactions!$F$7:$F$996,Transactions!$D$7:$D$996,"Income",Transactions!$E$7:$E$996,A174),"")</f>
        <v/>
      </c>
      <c r="D174" s="63" t="str">
        <f>IF(A174&lt;&gt;"",SUMIFS(Transactions!$F$7:$F$996,Transactions!$D$7:$D$996,"Expense",Transactions!$E$7:$E$996,A174),"")</f>
        <v/>
      </c>
      <c r="E174" s="64" t="str">
        <f t="shared" si="1"/>
        <v/>
      </c>
      <c r="F174" s="64" t="str">
        <f t="shared" si="2"/>
        <v/>
      </c>
      <c r="G174" s="61"/>
      <c r="H174" s="56"/>
    </row>
    <row r="175" ht="19.5" customHeight="1">
      <c r="A175" s="27" t="str">
        <f>IF(Roster!$A$173&lt;&gt;"",Roster!$A$173,"")</f>
        <v/>
      </c>
      <c r="B175" s="27" t="str">
        <f t="array" ref="B175">IF(A175&lt;&gt;"",IFERROR(INDEX(Roster!$B$5:$B$204,MATCH(A175,Roster!$A$5:$A$204,0)),0)+IFERROR(SUMPRODUCT((INDEX(Attendance!$B$7:$AY$206,MATCH(A175,Attendance!$A$7:$A$206,0),0)=1)*Attendance!$B$4:$AY$4),0),"")</f>
        <v/>
      </c>
      <c r="C175" s="60" t="str">
        <f>IF(A175&lt;&gt;"",SUMIFS(Transactions!$F$7:$F$996,Transactions!$D$7:$D$996,"Income",Transactions!$E$7:$E$996,A175),"")</f>
        <v/>
      </c>
      <c r="D175" s="60" t="str">
        <f>IF(A175&lt;&gt;"",SUMIFS(Transactions!$F$7:$F$996,Transactions!$D$7:$D$996,"Expense",Transactions!$E$7:$E$996,A175),"")</f>
        <v/>
      </c>
      <c r="E175" s="58" t="str">
        <f t="shared" si="1"/>
        <v/>
      </c>
      <c r="F175" s="58" t="str">
        <f t="shared" si="2"/>
        <v/>
      </c>
      <c r="G175" s="61"/>
      <c r="H175" s="56"/>
    </row>
    <row r="176" ht="19.5" customHeight="1">
      <c r="A176" s="62" t="str">
        <f>IF(Roster!$A$174&lt;&gt;"",Roster!$A$174,"")</f>
        <v/>
      </c>
      <c r="B176" s="62" t="str">
        <f t="array" ref="B176">IF(A176&lt;&gt;"",IFERROR(INDEX(Roster!$B$5:$B$204,MATCH(A176,Roster!$A$5:$A$204,0)),0)+IFERROR(SUMPRODUCT((INDEX(Attendance!$B$7:$AY$206,MATCH(A176,Attendance!$A$7:$A$206,0),0)=1)*Attendance!$B$4:$AY$4),0),"")</f>
        <v/>
      </c>
      <c r="C176" s="63" t="str">
        <f>IF(A176&lt;&gt;"",SUMIFS(Transactions!$F$7:$F$996,Transactions!$D$7:$D$996,"Income",Transactions!$E$7:$E$996,A176),"")</f>
        <v/>
      </c>
      <c r="D176" s="63" t="str">
        <f>IF(A176&lt;&gt;"",SUMIFS(Transactions!$F$7:$F$996,Transactions!$D$7:$D$996,"Expense",Transactions!$E$7:$E$996,A176),"")</f>
        <v/>
      </c>
      <c r="E176" s="64" t="str">
        <f t="shared" si="1"/>
        <v/>
      </c>
      <c r="F176" s="64" t="str">
        <f t="shared" si="2"/>
        <v/>
      </c>
      <c r="G176" s="61"/>
      <c r="H176" s="56"/>
    </row>
    <row r="177" ht="19.5" customHeight="1">
      <c r="A177" s="27" t="str">
        <f>IF(Roster!$A$175&lt;&gt;"",Roster!$A$175,"")</f>
        <v/>
      </c>
      <c r="B177" s="27" t="str">
        <f t="array" ref="B177">IF(A177&lt;&gt;"",IFERROR(INDEX(Roster!$B$5:$B$204,MATCH(A177,Roster!$A$5:$A$204,0)),0)+IFERROR(SUMPRODUCT((INDEX(Attendance!$B$7:$AY$206,MATCH(A177,Attendance!$A$7:$A$206,0),0)=1)*Attendance!$B$4:$AY$4),0),"")</f>
        <v/>
      </c>
      <c r="C177" s="60" t="str">
        <f>IF(A177&lt;&gt;"",SUMIFS(Transactions!$F$7:$F$996,Transactions!$D$7:$D$996,"Income",Transactions!$E$7:$E$996,A177),"")</f>
        <v/>
      </c>
      <c r="D177" s="60" t="str">
        <f>IF(A177&lt;&gt;"",SUMIFS(Transactions!$F$7:$F$996,Transactions!$D$7:$D$996,"Expense",Transactions!$E$7:$E$996,A177),"")</f>
        <v/>
      </c>
      <c r="E177" s="58" t="str">
        <f t="shared" si="1"/>
        <v/>
      </c>
      <c r="F177" s="58" t="str">
        <f t="shared" si="2"/>
        <v/>
      </c>
      <c r="G177" s="61"/>
      <c r="H177" s="56"/>
    </row>
    <row r="178" ht="19.5" customHeight="1">
      <c r="A178" s="62" t="str">
        <f>IF(Roster!$A$176&lt;&gt;"",Roster!$A$176,"")</f>
        <v/>
      </c>
      <c r="B178" s="62" t="str">
        <f t="array" ref="B178">IF(A178&lt;&gt;"",IFERROR(INDEX(Roster!$B$5:$B$204,MATCH(A178,Roster!$A$5:$A$204,0)),0)+IFERROR(SUMPRODUCT((INDEX(Attendance!$B$7:$AY$206,MATCH(A178,Attendance!$A$7:$A$206,0),0)=1)*Attendance!$B$4:$AY$4),0),"")</f>
        <v/>
      </c>
      <c r="C178" s="63" t="str">
        <f>IF(A178&lt;&gt;"",SUMIFS(Transactions!$F$7:$F$996,Transactions!$D$7:$D$996,"Income",Transactions!$E$7:$E$996,A178),"")</f>
        <v/>
      </c>
      <c r="D178" s="63" t="str">
        <f>IF(A178&lt;&gt;"",SUMIFS(Transactions!$F$7:$F$996,Transactions!$D$7:$D$996,"Expense",Transactions!$E$7:$E$996,A178),"")</f>
        <v/>
      </c>
      <c r="E178" s="64" t="str">
        <f t="shared" si="1"/>
        <v/>
      </c>
      <c r="F178" s="64" t="str">
        <f t="shared" si="2"/>
        <v/>
      </c>
      <c r="G178" s="61"/>
      <c r="H178" s="56"/>
    </row>
    <row r="179" ht="19.5" customHeight="1">
      <c r="A179" s="27" t="str">
        <f>IF(Roster!$A$177&lt;&gt;"",Roster!$A$177,"")</f>
        <v/>
      </c>
      <c r="B179" s="27" t="str">
        <f t="array" ref="B179">IF(A179&lt;&gt;"",IFERROR(INDEX(Roster!$B$5:$B$204,MATCH(A179,Roster!$A$5:$A$204,0)),0)+IFERROR(SUMPRODUCT((INDEX(Attendance!$B$7:$AY$206,MATCH(A179,Attendance!$A$7:$A$206,0),0)=1)*Attendance!$B$4:$AY$4),0),"")</f>
        <v/>
      </c>
      <c r="C179" s="60" t="str">
        <f>IF(A179&lt;&gt;"",SUMIFS(Transactions!$F$7:$F$996,Transactions!$D$7:$D$996,"Income",Transactions!$E$7:$E$996,A179),"")</f>
        <v/>
      </c>
      <c r="D179" s="60" t="str">
        <f>IF(A179&lt;&gt;"",SUMIFS(Transactions!$F$7:$F$996,Transactions!$D$7:$D$996,"Expense",Transactions!$E$7:$E$996,A179),"")</f>
        <v/>
      </c>
      <c r="E179" s="58" t="str">
        <f t="shared" si="1"/>
        <v/>
      </c>
      <c r="F179" s="58" t="str">
        <f t="shared" si="2"/>
        <v/>
      </c>
      <c r="G179" s="61"/>
      <c r="H179" s="56"/>
    </row>
    <row r="180" ht="19.5" customHeight="1">
      <c r="A180" s="62" t="str">
        <f>IF(Roster!$A$178&lt;&gt;"",Roster!$A$178,"")</f>
        <v/>
      </c>
      <c r="B180" s="62" t="str">
        <f t="array" ref="B180">IF(A180&lt;&gt;"",IFERROR(INDEX(Roster!$B$5:$B$204,MATCH(A180,Roster!$A$5:$A$204,0)),0)+IFERROR(SUMPRODUCT((INDEX(Attendance!$B$7:$AY$206,MATCH(A180,Attendance!$A$7:$A$206,0),0)=1)*Attendance!$B$4:$AY$4),0),"")</f>
        <v/>
      </c>
      <c r="C180" s="63" t="str">
        <f>IF(A180&lt;&gt;"",SUMIFS(Transactions!$F$7:$F$996,Transactions!$D$7:$D$996,"Income",Transactions!$E$7:$E$996,A180),"")</f>
        <v/>
      </c>
      <c r="D180" s="63" t="str">
        <f>IF(A180&lt;&gt;"",SUMIFS(Transactions!$F$7:$F$996,Transactions!$D$7:$D$996,"Expense",Transactions!$E$7:$E$996,A180),"")</f>
        <v/>
      </c>
      <c r="E180" s="64" t="str">
        <f t="shared" si="1"/>
        <v/>
      </c>
      <c r="F180" s="64" t="str">
        <f t="shared" si="2"/>
        <v/>
      </c>
      <c r="G180" s="61"/>
      <c r="H180" s="56"/>
    </row>
    <row r="181" ht="19.5" customHeight="1">
      <c r="A181" s="27" t="str">
        <f>IF(Roster!$A$179&lt;&gt;"",Roster!$A$179,"")</f>
        <v/>
      </c>
      <c r="B181" s="27" t="str">
        <f t="array" ref="B181">IF(A181&lt;&gt;"",IFERROR(INDEX(Roster!$B$5:$B$204,MATCH(A181,Roster!$A$5:$A$204,0)),0)+IFERROR(SUMPRODUCT((INDEX(Attendance!$B$7:$AY$206,MATCH(A181,Attendance!$A$7:$A$206,0),0)=1)*Attendance!$B$4:$AY$4),0),"")</f>
        <v/>
      </c>
      <c r="C181" s="60" t="str">
        <f>IF(A181&lt;&gt;"",SUMIFS(Transactions!$F$7:$F$996,Transactions!$D$7:$D$996,"Income",Transactions!$E$7:$E$996,A181),"")</f>
        <v/>
      </c>
      <c r="D181" s="60" t="str">
        <f>IF(A181&lt;&gt;"",SUMIFS(Transactions!$F$7:$F$996,Transactions!$D$7:$D$996,"Expense",Transactions!$E$7:$E$996,A181),"")</f>
        <v/>
      </c>
      <c r="E181" s="58" t="str">
        <f t="shared" si="1"/>
        <v/>
      </c>
      <c r="F181" s="58" t="str">
        <f t="shared" si="2"/>
        <v/>
      </c>
      <c r="G181" s="61"/>
      <c r="H181" s="56"/>
    </row>
    <row r="182" ht="19.5" customHeight="1">
      <c r="A182" s="62" t="str">
        <f>IF(Roster!$A$180&lt;&gt;"",Roster!$A$180,"")</f>
        <v/>
      </c>
      <c r="B182" s="62" t="str">
        <f t="array" ref="B182">IF(A182&lt;&gt;"",IFERROR(INDEX(Roster!$B$5:$B$204,MATCH(A182,Roster!$A$5:$A$204,0)),0)+IFERROR(SUMPRODUCT((INDEX(Attendance!$B$7:$AY$206,MATCH(A182,Attendance!$A$7:$A$206,0),0)=1)*Attendance!$B$4:$AY$4),0),"")</f>
        <v/>
      </c>
      <c r="C182" s="63" t="str">
        <f>IF(A182&lt;&gt;"",SUMIFS(Transactions!$F$7:$F$996,Transactions!$D$7:$D$996,"Income",Transactions!$E$7:$E$996,A182),"")</f>
        <v/>
      </c>
      <c r="D182" s="63" t="str">
        <f>IF(A182&lt;&gt;"",SUMIFS(Transactions!$F$7:$F$996,Transactions!$D$7:$D$996,"Expense",Transactions!$E$7:$E$996,A182),"")</f>
        <v/>
      </c>
      <c r="E182" s="64" t="str">
        <f t="shared" si="1"/>
        <v/>
      </c>
      <c r="F182" s="64" t="str">
        <f t="shared" si="2"/>
        <v/>
      </c>
      <c r="G182" s="61"/>
      <c r="H182" s="56"/>
    </row>
    <row r="183" ht="19.5" customHeight="1">
      <c r="A183" s="27" t="str">
        <f>IF(Roster!$A$181&lt;&gt;"",Roster!$A$181,"")</f>
        <v/>
      </c>
      <c r="B183" s="27" t="str">
        <f t="array" ref="B183">IF(A183&lt;&gt;"",IFERROR(INDEX(Roster!$B$5:$B$204,MATCH(A183,Roster!$A$5:$A$204,0)),0)+IFERROR(SUMPRODUCT((INDEX(Attendance!$B$7:$AY$206,MATCH(A183,Attendance!$A$7:$A$206,0),0)=1)*Attendance!$B$4:$AY$4),0),"")</f>
        <v/>
      </c>
      <c r="C183" s="60" t="str">
        <f>IF(A183&lt;&gt;"",SUMIFS(Transactions!$F$7:$F$996,Transactions!$D$7:$D$996,"Income",Transactions!$E$7:$E$996,A183),"")</f>
        <v/>
      </c>
      <c r="D183" s="60" t="str">
        <f>IF(A183&lt;&gt;"",SUMIFS(Transactions!$F$7:$F$996,Transactions!$D$7:$D$996,"Expense",Transactions!$E$7:$E$996,A183),"")</f>
        <v/>
      </c>
      <c r="E183" s="58" t="str">
        <f t="shared" si="1"/>
        <v/>
      </c>
      <c r="F183" s="58" t="str">
        <f t="shared" si="2"/>
        <v/>
      </c>
      <c r="G183" s="61"/>
      <c r="H183" s="56"/>
    </row>
    <row r="184" ht="19.5" customHeight="1">
      <c r="A184" s="62" t="str">
        <f>IF(Roster!$A$182&lt;&gt;"",Roster!$A$182,"")</f>
        <v/>
      </c>
      <c r="B184" s="62" t="str">
        <f t="array" ref="B184">IF(A184&lt;&gt;"",IFERROR(INDEX(Roster!$B$5:$B$204,MATCH(A184,Roster!$A$5:$A$204,0)),0)+IFERROR(SUMPRODUCT((INDEX(Attendance!$B$7:$AY$206,MATCH(A184,Attendance!$A$7:$A$206,0),0)=1)*Attendance!$B$4:$AY$4),0),"")</f>
        <v/>
      </c>
      <c r="C184" s="63" t="str">
        <f>IF(A184&lt;&gt;"",SUMIFS(Transactions!$F$7:$F$996,Transactions!$D$7:$D$996,"Income",Transactions!$E$7:$E$996,A184),"")</f>
        <v/>
      </c>
      <c r="D184" s="63" t="str">
        <f>IF(A184&lt;&gt;"",SUMIFS(Transactions!$F$7:$F$996,Transactions!$D$7:$D$996,"Expense",Transactions!$E$7:$E$996,A184),"")</f>
        <v/>
      </c>
      <c r="E184" s="64" t="str">
        <f t="shared" si="1"/>
        <v/>
      </c>
      <c r="F184" s="64" t="str">
        <f t="shared" si="2"/>
        <v/>
      </c>
      <c r="G184" s="61"/>
      <c r="H184" s="56"/>
    </row>
    <row r="185" ht="19.5" customHeight="1">
      <c r="A185" s="27" t="str">
        <f>IF(Roster!$A$183&lt;&gt;"",Roster!$A$183,"")</f>
        <v/>
      </c>
      <c r="B185" s="27" t="str">
        <f t="array" ref="B185">IF(A185&lt;&gt;"",IFERROR(INDEX(Roster!$B$5:$B$204,MATCH(A185,Roster!$A$5:$A$204,0)),0)+IFERROR(SUMPRODUCT((INDEX(Attendance!$B$7:$AY$206,MATCH(A185,Attendance!$A$7:$A$206,0),0)=1)*Attendance!$B$4:$AY$4),0),"")</f>
        <v/>
      </c>
      <c r="C185" s="60" t="str">
        <f>IF(A185&lt;&gt;"",SUMIFS(Transactions!$F$7:$F$996,Transactions!$D$7:$D$996,"Income",Transactions!$E$7:$E$996,A185),"")</f>
        <v/>
      </c>
      <c r="D185" s="60" t="str">
        <f>IF(A185&lt;&gt;"",SUMIFS(Transactions!$F$7:$F$996,Transactions!$D$7:$D$996,"Expense",Transactions!$E$7:$E$996,A185),"")</f>
        <v/>
      </c>
      <c r="E185" s="58" t="str">
        <f t="shared" si="1"/>
        <v/>
      </c>
      <c r="F185" s="58" t="str">
        <f t="shared" si="2"/>
        <v/>
      </c>
      <c r="G185" s="61"/>
      <c r="H185" s="56"/>
    </row>
    <row r="186" ht="19.5" customHeight="1">
      <c r="A186" s="62" t="str">
        <f>IF(Roster!$A$184&lt;&gt;"",Roster!$A$184,"")</f>
        <v/>
      </c>
      <c r="B186" s="62" t="str">
        <f t="array" ref="B186">IF(A186&lt;&gt;"",IFERROR(INDEX(Roster!$B$5:$B$204,MATCH(A186,Roster!$A$5:$A$204,0)),0)+IFERROR(SUMPRODUCT((INDEX(Attendance!$B$7:$AY$206,MATCH(A186,Attendance!$A$7:$A$206,0),0)=1)*Attendance!$B$4:$AY$4),0),"")</f>
        <v/>
      </c>
      <c r="C186" s="63" t="str">
        <f>IF(A186&lt;&gt;"",SUMIFS(Transactions!$F$7:$F$996,Transactions!$D$7:$D$996,"Income",Transactions!$E$7:$E$996,A186),"")</f>
        <v/>
      </c>
      <c r="D186" s="63" t="str">
        <f>IF(A186&lt;&gt;"",SUMIFS(Transactions!$F$7:$F$996,Transactions!$D$7:$D$996,"Expense",Transactions!$E$7:$E$996,A186),"")</f>
        <v/>
      </c>
      <c r="E186" s="64" t="str">
        <f t="shared" si="1"/>
        <v/>
      </c>
      <c r="F186" s="64" t="str">
        <f t="shared" si="2"/>
        <v/>
      </c>
      <c r="G186" s="61"/>
      <c r="H186" s="56"/>
    </row>
    <row r="187" ht="19.5" customHeight="1">
      <c r="A187" s="27" t="str">
        <f>IF(Roster!$A$185&lt;&gt;"",Roster!$A$185,"")</f>
        <v/>
      </c>
      <c r="B187" s="27" t="str">
        <f t="array" ref="B187">IF(A187&lt;&gt;"",IFERROR(INDEX(Roster!$B$5:$B$204,MATCH(A187,Roster!$A$5:$A$204,0)),0)+IFERROR(SUMPRODUCT((INDEX(Attendance!$B$7:$AY$206,MATCH(A187,Attendance!$A$7:$A$206,0),0)=1)*Attendance!$B$4:$AY$4),0),"")</f>
        <v/>
      </c>
      <c r="C187" s="60" t="str">
        <f>IF(A187&lt;&gt;"",SUMIFS(Transactions!$F$7:$F$996,Transactions!$D$7:$D$996,"Income",Transactions!$E$7:$E$996,A187),"")</f>
        <v/>
      </c>
      <c r="D187" s="60" t="str">
        <f>IF(A187&lt;&gt;"",SUMIFS(Transactions!$F$7:$F$996,Transactions!$D$7:$D$996,"Expense",Transactions!$E$7:$E$996,A187),"")</f>
        <v/>
      </c>
      <c r="E187" s="58" t="str">
        <f t="shared" si="1"/>
        <v/>
      </c>
      <c r="F187" s="58" t="str">
        <f t="shared" si="2"/>
        <v/>
      </c>
      <c r="G187" s="61"/>
      <c r="H187" s="56"/>
    </row>
    <row r="188" ht="19.5" customHeight="1">
      <c r="A188" s="62" t="str">
        <f>IF(Roster!$A$186&lt;&gt;"",Roster!$A$186,"")</f>
        <v/>
      </c>
      <c r="B188" s="62" t="str">
        <f t="array" ref="B188">IF(A188&lt;&gt;"",IFERROR(INDEX(Roster!$B$5:$B$204,MATCH(A188,Roster!$A$5:$A$204,0)),0)+IFERROR(SUMPRODUCT((INDEX(Attendance!$B$7:$AY$206,MATCH(A188,Attendance!$A$7:$A$206,0),0)=1)*Attendance!$B$4:$AY$4),0),"")</f>
        <v/>
      </c>
      <c r="C188" s="63" t="str">
        <f>IF(A188&lt;&gt;"",SUMIFS(Transactions!$F$7:$F$996,Transactions!$D$7:$D$996,"Income",Transactions!$E$7:$E$996,A188),"")</f>
        <v/>
      </c>
      <c r="D188" s="63" t="str">
        <f>IF(A188&lt;&gt;"",SUMIFS(Transactions!$F$7:$F$996,Transactions!$D$7:$D$996,"Expense",Transactions!$E$7:$E$996,A188),"")</f>
        <v/>
      </c>
      <c r="E188" s="64" t="str">
        <f t="shared" si="1"/>
        <v/>
      </c>
      <c r="F188" s="64" t="str">
        <f t="shared" si="2"/>
        <v/>
      </c>
      <c r="G188" s="61"/>
      <c r="H188" s="56"/>
    </row>
    <row r="189" ht="19.5" customHeight="1">
      <c r="A189" s="27" t="str">
        <f>IF(Roster!$A$187&lt;&gt;"",Roster!$A$187,"")</f>
        <v/>
      </c>
      <c r="B189" s="27" t="str">
        <f t="array" ref="B189">IF(A189&lt;&gt;"",IFERROR(INDEX(Roster!$B$5:$B$204,MATCH(A189,Roster!$A$5:$A$204,0)),0)+IFERROR(SUMPRODUCT((INDEX(Attendance!$B$7:$AY$206,MATCH(A189,Attendance!$A$7:$A$206,0),0)=1)*Attendance!$B$4:$AY$4),0),"")</f>
        <v/>
      </c>
      <c r="C189" s="60" t="str">
        <f>IF(A189&lt;&gt;"",SUMIFS(Transactions!$F$7:$F$996,Transactions!$D$7:$D$996,"Income",Transactions!$E$7:$E$996,A189),"")</f>
        <v/>
      </c>
      <c r="D189" s="60" t="str">
        <f>IF(A189&lt;&gt;"",SUMIFS(Transactions!$F$7:$F$996,Transactions!$D$7:$D$996,"Expense",Transactions!$E$7:$E$996,A189),"")</f>
        <v/>
      </c>
      <c r="E189" s="58" t="str">
        <f t="shared" si="1"/>
        <v/>
      </c>
      <c r="F189" s="58" t="str">
        <f t="shared" si="2"/>
        <v/>
      </c>
      <c r="G189" s="61"/>
      <c r="H189" s="56"/>
    </row>
    <row r="190" ht="19.5" customHeight="1">
      <c r="A190" s="62" t="str">
        <f>IF(Roster!$A$188&lt;&gt;"",Roster!$A$188,"")</f>
        <v/>
      </c>
      <c r="B190" s="62" t="str">
        <f t="array" ref="B190">IF(A190&lt;&gt;"",IFERROR(INDEX(Roster!$B$5:$B$204,MATCH(A190,Roster!$A$5:$A$204,0)),0)+IFERROR(SUMPRODUCT((INDEX(Attendance!$B$7:$AY$206,MATCH(A190,Attendance!$A$7:$A$206,0),0)=1)*Attendance!$B$4:$AY$4),0),"")</f>
        <v/>
      </c>
      <c r="C190" s="63" t="str">
        <f>IF(A190&lt;&gt;"",SUMIFS(Transactions!$F$7:$F$996,Transactions!$D$7:$D$996,"Income",Transactions!$E$7:$E$996,A190),"")</f>
        <v/>
      </c>
      <c r="D190" s="63" t="str">
        <f>IF(A190&lt;&gt;"",SUMIFS(Transactions!$F$7:$F$996,Transactions!$D$7:$D$996,"Expense",Transactions!$E$7:$E$996,A190),"")</f>
        <v/>
      </c>
      <c r="E190" s="64" t="str">
        <f t="shared" si="1"/>
        <v/>
      </c>
      <c r="F190" s="64" t="str">
        <f t="shared" si="2"/>
        <v/>
      </c>
      <c r="G190" s="61"/>
      <c r="H190" s="56"/>
    </row>
    <row r="191" ht="19.5" customHeight="1">
      <c r="A191" s="27" t="str">
        <f>IF(Roster!$A$189&lt;&gt;"",Roster!$A$189,"")</f>
        <v/>
      </c>
      <c r="B191" s="27" t="str">
        <f t="array" ref="B191">IF(A191&lt;&gt;"",IFERROR(INDEX(Roster!$B$5:$B$204,MATCH(A191,Roster!$A$5:$A$204,0)),0)+IFERROR(SUMPRODUCT((INDEX(Attendance!$B$7:$AY$206,MATCH(A191,Attendance!$A$7:$A$206,0),0)=1)*Attendance!$B$4:$AY$4),0),"")</f>
        <v/>
      </c>
      <c r="C191" s="60" t="str">
        <f>IF(A191&lt;&gt;"",SUMIFS(Transactions!$F$7:$F$996,Transactions!$D$7:$D$996,"Income",Transactions!$E$7:$E$996,A191),"")</f>
        <v/>
      </c>
      <c r="D191" s="60" t="str">
        <f>IF(A191&lt;&gt;"",SUMIFS(Transactions!$F$7:$F$996,Transactions!$D$7:$D$996,"Expense",Transactions!$E$7:$E$996,A191),"")</f>
        <v/>
      </c>
      <c r="E191" s="58" t="str">
        <f t="shared" si="1"/>
        <v/>
      </c>
      <c r="F191" s="58" t="str">
        <f t="shared" si="2"/>
        <v/>
      </c>
      <c r="G191" s="61"/>
      <c r="H191" s="56"/>
    </row>
    <row r="192" ht="19.5" customHeight="1">
      <c r="A192" s="62" t="str">
        <f>IF(Roster!$A$190&lt;&gt;"",Roster!$A$190,"")</f>
        <v/>
      </c>
      <c r="B192" s="62" t="str">
        <f t="array" ref="B192">IF(A192&lt;&gt;"",IFERROR(INDEX(Roster!$B$5:$B$204,MATCH(A192,Roster!$A$5:$A$204,0)),0)+IFERROR(SUMPRODUCT((INDEX(Attendance!$B$7:$AY$206,MATCH(A192,Attendance!$A$7:$A$206,0),0)=1)*Attendance!$B$4:$AY$4),0),"")</f>
        <v/>
      </c>
      <c r="C192" s="63" t="str">
        <f>IF(A192&lt;&gt;"",SUMIFS(Transactions!$F$7:$F$996,Transactions!$D$7:$D$996,"Income",Transactions!$E$7:$E$996,A192),"")</f>
        <v/>
      </c>
      <c r="D192" s="63" t="str">
        <f>IF(A192&lt;&gt;"",SUMIFS(Transactions!$F$7:$F$996,Transactions!$D$7:$D$996,"Expense",Transactions!$E$7:$E$996,A192),"")</f>
        <v/>
      </c>
      <c r="E192" s="64" t="str">
        <f t="shared" si="1"/>
        <v/>
      </c>
      <c r="F192" s="64" t="str">
        <f t="shared" si="2"/>
        <v/>
      </c>
      <c r="G192" s="61"/>
      <c r="H192" s="56"/>
    </row>
    <row r="193" ht="19.5" customHeight="1">
      <c r="A193" s="27" t="str">
        <f>IF(Roster!$A$191&lt;&gt;"",Roster!$A$191,"")</f>
        <v/>
      </c>
      <c r="B193" s="27" t="str">
        <f t="array" ref="B193">IF(A193&lt;&gt;"",IFERROR(INDEX(Roster!$B$5:$B$204,MATCH(A193,Roster!$A$5:$A$204,0)),0)+IFERROR(SUMPRODUCT((INDEX(Attendance!$B$7:$AY$206,MATCH(A193,Attendance!$A$7:$A$206,0),0)=1)*Attendance!$B$4:$AY$4),0),"")</f>
        <v/>
      </c>
      <c r="C193" s="60" t="str">
        <f>IF(A193&lt;&gt;"",SUMIFS(Transactions!$F$7:$F$996,Transactions!$D$7:$D$996,"Income",Transactions!$E$7:$E$996,A193),"")</f>
        <v/>
      </c>
      <c r="D193" s="60" t="str">
        <f>IF(A193&lt;&gt;"",SUMIFS(Transactions!$F$7:$F$996,Transactions!$D$7:$D$996,"Expense",Transactions!$E$7:$E$996,A193),"")</f>
        <v/>
      </c>
      <c r="E193" s="58" t="str">
        <f t="shared" si="1"/>
        <v/>
      </c>
      <c r="F193" s="58" t="str">
        <f t="shared" si="2"/>
        <v/>
      </c>
      <c r="G193" s="61"/>
      <c r="H193" s="56"/>
    </row>
    <row r="194" ht="19.5" customHeight="1">
      <c r="A194" s="62" t="str">
        <f>IF(Roster!$A$192&lt;&gt;"",Roster!$A$192,"")</f>
        <v/>
      </c>
      <c r="B194" s="62" t="str">
        <f t="array" ref="B194">IF(A194&lt;&gt;"",IFERROR(INDEX(Roster!$B$5:$B$204,MATCH(A194,Roster!$A$5:$A$204,0)),0)+IFERROR(SUMPRODUCT((INDEX(Attendance!$B$7:$AY$206,MATCH(A194,Attendance!$A$7:$A$206,0),0)=1)*Attendance!$B$4:$AY$4),0),"")</f>
        <v/>
      </c>
      <c r="C194" s="63" t="str">
        <f>IF(A194&lt;&gt;"",SUMIFS(Transactions!$F$7:$F$996,Transactions!$D$7:$D$996,"Income",Transactions!$E$7:$E$996,A194),"")</f>
        <v/>
      </c>
      <c r="D194" s="63" t="str">
        <f>IF(A194&lt;&gt;"",SUMIFS(Transactions!$F$7:$F$996,Transactions!$D$7:$D$996,"Expense",Transactions!$E$7:$E$996,A194),"")</f>
        <v/>
      </c>
      <c r="E194" s="64" t="str">
        <f t="shared" si="1"/>
        <v/>
      </c>
      <c r="F194" s="64" t="str">
        <f t="shared" si="2"/>
        <v/>
      </c>
      <c r="G194" s="61"/>
      <c r="H194" s="56"/>
    </row>
    <row r="195" ht="19.5" customHeight="1">
      <c r="A195" s="27" t="str">
        <f>IF(Roster!$A$193&lt;&gt;"",Roster!$A$193,"")</f>
        <v/>
      </c>
      <c r="B195" s="27" t="str">
        <f t="array" ref="B195">IF(A195&lt;&gt;"",IFERROR(INDEX(Roster!$B$5:$B$204,MATCH(A195,Roster!$A$5:$A$204,0)),0)+IFERROR(SUMPRODUCT((INDEX(Attendance!$B$7:$AY$206,MATCH(A195,Attendance!$A$7:$A$206,0),0)=1)*Attendance!$B$4:$AY$4),0),"")</f>
        <v/>
      </c>
      <c r="C195" s="60" t="str">
        <f>IF(A195&lt;&gt;"",SUMIFS(Transactions!$F$7:$F$996,Transactions!$D$7:$D$996,"Income",Transactions!$E$7:$E$996,A195),"")</f>
        <v/>
      </c>
      <c r="D195" s="60" t="str">
        <f>IF(A195&lt;&gt;"",SUMIFS(Transactions!$F$7:$F$996,Transactions!$D$7:$D$996,"Expense",Transactions!$E$7:$E$996,A195),"")</f>
        <v/>
      </c>
      <c r="E195" s="58" t="str">
        <f t="shared" si="1"/>
        <v/>
      </c>
      <c r="F195" s="58" t="str">
        <f t="shared" si="2"/>
        <v/>
      </c>
      <c r="G195" s="61"/>
      <c r="H195" s="56"/>
    </row>
    <row r="196" ht="19.5" customHeight="1">
      <c r="A196" s="62" t="str">
        <f>IF(Roster!$A$194&lt;&gt;"",Roster!$A$194,"")</f>
        <v/>
      </c>
      <c r="B196" s="62" t="str">
        <f t="array" ref="B196">IF(A196&lt;&gt;"",IFERROR(INDEX(Roster!$B$5:$B$204,MATCH(A196,Roster!$A$5:$A$204,0)),0)+IFERROR(SUMPRODUCT((INDEX(Attendance!$B$7:$AY$206,MATCH(A196,Attendance!$A$7:$A$206,0),0)=1)*Attendance!$B$4:$AY$4),0),"")</f>
        <v/>
      </c>
      <c r="C196" s="63" t="str">
        <f>IF(A196&lt;&gt;"",SUMIFS(Transactions!$F$7:$F$996,Transactions!$D$7:$D$996,"Income",Transactions!$E$7:$E$996,A196),"")</f>
        <v/>
      </c>
      <c r="D196" s="63" t="str">
        <f>IF(A196&lt;&gt;"",SUMIFS(Transactions!$F$7:$F$996,Transactions!$D$7:$D$996,"Expense",Transactions!$E$7:$E$996,A196),"")</f>
        <v/>
      </c>
      <c r="E196" s="64" t="str">
        <f t="shared" si="1"/>
        <v/>
      </c>
      <c r="F196" s="64" t="str">
        <f t="shared" si="2"/>
        <v/>
      </c>
      <c r="G196" s="61"/>
      <c r="H196" s="56"/>
    </row>
    <row r="197" ht="19.5" customHeight="1">
      <c r="A197" s="27" t="str">
        <f>IF(Roster!$A$195&lt;&gt;"",Roster!$A$195,"")</f>
        <v/>
      </c>
      <c r="B197" s="27" t="str">
        <f t="array" ref="B197">IF(A197&lt;&gt;"",IFERROR(INDEX(Roster!$B$5:$B$204,MATCH(A197,Roster!$A$5:$A$204,0)),0)+IFERROR(SUMPRODUCT((INDEX(Attendance!$B$7:$AY$206,MATCH(A197,Attendance!$A$7:$A$206,0),0)=1)*Attendance!$B$4:$AY$4),0),"")</f>
        <v/>
      </c>
      <c r="C197" s="60" t="str">
        <f>IF(A197&lt;&gt;"",SUMIFS(Transactions!$F$7:$F$996,Transactions!$D$7:$D$996,"Income",Transactions!$E$7:$E$996,A197),"")</f>
        <v/>
      </c>
      <c r="D197" s="60" t="str">
        <f>IF(A197&lt;&gt;"",SUMIFS(Transactions!$F$7:$F$996,Transactions!$D$7:$D$996,"Expense",Transactions!$E$7:$E$996,A197),"")</f>
        <v/>
      </c>
      <c r="E197" s="58" t="str">
        <f t="shared" si="1"/>
        <v/>
      </c>
      <c r="F197" s="58" t="str">
        <f t="shared" si="2"/>
        <v/>
      </c>
      <c r="G197" s="61"/>
      <c r="H197" s="56"/>
    </row>
    <row r="198" ht="19.5" customHeight="1">
      <c r="A198" s="62" t="str">
        <f>IF(Roster!$A$196&lt;&gt;"",Roster!$A$196,"")</f>
        <v/>
      </c>
      <c r="B198" s="62" t="str">
        <f t="array" ref="B198">IF(A198&lt;&gt;"",IFERROR(INDEX(Roster!$B$5:$B$204,MATCH(A198,Roster!$A$5:$A$204,0)),0)+IFERROR(SUMPRODUCT((INDEX(Attendance!$B$7:$AY$206,MATCH(A198,Attendance!$A$7:$A$206,0),0)=1)*Attendance!$B$4:$AY$4),0),"")</f>
        <v/>
      </c>
      <c r="C198" s="63" t="str">
        <f>IF(A198&lt;&gt;"",SUMIFS(Transactions!$F$7:$F$996,Transactions!$D$7:$D$996,"Income",Transactions!$E$7:$E$996,A198),"")</f>
        <v/>
      </c>
      <c r="D198" s="63" t="str">
        <f>IF(A198&lt;&gt;"",SUMIFS(Transactions!$F$7:$F$996,Transactions!$D$7:$D$996,"Expense",Transactions!$E$7:$E$996,A198),"")</f>
        <v/>
      </c>
      <c r="E198" s="64" t="str">
        <f t="shared" si="1"/>
        <v/>
      </c>
      <c r="F198" s="64" t="str">
        <f t="shared" si="2"/>
        <v/>
      </c>
      <c r="G198" s="61"/>
      <c r="H198" s="56"/>
    </row>
    <row r="199" ht="19.5" customHeight="1">
      <c r="A199" s="27" t="str">
        <f>IF(Roster!$A$197&lt;&gt;"",Roster!$A$197,"")</f>
        <v/>
      </c>
      <c r="B199" s="27" t="str">
        <f t="array" ref="B199">IF(A199&lt;&gt;"",IFERROR(INDEX(Roster!$B$5:$B$204,MATCH(A199,Roster!$A$5:$A$204,0)),0)+IFERROR(SUMPRODUCT((INDEX(Attendance!$B$7:$AY$206,MATCH(A199,Attendance!$A$7:$A$206,0),0)=1)*Attendance!$B$4:$AY$4),0),"")</f>
        <v/>
      </c>
      <c r="C199" s="60" t="str">
        <f>IF(A199&lt;&gt;"",SUMIFS(Transactions!$F$7:$F$996,Transactions!$D$7:$D$996,"Income",Transactions!$E$7:$E$996,A199),"")</f>
        <v/>
      </c>
      <c r="D199" s="60" t="str">
        <f>IF(A199&lt;&gt;"",SUMIFS(Transactions!$F$7:$F$996,Transactions!$D$7:$D$996,"Expense",Transactions!$E$7:$E$996,A199),"")</f>
        <v/>
      </c>
      <c r="E199" s="58" t="str">
        <f t="shared" si="1"/>
        <v/>
      </c>
      <c r="F199" s="58" t="str">
        <f t="shared" si="2"/>
        <v/>
      </c>
      <c r="G199" s="61"/>
      <c r="H199" s="56"/>
    </row>
    <row r="200" ht="19.5" customHeight="1">
      <c r="A200" s="62" t="str">
        <f>IF(Roster!$A$198&lt;&gt;"",Roster!$A$198,"")</f>
        <v/>
      </c>
      <c r="B200" s="62" t="str">
        <f t="array" ref="B200">IF(A200&lt;&gt;"",IFERROR(INDEX(Roster!$B$5:$B$204,MATCH(A200,Roster!$A$5:$A$204,0)),0)+IFERROR(SUMPRODUCT((INDEX(Attendance!$B$7:$AY$206,MATCH(A200,Attendance!$A$7:$A$206,0),0)=1)*Attendance!$B$4:$AY$4),0),"")</f>
        <v/>
      </c>
      <c r="C200" s="63" t="str">
        <f>IF(A200&lt;&gt;"",SUMIFS(Transactions!$F$7:$F$996,Transactions!$D$7:$D$996,"Income",Transactions!$E$7:$E$996,A200),"")</f>
        <v/>
      </c>
      <c r="D200" s="63" t="str">
        <f>IF(A200&lt;&gt;"",SUMIFS(Transactions!$F$7:$F$996,Transactions!$D$7:$D$996,"Expense",Transactions!$E$7:$E$996,A200),"")</f>
        <v/>
      </c>
      <c r="E200" s="64" t="str">
        <f t="shared" si="1"/>
        <v/>
      </c>
      <c r="F200" s="64" t="str">
        <f t="shared" si="2"/>
        <v/>
      </c>
      <c r="G200" s="61"/>
      <c r="H200" s="56"/>
    </row>
    <row r="201" ht="19.5" customHeight="1">
      <c r="A201" s="27" t="str">
        <f>IF(Roster!$A$199&lt;&gt;"",Roster!$A$199,"")</f>
        <v/>
      </c>
      <c r="B201" s="27" t="str">
        <f t="array" ref="B201">IF(A201&lt;&gt;"",IFERROR(INDEX(Roster!$B$5:$B$204,MATCH(A201,Roster!$A$5:$A$204,0)),0)+IFERROR(SUMPRODUCT((INDEX(Attendance!$B$7:$AY$206,MATCH(A201,Attendance!$A$7:$A$206,0),0)=1)*Attendance!$B$4:$AY$4),0),"")</f>
        <v/>
      </c>
      <c r="C201" s="60" t="str">
        <f>IF(A201&lt;&gt;"",SUMIFS(Transactions!$F$7:$F$996,Transactions!$D$7:$D$996,"Income",Transactions!$E$7:$E$996,A201),"")</f>
        <v/>
      </c>
      <c r="D201" s="60" t="str">
        <f>IF(A201&lt;&gt;"",SUMIFS(Transactions!$F$7:$F$996,Transactions!$D$7:$D$996,"Expense",Transactions!$E$7:$E$996,A201),"")</f>
        <v/>
      </c>
      <c r="E201" s="58" t="str">
        <f t="shared" si="1"/>
        <v/>
      </c>
      <c r="F201" s="58" t="str">
        <f t="shared" si="2"/>
        <v/>
      </c>
      <c r="G201" s="61"/>
      <c r="H201" s="56"/>
    </row>
    <row r="202" ht="19.5" customHeight="1">
      <c r="A202" s="62" t="str">
        <f>IF(Roster!$A$200&lt;&gt;"",Roster!$A$200,"")</f>
        <v/>
      </c>
      <c r="B202" s="62" t="str">
        <f t="array" ref="B202">IF(A202&lt;&gt;"",IFERROR(INDEX(Roster!$B$5:$B$204,MATCH(A202,Roster!$A$5:$A$204,0)),0)+IFERROR(SUMPRODUCT((INDEX(Attendance!$B$7:$AY$206,MATCH(A202,Attendance!$A$7:$A$206,0),0)=1)*Attendance!$B$4:$AY$4),0),"")</f>
        <v/>
      </c>
      <c r="C202" s="63" t="str">
        <f>IF(A202&lt;&gt;"",SUMIFS(Transactions!$F$7:$F$996,Transactions!$D$7:$D$996,"Income",Transactions!$E$7:$E$996,A202),"")</f>
        <v/>
      </c>
      <c r="D202" s="63" t="str">
        <f>IF(A202&lt;&gt;"",SUMIFS(Transactions!$F$7:$F$996,Transactions!$D$7:$D$996,"Expense",Transactions!$E$7:$E$996,A202),"")</f>
        <v/>
      </c>
      <c r="E202" s="64" t="str">
        <f t="shared" si="1"/>
        <v/>
      </c>
      <c r="F202" s="64" t="str">
        <f t="shared" si="2"/>
        <v/>
      </c>
      <c r="G202" s="61"/>
      <c r="H202" s="56"/>
    </row>
    <row r="203" ht="19.5" customHeight="1">
      <c r="A203" s="27" t="str">
        <f>IF(Roster!$A$201&lt;&gt;"",Roster!$A$201,"")</f>
        <v/>
      </c>
      <c r="B203" s="27" t="str">
        <f t="array" ref="B203">IF(A203&lt;&gt;"",IFERROR(INDEX(Roster!$B$5:$B$204,MATCH(A203,Roster!$A$5:$A$204,0)),0)+IFERROR(SUMPRODUCT((INDEX(Attendance!$B$7:$AY$206,MATCH(A203,Attendance!$A$7:$A$206,0),0)=1)*Attendance!$B$4:$AY$4),0),"")</f>
        <v/>
      </c>
      <c r="C203" s="60" t="str">
        <f>IF(A203&lt;&gt;"",SUMIFS(Transactions!$F$7:$F$996,Transactions!$D$7:$D$996,"Income",Transactions!$E$7:$E$996,A203),"")</f>
        <v/>
      </c>
      <c r="D203" s="60" t="str">
        <f>IF(A203&lt;&gt;"",SUMIFS(Transactions!$F$7:$F$996,Transactions!$D$7:$D$996,"Expense",Transactions!$E$7:$E$996,A203),"")</f>
        <v/>
      </c>
      <c r="E203" s="58" t="str">
        <f t="shared" si="1"/>
        <v/>
      </c>
      <c r="F203" s="58" t="str">
        <f t="shared" si="2"/>
        <v/>
      </c>
      <c r="G203" s="61"/>
      <c r="H203" s="56"/>
    </row>
    <row r="204" ht="19.5" customHeight="1">
      <c r="A204" s="62" t="str">
        <f>IF(Roster!$A$202&lt;&gt;"",Roster!$A$202,"")</f>
        <v/>
      </c>
      <c r="B204" s="62" t="str">
        <f t="array" ref="B204">IF(A204&lt;&gt;"",IFERROR(INDEX(Roster!$B$5:$B$204,MATCH(A204,Roster!$A$5:$A$204,0)),0)+IFERROR(SUMPRODUCT((INDEX(Attendance!$B$7:$AY$206,MATCH(A204,Attendance!$A$7:$A$206,0),0)=1)*Attendance!$B$4:$AY$4),0),"")</f>
        <v/>
      </c>
      <c r="C204" s="63" t="str">
        <f>IF(A204&lt;&gt;"",SUMIFS(Transactions!$F$7:$F$996,Transactions!$D$7:$D$996,"Income",Transactions!$E$7:$E$996,A204),"")</f>
        <v/>
      </c>
      <c r="D204" s="63" t="str">
        <f>IF(A204&lt;&gt;"",SUMIFS(Transactions!$F$7:$F$996,Transactions!$D$7:$D$996,"Expense",Transactions!$E$7:$E$996,A204),"")</f>
        <v/>
      </c>
      <c r="E204" s="64" t="str">
        <f t="shared" si="1"/>
        <v/>
      </c>
      <c r="F204" s="64" t="str">
        <f t="shared" si="2"/>
        <v/>
      </c>
      <c r="G204" s="61"/>
      <c r="H204" s="56"/>
    </row>
    <row r="205" ht="19.5" customHeight="1">
      <c r="A205" s="27" t="str">
        <f>IF(Roster!$A$203&lt;&gt;"",Roster!$A$203,"")</f>
        <v/>
      </c>
      <c r="B205" s="27" t="str">
        <f t="array" ref="B205">IF(A205&lt;&gt;"",IFERROR(INDEX(Roster!$B$5:$B$204,MATCH(A205,Roster!$A$5:$A$204,0)),0)+IFERROR(SUMPRODUCT((INDEX(Attendance!$B$7:$AY$206,MATCH(A205,Attendance!$A$7:$A$206,0),0)=1)*Attendance!$B$4:$AY$4),0),"")</f>
        <v/>
      </c>
      <c r="C205" s="60" t="str">
        <f>IF(A205&lt;&gt;"",SUMIFS(Transactions!$F$7:$F$996,Transactions!$D$7:$D$996,"Income",Transactions!$E$7:$E$996,A205),"")</f>
        <v/>
      </c>
      <c r="D205" s="60" t="str">
        <f>IF(A205&lt;&gt;"",SUMIFS(Transactions!$F$7:$F$996,Transactions!$D$7:$D$996,"Expense",Transactions!$E$7:$E$996,A205),"")</f>
        <v/>
      </c>
      <c r="E205" s="58" t="str">
        <f t="shared" si="1"/>
        <v/>
      </c>
      <c r="F205" s="58" t="str">
        <f t="shared" si="2"/>
        <v/>
      </c>
      <c r="G205" s="61"/>
      <c r="H205" s="56"/>
    </row>
    <row r="206" ht="19.5" customHeight="1">
      <c r="A206" s="62" t="str">
        <f>IF(Roster!$A$204&lt;&gt;"",Roster!$A$204,"")</f>
        <v/>
      </c>
      <c r="B206" s="62" t="str">
        <f t="array" ref="B206">IF(A206&lt;&gt;"",IFERROR(INDEX(Roster!$B$5:$B$204,MATCH(A206,Roster!$A$5:$A$204,0)),0)+IFERROR(SUMPRODUCT((INDEX(Attendance!$B$7:$AY$206,MATCH(A206,Attendance!$A$7:$A$206,0),0)=1)*Attendance!$B$4:$AY$4),0),"")</f>
        <v/>
      </c>
      <c r="C206" s="63" t="str">
        <f>IF(A206&lt;&gt;"",SUMIFS(Transactions!$F$7:$F$996,Transactions!$D$7:$D$996,"Income",Transactions!$E$7:$E$996,A206),"")</f>
        <v/>
      </c>
      <c r="D206" s="63" t="str">
        <f>IF(A206&lt;&gt;"",SUMIFS(Transactions!$F$7:$F$996,Transactions!$D$7:$D$996,"Expense",Transactions!$E$7:$E$996,A206),"")</f>
        <v/>
      </c>
      <c r="E206" s="64" t="str">
        <f t="shared" si="1"/>
        <v/>
      </c>
      <c r="F206" s="64" t="str">
        <f t="shared" si="2"/>
        <v/>
      </c>
      <c r="G206" s="61"/>
      <c r="H206" s="56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qref="H7:H206">
      <formula1>"Settled,Unsettled,Partial"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2.0"/>
    <col customWidth="1" min="3" max="3" width="30.0"/>
    <col customWidth="1" min="4" max="4" width="16.0"/>
    <col customWidth="1" min="5" max="5" width="14.0"/>
    <col customWidth="1" min="6" max="6" width="30.0"/>
    <col customWidth="1" min="7" max="7" width="14.0"/>
    <col customWidth="1" min="8" max="26" width="8.71"/>
  </cols>
  <sheetData>
    <row r="1">
      <c r="A1" s="65" t="s">
        <v>124</v>
      </c>
      <c r="B1" s="24"/>
      <c r="C1" s="24"/>
      <c r="D1" s="24"/>
      <c r="E1" s="24"/>
      <c r="F1" s="24"/>
      <c r="G1" s="24"/>
    </row>
    <row r="2">
      <c r="A2" s="66" t="s">
        <v>125</v>
      </c>
    </row>
    <row r="4">
      <c r="A4" s="4" t="s">
        <v>97</v>
      </c>
      <c r="B4" s="4" t="s">
        <v>86</v>
      </c>
      <c r="C4" s="4" t="s">
        <v>98</v>
      </c>
      <c r="D4" s="4" t="s">
        <v>55</v>
      </c>
      <c r="E4" s="4" t="s">
        <v>101</v>
      </c>
      <c r="F4" s="4" t="s">
        <v>126</v>
      </c>
      <c r="G4" s="4" t="s">
        <v>5</v>
      </c>
    </row>
    <row r="5">
      <c r="A5" s="67"/>
      <c r="B5" s="67"/>
      <c r="C5" s="67"/>
      <c r="D5" s="67"/>
      <c r="E5" s="67"/>
      <c r="F5" s="67"/>
      <c r="G5" s="68" t="s">
        <v>96</v>
      </c>
    </row>
    <row r="6">
      <c r="A6" s="67"/>
      <c r="B6" s="67"/>
      <c r="C6" s="67"/>
      <c r="D6" s="67"/>
      <c r="E6" s="67"/>
      <c r="F6" s="67"/>
      <c r="G6" s="68" t="s">
        <v>96</v>
      </c>
    </row>
    <row r="7">
      <c r="A7" s="67"/>
      <c r="B7" s="67"/>
      <c r="C7" s="67"/>
      <c r="D7" s="67"/>
      <c r="E7" s="67"/>
      <c r="F7" s="67"/>
      <c r="G7" s="68" t="s">
        <v>96</v>
      </c>
    </row>
    <row r="8">
      <c r="A8" s="67"/>
      <c r="B8" s="67"/>
      <c r="C8" s="67"/>
      <c r="D8" s="67"/>
      <c r="E8" s="67"/>
      <c r="F8" s="67"/>
      <c r="G8" s="68" t="s">
        <v>96</v>
      </c>
    </row>
    <row r="9">
      <c r="A9" s="67"/>
      <c r="B9" s="67"/>
      <c r="C9" s="67"/>
      <c r="D9" s="67"/>
      <c r="E9" s="67"/>
      <c r="F9" s="67"/>
      <c r="G9" s="68" t="s">
        <v>96</v>
      </c>
    </row>
    <row r="10">
      <c r="A10" s="67"/>
      <c r="B10" s="67"/>
      <c r="C10" s="67"/>
      <c r="D10" s="67"/>
      <c r="E10" s="67"/>
      <c r="F10" s="67"/>
      <c r="G10" s="68" t="s">
        <v>96</v>
      </c>
    </row>
    <row r="11">
      <c r="A11" s="67"/>
      <c r="B11" s="67"/>
      <c r="C11" s="67"/>
      <c r="D11" s="67"/>
      <c r="E11" s="67"/>
      <c r="F11" s="67"/>
      <c r="G11" s="68" t="s">
        <v>96</v>
      </c>
    </row>
    <row r="12">
      <c r="A12" s="67"/>
      <c r="B12" s="67"/>
      <c r="C12" s="67"/>
      <c r="D12" s="67"/>
      <c r="E12" s="67"/>
      <c r="F12" s="67"/>
      <c r="G12" s="68" t="s">
        <v>96</v>
      </c>
    </row>
    <row r="13">
      <c r="A13" s="67"/>
      <c r="B13" s="67"/>
      <c r="C13" s="67"/>
      <c r="D13" s="67"/>
      <c r="E13" s="67"/>
      <c r="F13" s="67"/>
      <c r="G13" s="68" t="s">
        <v>96</v>
      </c>
    </row>
    <row r="14">
      <c r="A14" s="67"/>
      <c r="B14" s="67"/>
      <c r="C14" s="67"/>
      <c r="D14" s="67"/>
      <c r="E14" s="67"/>
      <c r="F14" s="67"/>
      <c r="G14" s="68" t="s">
        <v>96</v>
      </c>
    </row>
    <row r="15">
      <c r="A15" s="67"/>
      <c r="B15" s="67"/>
      <c r="C15" s="67"/>
      <c r="D15" s="67"/>
      <c r="E15" s="67"/>
      <c r="F15" s="67"/>
      <c r="G15" s="68" t="s">
        <v>96</v>
      </c>
    </row>
    <row r="16">
      <c r="A16" s="67"/>
      <c r="B16" s="67"/>
      <c r="C16" s="67"/>
      <c r="D16" s="67"/>
      <c r="E16" s="67"/>
      <c r="F16" s="67"/>
      <c r="G16" s="68" t="s">
        <v>96</v>
      </c>
    </row>
    <row r="17">
      <c r="A17" s="67"/>
      <c r="B17" s="67"/>
      <c r="C17" s="67"/>
      <c r="D17" s="67"/>
      <c r="E17" s="67"/>
      <c r="F17" s="67"/>
      <c r="G17" s="68" t="s">
        <v>96</v>
      </c>
    </row>
    <row r="18">
      <c r="A18" s="67"/>
      <c r="B18" s="67"/>
      <c r="C18" s="67"/>
      <c r="D18" s="67"/>
      <c r="E18" s="67"/>
      <c r="F18" s="67"/>
      <c r="G18" s="68" t="s">
        <v>96</v>
      </c>
    </row>
    <row r="19">
      <c r="A19" s="67"/>
      <c r="B19" s="67"/>
      <c r="C19" s="67"/>
      <c r="D19" s="67"/>
      <c r="E19" s="67"/>
      <c r="F19" s="67"/>
      <c r="G19" s="68" t="s">
        <v>96</v>
      </c>
    </row>
    <row r="20">
      <c r="A20" s="67"/>
      <c r="B20" s="67"/>
      <c r="C20" s="67"/>
      <c r="D20" s="67"/>
      <c r="E20" s="67"/>
      <c r="F20" s="67"/>
      <c r="G20" s="68" t="s">
        <v>96</v>
      </c>
    </row>
    <row r="21" ht="15.75" customHeight="1">
      <c r="A21" s="67"/>
      <c r="B21" s="67"/>
      <c r="C21" s="67"/>
      <c r="D21" s="67"/>
      <c r="E21" s="67"/>
      <c r="F21" s="67"/>
      <c r="G21" s="68" t="s">
        <v>96</v>
      </c>
    </row>
    <row r="22" ht="15.75" customHeight="1">
      <c r="A22" s="67"/>
      <c r="B22" s="67"/>
      <c r="C22" s="67"/>
      <c r="D22" s="67"/>
      <c r="E22" s="67"/>
      <c r="F22" s="67"/>
      <c r="G22" s="68" t="s">
        <v>96</v>
      </c>
    </row>
    <row r="23" ht="15.75" customHeight="1">
      <c r="A23" s="67"/>
      <c r="B23" s="67"/>
      <c r="C23" s="67"/>
      <c r="D23" s="67"/>
      <c r="E23" s="67"/>
      <c r="F23" s="67"/>
      <c r="G23" s="68" t="s">
        <v>96</v>
      </c>
    </row>
    <row r="24" ht="15.75" customHeight="1">
      <c r="A24" s="67"/>
      <c r="B24" s="67"/>
      <c r="C24" s="67"/>
      <c r="D24" s="67"/>
      <c r="E24" s="67"/>
      <c r="F24" s="67"/>
      <c r="G24" s="68" t="s">
        <v>96</v>
      </c>
    </row>
    <row r="25" ht="15.75" customHeight="1">
      <c r="A25" s="67"/>
      <c r="B25" s="67"/>
      <c r="C25" s="67"/>
      <c r="D25" s="67"/>
      <c r="E25" s="67"/>
      <c r="F25" s="67"/>
      <c r="G25" s="68" t="s">
        <v>96</v>
      </c>
    </row>
    <row r="26" ht="15.75" customHeight="1">
      <c r="A26" s="67"/>
      <c r="B26" s="67"/>
      <c r="C26" s="67"/>
      <c r="D26" s="67"/>
      <c r="E26" s="67"/>
      <c r="F26" s="67"/>
      <c r="G26" s="68" t="s">
        <v>96</v>
      </c>
    </row>
    <row r="27" ht="15.75" customHeight="1">
      <c r="A27" s="67"/>
      <c r="B27" s="67"/>
      <c r="C27" s="67"/>
      <c r="D27" s="67"/>
      <c r="E27" s="67"/>
      <c r="F27" s="67"/>
      <c r="G27" s="68" t="s">
        <v>96</v>
      </c>
    </row>
    <row r="28" ht="15.75" customHeight="1">
      <c r="A28" s="67"/>
      <c r="B28" s="67"/>
      <c r="C28" s="67"/>
      <c r="D28" s="67"/>
      <c r="E28" s="67"/>
      <c r="F28" s="67"/>
      <c r="G28" s="68" t="s">
        <v>96</v>
      </c>
    </row>
    <row r="29" ht="15.75" customHeight="1">
      <c r="A29" s="67"/>
      <c r="B29" s="67"/>
      <c r="C29" s="67"/>
      <c r="D29" s="67"/>
      <c r="E29" s="67"/>
      <c r="F29" s="67"/>
      <c r="G29" s="68" t="s">
        <v>96</v>
      </c>
    </row>
    <row r="30" ht="15.75" customHeight="1">
      <c r="A30" s="67"/>
      <c r="B30" s="67"/>
      <c r="C30" s="67"/>
      <c r="D30" s="67"/>
      <c r="E30" s="67"/>
      <c r="F30" s="67"/>
      <c r="G30" s="68" t="s">
        <v>96</v>
      </c>
    </row>
    <row r="31" ht="15.75" customHeight="1">
      <c r="A31" s="67"/>
      <c r="B31" s="67"/>
      <c r="C31" s="67"/>
      <c r="D31" s="67"/>
      <c r="E31" s="67"/>
      <c r="F31" s="67"/>
      <c r="G31" s="68" t="s">
        <v>96</v>
      </c>
    </row>
    <row r="32" ht="15.75" customHeight="1">
      <c r="A32" s="67"/>
      <c r="B32" s="67"/>
      <c r="C32" s="67"/>
      <c r="D32" s="67"/>
      <c r="E32" s="67"/>
      <c r="F32" s="67"/>
      <c r="G32" s="68" t="s">
        <v>96</v>
      </c>
    </row>
    <row r="33" ht="15.75" customHeight="1">
      <c r="A33" s="67"/>
      <c r="B33" s="67"/>
      <c r="C33" s="67"/>
      <c r="D33" s="67"/>
      <c r="E33" s="67"/>
      <c r="F33" s="67"/>
      <c r="G33" s="68" t="s">
        <v>96</v>
      </c>
    </row>
    <row r="34" ht="15.75" customHeight="1">
      <c r="A34" s="67"/>
      <c r="B34" s="67"/>
      <c r="C34" s="67"/>
      <c r="D34" s="67"/>
      <c r="E34" s="67"/>
      <c r="F34" s="67"/>
      <c r="G34" s="68" t="s">
        <v>96</v>
      </c>
    </row>
    <row r="35" ht="15.75" customHeight="1">
      <c r="A35" s="67"/>
      <c r="B35" s="67"/>
      <c r="C35" s="67"/>
      <c r="D35" s="67"/>
      <c r="E35" s="67"/>
      <c r="F35" s="67"/>
      <c r="G35" s="68" t="s">
        <v>96</v>
      </c>
    </row>
    <row r="36" ht="15.75" customHeight="1">
      <c r="A36" s="67"/>
      <c r="B36" s="67"/>
      <c r="C36" s="67"/>
      <c r="D36" s="67"/>
      <c r="E36" s="67"/>
      <c r="F36" s="67"/>
      <c r="G36" s="68" t="s">
        <v>96</v>
      </c>
    </row>
    <row r="37" ht="15.75" customHeight="1">
      <c r="A37" s="67"/>
      <c r="B37" s="67"/>
      <c r="C37" s="67"/>
      <c r="D37" s="67"/>
      <c r="E37" s="67"/>
      <c r="F37" s="67"/>
      <c r="G37" s="68" t="s">
        <v>96</v>
      </c>
    </row>
    <row r="38" ht="15.75" customHeight="1">
      <c r="A38" s="67"/>
      <c r="B38" s="67"/>
      <c r="C38" s="67"/>
      <c r="D38" s="67"/>
      <c r="E38" s="67"/>
      <c r="F38" s="67"/>
      <c r="G38" s="68" t="s">
        <v>96</v>
      </c>
    </row>
    <row r="39" ht="15.75" customHeight="1">
      <c r="A39" s="67"/>
      <c r="B39" s="67"/>
      <c r="C39" s="67"/>
      <c r="D39" s="67"/>
      <c r="E39" s="67"/>
      <c r="F39" s="67"/>
      <c r="G39" s="68" t="s">
        <v>96</v>
      </c>
    </row>
    <row r="40" ht="15.75" customHeight="1">
      <c r="A40" s="67"/>
      <c r="B40" s="67"/>
      <c r="C40" s="67"/>
      <c r="D40" s="67"/>
      <c r="E40" s="67"/>
      <c r="F40" s="67"/>
      <c r="G40" s="68" t="s">
        <v>96</v>
      </c>
    </row>
    <row r="41" ht="15.75" customHeight="1">
      <c r="A41" s="67"/>
      <c r="B41" s="67"/>
      <c r="C41" s="67"/>
      <c r="D41" s="67"/>
      <c r="E41" s="67"/>
      <c r="F41" s="67"/>
      <c r="G41" s="68" t="s">
        <v>96</v>
      </c>
    </row>
    <row r="42" ht="15.75" customHeight="1">
      <c r="A42" s="67"/>
      <c r="B42" s="67"/>
      <c r="C42" s="67"/>
      <c r="D42" s="67"/>
      <c r="E42" s="67"/>
      <c r="F42" s="67"/>
      <c r="G42" s="68" t="s">
        <v>96</v>
      </c>
    </row>
    <row r="43" ht="15.75" customHeight="1">
      <c r="A43" s="67"/>
      <c r="B43" s="67"/>
      <c r="C43" s="67"/>
      <c r="D43" s="67"/>
      <c r="E43" s="67"/>
      <c r="F43" s="67"/>
      <c r="G43" s="68" t="s">
        <v>96</v>
      </c>
    </row>
    <row r="44" ht="15.75" customHeight="1">
      <c r="A44" s="67"/>
      <c r="B44" s="67"/>
      <c r="C44" s="67"/>
      <c r="D44" s="67"/>
      <c r="E44" s="67"/>
      <c r="F44" s="67"/>
      <c r="G44" s="68" t="s">
        <v>96</v>
      </c>
    </row>
    <row r="45" ht="15.75" customHeight="1">
      <c r="A45" s="67"/>
      <c r="B45" s="67"/>
      <c r="C45" s="67"/>
      <c r="D45" s="67"/>
      <c r="E45" s="67"/>
      <c r="F45" s="67"/>
      <c r="G45" s="68" t="s">
        <v>96</v>
      </c>
    </row>
    <row r="46" ht="15.75" customHeight="1">
      <c r="A46" s="67"/>
      <c r="B46" s="67"/>
      <c r="C46" s="67"/>
      <c r="D46" s="67"/>
      <c r="E46" s="67"/>
      <c r="F46" s="67"/>
      <c r="G46" s="68" t="s">
        <v>96</v>
      </c>
    </row>
    <row r="47" ht="15.75" customHeight="1">
      <c r="A47" s="67"/>
      <c r="B47" s="67"/>
      <c r="C47" s="67"/>
      <c r="D47" s="67"/>
      <c r="E47" s="67"/>
      <c r="F47" s="67"/>
      <c r="G47" s="68" t="s">
        <v>96</v>
      </c>
    </row>
    <row r="48" ht="15.75" customHeight="1">
      <c r="A48" s="67"/>
      <c r="B48" s="67"/>
      <c r="C48" s="67"/>
      <c r="D48" s="67"/>
      <c r="E48" s="67"/>
      <c r="F48" s="67"/>
      <c r="G48" s="68" t="s">
        <v>96</v>
      </c>
    </row>
    <row r="49" ht="15.75" customHeight="1">
      <c r="A49" s="67"/>
      <c r="B49" s="67"/>
      <c r="C49" s="67"/>
      <c r="D49" s="67"/>
      <c r="E49" s="67"/>
      <c r="F49" s="67"/>
      <c r="G49" s="68" t="s">
        <v>96</v>
      </c>
    </row>
    <row r="50" ht="15.75" customHeight="1">
      <c r="A50" s="67"/>
      <c r="B50" s="67"/>
      <c r="C50" s="67"/>
      <c r="D50" s="67"/>
      <c r="E50" s="67"/>
      <c r="F50" s="67"/>
      <c r="G50" s="68" t="s">
        <v>96</v>
      </c>
    </row>
    <row r="51" ht="15.75" customHeight="1">
      <c r="A51" s="67"/>
      <c r="B51" s="67"/>
      <c r="C51" s="67"/>
      <c r="D51" s="67"/>
      <c r="E51" s="67"/>
      <c r="F51" s="67"/>
      <c r="G51" s="68" t="s">
        <v>96</v>
      </c>
    </row>
    <row r="52" ht="15.75" customHeight="1">
      <c r="A52" s="67"/>
      <c r="B52" s="67"/>
      <c r="C52" s="67"/>
      <c r="D52" s="67"/>
      <c r="E52" s="67"/>
      <c r="F52" s="67"/>
      <c r="G52" s="68" t="s">
        <v>96</v>
      </c>
    </row>
    <row r="53" ht="15.75" customHeight="1">
      <c r="A53" s="67"/>
      <c r="B53" s="67"/>
      <c r="C53" s="67"/>
      <c r="D53" s="67"/>
      <c r="E53" s="67"/>
      <c r="F53" s="67"/>
      <c r="G53" s="68" t="s">
        <v>96</v>
      </c>
    </row>
    <row r="54" ht="15.75" customHeight="1">
      <c r="A54" s="67"/>
      <c r="B54" s="67"/>
      <c r="C54" s="67"/>
      <c r="D54" s="67"/>
      <c r="E54" s="67"/>
      <c r="F54" s="67"/>
      <c r="G54" s="68" t="s">
        <v>96</v>
      </c>
    </row>
    <row r="55" ht="15.75" customHeight="1">
      <c r="A55" s="67"/>
      <c r="B55" s="67"/>
      <c r="C55" s="67"/>
      <c r="D55" s="67"/>
      <c r="E55" s="67"/>
      <c r="F55" s="67"/>
      <c r="G55" s="68" t="s">
        <v>96</v>
      </c>
    </row>
    <row r="56" ht="15.75" customHeight="1">
      <c r="A56" s="67"/>
      <c r="B56" s="67"/>
      <c r="C56" s="67"/>
      <c r="D56" s="67"/>
      <c r="E56" s="67"/>
      <c r="F56" s="67"/>
      <c r="G56" s="68" t="s">
        <v>96</v>
      </c>
    </row>
    <row r="57" ht="15.75" customHeight="1">
      <c r="A57" s="67"/>
      <c r="B57" s="67"/>
      <c r="C57" s="67"/>
      <c r="D57" s="67"/>
      <c r="E57" s="67"/>
      <c r="F57" s="67"/>
      <c r="G57" s="68" t="s">
        <v>96</v>
      </c>
    </row>
    <row r="58" ht="15.75" customHeight="1">
      <c r="A58" s="67"/>
      <c r="B58" s="67"/>
      <c r="C58" s="67"/>
      <c r="D58" s="67"/>
      <c r="E58" s="67"/>
      <c r="F58" s="67"/>
      <c r="G58" s="68" t="s">
        <v>96</v>
      </c>
    </row>
    <row r="59" ht="15.75" customHeight="1">
      <c r="A59" s="67"/>
      <c r="B59" s="67"/>
      <c r="C59" s="67"/>
      <c r="D59" s="67"/>
      <c r="E59" s="67"/>
      <c r="F59" s="67"/>
      <c r="G59" s="68" t="s">
        <v>96</v>
      </c>
    </row>
    <row r="60" ht="15.75" customHeight="1">
      <c r="A60" s="67"/>
      <c r="B60" s="67"/>
      <c r="C60" s="67"/>
      <c r="D60" s="67"/>
      <c r="E60" s="67"/>
      <c r="F60" s="67"/>
      <c r="G60" s="68" t="s">
        <v>96</v>
      </c>
    </row>
    <row r="61" ht="15.75" customHeight="1">
      <c r="A61" s="67"/>
      <c r="B61" s="67"/>
      <c r="C61" s="67"/>
      <c r="D61" s="67"/>
      <c r="E61" s="67"/>
      <c r="F61" s="67"/>
      <c r="G61" s="68" t="s">
        <v>96</v>
      </c>
    </row>
    <row r="62" ht="15.75" customHeight="1">
      <c r="A62" s="67"/>
      <c r="B62" s="67"/>
      <c r="C62" s="67"/>
      <c r="D62" s="67"/>
      <c r="E62" s="67"/>
      <c r="F62" s="67"/>
      <c r="G62" s="68" t="s">
        <v>96</v>
      </c>
    </row>
    <row r="63" ht="15.75" customHeight="1">
      <c r="A63" s="67"/>
      <c r="B63" s="67"/>
      <c r="C63" s="67"/>
      <c r="D63" s="67"/>
      <c r="E63" s="67"/>
      <c r="F63" s="67"/>
      <c r="G63" s="68" t="s">
        <v>96</v>
      </c>
    </row>
    <row r="64" ht="15.75" customHeight="1">
      <c r="A64" s="67"/>
      <c r="B64" s="67"/>
      <c r="C64" s="67"/>
      <c r="D64" s="67"/>
      <c r="E64" s="67"/>
      <c r="F64" s="67"/>
      <c r="G64" s="68" t="s">
        <v>96</v>
      </c>
    </row>
    <row r="65" ht="15.75" customHeight="1">
      <c r="A65" s="67"/>
      <c r="B65" s="67"/>
      <c r="C65" s="67"/>
      <c r="D65" s="67"/>
      <c r="E65" s="67"/>
      <c r="F65" s="67"/>
      <c r="G65" s="68" t="s">
        <v>96</v>
      </c>
    </row>
    <row r="66" ht="15.75" customHeight="1">
      <c r="A66" s="67"/>
      <c r="B66" s="67"/>
      <c r="C66" s="67"/>
      <c r="D66" s="67"/>
      <c r="E66" s="67"/>
      <c r="F66" s="67"/>
      <c r="G66" s="68" t="s">
        <v>96</v>
      </c>
    </row>
    <row r="67" ht="15.75" customHeight="1">
      <c r="A67" s="67"/>
      <c r="B67" s="67"/>
      <c r="C67" s="67"/>
      <c r="D67" s="67"/>
      <c r="E67" s="67"/>
      <c r="F67" s="67"/>
      <c r="G67" s="68" t="s">
        <v>96</v>
      </c>
    </row>
    <row r="68" ht="15.75" customHeight="1">
      <c r="A68" s="67"/>
      <c r="B68" s="67"/>
      <c r="C68" s="67"/>
      <c r="D68" s="67"/>
      <c r="E68" s="67"/>
      <c r="F68" s="67"/>
      <c r="G68" s="68" t="s">
        <v>96</v>
      </c>
    </row>
    <row r="69" ht="15.75" customHeight="1">
      <c r="A69" s="67"/>
      <c r="B69" s="67"/>
      <c r="C69" s="67"/>
      <c r="D69" s="67"/>
      <c r="E69" s="67"/>
      <c r="F69" s="67"/>
      <c r="G69" s="68" t="s">
        <v>96</v>
      </c>
    </row>
    <row r="70" ht="15.75" customHeight="1">
      <c r="A70" s="67"/>
      <c r="B70" s="67"/>
      <c r="C70" s="67"/>
      <c r="D70" s="67"/>
      <c r="E70" s="67"/>
      <c r="F70" s="67"/>
      <c r="G70" s="68" t="s">
        <v>96</v>
      </c>
    </row>
    <row r="71" ht="15.75" customHeight="1">
      <c r="A71" s="67"/>
      <c r="B71" s="67"/>
      <c r="C71" s="67"/>
      <c r="D71" s="67"/>
      <c r="E71" s="67"/>
      <c r="F71" s="67"/>
      <c r="G71" s="68" t="s">
        <v>96</v>
      </c>
    </row>
    <row r="72" ht="15.75" customHeight="1">
      <c r="A72" s="67"/>
      <c r="B72" s="67"/>
      <c r="C72" s="67"/>
      <c r="D72" s="67"/>
      <c r="E72" s="67"/>
      <c r="F72" s="67"/>
      <c r="G72" s="68" t="s">
        <v>96</v>
      </c>
    </row>
    <row r="73" ht="15.75" customHeight="1">
      <c r="A73" s="67"/>
      <c r="B73" s="67"/>
      <c r="C73" s="67"/>
      <c r="D73" s="67"/>
      <c r="E73" s="67"/>
      <c r="F73" s="67"/>
      <c r="G73" s="68" t="s">
        <v>96</v>
      </c>
    </row>
    <row r="74" ht="15.75" customHeight="1">
      <c r="A74" s="67"/>
      <c r="B74" s="67"/>
      <c r="C74" s="67"/>
      <c r="D74" s="67"/>
      <c r="E74" s="67"/>
      <c r="F74" s="67"/>
      <c r="G74" s="68" t="s">
        <v>96</v>
      </c>
    </row>
    <row r="75" ht="15.75" customHeight="1">
      <c r="A75" s="67"/>
      <c r="B75" s="67"/>
      <c r="C75" s="67"/>
      <c r="D75" s="67"/>
      <c r="E75" s="67"/>
      <c r="F75" s="67"/>
      <c r="G75" s="68" t="s">
        <v>96</v>
      </c>
    </row>
    <row r="76" ht="15.75" customHeight="1">
      <c r="A76" s="67"/>
      <c r="B76" s="67"/>
      <c r="C76" s="67"/>
      <c r="D76" s="67"/>
      <c r="E76" s="67"/>
      <c r="F76" s="67"/>
      <c r="G76" s="68" t="s">
        <v>96</v>
      </c>
    </row>
    <row r="77" ht="15.75" customHeight="1">
      <c r="A77" s="67"/>
      <c r="B77" s="67"/>
      <c r="C77" s="67"/>
      <c r="D77" s="67"/>
      <c r="E77" s="67"/>
      <c r="F77" s="67"/>
      <c r="G77" s="68" t="s">
        <v>96</v>
      </c>
    </row>
    <row r="78" ht="15.75" customHeight="1">
      <c r="A78" s="67"/>
      <c r="B78" s="67"/>
      <c r="C78" s="67"/>
      <c r="D78" s="67"/>
      <c r="E78" s="67"/>
      <c r="F78" s="67"/>
      <c r="G78" s="68" t="s">
        <v>96</v>
      </c>
    </row>
    <row r="79" ht="15.75" customHeight="1">
      <c r="A79" s="67"/>
      <c r="B79" s="67"/>
      <c r="C79" s="67"/>
      <c r="D79" s="67"/>
      <c r="E79" s="67"/>
      <c r="F79" s="67"/>
      <c r="G79" s="68" t="s">
        <v>96</v>
      </c>
    </row>
    <row r="80" ht="15.75" customHeight="1">
      <c r="A80" s="67"/>
      <c r="B80" s="67"/>
      <c r="C80" s="67"/>
      <c r="D80" s="67"/>
      <c r="E80" s="67"/>
      <c r="F80" s="67"/>
      <c r="G80" s="68" t="s">
        <v>96</v>
      </c>
    </row>
    <row r="81" ht="15.75" customHeight="1">
      <c r="A81" s="67"/>
      <c r="B81" s="67"/>
      <c r="C81" s="67"/>
      <c r="D81" s="67"/>
      <c r="E81" s="67"/>
      <c r="F81" s="67"/>
      <c r="G81" s="68" t="s">
        <v>96</v>
      </c>
    </row>
    <row r="82" ht="15.75" customHeight="1">
      <c r="A82" s="67"/>
      <c r="B82" s="67"/>
      <c r="C82" s="67"/>
      <c r="D82" s="67"/>
      <c r="E82" s="67"/>
      <c r="F82" s="67"/>
      <c r="G82" s="68" t="s">
        <v>96</v>
      </c>
    </row>
    <row r="83" ht="15.75" customHeight="1">
      <c r="A83" s="67"/>
      <c r="B83" s="67"/>
      <c r="C83" s="67"/>
      <c r="D83" s="67"/>
      <c r="E83" s="67"/>
      <c r="F83" s="67"/>
      <c r="G83" s="68" t="s">
        <v>96</v>
      </c>
    </row>
    <row r="84" ht="15.75" customHeight="1">
      <c r="A84" s="67"/>
      <c r="B84" s="67"/>
      <c r="C84" s="67"/>
      <c r="D84" s="67"/>
      <c r="E84" s="67"/>
      <c r="F84" s="67"/>
      <c r="G84" s="68" t="s">
        <v>96</v>
      </c>
    </row>
    <row r="85" ht="15.75" customHeight="1">
      <c r="A85" s="67"/>
      <c r="B85" s="67"/>
      <c r="C85" s="67"/>
      <c r="D85" s="67"/>
      <c r="E85" s="67"/>
      <c r="F85" s="67"/>
      <c r="G85" s="68" t="s">
        <v>96</v>
      </c>
    </row>
    <row r="86" ht="15.75" customHeight="1">
      <c r="A86" s="67"/>
      <c r="B86" s="67"/>
      <c r="C86" s="67"/>
      <c r="D86" s="67"/>
      <c r="E86" s="67"/>
      <c r="F86" s="67"/>
      <c r="G86" s="68" t="s">
        <v>96</v>
      </c>
    </row>
    <row r="87" ht="15.75" customHeight="1">
      <c r="A87" s="67"/>
      <c r="B87" s="67"/>
      <c r="C87" s="67"/>
      <c r="D87" s="67"/>
      <c r="E87" s="67"/>
      <c r="F87" s="67"/>
      <c r="G87" s="68" t="s">
        <v>96</v>
      </c>
    </row>
    <row r="88" ht="15.75" customHeight="1">
      <c r="A88" s="67"/>
      <c r="B88" s="67"/>
      <c r="C88" s="67"/>
      <c r="D88" s="67"/>
      <c r="E88" s="67"/>
      <c r="F88" s="67"/>
      <c r="G88" s="68" t="s">
        <v>96</v>
      </c>
    </row>
    <row r="89" ht="15.75" customHeight="1">
      <c r="A89" s="67"/>
      <c r="B89" s="67"/>
      <c r="C89" s="67"/>
      <c r="D89" s="67"/>
      <c r="E89" s="67"/>
      <c r="F89" s="67"/>
      <c r="G89" s="68" t="s">
        <v>96</v>
      </c>
    </row>
    <row r="90" ht="15.75" customHeight="1">
      <c r="A90" s="67"/>
      <c r="B90" s="67"/>
      <c r="C90" s="67"/>
      <c r="D90" s="67"/>
      <c r="E90" s="67"/>
      <c r="F90" s="67"/>
      <c r="G90" s="68" t="s">
        <v>96</v>
      </c>
    </row>
    <row r="91" ht="15.75" customHeight="1">
      <c r="A91" s="67"/>
      <c r="B91" s="67"/>
      <c r="C91" s="67"/>
      <c r="D91" s="67"/>
      <c r="E91" s="67"/>
      <c r="F91" s="67"/>
      <c r="G91" s="68" t="s">
        <v>96</v>
      </c>
    </row>
    <row r="92" ht="15.75" customHeight="1">
      <c r="A92" s="67"/>
      <c r="B92" s="67"/>
      <c r="C92" s="67"/>
      <c r="D92" s="67"/>
      <c r="E92" s="67"/>
      <c r="F92" s="67"/>
      <c r="G92" s="68" t="s">
        <v>96</v>
      </c>
    </row>
    <row r="93" ht="15.75" customHeight="1">
      <c r="A93" s="67"/>
      <c r="B93" s="67"/>
      <c r="C93" s="67"/>
      <c r="D93" s="67"/>
      <c r="E93" s="67"/>
      <c r="F93" s="67"/>
      <c r="G93" s="68" t="s">
        <v>96</v>
      </c>
    </row>
    <row r="94" ht="15.75" customHeight="1">
      <c r="A94" s="67"/>
      <c r="B94" s="67"/>
      <c r="C94" s="67"/>
      <c r="D94" s="67"/>
      <c r="E94" s="67"/>
      <c r="F94" s="67"/>
      <c r="G94" s="68" t="s">
        <v>96</v>
      </c>
    </row>
    <row r="95" ht="15.75" customHeight="1">
      <c r="A95" s="67"/>
      <c r="B95" s="67"/>
      <c r="C95" s="67"/>
      <c r="D95" s="67"/>
      <c r="E95" s="67"/>
      <c r="F95" s="67"/>
      <c r="G95" s="68" t="s">
        <v>96</v>
      </c>
    </row>
    <row r="96" ht="15.75" customHeight="1">
      <c r="A96" s="67"/>
      <c r="B96" s="67"/>
      <c r="C96" s="67"/>
      <c r="D96" s="67"/>
      <c r="E96" s="67"/>
      <c r="F96" s="67"/>
      <c r="G96" s="68" t="s">
        <v>96</v>
      </c>
    </row>
    <row r="97" ht="15.75" customHeight="1">
      <c r="A97" s="67"/>
      <c r="B97" s="67"/>
      <c r="C97" s="67"/>
      <c r="D97" s="67"/>
      <c r="E97" s="67"/>
      <c r="F97" s="67"/>
      <c r="G97" s="68" t="s">
        <v>96</v>
      </c>
    </row>
    <row r="98" ht="15.75" customHeight="1">
      <c r="A98" s="67"/>
      <c r="B98" s="67"/>
      <c r="C98" s="67"/>
      <c r="D98" s="67"/>
      <c r="E98" s="67"/>
      <c r="F98" s="67"/>
      <c r="G98" s="68" t="s">
        <v>96</v>
      </c>
    </row>
    <row r="99" ht="15.75" customHeight="1">
      <c r="A99" s="67"/>
      <c r="B99" s="67"/>
      <c r="C99" s="67"/>
      <c r="D99" s="67"/>
      <c r="E99" s="67"/>
      <c r="F99" s="67"/>
      <c r="G99" s="68" t="s">
        <v>96</v>
      </c>
    </row>
    <row r="100" ht="15.75" customHeight="1">
      <c r="A100" s="67"/>
      <c r="B100" s="67"/>
      <c r="C100" s="67"/>
      <c r="D100" s="67"/>
      <c r="E100" s="67"/>
      <c r="F100" s="67"/>
      <c r="G100" s="68" t="s">
        <v>96</v>
      </c>
    </row>
    <row r="101" ht="15.75" customHeight="1">
      <c r="A101" s="67"/>
      <c r="B101" s="67"/>
      <c r="C101" s="67"/>
      <c r="D101" s="67"/>
      <c r="E101" s="67"/>
      <c r="F101" s="67"/>
      <c r="G101" s="68" t="s">
        <v>96</v>
      </c>
    </row>
    <row r="102" ht="15.75" customHeight="1">
      <c r="A102" s="67"/>
      <c r="B102" s="67"/>
      <c r="C102" s="67"/>
      <c r="D102" s="67"/>
      <c r="E102" s="67"/>
      <c r="F102" s="67"/>
      <c r="G102" s="68" t="s">
        <v>96</v>
      </c>
    </row>
    <row r="103" ht="15.75" customHeight="1">
      <c r="A103" s="67"/>
      <c r="B103" s="67"/>
      <c r="C103" s="67"/>
      <c r="D103" s="67"/>
      <c r="E103" s="67"/>
      <c r="F103" s="67"/>
      <c r="G103" s="68" t="s">
        <v>96</v>
      </c>
    </row>
    <row r="104" ht="15.75" customHeight="1">
      <c r="A104" s="67"/>
      <c r="B104" s="67"/>
      <c r="C104" s="67"/>
      <c r="D104" s="67"/>
      <c r="E104" s="67"/>
      <c r="F104" s="67"/>
      <c r="G104" s="68" t="s">
        <v>96</v>
      </c>
    </row>
    <row r="105" ht="15.75" customHeight="1">
      <c r="A105" s="67"/>
      <c r="B105" s="67"/>
      <c r="C105" s="67"/>
      <c r="D105" s="67"/>
      <c r="E105" s="67"/>
      <c r="F105" s="67"/>
      <c r="G105" s="68" t="s">
        <v>96</v>
      </c>
    </row>
    <row r="106" ht="15.75" customHeight="1">
      <c r="A106" s="67"/>
      <c r="B106" s="67"/>
      <c r="C106" s="67"/>
      <c r="D106" s="67"/>
      <c r="E106" s="67"/>
      <c r="F106" s="67"/>
      <c r="G106" s="68" t="s">
        <v>96</v>
      </c>
    </row>
    <row r="107" ht="15.75" customHeight="1">
      <c r="A107" s="67"/>
      <c r="B107" s="67"/>
      <c r="C107" s="67"/>
      <c r="D107" s="67"/>
      <c r="E107" s="67"/>
      <c r="F107" s="67"/>
      <c r="G107" s="68" t="s">
        <v>96</v>
      </c>
    </row>
    <row r="108" ht="15.75" customHeight="1">
      <c r="A108" s="67"/>
      <c r="B108" s="67"/>
      <c r="C108" s="67"/>
      <c r="D108" s="67"/>
      <c r="E108" s="67"/>
      <c r="F108" s="67"/>
      <c r="G108" s="68" t="s">
        <v>96</v>
      </c>
    </row>
    <row r="109" ht="15.75" customHeight="1">
      <c r="A109" s="67"/>
      <c r="B109" s="67"/>
      <c r="C109" s="67"/>
      <c r="D109" s="67"/>
      <c r="E109" s="67"/>
      <c r="F109" s="67"/>
      <c r="G109" s="68" t="s">
        <v>96</v>
      </c>
    </row>
    <row r="110" ht="15.75" customHeight="1">
      <c r="A110" s="67"/>
      <c r="B110" s="67"/>
      <c r="C110" s="67"/>
      <c r="D110" s="67"/>
      <c r="E110" s="67"/>
      <c r="F110" s="67"/>
      <c r="G110" s="68" t="s">
        <v>96</v>
      </c>
    </row>
    <row r="111" ht="15.75" customHeight="1">
      <c r="A111" s="67"/>
      <c r="B111" s="67"/>
      <c r="C111" s="67"/>
      <c r="D111" s="67"/>
      <c r="E111" s="67"/>
      <c r="F111" s="67"/>
      <c r="G111" s="68" t="s">
        <v>96</v>
      </c>
    </row>
    <row r="112" ht="15.75" customHeight="1">
      <c r="A112" s="67"/>
      <c r="B112" s="67"/>
      <c r="C112" s="67"/>
      <c r="D112" s="67"/>
      <c r="E112" s="67"/>
      <c r="F112" s="67"/>
      <c r="G112" s="68" t="s">
        <v>96</v>
      </c>
    </row>
    <row r="113" ht="15.75" customHeight="1">
      <c r="A113" s="67"/>
      <c r="B113" s="67"/>
      <c r="C113" s="67"/>
      <c r="D113" s="67"/>
      <c r="E113" s="67"/>
      <c r="F113" s="67"/>
      <c r="G113" s="68" t="s">
        <v>96</v>
      </c>
    </row>
    <row r="114" ht="15.75" customHeight="1">
      <c r="A114" s="67"/>
      <c r="B114" s="67"/>
      <c r="C114" s="67"/>
      <c r="D114" s="67"/>
      <c r="E114" s="67"/>
      <c r="F114" s="67"/>
      <c r="G114" s="68" t="s">
        <v>96</v>
      </c>
    </row>
    <row r="115" ht="15.75" customHeight="1">
      <c r="A115" s="67"/>
      <c r="B115" s="67"/>
      <c r="C115" s="67"/>
      <c r="D115" s="67"/>
      <c r="E115" s="67"/>
      <c r="F115" s="67"/>
      <c r="G115" s="68" t="s">
        <v>96</v>
      </c>
    </row>
    <row r="116" ht="15.75" customHeight="1">
      <c r="A116" s="67"/>
      <c r="B116" s="67"/>
      <c r="C116" s="67"/>
      <c r="D116" s="67"/>
      <c r="E116" s="67"/>
      <c r="F116" s="67"/>
      <c r="G116" s="68" t="s">
        <v>96</v>
      </c>
    </row>
    <row r="117" ht="15.75" customHeight="1">
      <c r="A117" s="67"/>
      <c r="B117" s="67"/>
      <c r="C117" s="67"/>
      <c r="D117" s="67"/>
      <c r="E117" s="67"/>
      <c r="F117" s="67"/>
      <c r="G117" s="68" t="s">
        <v>96</v>
      </c>
    </row>
    <row r="118" ht="15.75" customHeight="1">
      <c r="A118" s="67"/>
      <c r="B118" s="67"/>
      <c r="C118" s="67"/>
      <c r="D118" s="67"/>
      <c r="E118" s="67"/>
      <c r="F118" s="67"/>
      <c r="G118" s="68" t="s">
        <v>96</v>
      </c>
    </row>
    <row r="119" ht="15.75" customHeight="1">
      <c r="A119" s="67"/>
      <c r="B119" s="67"/>
      <c r="C119" s="67"/>
      <c r="D119" s="67"/>
      <c r="E119" s="67"/>
      <c r="F119" s="67"/>
      <c r="G119" s="68" t="s">
        <v>96</v>
      </c>
    </row>
    <row r="120" ht="15.75" customHeight="1">
      <c r="A120" s="67"/>
      <c r="B120" s="67"/>
      <c r="C120" s="67"/>
      <c r="D120" s="67"/>
      <c r="E120" s="67"/>
      <c r="F120" s="67"/>
      <c r="G120" s="68" t="s">
        <v>96</v>
      </c>
    </row>
    <row r="121" ht="15.75" customHeight="1">
      <c r="A121" s="67"/>
      <c r="B121" s="67"/>
      <c r="C121" s="67"/>
      <c r="D121" s="67"/>
      <c r="E121" s="67"/>
      <c r="F121" s="67"/>
      <c r="G121" s="68" t="s">
        <v>96</v>
      </c>
    </row>
    <row r="122" ht="15.75" customHeight="1">
      <c r="A122" s="67"/>
      <c r="B122" s="67"/>
      <c r="C122" s="67"/>
      <c r="D122" s="67"/>
      <c r="E122" s="67"/>
      <c r="F122" s="67"/>
      <c r="G122" s="68" t="s">
        <v>96</v>
      </c>
    </row>
    <row r="123" ht="15.75" customHeight="1">
      <c r="A123" s="67"/>
      <c r="B123" s="67"/>
      <c r="C123" s="67"/>
      <c r="D123" s="67"/>
      <c r="E123" s="67"/>
      <c r="F123" s="67"/>
      <c r="G123" s="68" t="s">
        <v>96</v>
      </c>
    </row>
    <row r="124" ht="15.75" customHeight="1">
      <c r="A124" s="67"/>
      <c r="B124" s="67"/>
      <c r="C124" s="67"/>
      <c r="D124" s="67"/>
      <c r="E124" s="67"/>
      <c r="F124" s="67"/>
      <c r="G124" s="68" t="s">
        <v>96</v>
      </c>
    </row>
    <row r="125" ht="15.75" customHeight="1">
      <c r="A125" s="67"/>
      <c r="B125" s="67"/>
      <c r="C125" s="67"/>
      <c r="D125" s="67"/>
      <c r="E125" s="67"/>
      <c r="F125" s="67"/>
      <c r="G125" s="68" t="s">
        <v>96</v>
      </c>
    </row>
    <row r="126" ht="15.75" customHeight="1">
      <c r="A126" s="67"/>
      <c r="B126" s="67"/>
      <c r="C126" s="67"/>
      <c r="D126" s="67"/>
      <c r="E126" s="67"/>
      <c r="F126" s="67"/>
      <c r="G126" s="68" t="s">
        <v>96</v>
      </c>
    </row>
    <row r="127" ht="15.75" customHeight="1">
      <c r="A127" s="67"/>
      <c r="B127" s="67"/>
      <c r="C127" s="67"/>
      <c r="D127" s="67"/>
      <c r="E127" s="67"/>
      <c r="F127" s="67"/>
      <c r="G127" s="68" t="s">
        <v>96</v>
      </c>
    </row>
    <row r="128" ht="15.75" customHeight="1">
      <c r="A128" s="67"/>
      <c r="B128" s="67"/>
      <c r="C128" s="67"/>
      <c r="D128" s="67"/>
      <c r="E128" s="67"/>
      <c r="F128" s="67"/>
      <c r="G128" s="68" t="s">
        <v>96</v>
      </c>
    </row>
    <row r="129" ht="15.75" customHeight="1">
      <c r="A129" s="67"/>
      <c r="B129" s="67"/>
      <c r="C129" s="67"/>
      <c r="D129" s="67"/>
      <c r="E129" s="67"/>
      <c r="F129" s="67"/>
      <c r="G129" s="68" t="s">
        <v>96</v>
      </c>
    </row>
    <row r="130" ht="15.75" customHeight="1">
      <c r="A130" s="67"/>
      <c r="B130" s="67"/>
      <c r="C130" s="67"/>
      <c r="D130" s="67"/>
      <c r="E130" s="67"/>
      <c r="F130" s="67"/>
      <c r="G130" s="68" t="s">
        <v>96</v>
      </c>
    </row>
    <row r="131" ht="15.75" customHeight="1">
      <c r="A131" s="67"/>
      <c r="B131" s="67"/>
      <c r="C131" s="67"/>
      <c r="D131" s="67"/>
      <c r="E131" s="67"/>
      <c r="F131" s="67"/>
      <c r="G131" s="68" t="s">
        <v>96</v>
      </c>
    </row>
    <row r="132" ht="15.75" customHeight="1">
      <c r="A132" s="67"/>
      <c r="B132" s="67"/>
      <c r="C132" s="67"/>
      <c r="D132" s="67"/>
      <c r="E132" s="67"/>
      <c r="F132" s="67"/>
      <c r="G132" s="68" t="s">
        <v>96</v>
      </c>
    </row>
    <row r="133" ht="15.75" customHeight="1">
      <c r="A133" s="67"/>
      <c r="B133" s="67"/>
      <c r="C133" s="67"/>
      <c r="D133" s="67"/>
      <c r="E133" s="67"/>
      <c r="F133" s="67"/>
      <c r="G133" s="68" t="s">
        <v>96</v>
      </c>
    </row>
    <row r="134" ht="15.75" customHeight="1">
      <c r="A134" s="67"/>
      <c r="B134" s="67"/>
      <c r="C134" s="67"/>
      <c r="D134" s="67"/>
      <c r="E134" s="67"/>
      <c r="F134" s="67"/>
      <c r="G134" s="68" t="s">
        <v>96</v>
      </c>
    </row>
    <row r="135" ht="15.75" customHeight="1">
      <c r="A135" s="67"/>
      <c r="B135" s="67"/>
      <c r="C135" s="67"/>
      <c r="D135" s="67"/>
      <c r="E135" s="67"/>
      <c r="F135" s="67"/>
      <c r="G135" s="68" t="s">
        <v>96</v>
      </c>
    </row>
    <row r="136" ht="15.75" customHeight="1">
      <c r="A136" s="67"/>
      <c r="B136" s="67"/>
      <c r="C136" s="67"/>
      <c r="D136" s="67"/>
      <c r="E136" s="67"/>
      <c r="F136" s="67"/>
      <c r="G136" s="68" t="s">
        <v>96</v>
      </c>
    </row>
    <row r="137" ht="15.75" customHeight="1">
      <c r="A137" s="67"/>
      <c r="B137" s="67"/>
      <c r="C137" s="67"/>
      <c r="D137" s="67"/>
      <c r="E137" s="67"/>
      <c r="F137" s="67"/>
      <c r="G137" s="68" t="s">
        <v>96</v>
      </c>
    </row>
    <row r="138" ht="15.75" customHeight="1">
      <c r="A138" s="67"/>
      <c r="B138" s="67"/>
      <c r="C138" s="67"/>
      <c r="D138" s="67"/>
      <c r="E138" s="67"/>
      <c r="F138" s="67"/>
      <c r="G138" s="68" t="s">
        <v>96</v>
      </c>
    </row>
    <row r="139" ht="15.75" customHeight="1">
      <c r="A139" s="67"/>
      <c r="B139" s="67"/>
      <c r="C139" s="67"/>
      <c r="D139" s="67"/>
      <c r="E139" s="67"/>
      <c r="F139" s="67"/>
      <c r="G139" s="68" t="s">
        <v>96</v>
      </c>
    </row>
    <row r="140" ht="15.75" customHeight="1">
      <c r="A140" s="67"/>
      <c r="B140" s="67"/>
      <c r="C140" s="67"/>
      <c r="D140" s="67"/>
      <c r="E140" s="67"/>
      <c r="F140" s="67"/>
      <c r="G140" s="68" t="s">
        <v>96</v>
      </c>
    </row>
    <row r="141" ht="15.75" customHeight="1">
      <c r="A141" s="67"/>
      <c r="B141" s="67"/>
      <c r="C141" s="67"/>
      <c r="D141" s="67"/>
      <c r="E141" s="67"/>
      <c r="F141" s="67"/>
      <c r="G141" s="68" t="s">
        <v>96</v>
      </c>
    </row>
    <row r="142" ht="15.75" customHeight="1">
      <c r="A142" s="67"/>
      <c r="B142" s="67"/>
      <c r="C142" s="67"/>
      <c r="D142" s="67"/>
      <c r="E142" s="67"/>
      <c r="F142" s="67"/>
      <c r="G142" s="68" t="s">
        <v>96</v>
      </c>
    </row>
    <row r="143" ht="15.75" customHeight="1">
      <c r="A143" s="67"/>
      <c r="B143" s="67"/>
      <c r="C143" s="67"/>
      <c r="D143" s="67"/>
      <c r="E143" s="67"/>
      <c r="F143" s="67"/>
      <c r="G143" s="68" t="s">
        <v>96</v>
      </c>
    </row>
    <row r="144" ht="15.75" customHeight="1">
      <c r="A144" s="67"/>
      <c r="B144" s="67"/>
      <c r="C144" s="67"/>
      <c r="D144" s="67"/>
      <c r="E144" s="67"/>
      <c r="F144" s="67"/>
      <c r="G144" s="68" t="s">
        <v>96</v>
      </c>
    </row>
    <row r="145" ht="15.75" customHeight="1">
      <c r="A145" s="67"/>
      <c r="B145" s="67"/>
      <c r="C145" s="67"/>
      <c r="D145" s="67"/>
      <c r="E145" s="67"/>
      <c r="F145" s="67"/>
      <c r="G145" s="68" t="s">
        <v>96</v>
      </c>
    </row>
    <row r="146" ht="15.75" customHeight="1">
      <c r="A146" s="67"/>
      <c r="B146" s="67"/>
      <c r="C146" s="67"/>
      <c r="D146" s="67"/>
      <c r="E146" s="67"/>
      <c r="F146" s="67"/>
      <c r="G146" s="68" t="s">
        <v>96</v>
      </c>
    </row>
    <row r="147" ht="15.75" customHeight="1">
      <c r="A147" s="67"/>
      <c r="B147" s="67"/>
      <c r="C147" s="67"/>
      <c r="D147" s="67"/>
      <c r="E147" s="67"/>
      <c r="F147" s="67"/>
      <c r="G147" s="68" t="s">
        <v>96</v>
      </c>
    </row>
    <row r="148" ht="15.75" customHeight="1">
      <c r="A148" s="67"/>
      <c r="B148" s="67"/>
      <c r="C148" s="67"/>
      <c r="D148" s="67"/>
      <c r="E148" s="67"/>
      <c r="F148" s="67"/>
      <c r="G148" s="68" t="s">
        <v>96</v>
      </c>
    </row>
    <row r="149" ht="15.75" customHeight="1">
      <c r="A149" s="67"/>
      <c r="B149" s="67"/>
      <c r="C149" s="67"/>
      <c r="D149" s="67"/>
      <c r="E149" s="67"/>
      <c r="F149" s="67"/>
      <c r="G149" s="68" t="s">
        <v>96</v>
      </c>
    </row>
    <row r="150" ht="15.75" customHeight="1">
      <c r="A150" s="67"/>
      <c r="B150" s="67"/>
      <c r="C150" s="67"/>
      <c r="D150" s="67"/>
      <c r="E150" s="67"/>
      <c r="F150" s="67"/>
      <c r="G150" s="68" t="s">
        <v>96</v>
      </c>
    </row>
    <row r="151" ht="15.75" customHeight="1">
      <c r="A151" s="67"/>
      <c r="B151" s="67"/>
      <c r="C151" s="67"/>
      <c r="D151" s="67"/>
      <c r="E151" s="67"/>
      <c r="F151" s="67"/>
      <c r="G151" s="68" t="s">
        <v>96</v>
      </c>
    </row>
    <row r="152" ht="15.75" customHeight="1">
      <c r="A152" s="67"/>
      <c r="B152" s="67"/>
      <c r="C152" s="67"/>
      <c r="D152" s="67"/>
      <c r="E152" s="67"/>
      <c r="F152" s="67"/>
      <c r="G152" s="68" t="s">
        <v>96</v>
      </c>
    </row>
    <row r="153" ht="15.75" customHeight="1">
      <c r="A153" s="67"/>
      <c r="B153" s="67"/>
      <c r="C153" s="67"/>
      <c r="D153" s="67"/>
      <c r="E153" s="67"/>
      <c r="F153" s="67"/>
      <c r="G153" s="68" t="s">
        <v>96</v>
      </c>
    </row>
    <row r="154" ht="15.75" customHeight="1">
      <c r="A154" s="67"/>
      <c r="B154" s="67"/>
      <c r="C154" s="67"/>
      <c r="D154" s="67"/>
      <c r="E154" s="67"/>
      <c r="F154" s="67"/>
      <c r="G154" s="68" t="s">
        <v>96</v>
      </c>
    </row>
    <row r="155" ht="15.75" customHeight="1">
      <c r="A155" s="67"/>
      <c r="B155" s="67"/>
      <c r="C155" s="67"/>
      <c r="D155" s="67"/>
      <c r="E155" s="67"/>
      <c r="F155" s="67"/>
      <c r="G155" s="68" t="s">
        <v>96</v>
      </c>
    </row>
    <row r="156" ht="15.75" customHeight="1">
      <c r="A156" s="67"/>
      <c r="B156" s="67"/>
      <c r="C156" s="67"/>
      <c r="D156" s="67"/>
      <c r="E156" s="67"/>
      <c r="F156" s="67"/>
      <c r="G156" s="68" t="s">
        <v>96</v>
      </c>
    </row>
    <row r="157" ht="15.75" customHeight="1">
      <c r="A157" s="67"/>
      <c r="B157" s="67"/>
      <c r="C157" s="67"/>
      <c r="D157" s="67"/>
      <c r="E157" s="67"/>
      <c r="F157" s="67"/>
      <c r="G157" s="68" t="s">
        <v>96</v>
      </c>
    </row>
    <row r="158" ht="15.75" customHeight="1">
      <c r="A158" s="67"/>
      <c r="B158" s="67"/>
      <c r="C158" s="67"/>
      <c r="D158" s="67"/>
      <c r="E158" s="67"/>
      <c r="F158" s="67"/>
      <c r="G158" s="68" t="s">
        <v>96</v>
      </c>
    </row>
    <row r="159" ht="15.75" customHeight="1">
      <c r="A159" s="67"/>
      <c r="B159" s="67"/>
      <c r="C159" s="67"/>
      <c r="D159" s="67"/>
      <c r="E159" s="67"/>
      <c r="F159" s="67"/>
      <c r="G159" s="68" t="s">
        <v>96</v>
      </c>
    </row>
    <row r="160" ht="15.75" customHeight="1">
      <c r="A160" s="67"/>
      <c r="B160" s="67"/>
      <c r="C160" s="67"/>
      <c r="D160" s="67"/>
      <c r="E160" s="67"/>
      <c r="F160" s="67"/>
      <c r="G160" s="68" t="s">
        <v>96</v>
      </c>
    </row>
    <row r="161" ht="15.75" customHeight="1">
      <c r="A161" s="67"/>
      <c r="B161" s="67"/>
      <c r="C161" s="67"/>
      <c r="D161" s="67"/>
      <c r="E161" s="67"/>
      <c r="F161" s="67"/>
      <c r="G161" s="68" t="s">
        <v>96</v>
      </c>
    </row>
    <row r="162" ht="15.75" customHeight="1">
      <c r="A162" s="67"/>
      <c r="B162" s="67"/>
      <c r="C162" s="67"/>
      <c r="D162" s="67"/>
      <c r="E162" s="67"/>
      <c r="F162" s="67"/>
      <c r="G162" s="68" t="s">
        <v>96</v>
      </c>
    </row>
    <row r="163" ht="15.75" customHeight="1">
      <c r="A163" s="67"/>
      <c r="B163" s="67"/>
      <c r="C163" s="67"/>
      <c r="D163" s="67"/>
      <c r="E163" s="67"/>
      <c r="F163" s="67"/>
      <c r="G163" s="68" t="s">
        <v>96</v>
      </c>
    </row>
    <row r="164" ht="15.75" customHeight="1">
      <c r="A164" s="67"/>
      <c r="B164" s="67"/>
      <c r="C164" s="67"/>
      <c r="D164" s="67"/>
      <c r="E164" s="67"/>
      <c r="F164" s="67"/>
      <c r="G164" s="68" t="s">
        <v>96</v>
      </c>
    </row>
    <row r="165" ht="15.75" customHeight="1">
      <c r="A165" s="67"/>
      <c r="B165" s="67"/>
      <c r="C165" s="67"/>
      <c r="D165" s="67"/>
      <c r="E165" s="67"/>
      <c r="F165" s="67"/>
      <c r="G165" s="68" t="s">
        <v>96</v>
      </c>
    </row>
    <row r="166" ht="15.75" customHeight="1">
      <c r="A166" s="67"/>
      <c r="B166" s="67"/>
      <c r="C166" s="67"/>
      <c r="D166" s="67"/>
      <c r="E166" s="67"/>
      <c r="F166" s="67"/>
      <c r="G166" s="68" t="s">
        <v>96</v>
      </c>
    </row>
    <row r="167" ht="15.75" customHeight="1">
      <c r="A167" s="67"/>
      <c r="B167" s="67"/>
      <c r="C167" s="67"/>
      <c r="D167" s="67"/>
      <c r="E167" s="67"/>
      <c r="F167" s="67"/>
      <c r="G167" s="68" t="s">
        <v>96</v>
      </c>
    </row>
    <row r="168" ht="15.75" customHeight="1">
      <c r="A168" s="67"/>
      <c r="B168" s="67"/>
      <c r="C168" s="67"/>
      <c r="D168" s="67"/>
      <c r="E168" s="67"/>
      <c r="F168" s="67"/>
      <c r="G168" s="68" t="s">
        <v>96</v>
      </c>
    </row>
    <row r="169" ht="15.75" customHeight="1">
      <c r="A169" s="67"/>
      <c r="B169" s="67"/>
      <c r="C169" s="67"/>
      <c r="D169" s="67"/>
      <c r="E169" s="67"/>
      <c r="F169" s="67"/>
      <c r="G169" s="68" t="s">
        <v>96</v>
      </c>
    </row>
    <row r="170" ht="15.75" customHeight="1">
      <c r="A170" s="67"/>
      <c r="B170" s="67"/>
      <c r="C170" s="67"/>
      <c r="D170" s="67"/>
      <c r="E170" s="67"/>
      <c r="F170" s="67"/>
      <c r="G170" s="68" t="s">
        <v>96</v>
      </c>
    </row>
    <row r="171" ht="15.75" customHeight="1">
      <c r="A171" s="67"/>
      <c r="B171" s="67"/>
      <c r="C171" s="67"/>
      <c r="D171" s="67"/>
      <c r="E171" s="67"/>
      <c r="F171" s="67"/>
      <c r="G171" s="68" t="s">
        <v>96</v>
      </c>
    </row>
    <row r="172" ht="15.75" customHeight="1">
      <c r="A172" s="67"/>
      <c r="B172" s="67"/>
      <c r="C172" s="67"/>
      <c r="D172" s="67"/>
      <c r="E172" s="67"/>
      <c r="F172" s="67"/>
      <c r="G172" s="68" t="s">
        <v>96</v>
      </c>
    </row>
    <row r="173" ht="15.75" customHeight="1">
      <c r="A173" s="67"/>
      <c r="B173" s="67"/>
      <c r="C173" s="67"/>
      <c r="D173" s="67"/>
      <c r="E173" s="67"/>
      <c r="F173" s="67"/>
      <c r="G173" s="68" t="s">
        <v>96</v>
      </c>
    </row>
    <row r="174" ht="15.75" customHeight="1">
      <c r="A174" s="67"/>
      <c r="B174" s="67"/>
      <c r="C174" s="67"/>
      <c r="D174" s="67"/>
      <c r="E174" s="67"/>
      <c r="F174" s="67"/>
      <c r="G174" s="68" t="s">
        <v>96</v>
      </c>
    </row>
    <row r="175" ht="15.75" customHeight="1">
      <c r="A175" s="67"/>
      <c r="B175" s="67"/>
      <c r="C175" s="67"/>
      <c r="D175" s="67"/>
      <c r="E175" s="67"/>
      <c r="F175" s="67"/>
      <c r="G175" s="68" t="s">
        <v>96</v>
      </c>
    </row>
    <row r="176" ht="15.75" customHeight="1">
      <c r="A176" s="67"/>
      <c r="B176" s="67"/>
      <c r="C176" s="67"/>
      <c r="D176" s="67"/>
      <c r="E176" s="67"/>
      <c r="F176" s="67"/>
      <c r="G176" s="68" t="s">
        <v>96</v>
      </c>
    </row>
    <row r="177" ht="15.75" customHeight="1">
      <c r="A177" s="67"/>
      <c r="B177" s="67"/>
      <c r="C177" s="67"/>
      <c r="D177" s="67"/>
      <c r="E177" s="67"/>
      <c r="F177" s="67"/>
      <c r="G177" s="68" t="s">
        <v>96</v>
      </c>
    </row>
    <row r="178" ht="15.75" customHeight="1">
      <c r="A178" s="67"/>
      <c r="B178" s="67"/>
      <c r="C178" s="67"/>
      <c r="D178" s="67"/>
      <c r="E178" s="67"/>
      <c r="F178" s="67"/>
      <c r="G178" s="68" t="s">
        <v>96</v>
      </c>
    </row>
    <row r="179" ht="15.75" customHeight="1">
      <c r="A179" s="67"/>
      <c r="B179" s="67"/>
      <c r="C179" s="67"/>
      <c r="D179" s="67"/>
      <c r="E179" s="67"/>
      <c r="F179" s="67"/>
      <c r="G179" s="68" t="s">
        <v>96</v>
      </c>
    </row>
    <row r="180" ht="15.75" customHeight="1">
      <c r="A180" s="67"/>
      <c r="B180" s="67"/>
      <c r="C180" s="67"/>
      <c r="D180" s="67"/>
      <c r="E180" s="67"/>
      <c r="F180" s="67"/>
      <c r="G180" s="68" t="s">
        <v>96</v>
      </c>
    </row>
    <row r="181" ht="15.75" customHeight="1">
      <c r="A181" s="67"/>
      <c r="B181" s="67"/>
      <c r="C181" s="67"/>
      <c r="D181" s="67"/>
      <c r="E181" s="67"/>
      <c r="F181" s="67"/>
      <c r="G181" s="68" t="s">
        <v>96</v>
      </c>
    </row>
    <row r="182" ht="15.75" customHeight="1">
      <c r="A182" s="67"/>
      <c r="B182" s="67"/>
      <c r="C182" s="67"/>
      <c r="D182" s="67"/>
      <c r="E182" s="67"/>
      <c r="F182" s="67"/>
      <c r="G182" s="68" t="s">
        <v>96</v>
      </c>
    </row>
    <row r="183" ht="15.75" customHeight="1">
      <c r="A183" s="67"/>
      <c r="B183" s="67"/>
      <c r="C183" s="67"/>
      <c r="D183" s="67"/>
      <c r="E183" s="67"/>
      <c r="F183" s="67"/>
      <c r="G183" s="68" t="s">
        <v>96</v>
      </c>
    </row>
    <row r="184" ht="15.75" customHeight="1">
      <c r="A184" s="67"/>
      <c r="B184" s="67"/>
      <c r="C184" s="67"/>
      <c r="D184" s="67"/>
      <c r="E184" s="67"/>
      <c r="F184" s="67"/>
      <c r="G184" s="68" t="s">
        <v>96</v>
      </c>
    </row>
    <row r="185" ht="15.75" customHeight="1">
      <c r="A185" s="67"/>
      <c r="B185" s="67"/>
      <c r="C185" s="67"/>
      <c r="D185" s="67"/>
      <c r="E185" s="67"/>
      <c r="F185" s="67"/>
      <c r="G185" s="68" t="s">
        <v>96</v>
      </c>
    </row>
    <row r="186" ht="15.75" customHeight="1">
      <c r="A186" s="67"/>
      <c r="B186" s="67"/>
      <c r="C186" s="67"/>
      <c r="D186" s="67"/>
      <c r="E186" s="67"/>
      <c r="F186" s="67"/>
      <c r="G186" s="68" t="s">
        <v>96</v>
      </c>
    </row>
    <row r="187" ht="15.75" customHeight="1">
      <c r="A187" s="67"/>
      <c r="B187" s="67"/>
      <c r="C187" s="67"/>
      <c r="D187" s="67"/>
      <c r="E187" s="67"/>
      <c r="F187" s="67"/>
      <c r="G187" s="68" t="s">
        <v>96</v>
      </c>
    </row>
    <row r="188" ht="15.75" customHeight="1">
      <c r="A188" s="67"/>
      <c r="B188" s="67"/>
      <c r="C188" s="67"/>
      <c r="D188" s="67"/>
      <c r="E188" s="67"/>
      <c r="F188" s="67"/>
      <c r="G188" s="68" t="s">
        <v>96</v>
      </c>
    </row>
    <row r="189" ht="15.75" customHeight="1">
      <c r="A189" s="67"/>
      <c r="B189" s="67"/>
      <c r="C189" s="67"/>
      <c r="D189" s="67"/>
      <c r="E189" s="67"/>
      <c r="F189" s="67"/>
      <c r="G189" s="68" t="s">
        <v>96</v>
      </c>
    </row>
    <row r="190" ht="15.75" customHeight="1">
      <c r="A190" s="67"/>
      <c r="B190" s="67"/>
      <c r="C190" s="67"/>
      <c r="D190" s="67"/>
      <c r="E190" s="67"/>
      <c r="F190" s="67"/>
      <c r="G190" s="68" t="s">
        <v>96</v>
      </c>
    </row>
    <row r="191" ht="15.75" customHeight="1">
      <c r="A191" s="67"/>
      <c r="B191" s="67"/>
      <c r="C191" s="67"/>
      <c r="D191" s="67"/>
      <c r="E191" s="67"/>
      <c r="F191" s="67"/>
      <c r="G191" s="68" t="s">
        <v>96</v>
      </c>
    </row>
    <row r="192" ht="15.75" customHeight="1">
      <c r="A192" s="67"/>
      <c r="B192" s="67"/>
      <c r="C192" s="67"/>
      <c r="D192" s="67"/>
      <c r="E192" s="67"/>
      <c r="F192" s="67"/>
      <c r="G192" s="68" t="s">
        <v>96</v>
      </c>
    </row>
    <row r="193" ht="15.75" customHeight="1">
      <c r="A193" s="67"/>
      <c r="B193" s="67"/>
      <c r="C193" s="67"/>
      <c r="D193" s="67"/>
      <c r="E193" s="67"/>
      <c r="F193" s="67"/>
      <c r="G193" s="68" t="s">
        <v>96</v>
      </c>
    </row>
    <row r="194" ht="15.75" customHeight="1">
      <c r="A194" s="67"/>
      <c r="B194" s="67"/>
      <c r="C194" s="67"/>
      <c r="D194" s="67"/>
      <c r="E194" s="67"/>
      <c r="F194" s="67"/>
      <c r="G194" s="68" t="s">
        <v>96</v>
      </c>
    </row>
    <row r="195" ht="15.75" customHeight="1">
      <c r="A195" s="67"/>
      <c r="B195" s="67"/>
      <c r="C195" s="67"/>
      <c r="D195" s="67"/>
      <c r="E195" s="67"/>
      <c r="F195" s="67"/>
      <c r="G195" s="68" t="s">
        <v>96</v>
      </c>
    </row>
    <row r="196" ht="15.75" customHeight="1">
      <c r="A196" s="67"/>
      <c r="B196" s="67"/>
      <c r="C196" s="67"/>
      <c r="D196" s="67"/>
      <c r="E196" s="67"/>
      <c r="F196" s="67"/>
      <c r="G196" s="68" t="s">
        <v>96</v>
      </c>
    </row>
    <row r="197" ht="15.75" customHeight="1">
      <c r="A197" s="67"/>
      <c r="B197" s="67"/>
      <c r="C197" s="67"/>
      <c r="D197" s="67"/>
      <c r="E197" s="67"/>
      <c r="F197" s="67"/>
      <c r="G197" s="68" t="s">
        <v>96</v>
      </c>
    </row>
    <row r="198" ht="15.75" customHeight="1">
      <c r="A198" s="67"/>
      <c r="B198" s="67"/>
      <c r="C198" s="67"/>
      <c r="D198" s="67"/>
      <c r="E198" s="67"/>
      <c r="F198" s="67"/>
      <c r="G198" s="68" t="s">
        <v>96</v>
      </c>
    </row>
    <row r="199" ht="15.75" customHeight="1">
      <c r="A199" s="67"/>
      <c r="B199" s="67"/>
      <c r="C199" s="67"/>
      <c r="D199" s="67"/>
      <c r="E199" s="67"/>
      <c r="F199" s="67"/>
      <c r="G199" s="68" t="s">
        <v>96</v>
      </c>
    </row>
    <row r="200" ht="15.75" customHeight="1">
      <c r="A200" s="67"/>
      <c r="B200" s="67"/>
      <c r="C200" s="67"/>
      <c r="D200" s="67"/>
      <c r="E200" s="67"/>
      <c r="F200" s="67"/>
      <c r="G200" s="68" t="s">
        <v>96</v>
      </c>
    </row>
    <row r="201" ht="15.75" customHeight="1">
      <c r="A201" s="67"/>
      <c r="B201" s="67"/>
      <c r="C201" s="67"/>
      <c r="D201" s="67"/>
      <c r="E201" s="67"/>
      <c r="F201" s="67"/>
      <c r="G201" s="68" t="s">
        <v>96</v>
      </c>
    </row>
    <row r="202" ht="15.75" customHeight="1">
      <c r="A202" s="67"/>
      <c r="B202" s="67"/>
      <c r="C202" s="67"/>
      <c r="D202" s="67"/>
      <c r="E202" s="67"/>
      <c r="F202" s="67"/>
      <c r="G202" s="68" t="s">
        <v>96</v>
      </c>
    </row>
    <row r="203" ht="15.75" customHeight="1">
      <c r="A203" s="67"/>
      <c r="B203" s="67"/>
      <c r="C203" s="67"/>
      <c r="D203" s="67"/>
      <c r="E203" s="67"/>
      <c r="F203" s="67"/>
      <c r="G203" s="68" t="s">
        <v>96</v>
      </c>
    </row>
    <row r="204" ht="15.75" customHeight="1">
      <c r="A204" s="67"/>
      <c r="B204" s="67"/>
      <c r="C204" s="67"/>
      <c r="D204" s="67"/>
      <c r="E204" s="67"/>
      <c r="F204" s="67"/>
      <c r="G204" s="68" t="s">
        <v>96</v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56.86"/>
    <col customWidth="1" min="3" max="26" width="8.71"/>
  </cols>
  <sheetData>
    <row r="1" ht="37.5" customHeight="1">
      <c r="A1" s="69" t="s">
        <v>127</v>
      </c>
      <c r="B1" s="32"/>
    </row>
    <row r="3" ht="21.75" customHeight="1">
      <c r="A3" s="70" t="s">
        <v>128</v>
      </c>
      <c r="B3" s="32"/>
    </row>
    <row r="4" ht="21.75" customHeight="1">
      <c r="A4" s="42" t="s">
        <v>129</v>
      </c>
      <c r="B4" s="71">
        <f>COUNTA(Roster!A5:A204)</f>
        <v>34</v>
      </c>
    </row>
    <row r="5" ht="21.75" customHeight="1">
      <c r="A5" s="42" t="s">
        <v>130</v>
      </c>
      <c r="B5" s="71">
        <f>COUNTIF(Roster!E5:E204,"Active")</f>
        <v>5</v>
      </c>
    </row>
    <row r="6" ht="21.75" customHeight="1">
      <c r="A6" s="42" t="s">
        <v>131</v>
      </c>
      <c r="B6" s="71">
        <f>COUNTIF(Roster!D5:D204,"Coach")+COUNTIF(Roster!D5:D204,"Treasurer")</f>
        <v>4</v>
      </c>
    </row>
    <row r="7" ht="21.75" customHeight="1">
      <c r="A7" s="42" t="s">
        <v>132</v>
      </c>
      <c r="B7" s="71">
        <f>COUNTIF(Roster!D5:D204,"Captain")</f>
        <v>3</v>
      </c>
    </row>
    <row r="8" ht="21.75" customHeight="1"/>
    <row r="9" ht="21.75" customHeight="1">
      <c r="A9" s="70" t="s">
        <v>133</v>
      </c>
      <c r="B9" s="32"/>
    </row>
    <row r="10" ht="21.75" customHeight="1">
      <c r="A10" s="42" t="s">
        <v>134</v>
      </c>
      <c r="B10" s="72">
        <f>SUMIF(Roster!E5:E204,"Active",Roster!B5:B204)</f>
        <v>0</v>
      </c>
    </row>
    <row r="11" ht="21.75" customHeight="1">
      <c r="A11" s="42" t="s">
        <v>135</v>
      </c>
      <c r="B11" s="72">
        <f>SUMIFS(Transactions!F7:F996,Transactions!D7:D996,"Income",Transactions!C7:C996,"Dues")</f>
        <v>0</v>
      </c>
    </row>
    <row r="12" ht="21.75" customHeight="1">
      <c r="A12" s="42" t="s">
        <v>136</v>
      </c>
      <c r="B12" s="72">
        <f>B10-B11</f>
        <v>0</v>
      </c>
    </row>
    <row r="13" ht="21.75" customHeight="1">
      <c r="A13" s="42" t="s">
        <v>137</v>
      </c>
      <c r="B13" s="72">
        <f>Transactions!A4</f>
        <v>2109</v>
      </c>
    </row>
    <row r="14" ht="21.75" customHeight="1">
      <c r="A14" s="42" t="s">
        <v>138</v>
      </c>
      <c r="B14" s="72">
        <f>Transactions!B4</f>
        <v>2070</v>
      </c>
    </row>
    <row r="15" ht="21.75" customHeight="1">
      <c r="A15" s="42" t="s">
        <v>94</v>
      </c>
      <c r="B15" s="72">
        <f>Transactions!C4</f>
        <v>39</v>
      </c>
    </row>
    <row r="16" ht="21.75" customHeight="1">
      <c r="A16" s="42" t="s">
        <v>139</v>
      </c>
      <c r="B16" s="72">
        <f>Transactions!E4</f>
        <v>0</v>
      </c>
    </row>
    <row r="17" ht="21.75" customHeight="1"/>
    <row r="18" ht="21.75" customHeight="1">
      <c r="A18" s="70" t="s">
        <v>140</v>
      </c>
      <c r="B18" s="32"/>
    </row>
    <row r="19" ht="21.75" customHeight="1">
      <c r="A19" s="42" t="s">
        <v>141</v>
      </c>
      <c r="B19" s="71">
        <f>COUNTA(Events!A5:A506)</f>
        <v>8</v>
      </c>
    </row>
    <row r="20" ht="21.75" customHeight="1">
      <c r="A20" s="42" t="s">
        <v>142</v>
      </c>
      <c r="B20" s="71">
        <f>COUNTIF(Events!D5:D506,"Practice")</f>
        <v>2</v>
      </c>
    </row>
    <row r="21" ht="21.75" customHeight="1">
      <c r="A21" s="42" t="s">
        <v>143</v>
      </c>
      <c r="B21" s="71" t="str">
        <f>Events!D4</f>
        <v>Category</v>
      </c>
    </row>
    <row r="22" ht="21.75" customHeight="1">
      <c r="A22" s="42" t="s">
        <v>144</v>
      </c>
      <c r="B22" s="71" t="str">
        <f>Events!D4</f>
        <v>Category</v>
      </c>
    </row>
    <row r="23" ht="21.75" customHeight="1">
      <c r="A23" s="42" t="s">
        <v>145</v>
      </c>
      <c r="B23" s="72" t="str">
        <f>Events!H4</f>
        <v>Who Paid Upfront</v>
      </c>
    </row>
    <row r="24" ht="21.75" customHeight="1">
      <c r="A24" s="42" t="s">
        <v>146</v>
      </c>
      <c r="B24" s="72" t="str">
        <f>Events!I4</f>
        <v>Split Method</v>
      </c>
    </row>
    <row r="25" ht="21.75" customHeight="1">
      <c r="A25" s="42" t="s">
        <v>147</v>
      </c>
      <c r="B25" s="72" t="str">
        <f>Events!J4</f>
        <v>Notes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3:B3"/>
    <mergeCell ref="A9:B9"/>
    <mergeCell ref="A18:B18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60.0"/>
    <col customWidth="1" min="3" max="26" width="8.71"/>
  </cols>
  <sheetData>
    <row r="1" ht="37.5" customHeight="1">
      <c r="A1" s="30" t="s">
        <v>148</v>
      </c>
      <c r="B1" s="32"/>
    </row>
    <row r="3" ht="21.75" customHeight="1">
      <c r="A3" s="73" t="s">
        <v>149</v>
      </c>
      <c r="B3" s="74"/>
    </row>
    <row r="4" ht="21.75" customHeight="1">
      <c r="A4" s="75" t="s">
        <v>150</v>
      </c>
      <c r="B4" s="76" t="s">
        <v>151</v>
      </c>
    </row>
    <row r="5" ht="21.75" customHeight="1">
      <c r="A5" s="77" t="s">
        <v>152</v>
      </c>
      <c r="B5" s="76" t="s">
        <v>153</v>
      </c>
    </row>
    <row r="6" ht="21.75" customHeight="1">
      <c r="A6" s="78" t="s">
        <v>154</v>
      </c>
      <c r="B6" s="76" t="s">
        <v>155</v>
      </c>
    </row>
    <row r="7" ht="21.75" customHeight="1">
      <c r="A7" s="79"/>
      <c r="B7" s="76"/>
    </row>
    <row r="8" ht="21.75" customHeight="1">
      <c r="A8" s="73" t="s">
        <v>156</v>
      </c>
      <c r="B8" s="74"/>
    </row>
    <row r="9" ht="21.75" customHeight="1">
      <c r="A9" s="80" t="s">
        <v>157</v>
      </c>
      <c r="B9" s="76" t="s">
        <v>158</v>
      </c>
    </row>
    <row r="10" ht="21.75" customHeight="1">
      <c r="A10" s="80" t="s">
        <v>159</v>
      </c>
      <c r="B10" s="76" t="s">
        <v>160</v>
      </c>
    </row>
    <row r="11" ht="21.75" customHeight="1">
      <c r="A11" s="80" t="s">
        <v>161</v>
      </c>
      <c r="B11" s="76" t="s">
        <v>162</v>
      </c>
    </row>
    <row r="12" ht="21.75" customHeight="1">
      <c r="A12" s="80" t="s">
        <v>163</v>
      </c>
      <c r="B12" s="76" t="s">
        <v>164</v>
      </c>
    </row>
    <row r="13" ht="21.75" customHeight="1">
      <c r="A13" s="79"/>
      <c r="B13" s="76"/>
    </row>
    <row r="14" ht="21.75" customHeight="1">
      <c r="A14" s="73" t="s">
        <v>165</v>
      </c>
      <c r="B14" s="74"/>
    </row>
    <row r="15" ht="21.75" customHeight="1">
      <c r="A15" s="80" t="s">
        <v>166</v>
      </c>
      <c r="B15" s="76" t="s">
        <v>167</v>
      </c>
    </row>
    <row r="16" ht="21.75" customHeight="1">
      <c r="A16" s="80" t="s">
        <v>168</v>
      </c>
      <c r="B16" s="76" t="s">
        <v>169</v>
      </c>
    </row>
    <row r="17" ht="21.75" customHeight="1">
      <c r="A17" s="80" t="s">
        <v>170</v>
      </c>
      <c r="B17" s="76" t="s">
        <v>171</v>
      </c>
    </row>
    <row r="18" ht="21.75" customHeight="1">
      <c r="A18" s="80" t="s">
        <v>172</v>
      </c>
      <c r="B18" s="76" t="s">
        <v>173</v>
      </c>
    </row>
    <row r="19" ht="21.75" customHeight="1">
      <c r="A19" s="79"/>
      <c r="B19" s="76"/>
    </row>
    <row r="20" ht="21.75" customHeight="1">
      <c r="A20" s="73" t="s">
        <v>174</v>
      </c>
      <c r="B20" s="74"/>
    </row>
    <row r="21" ht="21.75" customHeight="1">
      <c r="A21" s="80" t="s">
        <v>175</v>
      </c>
      <c r="B21" s="76" t="s">
        <v>176</v>
      </c>
    </row>
    <row r="22" ht="21.75" customHeight="1">
      <c r="A22" s="80" t="s">
        <v>177</v>
      </c>
      <c r="B22" s="76" t="s">
        <v>178</v>
      </c>
    </row>
    <row r="23" ht="21.75" customHeight="1">
      <c r="A23" s="80" t="s">
        <v>179</v>
      </c>
      <c r="B23" s="76" t="s">
        <v>180</v>
      </c>
    </row>
    <row r="24" ht="21.75" customHeight="1">
      <c r="A24" s="80" t="s">
        <v>181</v>
      </c>
      <c r="B24" s="76" t="s">
        <v>182</v>
      </c>
    </row>
    <row r="25" ht="21.75" customHeight="1">
      <c r="A25" s="80" t="s">
        <v>183</v>
      </c>
      <c r="B25" s="76" t="s">
        <v>184</v>
      </c>
    </row>
    <row r="26" ht="21.75" customHeight="1">
      <c r="A26" s="80" t="s">
        <v>185</v>
      </c>
      <c r="B26" s="76" t="s">
        <v>186</v>
      </c>
    </row>
    <row r="27" ht="21.75" customHeight="1">
      <c r="A27" s="80" t="s">
        <v>187</v>
      </c>
      <c r="B27" s="76" t="s">
        <v>188</v>
      </c>
    </row>
    <row r="28" ht="21.75" customHeight="1">
      <c r="A28" s="79"/>
      <c r="B28" s="76"/>
    </row>
    <row r="29" ht="21.75" customHeight="1">
      <c r="A29" s="73" t="s">
        <v>189</v>
      </c>
      <c r="B29" s="74"/>
    </row>
    <row r="30" ht="21.75" customHeight="1">
      <c r="A30" s="80" t="s">
        <v>65</v>
      </c>
      <c r="B30" s="76" t="s">
        <v>190</v>
      </c>
    </row>
    <row r="31" ht="21.75" customHeight="1">
      <c r="A31" s="80" t="s">
        <v>72</v>
      </c>
      <c r="B31" s="76" t="s">
        <v>191</v>
      </c>
    </row>
    <row r="32" ht="21.75" customHeight="1">
      <c r="A32" s="80" t="s">
        <v>192</v>
      </c>
      <c r="B32" s="76" t="s">
        <v>193</v>
      </c>
    </row>
    <row r="33" ht="21.75" customHeight="1">
      <c r="A33" s="80" t="s">
        <v>194</v>
      </c>
      <c r="B33" s="76" t="s">
        <v>195</v>
      </c>
    </row>
    <row r="34" ht="21.75" customHeight="1">
      <c r="A34" s="80" t="s">
        <v>196</v>
      </c>
      <c r="B34" s="76" t="s">
        <v>197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4.0"/>
    <col customWidth="1" min="2" max="3" width="16.0"/>
    <col customWidth="1" min="4" max="4" width="20.0"/>
    <col customWidth="1" min="5" max="5" width="28.0"/>
    <col customWidth="1" min="6" max="26" width="8.71"/>
  </cols>
  <sheetData>
    <row r="1" ht="37.5" customHeight="1">
      <c r="A1" s="81" t="s">
        <v>198</v>
      </c>
      <c r="B1" s="31"/>
      <c r="C1" s="31"/>
      <c r="D1" s="31"/>
      <c r="E1" s="32"/>
    </row>
    <row r="2" ht="30.0" customHeight="1">
      <c r="A2" s="82" t="s">
        <v>199</v>
      </c>
      <c r="B2" s="31"/>
      <c r="C2" s="31"/>
      <c r="D2" s="31"/>
      <c r="E2" s="32"/>
    </row>
    <row r="3" ht="19.5" customHeight="1">
      <c r="A3" s="83" t="s">
        <v>200</v>
      </c>
      <c r="B3" s="31"/>
      <c r="C3" s="31"/>
      <c r="D3" s="31"/>
      <c r="E3" s="32"/>
    </row>
    <row r="4" ht="7.5" customHeight="1"/>
    <row r="5" ht="21.75" customHeight="1">
      <c r="A5" s="84" t="s">
        <v>86</v>
      </c>
      <c r="B5" s="84" t="s">
        <v>201</v>
      </c>
      <c r="C5" s="84" t="s">
        <v>4</v>
      </c>
      <c r="D5" s="84" t="s">
        <v>5</v>
      </c>
      <c r="E5" s="84" t="s">
        <v>202</v>
      </c>
    </row>
    <row r="6" ht="21.75" customHeight="1">
      <c r="A6" s="85" t="s">
        <v>7</v>
      </c>
      <c r="B6" s="86" t="s">
        <v>203</v>
      </c>
      <c r="C6" s="87" t="s">
        <v>9</v>
      </c>
      <c r="D6" s="88" t="s">
        <v>10</v>
      </c>
      <c r="E6" s="89"/>
    </row>
    <row r="7" ht="21.75" customHeight="1">
      <c r="A7" s="85" t="s">
        <v>11</v>
      </c>
      <c r="B7" s="86" t="s">
        <v>204</v>
      </c>
      <c r="C7" s="88" t="s">
        <v>13</v>
      </c>
      <c r="D7" s="88" t="s">
        <v>10</v>
      </c>
      <c r="E7" s="89"/>
    </row>
    <row r="8" ht="21.75" customHeight="1">
      <c r="A8" s="41" t="s">
        <v>14</v>
      </c>
      <c r="B8" s="90" t="s">
        <v>205</v>
      </c>
      <c r="C8" s="91" t="s">
        <v>13</v>
      </c>
      <c r="D8" s="92" t="s">
        <v>10</v>
      </c>
      <c r="E8" s="42"/>
    </row>
    <row r="9" ht="21.75" customHeight="1">
      <c r="A9" s="41" t="s">
        <v>17</v>
      </c>
      <c r="B9" s="90" t="s">
        <v>206</v>
      </c>
      <c r="C9" s="91" t="s">
        <v>13</v>
      </c>
      <c r="D9" s="92" t="s">
        <v>10</v>
      </c>
      <c r="E9" s="42"/>
    </row>
    <row r="10" ht="21.75" customHeight="1">
      <c r="A10" s="85" t="s">
        <v>19</v>
      </c>
      <c r="B10" s="86" t="s">
        <v>207</v>
      </c>
      <c r="C10" s="87" t="s">
        <v>13</v>
      </c>
      <c r="D10" s="88" t="s">
        <v>10</v>
      </c>
      <c r="E10" s="89"/>
    </row>
    <row r="11" ht="21.75" customHeight="1">
      <c r="A11" s="93" t="s">
        <v>20</v>
      </c>
      <c r="B11" s="94" t="s">
        <v>208</v>
      </c>
      <c r="C11" s="87" t="s">
        <v>13</v>
      </c>
      <c r="D11" s="88" t="s">
        <v>10</v>
      </c>
      <c r="E11" s="95"/>
    </row>
    <row r="12" ht="21.75" customHeight="1">
      <c r="A12" s="96" t="s">
        <v>21</v>
      </c>
      <c r="B12" s="97" t="s">
        <v>209</v>
      </c>
      <c r="C12" s="87" t="s">
        <v>13</v>
      </c>
      <c r="D12" s="88" t="s">
        <v>10</v>
      </c>
      <c r="E12" s="98"/>
    </row>
    <row r="13" ht="21.75" customHeight="1">
      <c r="A13" s="93" t="s">
        <v>22</v>
      </c>
      <c r="B13" s="94" t="s">
        <v>210</v>
      </c>
      <c r="C13" s="87" t="s">
        <v>13</v>
      </c>
      <c r="D13" s="88" t="s">
        <v>10</v>
      </c>
      <c r="E13" s="95"/>
    </row>
    <row r="14" ht="21.75" customHeight="1">
      <c r="A14" s="96" t="s">
        <v>23</v>
      </c>
      <c r="B14" s="97" t="s">
        <v>211</v>
      </c>
      <c r="C14" s="87" t="s">
        <v>13</v>
      </c>
      <c r="D14" s="88" t="s">
        <v>10</v>
      </c>
      <c r="E14" s="98"/>
    </row>
    <row r="15" ht="21.75" customHeight="1">
      <c r="A15" s="93" t="s">
        <v>24</v>
      </c>
      <c r="B15" s="94" t="s">
        <v>212</v>
      </c>
      <c r="C15" s="87" t="s">
        <v>25</v>
      </c>
      <c r="D15" s="88" t="s">
        <v>10</v>
      </c>
      <c r="E15" s="95"/>
    </row>
    <row r="16" ht="21.75" customHeight="1">
      <c r="A16" s="96" t="s">
        <v>26</v>
      </c>
      <c r="B16" s="97" t="s">
        <v>213</v>
      </c>
      <c r="C16" s="87" t="s">
        <v>9</v>
      </c>
      <c r="D16" s="88" t="s">
        <v>10</v>
      </c>
      <c r="E16" s="98"/>
    </row>
    <row r="17" ht="21.75" customHeight="1">
      <c r="A17" s="93" t="s">
        <v>27</v>
      </c>
      <c r="B17" s="94" t="s">
        <v>214</v>
      </c>
      <c r="C17" s="87" t="s">
        <v>13</v>
      </c>
      <c r="D17" s="88" t="s">
        <v>10</v>
      </c>
      <c r="E17" s="95"/>
    </row>
    <row r="18" ht="21.75" customHeight="1">
      <c r="A18" s="96" t="s">
        <v>28</v>
      </c>
      <c r="B18" s="97" t="s">
        <v>215</v>
      </c>
      <c r="C18" s="87" t="s">
        <v>13</v>
      </c>
      <c r="D18" s="88" t="s">
        <v>10</v>
      </c>
      <c r="E18" s="98"/>
    </row>
    <row r="19" ht="21.75" customHeight="1">
      <c r="A19" s="93" t="s">
        <v>29</v>
      </c>
      <c r="B19" s="94" t="s">
        <v>216</v>
      </c>
      <c r="C19" s="87" t="s">
        <v>13</v>
      </c>
      <c r="D19" s="88" t="s">
        <v>10</v>
      </c>
      <c r="E19" s="95"/>
    </row>
    <row r="20" ht="21.75" customHeight="1">
      <c r="A20" s="96" t="s">
        <v>30</v>
      </c>
      <c r="B20" s="97" t="s">
        <v>217</v>
      </c>
      <c r="C20" s="87" t="s">
        <v>13</v>
      </c>
      <c r="D20" s="88" t="s">
        <v>10</v>
      </c>
      <c r="E20" s="98"/>
    </row>
    <row r="21" ht="21.75" customHeight="1">
      <c r="A21" s="93" t="s">
        <v>31</v>
      </c>
      <c r="B21" s="94" t="s">
        <v>218</v>
      </c>
      <c r="C21" s="87" t="s">
        <v>9</v>
      </c>
      <c r="D21" s="88" t="s">
        <v>10</v>
      </c>
      <c r="E21" s="95"/>
    </row>
    <row r="22" ht="21.75" customHeight="1">
      <c r="A22" s="96" t="s">
        <v>32</v>
      </c>
      <c r="B22" s="97" t="s">
        <v>219</v>
      </c>
      <c r="C22" s="87" t="s">
        <v>13</v>
      </c>
      <c r="D22" s="88" t="s">
        <v>10</v>
      </c>
      <c r="E22" s="98"/>
    </row>
    <row r="23" ht="21.75" customHeight="1">
      <c r="A23" s="93" t="s">
        <v>33</v>
      </c>
      <c r="B23" s="94" t="s">
        <v>220</v>
      </c>
      <c r="C23" s="87" t="s">
        <v>13</v>
      </c>
      <c r="D23" s="88" t="s">
        <v>10</v>
      </c>
      <c r="E23" s="95"/>
    </row>
    <row r="24" ht="21.75" customHeight="1">
      <c r="A24" s="96" t="s">
        <v>34</v>
      </c>
      <c r="B24" s="97" t="s">
        <v>221</v>
      </c>
      <c r="C24" s="87" t="s">
        <v>13</v>
      </c>
      <c r="D24" s="88" t="s">
        <v>10</v>
      </c>
      <c r="E24" s="98"/>
    </row>
    <row r="25" ht="21.75" customHeight="1">
      <c r="A25" s="93" t="s">
        <v>35</v>
      </c>
      <c r="B25" s="94" t="s">
        <v>222</v>
      </c>
      <c r="C25" s="87" t="s">
        <v>13</v>
      </c>
      <c r="D25" s="88" t="s">
        <v>10</v>
      </c>
      <c r="E25" s="95"/>
    </row>
    <row r="26" ht="21.75" customHeight="1">
      <c r="A26" s="96" t="s">
        <v>36</v>
      </c>
      <c r="B26" s="97" t="s">
        <v>223</v>
      </c>
      <c r="C26" s="87" t="s">
        <v>13</v>
      </c>
      <c r="D26" s="88" t="s">
        <v>10</v>
      </c>
      <c r="E26" s="98"/>
    </row>
    <row r="27" ht="21.75" customHeight="1">
      <c r="A27" s="93" t="s">
        <v>37</v>
      </c>
      <c r="B27" s="94" t="s">
        <v>224</v>
      </c>
      <c r="C27" s="87" t="s">
        <v>13</v>
      </c>
      <c r="D27" s="88" t="s">
        <v>10</v>
      </c>
      <c r="E27" s="95"/>
    </row>
    <row r="28" ht="21.75" customHeight="1">
      <c r="A28" s="96" t="s">
        <v>38</v>
      </c>
      <c r="B28" s="97" t="s">
        <v>225</v>
      </c>
      <c r="C28" s="87" t="s">
        <v>13</v>
      </c>
      <c r="D28" s="88" t="s">
        <v>10</v>
      </c>
      <c r="E28" s="98"/>
    </row>
    <row r="29" ht="21.75" customHeight="1">
      <c r="A29" s="93" t="s">
        <v>39</v>
      </c>
      <c r="B29" s="94" t="s">
        <v>226</v>
      </c>
      <c r="C29" s="87" t="s">
        <v>13</v>
      </c>
      <c r="D29" s="88" t="s">
        <v>10</v>
      </c>
      <c r="E29" s="95"/>
    </row>
    <row r="30" ht="21.75" customHeight="1">
      <c r="A30" s="96" t="s">
        <v>40</v>
      </c>
      <c r="B30" s="97" t="s">
        <v>227</v>
      </c>
      <c r="C30" s="87" t="s">
        <v>13</v>
      </c>
      <c r="D30" s="88" t="s">
        <v>10</v>
      </c>
      <c r="E30" s="98"/>
    </row>
    <row r="31" ht="21.75" customHeight="1">
      <c r="A31" s="93" t="s">
        <v>41</v>
      </c>
      <c r="B31" s="94" t="s">
        <v>228</v>
      </c>
      <c r="C31" s="87" t="s">
        <v>13</v>
      </c>
      <c r="D31" s="88" t="s">
        <v>10</v>
      </c>
      <c r="E31" s="95"/>
    </row>
    <row r="32" ht="21.75" customHeight="1">
      <c r="A32" s="96" t="s">
        <v>42</v>
      </c>
      <c r="B32" s="97" t="s">
        <v>229</v>
      </c>
      <c r="C32" s="87" t="s">
        <v>13</v>
      </c>
      <c r="D32" s="88" t="s">
        <v>10</v>
      </c>
      <c r="E32" s="98"/>
    </row>
    <row r="33" ht="21.75" customHeight="1">
      <c r="A33" s="93" t="s">
        <v>43</v>
      </c>
      <c r="B33" s="94" t="s">
        <v>230</v>
      </c>
      <c r="C33" s="87" t="s">
        <v>13</v>
      </c>
      <c r="D33" s="88" t="s">
        <v>10</v>
      </c>
      <c r="E33" s="95"/>
    </row>
    <row r="34" ht="21.75" customHeight="1">
      <c r="A34" s="96" t="s">
        <v>44</v>
      </c>
      <c r="B34" s="97" t="s">
        <v>231</v>
      </c>
      <c r="C34" s="87" t="s">
        <v>13</v>
      </c>
      <c r="D34" s="88" t="s">
        <v>10</v>
      </c>
      <c r="E34" s="98"/>
    </row>
    <row r="35" ht="21.75" customHeight="1">
      <c r="A35" s="93" t="s">
        <v>45</v>
      </c>
      <c r="B35" s="94" t="s">
        <v>232</v>
      </c>
      <c r="C35" s="87" t="s">
        <v>13</v>
      </c>
      <c r="D35" s="88" t="s">
        <v>10</v>
      </c>
      <c r="E35" s="95"/>
    </row>
    <row r="36" ht="21.75" customHeight="1">
      <c r="A36" s="96" t="s">
        <v>46</v>
      </c>
      <c r="B36" s="97" t="s">
        <v>233</v>
      </c>
      <c r="C36" s="87" t="s">
        <v>47</v>
      </c>
      <c r="D36" s="88" t="s">
        <v>10</v>
      </c>
      <c r="E36" s="98"/>
    </row>
    <row r="37" ht="21.75" customHeight="1">
      <c r="A37" s="93" t="s">
        <v>48</v>
      </c>
      <c r="B37" s="94" t="s">
        <v>234</v>
      </c>
      <c r="C37" s="87" t="s">
        <v>47</v>
      </c>
      <c r="D37" s="88" t="s">
        <v>10</v>
      </c>
      <c r="E37" s="95"/>
    </row>
    <row r="38" ht="21.75" customHeight="1">
      <c r="A38" s="96" t="s">
        <v>49</v>
      </c>
      <c r="B38" s="97" t="s">
        <v>235</v>
      </c>
      <c r="C38" s="87" t="s">
        <v>47</v>
      </c>
      <c r="D38" s="88" t="s">
        <v>10</v>
      </c>
      <c r="E38" s="98"/>
    </row>
    <row r="39" ht="21.75" customHeight="1">
      <c r="A39" s="93" t="s">
        <v>50</v>
      </c>
      <c r="B39" s="94" t="s">
        <v>236</v>
      </c>
      <c r="C39" s="87" t="s">
        <v>13</v>
      </c>
      <c r="D39" s="88" t="s">
        <v>10</v>
      </c>
      <c r="E39" s="95"/>
    </row>
    <row r="40" ht="21.75" customHeight="1">
      <c r="A40" s="98"/>
      <c r="B40" s="99"/>
      <c r="C40" s="100"/>
      <c r="D40" s="100"/>
      <c r="E40" s="98"/>
    </row>
    <row r="41" ht="21.75" customHeight="1">
      <c r="A41" s="95"/>
      <c r="B41" s="101"/>
      <c r="C41" s="102"/>
      <c r="D41" s="102"/>
      <c r="E41" s="95"/>
    </row>
    <row r="42" ht="21.75" customHeight="1">
      <c r="A42" s="98"/>
      <c r="B42" s="99"/>
      <c r="C42" s="100"/>
      <c r="D42" s="100"/>
      <c r="E42" s="98"/>
    </row>
    <row r="43" ht="21.75" customHeight="1">
      <c r="A43" s="95"/>
      <c r="B43" s="101"/>
      <c r="C43" s="102"/>
      <c r="D43" s="102"/>
      <c r="E43" s="95"/>
    </row>
    <row r="44" ht="21.75" customHeight="1">
      <c r="A44" s="98"/>
      <c r="B44" s="99"/>
      <c r="C44" s="100"/>
      <c r="D44" s="100"/>
      <c r="E44" s="98"/>
    </row>
    <row r="45" ht="21.75" customHeight="1">
      <c r="A45" s="95"/>
      <c r="B45" s="101"/>
      <c r="C45" s="102"/>
      <c r="D45" s="102"/>
      <c r="E45" s="95"/>
    </row>
    <row r="46" ht="21.75" customHeight="1">
      <c r="A46" s="98"/>
      <c r="B46" s="99"/>
      <c r="C46" s="100"/>
      <c r="D46" s="100"/>
      <c r="E46" s="98"/>
    </row>
    <row r="47" ht="21.75" customHeight="1">
      <c r="A47" s="95"/>
      <c r="B47" s="101"/>
      <c r="C47" s="102"/>
      <c r="D47" s="102"/>
      <c r="E47" s="95"/>
    </row>
    <row r="48" ht="21.75" customHeight="1">
      <c r="A48" s="98"/>
      <c r="B48" s="99"/>
      <c r="C48" s="100"/>
      <c r="D48" s="100"/>
      <c r="E48" s="98"/>
    </row>
    <row r="49" ht="21.75" customHeight="1">
      <c r="A49" s="95"/>
      <c r="B49" s="101"/>
      <c r="C49" s="102"/>
      <c r="D49" s="102"/>
      <c r="E49" s="95"/>
    </row>
    <row r="50" ht="21.75" customHeight="1">
      <c r="A50" s="98"/>
      <c r="B50" s="99"/>
      <c r="C50" s="100"/>
      <c r="D50" s="100"/>
      <c r="E50" s="98"/>
    </row>
    <row r="51" ht="21.75" customHeight="1">
      <c r="A51" s="95"/>
      <c r="B51" s="101"/>
      <c r="C51" s="102"/>
      <c r="D51" s="102"/>
      <c r="E51" s="95"/>
    </row>
    <row r="52" ht="21.75" customHeight="1">
      <c r="A52" s="98"/>
      <c r="B52" s="99"/>
      <c r="C52" s="100"/>
      <c r="D52" s="100"/>
      <c r="E52" s="98"/>
    </row>
    <row r="53" ht="21.75" customHeight="1">
      <c r="A53" s="95"/>
      <c r="B53" s="101"/>
      <c r="C53" s="102"/>
      <c r="D53" s="102"/>
      <c r="E53" s="95"/>
    </row>
    <row r="54" ht="21.75" customHeight="1">
      <c r="A54" s="98"/>
      <c r="B54" s="99"/>
      <c r="C54" s="100"/>
      <c r="D54" s="100"/>
      <c r="E54" s="98"/>
    </row>
    <row r="55" ht="21.75" customHeight="1">
      <c r="A55" s="95"/>
      <c r="B55" s="101"/>
      <c r="C55" s="102"/>
      <c r="D55" s="102"/>
      <c r="E55" s="95"/>
    </row>
    <row r="56" ht="21.75" customHeight="1">
      <c r="A56" s="98"/>
      <c r="B56" s="99"/>
      <c r="C56" s="100"/>
      <c r="D56" s="100"/>
      <c r="E56" s="98"/>
    </row>
    <row r="57" ht="21.75" customHeight="1">
      <c r="A57" s="95"/>
      <c r="B57" s="101"/>
      <c r="C57" s="102"/>
      <c r="D57" s="102"/>
      <c r="E57" s="95"/>
    </row>
    <row r="58" ht="21.75" customHeight="1">
      <c r="A58" s="98"/>
      <c r="B58" s="99"/>
      <c r="C58" s="100"/>
      <c r="D58" s="100"/>
      <c r="E58" s="98"/>
    </row>
    <row r="59" ht="21.75" customHeight="1">
      <c r="A59" s="95"/>
      <c r="B59" s="101"/>
      <c r="C59" s="102"/>
      <c r="D59" s="102"/>
      <c r="E59" s="95"/>
    </row>
    <row r="60" ht="21.75" customHeight="1">
      <c r="A60" s="98"/>
      <c r="B60" s="99"/>
      <c r="C60" s="100"/>
      <c r="D60" s="100"/>
      <c r="E60" s="98"/>
    </row>
    <row r="61" ht="21.75" customHeight="1">
      <c r="A61" s="95"/>
      <c r="B61" s="101"/>
      <c r="C61" s="102"/>
      <c r="D61" s="102"/>
      <c r="E61" s="95"/>
    </row>
    <row r="62" ht="21.75" customHeight="1">
      <c r="A62" s="98"/>
      <c r="B62" s="99"/>
      <c r="C62" s="100"/>
      <c r="D62" s="100"/>
      <c r="E62" s="98"/>
    </row>
    <row r="63" ht="21.75" customHeight="1">
      <c r="A63" s="95"/>
      <c r="B63" s="101"/>
      <c r="C63" s="102"/>
      <c r="D63" s="102"/>
      <c r="E63" s="95"/>
    </row>
    <row r="64" ht="21.75" customHeight="1">
      <c r="A64" s="98"/>
      <c r="B64" s="99"/>
      <c r="C64" s="100"/>
      <c r="D64" s="100"/>
      <c r="E64" s="98"/>
    </row>
    <row r="65" ht="21.75" customHeight="1">
      <c r="A65" s="95"/>
      <c r="B65" s="101"/>
      <c r="C65" s="102"/>
      <c r="D65" s="102"/>
      <c r="E65" s="95"/>
    </row>
    <row r="66" ht="21.75" customHeight="1">
      <c r="A66" s="98"/>
      <c r="B66" s="99"/>
      <c r="C66" s="100"/>
      <c r="D66" s="100"/>
      <c r="E66" s="98"/>
    </row>
    <row r="67" ht="21.75" customHeight="1">
      <c r="A67" s="95"/>
      <c r="B67" s="101"/>
      <c r="C67" s="102"/>
      <c r="D67" s="102"/>
      <c r="E67" s="95"/>
    </row>
    <row r="68" ht="21.75" customHeight="1">
      <c r="A68" s="98"/>
      <c r="B68" s="99"/>
      <c r="C68" s="100"/>
      <c r="D68" s="100"/>
      <c r="E68" s="98"/>
    </row>
    <row r="69" ht="21.75" customHeight="1">
      <c r="A69" s="95"/>
      <c r="B69" s="101"/>
      <c r="C69" s="102"/>
      <c r="D69" s="102"/>
      <c r="E69" s="95"/>
    </row>
    <row r="70" ht="21.75" customHeight="1">
      <c r="A70" s="98"/>
      <c r="B70" s="99"/>
      <c r="C70" s="100"/>
      <c r="D70" s="100"/>
      <c r="E70" s="98"/>
    </row>
    <row r="71" ht="21.75" customHeight="1">
      <c r="A71" s="95"/>
      <c r="B71" s="101"/>
      <c r="C71" s="102"/>
      <c r="D71" s="102"/>
      <c r="E71" s="95"/>
    </row>
    <row r="72" ht="21.75" customHeight="1">
      <c r="A72" s="98"/>
      <c r="B72" s="99"/>
      <c r="C72" s="100"/>
      <c r="D72" s="100"/>
      <c r="E72" s="98"/>
    </row>
    <row r="73" ht="21.75" customHeight="1">
      <c r="A73" s="95"/>
      <c r="B73" s="101"/>
      <c r="C73" s="102"/>
      <c r="D73" s="102"/>
      <c r="E73" s="95"/>
    </row>
    <row r="74" ht="21.75" customHeight="1">
      <c r="A74" s="98"/>
      <c r="B74" s="99"/>
      <c r="C74" s="100"/>
      <c r="D74" s="100"/>
      <c r="E74" s="98"/>
    </row>
    <row r="75" ht="21.75" customHeight="1">
      <c r="A75" s="95"/>
      <c r="B75" s="101"/>
      <c r="C75" s="102"/>
      <c r="D75" s="102"/>
      <c r="E75" s="95"/>
    </row>
    <row r="76" ht="21.75" customHeight="1">
      <c r="A76" s="98"/>
      <c r="B76" s="99"/>
      <c r="C76" s="100"/>
      <c r="D76" s="100"/>
      <c r="E76" s="98"/>
    </row>
    <row r="77" ht="21.75" customHeight="1">
      <c r="A77" s="95"/>
      <c r="B77" s="101"/>
      <c r="C77" s="102"/>
      <c r="D77" s="102"/>
      <c r="E77" s="95"/>
    </row>
    <row r="78" ht="21.75" customHeight="1">
      <c r="A78" s="98"/>
      <c r="B78" s="99"/>
      <c r="C78" s="100"/>
      <c r="D78" s="100"/>
      <c r="E78" s="98"/>
    </row>
    <row r="79" ht="21.75" customHeight="1">
      <c r="A79" s="95"/>
      <c r="B79" s="101"/>
      <c r="C79" s="102"/>
      <c r="D79" s="102"/>
      <c r="E79" s="95"/>
    </row>
    <row r="80" ht="21.75" customHeight="1">
      <c r="A80" s="98"/>
      <c r="B80" s="99"/>
      <c r="C80" s="100"/>
      <c r="D80" s="100"/>
      <c r="E80" s="98"/>
    </row>
    <row r="81" ht="21.75" customHeight="1">
      <c r="A81" s="95"/>
      <c r="B81" s="101"/>
      <c r="C81" s="102"/>
      <c r="D81" s="102"/>
      <c r="E81" s="95"/>
    </row>
    <row r="82" ht="21.75" customHeight="1">
      <c r="A82" s="98"/>
      <c r="B82" s="99"/>
      <c r="C82" s="100"/>
      <c r="D82" s="100"/>
      <c r="E82" s="98"/>
    </row>
    <row r="83" ht="21.75" customHeight="1">
      <c r="A83" s="95"/>
      <c r="B83" s="101"/>
      <c r="C83" s="102"/>
      <c r="D83" s="102"/>
      <c r="E83" s="95"/>
    </row>
    <row r="84" ht="21.75" customHeight="1">
      <c r="A84" s="98"/>
      <c r="B84" s="99"/>
      <c r="C84" s="100"/>
      <c r="D84" s="100"/>
      <c r="E84" s="98"/>
    </row>
    <row r="85" ht="21.75" customHeight="1">
      <c r="A85" s="95"/>
      <c r="B85" s="101"/>
      <c r="C85" s="102"/>
      <c r="D85" s="102"/>
      <c r="E85" s="95"/>
    </row>
    <row r="86" ht="21.75" customHeight="1">
      <c r="A86" s="98"/>
      <c r="B86" s="99"/>
      <c r="C86" s="100"/>
      <c r="D86" s="100"/>
      <c r="E86" s="98"/>
    </row>
    <row r="87" ht="21.75" customHeight="1">
      <c r="A87" s="95"/>
      <c r="B87" s="101"/>
      <c r="C87" s="102"/>
      <c r="D87" s="102"/>
      <c r="E87" s="95"/>
    </row>
    <row r="88" ht="21.75" customHeight="1">
      <c r="A88" s="98"/>
      <c r="B88" s="99"/>
      <c r="C88" s="100"/>
      <c r="D88" s="100"/>
      <c r="E88" s="98"/>
    </row>
    <row r="89" ht="21.75" customHeight="1">
      <c r="A89" s="95"/>
      <c r="B89" s="101"/>
      <c r="C89" s="102"/>
      <c r="D89" s="102"/>
      <c r="E89" s="95"/>
    </row>
    <row r="90" ht="21.75" customHeight="1">
      <c r="A90" s="98"/>
      <c r="B90" s="99"/>
      <c r="C90" s="100"/>
      <c r="D90" s="100"/>
      <c r="E90" s="98"/>
    </row>
    <row r="91" ht="21.75" customHeight="1">
      <c r="A91" s="95"/>
      <c r="B91" s="101"/>
      <c r="C91" s="102"/>
      <c r="D91" s="102"/>
      <c r="E91" s="95"/>
    </row>
    <row r="92" ht="21.75" customHeight="1">
      <c r="A92" s="98"/>
      <c r="B92" s="99"/>
      <c r="C92" s="100"/>
      <c r="D92" s="100"/>
      <c r="E92" s="98"/>
    </row>
    <row r="93" ht="21.75" customHeight="1">
      <c r="A93" s="95"/>
      <c r="B93" s="101"/>
      <c r="C93" s="102"/>
      <c r="D93" s="102"/>
      <c r="E93" s="95"/>
    </row>
    <row r="94" ht="21.75" customHeight="1">
      <c r="A94" s="98"/>
      <c r="B94" s="99"/>
      <c r="C94" s="100"/>
      <c r="D94" s="100"/>
      <c r="E94" s="98"/>
    </row>
    <row r="95" ht="21.75" customHeight="1">
      <c r="A95" s="95"/>
      <c r="B95" s="101"/>
      <c r="C95" s="102"/>
      <c r="D95" s="102"/>
      <c r="E95" s="95"/>
    </row>
    <row r="96" ht="21.75" customHeight="1">
      <c r="A96" s="98"/>
      <c r="B96" s="99"/>
      <c r="C96" s="100"/>
      <c r="D96" s="100"/>
      <c r="E96" s="98"/>
    </row>
    <row r="97" ht="21.75" customHeight="1">
      <c r="A97" s="95"/>
      <c r="B97" s="101"/>
      <c r="C97" s="102"/>
      <c r="D97" s="102"/>
      <c r="E97" s="95"/>
    </row>
    <row r="98" ht="21.75" customHeight="1">
      <c r="A98" s="98"/>
      <c r="B98" s="99"/>
      <c r="C98" s="100"/>
      <c r="D98" s="100"/>
      <c r="E98" s="98"/>
    </row>
    <row r="99" ht="21.75" customHeight="1">
      <c r="A99" s="95"/>
      <c r="B99" s="101"/>
      <c r="C99" s="102"/>
      <c r="D99" s="102"/>
      <c r="E99" s="95"/>
    </row>
    <row r="100" ht="21.75" customHeight="1">
      <c r="A100" s="98"/>
      <c r="B100" s="99"/>
      <c r="C100" s="100"/>
      <c r="D100" s="100"/>
      <c r="E100" s="98"/>
    </row>
    <row r="101" ht="21.75" customHeight="1">
      <c r="A101" s="95"/>
      <c r="B101" s="101"/>
      <c r="C101" s="102"/>
      <c r="D101" s="102"/>
      <c r="E101" s="95"/>
    </row>
    <row r="102" ht="21.75" customHeight="1">
      <c r="A102" s="98"/>
      <c r="B102" s="99"/>
      <c r="C102" s="100"/>
      <c r="D102" s="100"/>
      <c r="E102" s="98"/>
    </row>
    <row r="103" ht="21.75" customHeight="1">
      <c r="A103" s="95"/>
      <c r="B103" s="101"/>
      <c r="C103" s="102"/>
      <c r="D103" s="102"/>
      <c r="E103" s="95"/>
    </row>
    <row r="104" ht="21.75" customHeight="1">
      <c r="A104" s="98"/>
      <c r="B104" s="99"/>
      <c r="C104" s="100"/>
      <c r="D104" s="100"/>
      <c r="E104" s="98"/>
    </row>
    <row r="105" ht="21.75" customHeight="1">
      <c r="A105" s="95"/>
      <c r="B105" s="101"/>
      <c r="C105" s="102"/>
      <c r="D105" s="102"/>
      <c r="E105" s="95"/>
    </row>
    <row r="106" ht="15.75" customHeight="1"/>
    <row r="107" ht="19.5" customHeight="1">
      <c r="A107" s="103" t="s">
        <v>237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A3:E3"/>
    <mergeCell ref="A107:E107"/>
  </mergeCells>
  <dataValidations>
    <dataValidation type="list" allowBlank="1" sqref="C6:C105">
      <formula1>"Player,Captain,Coach,Treasurer,Manager"</formula1>
    </dataValidation>
    <dataValidation type="list" allowBlank="1" sqref="D6:D105">
      <formula1>"Active,Inactive,Alumni"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2026-06-05T05:22:21Z</dcterms:created>
  <dc:creator>openpyxl</dc:creator>
</cp:coreProperties>
</file>